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autoCompressPictures="0"/>
  <mc:AlternateContent xmlns:mc="http://schemas.openxmlformats.org/markup-compatibility/2006">
    <mc:Choice Requires="x15">
      <x15ac:absPath xmlns:x15ac="http://schemas.microsoft.com/office/spreadsheetml/2010/11/ac" url="U:\1. Phong KHCN\16. Quy trinh quy dinh\Quy trinh quy dinh TD\Quy che quan ly KHCN\2023.Quy che KHCN_9415\Bieu mau 2023\01-Chu truong\"/>
    </mc:Choice>
  </mc:AlternateContent>
  <bookViews>
    <workbookView xWindow="0" yWindow="0" windowWidth="28800" windowHeight="12300" tabRatio="799" activeTab="13"/>
  </bookViews>
  <sheets>
    <sheet name="Tong muc dau tu" sheetId="17" r:id="rId1"/>
    <sheet name="1.Thiet bi" sheetId="18" r:id="rId2"/>
    <sheet name="Thiet bị" sheetId="6" state="hidden" r:id="rId3"/>
    <sheet name="Quotation_Keysight" sheetId="1" state="hidden" r:id="rId4"/>
    <sheet name="Quotation_R&amp;S conducted" sheetId="7" state="hidden" r:id="rId5"/>
    <sheet name="Quotation_OTA" sheetId="8" state="hidden" r:id="rId6"/>
    <sheet name="Quotation_R&amp;S ZNBT8" sheetId="9" state="hidden" r:id="rId7"/>
    <sheet name="So cu 5G team" sheetId="10" state="hidden" r:id="rId8"/>
    <sheet name="Sheet1" sheetId="11" state="hidden" r:id="rId9"/>
    <sheet name="PL_chi phi giam sat" sheetId="13" state="hidden" r:id="rId10"/>
    <sheet name="2.Qlgs va cac chi phi khac" sheetId="22" r:id="rId11"/>
    <sheet name="PL_Kiem toan" sheetId="14" r:id="rId12"/>
    <sheet name="PL_Quan ly du an" sheetId="20" r:id="rId13"/>
    <sheet name="Nhu cau von" sheetId="25" r:id="rId14"/>
    <sheet name="So sanh giai phap" sheetId="23" state="hidden" r:id="rId15"/>
    <sheet name="SS giai phap" sheetId="24" state="hidden" r:id="rId16"/>
    <sheet name="Mua &amp; Nang cap" sheetId="26" state="hidden" r:id="rId17"/>
    <sheet name="Sheet6" sheetId="27" state="hidden" r:id="rId18"/>
    <sheet name="Sheet5" sheetId="28" state="hidden" r:id="rId19"/>
    <sheet name="Quy mo thiet bi" sheetId="30" state="hidden" r:id="rId20"/>
  </sheets>
  <externalReferences>
    <externalReference r:id="rId21"/>
  </externalReferences>
  <definedNames>
    <definedName name="_1" localSheetId="19">#REF!</definedName>
    <definedName name="_1">#REF!</definedName>
    <definedName name="_1000A01">#N/A</definedName>
    <definedName name="_2" localSheetId="19">#REF!</definedName>
    <definedName name="_2">#REF!</definedName>
    <definedName name="_a1" localSheetId="10" hidden="1">{"'Sheet1'!$L$16"}</definedName>
    <definedName name="_a1" hidden="1">{"'Sheet1'!$L$16"}</definedName>
    <definedName name="_CON1" localSheetId="19">#REF!</definedName>
    <definedName name="_CON1">#REF!</definedName>
    <definedName name="_CON2" localSheetId="19">#REF!</definedName>
    <definedName name="_CON2">#REF!</definedName>
    <definedName name="_ddn400" localSheetId="19">#REF!</definedName>
    <definedName name="_ddn400">#REF!</definedName>
    <definedName name="_ddn600" localSheetId="19">#REF!</definedName>
    <definedName name="_ddn600">#REF!</definedName>
    <definedName name="_Fill" localSheetId="19" hidden="1">#REF!</definedName>
    <definedName name="_Fill" hidden="1">#REF!</definedName>
    <definedName name="_xlnm._FilterDatabase" localSheetId="1" hidden="1">'1.Thiet bi'!$A$5:$AG$5</definedName>
    <definedName name="_xlnm._FilterDatabase" localSheetId="19" hidden="1">'Quy mo thiet bi'!$A$7:$AL$7</definedName>
    <definedName name="_Key1" localSheetId="19" hidden="1">#REF!</definedName>
    <definedName name="_Key1" hidden="1">#REF!</definedName>
    <definedName name="_Key2" localSheetId="19" hidden="1">#REF!</definedName>
    <definedName name="_Key2" hidden="1">#REF!</definedName>
    <definedName name="_kl1" localSheetId="19">#REF!</definedName>
    <definedName name="_kl1">#REF!</definedName>
    <definedName name="_Km36" localSheetId="19">#REF!</definedName>
    <definedName name="_Km36">#REF!</definedName>
    <definedName name="_Knc36" localSheetId="19">#REF!</definedName>
    <definedName name="_Knc36">#REF!</definedName>
    <definedName name="_Knc57" localSheetId="19">#REF!</definedName>
    <definedName name="_Knc57">#REF!</definedName>
    <definedName name="_Kvl36" localSheetId="19">#REF!</definedName>
    <definedName name="_Kvl36">#REF!</definedName>
    <definedName name="_Lan1" localSheetId="10">{"Thuxm2.xls","Sheet1"}</definedName>
    <definedName name="_Lan1">{"Thuxm2.xls","Sheet1"}</definedName>
    <definedName name="_MAC12" localSheetId="19">#REF!</definedName>
    <definedName name="_MAC12">#REF!</definedName>
    <definedName name="_MAC46" localSheetId="19">#REF!</definedName>
    <definedName name="_MAC46">#REF!</definedName>
    <definedName name="_NCL100" localSheetId="19">#REF!</definedName>
    <definedName name="_NCL100">#REF!</definedName>
    <definedName name="_NCL200" localSheetId="19">#REF!</definedName>
    <definedName name="_NCL200">#REF!</definedName>
    <definedName name="_NCL250" localSheetId="19">#REF!</definedName>
    <definedName name="_NCL250">#REF!</definedName>
    <definedName name="_NET2" localSheetId="19">#REF!</definedName>
    <definedName name="_NET2">#REF!</definedName>
    <definedName name="_nin190" localSheetId="19">#REF!</definedName>
    <definedName name="_nin190">#REF!</definedName>
    <definedName name="_Order1" hidden="1">255</definedName>
    <definedName name="_Order2" hidden="1">255</definedName>
    <definedName name="_sc1" localSheetId="19">#REF!</definedName>
    <definedName name="_sc1">#REF!</definedName>
    <definedName name="_SC2" localSheetId="19">#REF!</definedName>
    <definedName name="_SC2">#REF!</definedName>
    <definedName name="_sc3" localSheetId="19">#REF!</definedName>
    <definedName name="_sc3">#REF!</definedName>
    <definedName name="_SN3" localSheetId="19">#REF!</definedName>
    <definedName name="_SN3">#REF!</definedName>
    <definedName name="_Sort" localSheetId="19" hidden="1">#REF!</definedName>
    <definedName name="_Sort" hidden="1">#REF!</definedName>
    <definedName name="_TL1" localSheetId="19">#REF!</definedName>
    <definedName name="_TL1">#REF!</definedName>
    <definedName name="_TL2" localSheetId="19">#REF!</definedName>
    <definedName name="_TL2">#REF!</definedName>
    <definedName name="_TL3" localSheetId="19">#REF!</definedName>
    <definedName name="_TL3">#REF!</definedName>
    <definedName name="_TLA120" localSheetId="19">#REF!</definedName>
    <definedName name="_TLA120">#REF!</definedName>
    <definedName name="_TLA35" localSheetId="19">#REF!</definedName>
    <definedName name="_TLA35">#REF!</definedName>
    <definedName name="_TLA50" localSheetId="19">#REF!</definedName>
    <definedName name="_TLA50">#REF!</definedName>
    <definedName name="_TLA70" localSheetId="19">#REF!</definedName>
    <definedName name="_TLA70">#REF!</definedName>
    <definedName name="_TLA95" localSheetId="19">#REF!</definedName>
    <definedName name="_TLA95">#REF!</definedName>
    <definedName name="_tt3" localSheetId="10" hidden="1">{"'Sheet1'!$L$16"}</definedName>
    <definedName name="_tt3" hidden="1">{"'Sheet1'!$L$16"}</definedName>
    <definedName name="_VL100" localSheetId="19">#REF!</definedName>
    <definedName name="_VL100">#REF!</definedName>
    <definedName name="_VL200" localSheetId="19">#REF!</definedName>
    <definedName name="_VL200">#REF!</definedName>
    <definedName name="_VL250" localSheetId="19">#REF!</definedName>
    <definedName name="_VL25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 localSheetId="19">#REF!</definedName>
    <definedName name="A120_">#REF!</definedName>
    <definedName name="a277Print_Titles" localSheetId="19">#REF!</definedName>
    <definedName name="a277Print_Titles">#REF!</definedName>
    <definedName name="A35_" localSheetId="19">#REF!</definedName>
    <definedName name="A35_">#REF!</definedName>
    <definedName name="A50_" localSheetId="19">#REF!</definedName>
    <definedName name="A50_">#REF!</definedName>
    <definedName name="A70_" localSheetId="19">#REF!</definedName>
    <definedName name="A70_">#REF!</definedName>
    <definedName name="A95_" localSheetId="19">#REF!</definedName>
    <definedName name="A95_">#REF!</definedName>
    <definedName name="AC120_" localSheetId="19">#REF!</definedName>
    <definedName name="AC120_">#REF!</definedName>
    <definedName name="AC35_" localSheetId="19">#REF!</definedName>
    <definedName name="AC35_">#REF!</definedName>
    <definedName name="AC50_" localSheetId="19">#REF!</definedName>
    <definedName name="AC50_">#REF!</definedName>
    <definedName name="AC70_" localSheetId="19">#REF!</definedName>
    <definedName name="AC70_">#REF!</definedName>
    <definedName name="AC95_" localSheetId="19">#REF!</definedName>
    <definedName name="AC95_">#REF!</definedName>
    <definedName name="All_Item" localSheetId="19">#REF!</definedName>
    <definedName name="All_Item">#REF!</definedName>
    <definedName name="ALPIN">#N/A</definedName>
    <definedName name="ALPJYOU">#N/A</definedName>
    <definedName name="ALPTOI">#N/A</definedName>
    <definedName name="BacKan" localSheetId="19">#REF!</definedName>
    <definedName name="BacKan">#REF!</definedName>
    <definedName name="BarData" localSheetId="19">#REF!</definedName>
    <definedName name="BarData">#REF!</definedName>
    <definedName name="BB" localSheetId="19">#REF!</definedName>
    <definedName name="BB">#REF!</definedName>
    <definedName name="bia" localSheetId="19">#REF!</definedName>
    <definedName name="bia">#REF!</definedName>
    <definedName name="BOQ" localSheetId="19">#REF!</definedName>
    <definedName name="BOQ">#REF!</definedName>
    <definedName name="BT" localSheetId="19">#REF!</definedName>
    <definedName name="BT">#REF!</definedName>
    <definedName name="Bulongthepcoctiepdia" localSheetId="19">#REF!</definedName>
    <definedName name="Bulongthepcoctiepdia">#REF!</definedName>
    <definedName name="BVCISUMMARY" localSheetId="19">#REF!</definedName>
    <definedName name="BVCISUMMARY">#REF!</definedName>
    <definedName name="Cachdienchuoi" localSheetId="19">#REF!</definedName>
    <definedName name="Cachdienchuoi">#REF!</definedName>
    <definedName name="Cachdiendung" localSheetId="19">#REF!</definedName>
    <definedName name="Cachdiendung">#REF!</definedName>
    <definedName name="Cachdienhaap" localSheetId="19">#REF!</definedName>
    <definedName name="Cachdienhaap">#REF!</definedName>
    <definedName name="Category_All" localSheetId="19">#REF!</definedName>
    <definedName name="Category_All">#REF!</definedName>
    <definedName name="CATIN">#N/A</definedName>
    <definedName name="CATJYOU">#N/A</definedName>
    <definedName name="CATREC">#N/A</definedName>
    <definedName name="CATSYU">#N/A</definedName>
    <definedName name="CCS" localSheetId="19">#REF!</definedName>
    <definedName name="CCS">#REF!</definedName>
    <definedName name="CDD" localSheetId="19">#REF!</definedName>
    <definedName name="CDD">#REF!</definedName>
    <definedName name="CH" localSheetId="19">#REF!</definedName>
    <definedName name="CH">#REF!</definedName>
    <definedName name="Chupdaucapcongotnong" localSheetId="19">#REF!</definedName>
    <definedName name="Chupdaucapcongotnong">#REF!</definedName>
    <definedName name="CK" localSheetId="19">#REF!</definedName>
    <definedName name="CK">#REF!</definedName>
    <definedName name="CLVC3">0.1</definedName>
    <definedName name="CLVCTB" localSheetId="19">#REF!</definedName>
    <definedName name="CLVCTB">#REF!</definedName>
    <definedName name="CNC" localSheetId="19">#REF!</definedName>
    <definedName name="CNC">#REF!</definedName>
    <definedName name="CND" localSheetId="19">#REF!</definedName>
    <definedName name="CND">#REF!</definedName>
    <definedName name="CNG" localSheetId="19">#REF!</definedName>
    <definedName name="CNG">#REF!</definedName>
    <definedName name="Cocbetong" localSheetId="19">#REF!</definedName>
    <definedName name="Cocbetong">#REF!</definedName>
    <definedName name="Cöï_ly_vaän_chuyeãn" localSheetId="19">#REF!</definedName>
    <definedName name="Cöï_ly_vaän_chuyeãn">#REF!</definedName>
    <definedName name="CÖÏ_LY_VAÄN_CHUYEÅN" localSheetId="19">#REF!</definedName>
    <definedName name="CÖÏ_LY_VAÄN_CHUYEÅN">#REF!</definedName>
    <definedName name="COMMON" localSheetId="19">#REF!</definedName>
    <definedName name="COMMON">#REF!</definedName>
    <definedName name="CON_EQP_COS" localSheetId="19">#REF!</definedName>
    <definedName name="CON_EQP_COS">#REF!</definedName>
    <definedName name="CON_EQP_COST" localSheetId="19">#REF!</definedName>
    <definedName name="CON_EQP_COST">#REF!</definedName>
    <definedName name="CONST_EQ" localSheetId="19">#REF!</definedName>
    <definedName name="CONST_EQ">#REF!</definedName>
    <definedName name="COT" localSheetId="19">#REF!</definedName>
    <definedName name="COT">#REF!</definedName>
    <definedName name="CotBTtronVuong" localSheetId="19">#REF!</definedName>
    <definedName name="CotBTtronVuong">#REF!</definedName>
    <definedName name="COVER" localSheetId="19">#REF!</definedName>
    <definedName name="COVER">#REF!</definedName>
    <definedName name="CPK" localSheetId="19">#REF!</definedName>
    <definedName name="CPK">#REF!</definedName>
    <definedName name="CPTB" localSheetId="19">#REF!</definedName>
    <definedName name="CPTB">#REF!</definedName>
    <definedName name="CPVC100" localSheetId="19">#REF!</definedName>
    <definedName name="CPVC100">#REF!</definedName>
    <definedName name="CRD" localSheetId="19">#REF!</definedName>
    <definedName name="CRD">#REF!</definedName>
    <definedName name="CRITINST" localSheetId="19">#REF!</definedName>
    <definedName name="CRITINST">#REF!</definedName>
    <definedName name="CRITPURC" localSheetId="19">#REF!</definedName>
    <definedName name="CRITPURC">#REF!</definedName>
    <definedName name="CRS" localSheetId="19">#REF!</definedName>
    <definedName name="CRS">#REF!</definedName>
    <definedName name="CS_10" localSheetId="19">#REF!</definedName>
    <definedName name="CS_10">#REF!</definedName>
    <definedName name="CS_100" localSheetId="19">#REF!</definedName>
    <definedName name="CS_100">#REF!</definedName>
    <definedName name="CS_10S" localSheetId="19">#REF!</definedName>
    <definedName name="CS_10S">#REF!</definedName>
    <definedName name="CS_120" localSheetId="19">#REF!</definedName>
    <definedName name="CS_120">#REF!</definedName>
    <definedName name="CS_140" localSheetId="19">#REF!</definedName>
    <definedName name="CS_140">#REF!</definedName>
    <definedName name="CS_160" localSheetId="19">#REF!</definedName>
    <definedName name="CS_160">#REF!</definedName>
    <definedName name="CS_20" localSheetId="19">#REF!</definedName>
    <definedName name="CS_20">#REF!</definedName>
    <definedName name="CS_30" localSheetId="19">#REF!</definedName>
    <definedName name="CS_30">#REF!</definedName>
    <definedName name="CS_40" localSheetId="19">#REF!</definedName>
    <definedName name="CS_40">#REF!</definedName>
    <definedName name="CS_40S" localSheetId="19">#REF!</definedName>
    <definedName name="CS_40S">#REF!</definedName>
    <definedName name="CS_5S" localSheetId="19">#REF!</definedName>
    <definedName name="CS_5S">#REF!</definedName>
    <definedName name="CS_60" localSheetId="19">#REF!</definedName>
    <definedName name="CS_60">#REF!</definedName>
    <definedName name="CS_80" localSheetId="19">#REF!</definedName>
    <definedName name="CS_80">#REF!</definedName>
    <definedName name="CS_80S" localSheetId="19">#REF!</definedName>
    <definedName name="CS_80S">#REF!</definedName>
    <definedName name="CS_STD" localSheetId="19">#REF!</definedName>
    <definedName name="CS_STD">#REF!</definedName>
    <definedName name="CS_XS" localSheetId="19">#REF!</definedName>
    <definedName name="CS_XS">#REF!</definedName>
    <definedName name="CS_XXS" localSheetId="19">#REF!</definedName>
    <definedName name="CS_XXS">#REF!</definedName>
    <definedName name="csd3p" localSheetId="19">#REF!</definedName>
    <definedName name="csd3p">#REF!</definedName>
    <definedName name="csddg1p" localSheetId="19">#REF!</definedName>
    <definedName name="csddg1p">#REF!</definedName>
    <definedName name="csddt1p" localSheetId="19">#REF!</definedName>
    <definedName name="csddt1p">#REF!</definedName>
    <definedName name="csht3p" localSheetId="19">#REF!</definedName>
    <definedName name="csht3p">#REF!</definedName>
    <definedName name="CT_KSTK" localSheetId="19">#REF!</definedName>
    <definedName name="CT_KSTK">#REF!</definedName>
    <definedName name="CURRENCY" localSheetId="19">#REF!</definedName>
    <definedName name="CURRENCY">#REF!</definedName>
    <definedName name="cx" localSheetId="19">#REF!</definedName>
    <definedName name="cx">#REF!</definedName>
    <definedName name="D_7101A_B" localSheetId="19">#REF!</definedName>
    <definedName name="D_7101A_B">#REF!</definedName>
    <definedName name="DAT" localSheetId="19">#REF!</definedName>
    <definedName name="DAT">#REF!</definedName>
    <definedName name="data" localSheetId="19">#REF!</definedName>
    <definedName name="data">#REF!</definedName>
    <definedName name="Data11" localSheetId="19">#REF!</definedName>
    <definedName name="Data11">#REF!</definedName>
    <definedName name="Data41" localSheetId="19">#REF!</definedName>
    <definedName name="Data41">#REF!</definedName>
    <definedName name="_xlnm.Database" localSheetId="19">#REF!</definedName>
    <definedName name="_xlnm.Database">#REF!</definedName>
    <definedName name="Daucapcongotnong" localSheetId="19">#REF!</definedName>
    <definedName name="Daucapcongotnong">#REF!</definedName>
    <definedName name="Daucaplapdattrongvangoainha" localSheetId="19">#REF!</definedName>
    <definedName name="Daucaplapdattrongvangoainha">#REF!</definedName>
    <definedName name="DaucotdongcuaUc" localSheetId="19">#REF!</definedName>
    <definedName name="DaucotdongcuaUc">#REF!</definedName>
    <definedName name="Daucotdongnhom" localSheetId="19">#REF!</definedName>
    <definedName name="Daucotdongnhom">#REF!</definedName>
    <definedName name="Daunoinhomdong" localSheetId="19">#REF!</definedName>
    <definedName name="Daunoinhomdong">#REF!</definedName>
    <definedName name="DayCEV" localSheetId="19">#REF!</definedName>
    <definedName name="DayCEV">#REF!</definedName>
    <definedName name="DD" localSheetId="19">#REF!</definedName>
    <definedName name="DD">#REF!</definedName>
    <definedName name="denbu" localSheetId="19">#REF!</definedName>
    <definedName name="denbu">#REF!</definedName>
    <definedName name="dgbdII" localSheetId="19">#REF!</definedName>
    <definedName name="dgbdII">#REF!</definedName>
    <definedName name="dgnc" localSheetId="19">#REF!</definedName>
    <definedName name="dgnc">#REF!</definedName>
    <definedName name="dgqndn" localSheetId="19">#REF!</definedName>
    <definedName name="dgqndn">#REF!</definedName>
    <definedName name="DGTH" localSheetId="19">#REF!</definedName>
    <definedName name="DGTH">#REF!</definedName>
    <definedName name="dgvl" localSheetId="19">#REF!</definedName>
    <definedName name="dgvl">#REF!</definedName>
    <definedName name="dm56bxd" localSheetId="19">#REF!</definedName>
    <definedName name="dm56bxd">#REF!</definedName>
    <definedName name="DMlapdatxa" localSheetId="19">#REF!</definedName>
    <definedName name="DMlapdatxa">#REF!</definedName>
    <definedName name="DN" localSheetId="19">#REF!</definedName>
    <definedName name="DN">#REF!</definedName>
    <definedName name="Document_array" localSheetId="10">{"Thuxm2.xls","Sheet1"}</definedName>
    <definedName name="Document_array">{"Thuxm2.xls","Sheet1"}</definedName>
    <definedName name="Documents_array" localSheetId="19">#REF!</definedName>
    <definedName name="Documents_array">#REF!</definedName>
    <definedName name="dongiavanchuyen" localSheetId="19">#REF!</definedName>
    <definedName name="dongiavanchuyen">#REF!</definedName>
    <definedName name="ds1pnc" localSheetId="19">#REF!</definedName>
    <definedName name="ds1pnc">#REF!</definedName>
    <definedName name="ds1pvl" localSheetId="19">#REF!</definedName>
    <definedName name="ds1pvl">#REF!</definedName>
    <definedName name="ds3pnc" localSheetId="19">#REF!</definedName>
    <definedName name="ds3pnc">#REF!</definedName>
    <definedName name="ds3pvl" localSheetId="19">#REF!</definedName>
    <definedName name="ds3pvl">#REF!</definedName>
    <definedName name="DSUMDATA" localSheetId="19">#REF!</definedName>
    <definedName name="DSUMDATA">#REF!</definedName>
    <definedName name="End_1" localSheetId="19">#REF!</definedName>
    <definedName name="End_1">#REF!</definedName>
    <definedName name="End_10" localSheetId="19">#REF!</definedName>
    <definedName name="End_10">#REF!</definedName>
    <definedName name="End_11" localSheetId="19">#REF!</definedName>
    <definedName name="End_11">#REF!</definedName>
    <definedName name="End_12" localSheetId="19">#REF!</definedName>
    <definedName name="End_12">#REF!</definedName>
    <definedName name="End_13" localSheetId="19">#REF!</definedName>
    <definedName name="End_13">#REF!</definedName>
    <definedName name="End_2" localSheetId="19">#REF!</definedName>
    <definedName name="End_2">#REF!</definedName>
    <definedName name="End_3" localSheetId="19">#REF!</definedName>
    <definedName name="End_3">#REF!</definedName>
    <definedName name="End_4" localSheetId="19">#REF!</definedName>
    <definedName name="End_4">#REF!</definedName>
    <definedName name="End_5" localSheetId="19">#REF!</definedName>
    <definedName name="End_5">#REF!</definedName>
    <definedName name="End_6" localSheetId="19">#REF!</definedName>
    <definedName name="End_6">#REF!</definedName>
    <definedName name="End_7" localSheetId="19">#REF!</definedName>
    <definedName name="End_7">#REF!</definedName>
    <definedName name="End_8" localSheetId="19">#REF!</definedName>
    <definedName name="End_8">#REF!</definedName>
    <definedName name="End_9" localSheetId="19">#REF!</definedName>
    <definedName name="End_9">#REF!</definedName>
    <definedName name="EURO_03">'[1]THKP hạng mục'!$L$4</definedName>
    <definedName name="_xlnm.Extract" localSheetId="19">#REF!</definedName>
    <definedName name="_xlnm.Extract">#REF!</definedName>
    <definedName name="F" localSheetId="19">#REF!</definedName>
    <definedName name="F">#REF!</definedName>
    <definedName name="f92F56" localSheetId="19">#REF!</definedName>
    <definedName name="f92F56">#REF!</definedName>
    <definedName name="FACTOR" localSheetId="19">#REF!</definedName>
    <definedName name="FACTOR">#REF!</definedName>
    <definedName name="Fi" localSheetId="19">#REF!</definedName>
    <definedName name="Fi">#REF!</definedName>
    <definedName name="GaicapbocCuXLPEPVCPVCloaiCEVV18den35kV" localSheetId="19">#REF!</definedName>
    <definedName name="GaicapbocCuXLPEPVCPVCloaiCEVV18den35kV">#REF!</definedName>
    <definedName name="gia" localSheetId="19">#REF!</definedName>
    <definedName name="gia">#REF!</definedName>
    <definedName name="GiacapAvanxoanLVABCXLPE" localSheetId="19">#REF!</definedName>
    <definedName name="GiacapAvanxoanLVABCXLPE">#REF!</definedName>
    <definedName name="GiacapbocCuXLPEPVCDSTAPVCloaiCEVVST" localSheetId="19">#REF!</definedName>
    <definedName name="GiacapbocCuXLPEPVCDSTAPVCloaiCEVVST">#REF!</definedName>
    <definedName name="GiacapbocCuXLPEPVCDSTPVCloaiCEVVST12den24kV" localSheetId="19">#REF!</definedName>
    <definedName name="GiacapbocCuXLPEPVCDSTPVCloaiCEVVST12den24kV">#REF!</definedName>
    <definedName name="GiacapbocCuXLPEPVCDSTPVCloaiCEVVST18den35kV" localSheetId="19">#REF!</definedName>
    <definedName name="GiacapbocCuXLPEPVCDSTPVCloaiCEVVST18den35kV">#REF!</definedName>
    <definedName name="GiacapbocCuXLPEPVCloaiCEV" localSheetId="19">#REF!</definedName>
    <definedName name="GiacapbocCuXLPEPVCloaiCEV">#REF!</definedName>
    <definedName name="GiacapbocCuXLPEPVCloaiCEV12den24kV" localSheetId="19">#REF!</definedName>
    <definedName name="GiacapbocCuXLPEPVCloaiCEV12den24kV">#REF!</definedName>
    <definedName name="GiacapbocCuXLPEPVCloaiCEV18den35kV" localSheetId="19">#REF!</definedName>
    <definedName name="GiacapbocCuXLPEPVCloaiCEV18den35kV">#REF!</definedName>
    <definedName name="GiacapbocCuXLPEPVCPVCloaiCEVV12den24kV" localSheetId="19">#REF!</definedName>
    <definedName name="GiacapbocCuXLPEPVCPVCloaiCEVV12den24kV">#REF!</definedName>
    <definedName name="GiacapbocCuXLPEPVCSWPVCloaiCEVVSW12den24kV" localSheetId="19">#REF!</definedName>
    <definedName name="GiacapbocCuXLPEPVCSWPVCloaiCEVVSW12den24kV">#REF!</definedName>
    <definedName name="GiacapbocCuXLPEPVCSWPVCloaiCEVVSW18den35kV" localSheetId="19">#REF!</definedName>
    <definedName name="GiacapbocCuXLPEPVCSWPVCloaiCEVVSW18den35kV">#REF!</definedName>
    <definedName name="GiadayACbocPVC" localSheetId="19">#REF!</definedName>
    <definedName name="GiadayACbocPVC">#REF!</definedName>
    <definedName name="GiadayAS" localSheetId="19">#REF!</definedName>
    <definedName name="GiadayAS">#REF!</definedName>
    <definedName name="GiadayAtran" localSheetId="19">#REF!</definedName>
    <definedName name="GiadayAtran">#REF!</definedName>
    <definedName name="GiadayAV" localSheetId="19">#REF!</definedName>
    <definedName name="GiadayAV">#REF!</definedName>
    <definedName name="GiadayAXLPE1kVlkyhieuAE" localSheetId="19">#REF!</definedName>
    <definedName name="GiadayAXLPE1kVlkyhieuAE">#REF!</definedName>
    <definedName name="GiadaycapCEV" localSheetId="19">#REF!</definedName>
    <definedName name="GiadaycapCEV">#REF!</definedName>
    <definedName name="GiadaycapCuPVC600V" localSheetId="19">#REF!</definedName>
    <definedName name="GiadaycapCuPVC600V">#REF!</definedName>
    <definedName name="GiadayCVV" localSheetId="19">#REF!</definedName>
    <definedName name="GiadayCVV">#REF!</definedName>
    <definedName name="GiadayMtran" localSheetId="19">#REF!</definedName>
    <definedName name="GiadayMtran">#REF!</definedName>
    <definedName name="Giasatthep" localSheetId="19">#REF!</definedName>
    <definedName name="Giasatthep">#REF!</definedName>
    <definedName name="Giavatlieukhac" localSheetId="19">#REF!</definedName>
    <definedName name="Giavatlieukhac">#REF!</definedName>
    <definedName name="gl3p" localSheetId="19">#REF!</definedName>
    <definedName name="gl3p">#REF!</definedName>
    <definedName name="HA" localSheetId="19">#REF!</definedName>
    <definedName name="HA">#REF!</definedName>
    <definedName name="hangmuc" localSheetId="19">#REF!</definedName>
    <definedName name="hangmuc">#REF!</definedName>
    <definedName name="HCM" localSheetId="19">#REF!</definedName>
    <definedName name="HCM">#REF!</definedName>
    <definedName name="Heä_soá_laép_xaø_H">1.7</definedName>
    <definedName name="heä_soá_sình_laày" localSheetId="19">#REF!</definedName>
    <definedName name="heä_soá_sình_laày">#REF!</definedName>
    <definedName name="hhhh" localSheetId="19">#REF!</definedName>
    <definedName name="hhhh">#REF!</definedName>
    <definedName name="HOME_MANP" localSheetId="19">#REF!</definedName>
    <definedName name="HOME_MANP">#REF!</definedName>
    <definedName name="HOMEOFFICE_COST" localSheetId="19">#REF!</definedName>
    <definedName name="HOMEOFFICE_COST">#REF!</definedName>
    <definedName name="Hopnoicap" localSheetId="19">#REF!</definedName>
    <definedName name="Hopnoicap">#REF!</definedName>
    <definedName name="HSCT3">0.1</definedName>
    <definedName name="hsdc1" localSheetId="19">#REF!</definedName>
    <definedName name="hsdc1">#REF!</definedName>
    <definedName name="HSDN">2.5</definedName>
    <definedName name="HSHH" localSheetId="19">#REF!</definedName>
    <definedName name="HSHH">#REF!</definedName>
    <definedName name="HSHHUT" localSheetId="19">#REF!</definedName>
    <definedName name="HSHHUT">#REF!</definedName>
    <definedName name="HSSL" localSheetId="19">#REF!</definedName>
    <definedName name="HSSL">#REF!</definedName>
    <definedName name="HSVC1" localSheetId="19">#REF!</definedName>
    <definedName name="HSVC1">#REF!</definedName>
    <definedName name="HSVC2" localSheetId="19">#REF!</definedName>
    <definedName name="HSVC2">#REF!</definedName>
    <definedName name="HSVC3" localSheetId="19">#REF!</definedName>
    <definedName name="HSVC3">#REF!</definedName>
    <definedName name="HTML_CodePage" hidden="1">950</definedName>
    <definedName name="HTML_Control" localSheetId="1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NC" localSheetId="19">#REF!</definedName>
    <definedName name="HTNC">#REF!</definedName>
    <definedName name="HTVL" localSheetId="19">#REF!</definedName>
    <definedName name="HTVL">#REF!</definedName>
    <definedName name="huy" localSheetId="10" hidden="1">{"'Sheet1'!$L$16"}</definedName>
    <definedName name="huy" hidden="1">{"'Sheet1'!$L$16"}</definedName>
    <definedName name="I" localSheetId="19">#REF!</definedName>
    <definedName name="I">#REF!</definedName>
    <definedName name="IDLAB_COST" localSheetId="19">#REF!</definedName>
    <definedName name="IDLAB_COST">#REF!</definedName>
    <definedName name="IN_AREA" localSheetId="19">#REF!</definedName>
    <definedName name="IN_AREA">#REF!</definedName>
    <definedName name="IND_LAB" localSheetId="19">#REF!</definedName>
    <definedName name="IND_LAB">#REF!</definedName>
    <definedName name="Index_Sheet_Kutools" localSheetId="10">#REF!</definedName>
    <definedName name="INDMANP" localSheetId="19">#REF!</definedName>
    <definedName name="INDMANP">#REF!</definedName>
    <definedName name="j356C8" localSheetId="19">#REF!</definedName>
    <definedName name="j356C8">#REF!</definedName>
    <definedName name="k" localSheetId="19">#REF!</definedName>
    <definedName name="k">#REF!</definedName>
    <definedName name="Kepcapcacloai" localSheetId="19">#REF!</definedName>
    <definedName name="Kepcapcacloai">#REF!</definedName>
    <definedName name="Khanhdonnoitrunggiannoidieuchinh" localSheetId="19">#REF!</definedName>
    <definedName name="Khanhdonnoitrunggiannoidieuchinh">#REF!</definedName>
    <definedName name="kp1ph" localSheetId="19">#REF!</definedName>
    <definedName name="kp1ph">#REF!</definedName>
    <definedName name="l" localSheetId="19">#REF!</definedName>
    <definedName name="l">#REF!</definedName>
    <definedName name="Lan" localSheetId="10">{"Thuxm2.xls","Sheet1"}</definedName>
    <definedName name="Lan">{"Thuxm2.xls","Sheet1"}</definedName>
    <definedName name="Lmk" localSheetId="19">#REF!</definedName>
    <definedName name="Lmk">#REF!</definedName>
    <definedName name="M0.4" localSheetId="19">#REF!</definedName>
    <definedName name="M0.4">#REF!</definedName>
    <definedName name="M12ba3p" localSheetId="19">#REF!</definedName>
    <definedName name="M12ba3p">#REF!</definedName>
    <definedName name="M12bb1p" localSheetId="19">#REF!</definedName>
    <definedName name="M12bb1p">#REF!</definedName>
    <definedName name="M12cbnc" localSheetId="19">#REF!</definedName>
    <definedName name="M12cbnc">#REF!</definedName>
    <definedName name="M12cbvl" localSheetId="19">#REF!</definedName>
    <definedName name="M12cbvl">#REF!</definedName>
    <definedName name="M14bb1p" localSheetId="19">#REF!</definedName>
    <definedName name="M14bb1p">#REF!</definedName>
    <definedName name="m8aanc" localSheetId="19">#REF!</definedName>
    <definedName name="m8aanc">#REF!</definedName>
    <definedName name="m8aavl" localSheetId="19">#REF!</definedName>
    <definedName name="m8aavl">#REF!</definedName>
    <definedName name="Ma3pnc" localSheetId="19">#REF!</definedName>
    <definedName name="Ma3pnc">#REF!</definedName>
    <definedName name="Ma3pvl" localSheetId="19">#REF!</definedName>
    <definedName name="Ma3pvl">#REF!</definedName>
    <definedName name="Maa3pnc" localSheetId="19">#REF!</definedName>
    <definedName name="Maa3pnc">#REF!</definedName>
    <definedName name="Maa3pvl" localSheetId="19">#REF!</definedName>
    <definedName name="Maa3pvl">#REF!</definedName>
    <definedName name="MAJ_CON_EQP" localSheetId="19">#REF!</definedName>
    <definedName name="MAJ_CON_EQP">#REF!</definedName>
    <definedName name="Mba1p" localSheetId="19">#REF!</definedName>
    <definedName name="Mba1p">#REF!</definedName>
    <definedName name="Mba3p" localSheetId="19">#REF!</definedName>
    <definedName name="Mba3p">#REF!</definedName>
    <definedName name="Mbb3p" localSheetId="19">#REF!</definedName>
    <definedName name="Mbb3p">#REF!</definedName>
    <definedName name="Mbn1p" localSheetId="19">#REF!</definedName>
    <definedName name="Mbn1p">#REF!</definedName>
    <definedName name="mc" localSheetId="19">#REF!</definedName>
    <definedName name="mc">#REF!</definedName>
    <definedName name="MG_A" localSheetId="19">#REF!</definedName>
    <definedName name="MG_A">#REF!</definedName>
    <definedName name="MN" localSheetId="19">#REF!</definedName>
    <definedName name="MN">#REF!</definedName>
    <definedName name="MTMAC12" localSheetId="19">#REF!</definedName>
    <definedName name="MTMAC12">#REF!</definedName>
    <definedName name="mtram" localSheetId="19">#REF!</definedName>
    <definedName name="mtram">#REF!</definedName>
    <definedName name="n" localSheetId="19" hidden="1">#REF!</definedName>
    <definedName name="n" hidden="1">#REF!</definedName>
    <definedName name="n1pig" localSheetId="19">#REF!</definedName>
    <definedName name="n1pig">#REF!</definedName>
    <definedName name="n1pind" localSheetId="19">#REF!</definedName>
    <definedName name="n1pind">#REF!</definedName>
    <definedName name="n1ping" localSheetId="19">#REF!</definedName>
    <definedName name="n1ping">#REF!</definedName>
    <definedName name="n1pint" localSheetId="19">#REF!</definedName>
    <definedName name="n1pint">#REF!</definedName>
    <definedName name="nc1p" localSheetId="19">#REF!</definedName>
    <definedName name="nc1p">#REF!</definedName>
    <definedName name="nc3p" localSheetId="19">#REF!</definedName>
    <definedName name="nc3p">#REF!</definedName>
    <definedName name="NCBD100" localSheetId="19">#REF!</definedName>
    <definedName name="NCBD100">#REF!</definedName>
    <definedName name="NCBD200" localSheetId="19">#REF!</definedName>
    <definedName name="NCBD200">#REF!</definedName>
    <definedName name="NCBD250" localSheetId="19">#REF!</definedName>
    <definedName name="NCBD250">#REF!</definedName>
    <definedName name="NCKT" localSheetId="19">#REF!</definedName>
    <definedName name="NCKT">#REF!</definedName>
    <definedName name="nctram" localSheetId="19">#REF!</definedName>
    <definedName name="nctram">#REF!</definedName>
    <definedName name="NCVC100" localSheetId="19">#REF!</definedName>
    <definedName name="NCVC100">#REF!</definedName>
    <definedName name="NCVC200" localSheetId="19">#REF!</definedName>
    <definedName name="NCVC200">#REF!</definedName>
    <definedName name="NCVC250" localSheetId="19">#REF!</definedName>
    <definedName name="NCVC250">#REF!</definedName>
    <definedName name="NCVC3P" localSheetId="19">#REF!</definedName>
    <definedName name="NCVC3P">#REF!</definedName>
    <definedName name="NET" localSheetId="19">#REF!</definedName>
    <definedName name="NET">#REF!</definedName>
    <definedName name="NET_1" localSheetId="19">#REF!</definedName>
    <definedName name="NET_1">#REF!</definedName>
    <definedName name="NET_ANA" localSheetId="19">#REF!</definedName>
    <definedName name="NET_ANA">#REF!</definedName>
    <definedName name="NET_ANA_1" localSheetId="19">#REF!</definedName>
    <definedName name="NET_ANA_1">#REF!</definedName>
    <definedName name="NET_ANA_2" localSheetId="19">#REF!</definedName>
    <definedName name="NET_ANA_2">#REF!</definedName>
    <definedName name="nhn" localSheetId="19">#REF!</definedName>
    <definedName name="nhn">#REF!</definedName>
    <definedName name="nig" localSheetId="19">#REF!</definedName>
    <definedName name="nig">#REF!</definedName>
    <definedName name="nig1p" localSheetId="19">#REF!</definedName>
    <definedName name="nig1p">#REF!</definedName>
    <definedName name="nig3p" localSheetId="19">#REF!</definedName>
    <definedName name="nig3p">#REF!</definedName>
    <definedName name="nignc1p" localSheetId="19">#REF!</definedName>
    <definedName name="nignc1p">#REF!</definedName>
    <definedName name="nigvl1p" localSheetId="19">#REF!</definedName>
    <definedName name="nigvl1p">#REF!</definedName>
    <definedName name="nin" localSheetId="19">#REF!</definedName>
    <definedName name="nin">#REF!</definedName>
    <definedName name="nin14nc3p" localSheetId="19">#REF!</definedName>
    <definedName name="nin14nc3p">#REF!</definedName>
    <definedName name="nin14vl3p" localSheetId="19">#REF!</definedName>
    <definedName name="nin14vl3p">#REF!</definedName>
    <definedName name="nin1903p" localSheetId="19">#REF!</definedName>
    <definedName name="nin1903p">#REF!</definedName>
    <definedName name="nin190nc3p" localSheetId="19">#REF!</definedName>
    <definedName name="nin190nc3p">#REF!</definedName>
    <definedName name="nin190vl3p" localSheetId="19">#REF!</definedName>
    <definedName name="nin190vl3p">#REF!</definedName>
    <definedName name="nin2903p" localSheetId="19">#REF!</definedName>
    <definedName name="nin2903p">#REF!</definedName>
    <definedName name="nin290nc3p" localSheetId="19">#REF!</definedName>
    <definedName name="nin290nc3p">#REF!</definedName>
    <definedName name="nin290vl3p" localSheetId="19">#REF!</definedName>
    <definedName name="nin290vl3p">#REF!</definedName>
    <definedName name="nin3p" localSheetId="19">#REF!</definedName>
    <definedName name="nin3p">#REF!</definedName>
    <definedName name="nind" localSheetId="19">#REF!</definedName>
    <definedName name="nind">#REF!</definedName>
    <definedName name="nind1p" localSheetId="19">#REF!</definedName>
    <definedName name="nind1p">#REF!</definedName>
    <definedName name="nind3p" localSheetId="19">#REF!</definedName>
    <definedName name="nind3p">#REF!</definedName>
    <definedName name="nindnc1p" localSheetId="19">#REF!</definedName>
    <definedName name="nindnc1p">#REF!</definedName>
    <definedName name="nindnc3p" localSheetId="19">#REF!</definedName>
    <definedName name="nindnc3p">#REF!</definedName>
    <definedName name="nindvl1p" localSheetId="19">#REF!</definedName>
    <definedName name="nindvl1p">#REF!</definedName>
    <definedName name="nindvl3p" localSheetId="19">#REF!</definedName>
    <definedName name="nindvl3p">#REF!</definedName>
    <definedName name="ning1p" localSheetId="19">#REF!</definedName>
    <definedName name="ning1p">#REF!</definedName>
    <definedName name="ningnc1p" localSheetId="19">#REF!</definedName>
    <definedName name="ningnc1p">#REF!</definedName>
    <definedName name="ningvl1p" localSheetId="19">#REF!</definedName>
    <definedName name="ningvl1p">#REF!</definedName>
    <definedName name="ninnc3p" localSheetId="19">#REF!</definedName>
    <definedName name="ninnc3p">#REF!</definedName>
    <definedName name="nint1p" localSheetId="19">#REF!</definedName>
    <definedName name="nint1p">#REF!</definedName>
    <definedName name="nintnc1p" localSheetId="19">#REF!</definedName>
    <definedName name="nintnc1p">#REF!</definedName>
    <definedName name="nintvl1p" localSheetId="19">#REF!</definedName>
    <definedName name="nintvl1p">#REF!</definedName>
    <definedName name="ninvl3p" localSheetId="19">#REF!</definedName>
    <definedName name="ninvl3p">#REF!</definedName>
    <definedName name="nl" localSheetId="19">#REF!</definedName>
    <definedName name="nl">#REF!</definedName>
    <definedName name="nl1p" localSheetId="19">#REF!</definedName>
    <definedName name="nl1p">#REF!</definedName>
    <definedName name="nl3p" localSheetId="19">#REF!</definedName>
    <definedName name="nl3p">#REF!</definedName>
    <definedName name="nlnc3p" localSheetId="19">#REF!</definedName>
    <definedName name="nlnc3p">#REF!</definedName>
    <definedName name="nlnc3pha" localSheetId="19">#REF!</definedName>
    <definedName name="nlnc3pha">#REF!</definedName>
    <definedName name="NLTK1p" localSheetId="19">#REF!</definedName>
    <definedName name="NLTK1p">#REF!</definedName>
    <definedName name="nlvl3p" localSheetId="19">#REF!</definedName>
    <definedName name="nlvl3p">#REF!</definedName>
    <definedName name="nn1p" localSheetId="19">#REF!</definedName>
    <definedName name="nn1p">#REF!</definedName>
    <definedName name="nn3p" localSheetId="19">#REF!</definedName>
    <definedName name="nn3p">#REF!</definedName>
    <definedName name="nnnc3p" localSheetId="19">#REF!</definedName>
    <definedName name="nnnc3p">#REF!</definedName>
    <definedName name="nnvl3p" localSheetId="19">#REF!</definedName>
    <definedName name="nnvl3p">#REF!</definedName>
    <definedName name="no_nt_td">2</definedName>
    <definedName name="Ongbaovecap" localSheetId="19">#REF!</definedName>
    <definedName name="Ongbaovecap">#REF!</definedName>
    <definedName name="Ongnoiday" localSheetId="19">#REF!</definedName>
    <definedName name="Ongnoiday">#REF!</definedName>
    <definedName name="Ongnoidaybulongtachongrungtabu" localSheetId="19">#REF!</definedName>
    <definedName name="Ongnoidaybulongtachongrungtabu">#REF!</definedName>
    <definedName name="OngPVC" localSheetId="19">#REF!</definedName>
    <definedName name="OngPVC">#REF!</definedName>
    <definedName name="Pheuhopgang" localSheetId="19">#REF!</definedName>
    <definedName name="Pheuhopgang">#REF!</definedName>
    <definedName name="Phukienduongday" localSheetId="19">#REF!</definedName>
    <definedName name="Phukienduongday">#REF!</definedName>
    <definedName name="PRICE" localSheetId="19">#REF!</definedName>
    <definedName name="PRICE">#REF!</definedName>
    <definedName name="PRICE1" localSheetId="19">#REF!</definedName>
    <definedName name="PRICE1">#REF!</definedName>
    <definedName name="Prin1" localSheetId="19">#REF!</definedName>
    <definedName name="Prin1">#REF!</definedName>
    <definedName name="Prin2" localSheetId="19">#REF!</definedName>
    <definedName name="Prin2">#REF!</definedName>
    <definedName name="_xlnm.Print_Area" localSheetId="1">'1.Thiet bi'!$A$1:$Y$15</definedName>
    <definedName name="_xlnm.Print_Area" localSheetId="3">Quotation_Keysight!$A$1:$G$192</definedName>
    <definedName name="_xlnm.Print_Area" localSheetId="19">'Quy mo thiet bi'!$A$1:$AJ$44</definedName>
    <definedName name="_xlnm.Print_Area" localSheetId="14">'So sanh giai phap'!$A$1:$T$17</definedName>
    <definedName name="_xlnm.Print_Area" localSheetId="2">'Thiet bị'!$B$56:$AC$74</definedName>
    <definedName name="_xlnm.Print_Area" localSheetId="0">'Tong muc dau tu'!$A$1:$G$25</definedName>
    <definedName name="_xlnm.Print_Area">#REF!</definedName>
    <definedName name="PRINT_AREA_MI" localSheetId="19">#REF!</definedName>
    <definedName name="PRINT_AREA_MI">#REF!</definedName>
    <definedName name="_xlnm.Print_Titles" localSheetId="10">'2.Qlgs va cac chi phi khac'!$7:$7</definedName>
    <definedName name="_xlnm.Print_Titles" localSheetId="3">Quotation_Keysight!$16:$16</definedName>
    <definedName name="_xlnm.Print_Titles">#N/A</definedName>
    <definedName name="PRINT_TITLES_MI" localSheetId="19">#REF!</definedName>
    <definedName name="PRINT_TITLES_MI">#REF!</definedName>
    <definedName name="PRINTA" localSheetId="19">#REF!</definedName>
    <definedName name="PRINTA">#REF!</definedName>
    <definedName name="PRINTB" localSheetId="19">#REF!</definedName>
    <definedName name="PRINTB">#REF!</definedName>
    <definedName name="PRINTC" localSheetId="19">#REF!</definedName>
    <definedName name="PRINTC">#REF!</definedName>
    <definedName name="PROPOSAL" localSheetId="19">#REF!</definedName>
    <definedName name="PROPOSAL">#REF!</definedName>
    <definedName name="qq" localSheetId="10" hidden="1">{#N/A,#N/A,FALSE,"Chi tiÆt"}</definedName>
    <definedName name="qq" hidden="1">{#N/A,#N/A,FALSE,"Chi tiÆt"}</definedName>
    <definedName name="ra11p" localSheetId="19">#REF!</definedName>
    <definedName name="ra11p">#REF!</definedName>
    <definedName name="ra13p" localSheetId="19">#REF!</definedName>
    <definedName name="ra13p">#REF!</definedName>
    <definedName name="RECOUT">#N/A</definedName>
    <definedName name="RFP003A" localSheetId="19">#REF!</definedName>
    <definedName name="RFP003A">#REF!</definedName>
    <definedName name="RFP003B" localSheetId="19">#REF!</definedName>
    <definedName name="RFP003B">#REF!</definedName>
    <definedName name="RFP003C" localSheetId="19">#REF!</definedName>
    <definedName name="RFP003C">#REF!</definedName>
    <definedName name="RFP003D" localSheetId="19">#REF!</definedName>
    <definedName name="RFP003D">#REF!</definedName>
    <definedName name="RFP003E" localSheetId="19">#REF!</definedName>
    <definedName name="RFP003E">#REF!</definedName>
    <definedName name="RFP003F" localSheetId="19">#REF!</definedName>
    <definedName name="RFP003F">#REF!</definedName>
    <definedName name="SCH" localSheetId="19">#REF!</definedName>
    <definedName name="SCH">#REF!</definedName>
    <definedName name="SDMONG" localSheetId="19">#REF!</definedName>
    <definedName name="SDMONG">#REF!</definedName>
    <definedName name="Sheet1" localSheetId="19">#REF!</definedName>
    <definedName name="Sheet1">#REF!</definedName>
    <definedName name="SIZE" localSheetId="19">#REF!</definedName>
    <definedName name="SIZE">#REF!</definedName>
    <definedName name="SL_CRD" localSheetId="19">#REF!</definedName>
    <definedName name="SL_CRD">#REF!</definedName>
    <definedName name="SL_CRS" localSheetId="19">#REF!</definedName>
    <definedName name="SL_CRS">#REF!</definedName>
    <definedName name="SL_CS" localSheetId="19">#REF!</definedName>
    <definedName name="SL_CS">#REF!</definedName>
    <definedName name="SL_DD" localSheetId="19">#REF!</definedName>
    <definedName name="SL_DD">#REF!</definedName>
    <definedName name="soc3p" localSheetId="19">#REF!</definedName>
    <definedName name="soc3p">#REF!</definedName>
    <definedName name="SORT" localSheetId="19">#REF!</definedName>
    <definedName name="SORT">#REF!</definedName>
    <definedName name="SPEC" localSheetId="19">#REF!</definedName>
    <definedName name="SPEC">#REF!</definedName>
    <definedName name="SPECSUMMARY" localSheetId="19">#REF!</definedName>
    <definedName name="SPECSUMMARY">#REF!</definedName>
    <definedName name="Start_1" localSheetId="19">#REF!</definedName>
    <definedName name="Start_1">#REF!</definedName>
    <definedName name="Start_10" localSheetId="19">#REF!</definedName>
    <definedName name="Start_10">#REF!</definedName>
    <definedName name="Start_11" localSheetId="19">#REF!</definedName>
    <definedName name="Start_11">#REF!</definedName>
    <definedName name="Start_12" localSheetId="19">#REF!</definedName>
    <definedName name="Start_12">#REF!</definedName>
    <definedName name="Start_13" localSheetId="19">#REF!</definedName>
    <definedName name="Start_13">#REF!</definedName>
    <definedName name="Start_2" localSheetId="19">#REF!</definedName>
    <definedName name="Start_2">#REF!</definedName>
    <definedName name="Start_3" localSheetId="19">#REF!</definedName>
    <definedName name="Start_3">#REF!</definedName>
    <definedName name="Start_4" localSheetId="19">#REF!</definedName>
    <definedName name="Start_4">#REF!</definedName>
    <definedName name="Start_5" localSheetId="19">#REF!</definedName>
    <definedName name="Start_5">#REF!</definedName>
    <definedName name="Start_6" localSheetId="19">#REF!</definedName>
    <definedName name="Start_6">#REF!</definedName>
    <definedName name="Start_7" localSheetId="19">#REF!</definedName>
    <definedName name="Start_7">#REF!</definedName>
    <definedName name="Start_8" localSheetId="19">#REF!</definedName>
    <definedName name="Start_8">#REF!</definedName>
    <definedName name="Start_9" localSheetId="19">#REF!</definedName>
    <definedName name="Start_9">#REF!</definedName>
    <definedName name="SUMMARY" localSheetId="19">#REF!</definedName>
    <definedName name="SUMMARY">#REF!</definedName>
    <definedName name="t101p" localSheetId="19">#REF!</definedName>
    <definedName name="t101p">#REF!</definedName>
    <definedName name="t103p" localSheetId="19">#REF!</definedName>
    <definedName name="t103p">#REF!</definedName>
    <definedName name="t10nc1p" localSheetId="19">#REF!</definedName>
    <definedName name="t10nc1p">#REF!</definedName>
    <definedName name="t10vl1p" localSheetId="19">#REF!</definedName>
    <definedName name="t10vl1p">#REF!</definedName>
    <definedName name="t121p" localSheetId="19">#REF!</definedName>
    <definedName name="t121p">#REF!</definedName>
    <definedName name="t123p" localSheetId="19">#REF!</definedName>
    <definedName name="t123p">#REF!</definedName>
    <definedName name="t141p" localSheetId="19">#REF!</definedName>
    <definedName name="t141p">#REF!</definedName>
    <definedName name="t143p" localSheetId="19">#REF!</definedName>
    <definedName name="t143p">#REF!</definedName>
    <definedName name="t14nc3p" localSheetId="19">#REF!</definedName>
    <definedName name="t14nc3p">#REF!</definedName>
    <definedName name="t14vl3p" localSheetId="19">#REF!</definedName>
    <definedName name="t14vl3p">#REF!</definedName>
    <definedName name="TBA" localSheetId="19">#REF!</definedName>
    <definedName name="TBA">#REF!</definedName>
    <definedName name="tbtram" localSheetId="19">#REF!</definedName>
    <definedName name="tbtram">#REF!</definedName>
    <definedName name="TC" localSheetId="19">#REF!</definedName>
    <definedName name="TC">#REF!</definedName>
    <definedName name="TC_NHANH1" localSheetId="19">#REF!</definedName>
    <definedName name="TC_NHANH1">#REF!</definedName>
    <definedName name="TD" localSheetId="19">#REF!</definedName>
    <definedName name="TD">#REF!</definedName>
    <definedName name="td1p" localSheetId="19">#REF!</definedName>
    <definedName name="td1p">#REF!</definedName>
    <definedName name="td3p" localSheetId="19">#REF!</definedName>
    <definedName name="td3p">#REF!</definedName>
    <definedName name="tdnc1p" localSheetId="19">#REF!</definedName>
    <definedName name="tdnc1p">#REF!</definedName>
    <definedName name="TDT" localSheetId="19">#REF!</definedName>
    <definedName name="TDT">#REF!</definedName>
    <definedName name="tdtr2cnc" localSheetId="19">#REF!</definedName>
    <definedName name="tdtr2cnc">#REF!</definedName>
    <definedName name="tdtr2cvl" localSheetId="19">#REF!</definedName>
    <definedName name="tdtr2cvl">#REF!</definedName>
    <definedName name="tdvl1p" localSheetId="19">#REF!</definedName>
    <definedName name="tdvl1p">#REF!</definedName>
    <definedName name="TH.tinh" localSheetId="19">#REF!</definedName>
    <definedName name="TH.tinh">#REF!</definedName>
    <definedName name="Thautinh" localSheetId="19">#REF!</definedName>
    <definedName name="Thautinh">#REF!</definedName>
    <definedName name="thdt" localSheetId="19">#REF!</definedName>
    <definedName name="thdt">#REF!</definedName>
    <definedName name="THDT_HT_DAO_THUONG" localSheetId="19">#REF!</definedName>
    <definedName name="THDT_HT_DAO_THUONG">#REF!</definedName>
    <definedName name="THDT_HT_XOM_NOI" localSheetId="19">#REF!</definedName>
    <definedName name="THDT_HT_XOM_NOI">#REF!</definedName>
    <definedName name="THDT_NPP_XOM_NOI" localSheetId="19">#REF!</definedName>
    <definedName name="THDT_NPP_XOM_NOI">#REF!</definedName>
    <definedName name="THDT_TBA_XOM_NOI" localSheetId="19">#REF!</definedName>
    <definedName name="THDT_TBA_XOM_NOI">#REF!</definedName>
    <definedName name="ThepDinh" localSheetId="19">#REF!</definedName>
    <definedName name="ThepDinh">#REF!</definedName>
    <definedName name="THGO1pnc" localSheetId="19">#REF!</definedName>
    <definedName name="THGO1pnc">#REF!</definedName>
    <definedName name="thht" localSheetId="19">#REF!</definedName>
    <definedName name="thht">#REF!</definedName>
    <definedName name="thkp3" localSheetId="19">#REF!</definedName>
    <definedName name="thkp3">#REF!</definedName>
    <definedName name="thtt" localSheetId="19">#REF!</definedName>
    <definedName name="thtt">#REF!</definedName>
    <definedName name="TIENLUONG" localSheetId="19">#REF!</definedName>
    <definedName name="TIENLUONG">#REF!</definedName>
    <definedName name="TIT" localSheetId="19">#REF!</definedName>
    <definedName name="TIT">#REF!</definedName>
    <definedName name="TITAN" localSheetId="19">#REF!</definedName>
    <definedName name="TITAN">#REF!</definedName>
    <definedName name="TKP" localSheetId="19">#REF!</definedName>
    <definedName name="TKP">#REF!</definedName>
    <definedName name="TLAC120" localSheetId="19">#REF!</definedName>
    <definedName name="TLAC120">#REF!</definedName>
    <definedName name="TLAC35" localSheetId="19">#REF!</definedName>
    <definedName name="TLAC35">#REF!</definedName>
    <definedName name="TLAC50" localSheetId="19">#REF!</definedName>
    <definedName name="TLAC50">#REF!</definedName>
    <definedName name="TLAC70" localSheetId="19">#REF!</definedName>
    <definedName name="TLAC70">#REF!</definedName>
    <definedName name="TLAC95" localSheetId="19">#REF!</definedName>
    <definedName name="TLAC95">#REF!</definedName>
    <definedName name="Toanbo" localSheetId="19">#REF!</definedName>
    <definedName name="Toanbo">#REF!</definedName>
    <definedName name="Tong" localSheetId="19">#REF!</definedName>
    <definedName name="Tong">#REF!</definedName>
    <definedName name="TPLRP" localSheetId="19">#REF!</definedName>
    <definedName name="TPLRP">#REF!</definedName>
    <definedName name="TRADE2" localSheetId="19">#REF!</definedName>
    <definedName name="TRADE2">#REF!</definedName>
    <definedName name="ts" localSheetId="19">#REF!</definedName>
    <definedName name="ts">#REF!</definedName>
    <definedName name="tsI" localSheetId="19">#REF!</definedName>
    <definedName name="tsI">#REF!</definedName>
    <definedName name="TT_1P" localSheetId="19">#REF!</definedName>
    <definedName name="TT_1P">#REF!</definedName>
    <definedName name="TT_3p" localSheetId="19">#REF!</definedName>
    <definedName name="TT_3p">#REF!</definedName>
    <definedName name="ttronmk" localSheetId="19">#REF!</definedName>
    <definedName name="ttronmk">#REF!</definedName>
    <definedName name="tv75nc" localSheetId="19">#REF!</definedName>
    <definedName name="tv75nc">#REF!</definedName>
    <definedName name="tv75vl" localSheetId="19">#REF!</definedName>
    <definedName name="tv75vl">#REF!</definedName>
    <definedName name="ty_gia_BangAnh">30.75</definedName>
    <definedName name="ty_gia_eur">27.211</definedName>
    <definedName name="Ty_gia_USD">23.12</definedName>
    <definedName name="V.1" localSheetId="19">#REF!</definedName>
    <definedName name="V.1">#REF!</definedName>
    <definedName name="V.10" localSheetId="19">#REF!</definedName>
    <definedName name="V.10">#REF!</definedName>
    <definedName name="V.11" localSheetId="19">#REF!</definedName>
    <definedName name="V.11">#REF!</definedName>
    <definedName name="V.12" localSheetId="19">#REF!</definedName>
    <definedName name="V.12">#REF!</definedName>
    <definedName name="V.13" localSheetId="19">#REF!</definedName>
    <definedName name="V.13">#REF!</definedName>
    <definedName name="V.14" localSheetId="19">#REF!</definedName>
    <definedName name="V.14">#REF!</definedName>
    <definedName name="V.15" localSheetId="19">#REF!</definedName>
    <definedName name="V.15">#REF!</definedName>
    <definedName name="V.16" localSheetId="19">#REF!</definedName>
    <definedName name="V.16">#REF!</definedName>
    <definedName name="V.17" localSheetId="19">#REF!</definedName>
    <definedName name="V.17">#REF!</definedName>
    <definedName name="V.18" localSheetId="19">#REF!</definedName>
    <definedName name="V.18">#REF!</definedName>
    <definedName name="V.2" localSheetId="19">#REF!</definedName>
    <definedName name="V.2">#REF!</definedName>
    <definedName name="V.3" localSheetId="19">#REF!</definedName>
    <definedName name="V.3">#REF!</definedName>
    <definedName name="V.4" localSheetId="19">#REF!</definedName>
    <definedName name="V.4">#REF!</definedName>
    <definedName name="V.5" localSheetId="19">#REF!</definedName>
    <definedName name="V.5">#REF!</definedName>
    <definedName name="V.6" localSheetId="19">#REF!</definedName>
    <definedName name="V.6">#REF!</definedName>
    <definedName name="V.7" localSheetId="19">#REF!</definedName>
    <definedName name="V.7">#REF!</definedName>
    <definedName name="V.8" localSheetId="19">#REF!</definedName>
    <definedName name="V.8">#REF!</definedName>
    <definedName name="V.9" localSheetId="19">#REF!</definedName>
    <definedName name="V.9">#REF!</definedName>
    <definedName name="VARIINST" localSheetId="19">#REF!</definedName>
    <definedName name="VARIINST">#REF!</definedName>
    <definedName name="VARIPURC" localSheetId="19">#REF!</definedName>
    <definedName name="VARIPURC">#REF!</definedName>
    <definedName name="VCHT" localSheetId="19">#REF!</definedName>
    <definedName name="VCHT">#REF!</definedName>
    <definedName name="VCTT" localSheetId="19">#REF!</definedName>
    <definedName name="VCTT">#REF!</definedName>
    <definedName name="vd3p" localSheetId="19">#REF!</definedName>
    <definedName name="vd3p">#REF!</definedName>
    <definedName name="vl1p" localSheetId="19">#REF!</definedName>
    <definedName name="vl1p">#REF!</definedName>
    <definedName name="vl3p" localSheetId="19">#REF!</definedName>
    <definedName name="vl3p">#REF!</definedName>
    <definedName name="vldn400" localSheetId="19">#REF!</definedName>
    <definedName name="vldn400">#REF!</definedName>
    <definedName name="vldn600" localSheetId="19">#REF!</definedName>
    <definedName name="vldn600">#REF!</definedName>
    <definedName name="VLIEU" localSheetId="19">#REF!</definedName>
    <definedName name="VLIEU">#REF!</definedName>
    <definedName name="vltram" localSheetId="19">#REF!</definedName>
    <definedName name="vltram">#REF!</definedName>
    <definedName name="VLxaydung" localSheetId="19">#REF!</definedName>
    <definedName name="VLxaydung">#REF!</definedName>
    <definedName name="Von.KL" localSheetId="19">#REF!</definedName>
    <definedName name="Von.KL">#REF!</definedName>
    <definedName name="vr3p" localSheetId="19">#REF!</definedName>
    <definedName name="vr3p">#REF!</definedName>
    <definedName name="Vu" localSheetId="19">#REF!</definedName>
    <definedName name="Vu">#REF!</definedName>
    <definedName name="VuaBT" localSheetId="19">#REF!</definedName>
    <definedName name="VuaBT">#REF!</definedName>
    <definedName name="W" localSheetId="19">#REF!</definedName>
    <definedName name="W">#REF!</definedName>
    <definedName name="wrn.chi._.tiÆt." localSheetId="10" hidden="1">{#N/A,#N/A,FALSE,"Chi tiÆt"}</definedName>
    <definedName name="wrn.chi._.tiÆt." hidden="1">{#N/A,#N/A,FALSE,"Chi tiÆt"}</definedName>
    <definedName name="X" localSheetId="19">#REF!</definedName>
    <definedName name="X">#REF!</definedName>
    <definedName name="x1pind" localSheetId="19">#REF!</definedName>
    <definedName name="x1pind">#REF!</definedName>
    <definedName name="x1ping" localSheetId="19">#REF!</definedName>
    <definedName name="x1ping">#REF!</definedName>
    <definedName name="x1pint" localSheetId="19">#REF!</definedName>
    <definedName name="x1pint">#REF!</definedName>
    <definedName name="XCCT">0.5</definedName>
    <definedName name="xfco" localSheetId="19">#REF!</definedName>
    <definedName name="xfco">#REF!</definedName>
    <definedName name="xfco3p" localSheetId="19">#REF!</definedName>
    <definedName name="xfco3p">#REF!</definedName>
    <definedName name="xfcotnc" localSheetId="19">#REF!</definedName>
    <definedName name="xfcotnc">#REF!</definedName>
    <definedName name="xfcotvl" localSheetId="19">#REF!</definedName>
    <definedName name="xfcotvl">#REF!</definedName>
    <definedName name="xhn" localSheetId="19">#REF!</definedName>
    <definedName name="xhn">#REF!</definedName>
    <definedName name="xig" localSheetId="19">#REF!</definedName>
    <definedName name="xig">#REF!</definedName>
    <definedName name="xig1" localSheetId="19">#REF!</definedName>
    <definedName name="xig1">#REF!</definedName>
    <definedName name="xig1p" localSheetId="19">#REF!</definedName>
    <definedName name="xig1p">#REF!</definedName>
    <definedName name="xig3p" localSheetId="19">#REF!</definedName>
    <definedName name="xig3p">#REF!</definedName>
    <definedName name="xignc3p" localSheetId="19">#REF!</definedName>
    <definedName name="xignc3p">#REF!</definedName>
    <definedName name="xigvl3p" localSheetId="19">#REF!</definedName>
    <definedName name="xigvl3p">#REF!</definedName>
    <definedName name="xin" localSheetId="19">#REF!</definedName>
    <definedName name="xin">#REF!</definedName>
    <definedName name="xin190" localSheetId="19">#REF!</definedName>
    <definedName name="xin190">#REF!</definedName>
    <definedName name="xin1903p" localSheetId="19">#REF!</definedName>
    <definedName name="xin1903p">#REF!</definedName>
    <definedName name="xin2903p" localSheetId="19">#REF!</definedName>
    <definedName name="xin2903p">#REF!</definedName>
    <definedName name="xin290nc3p" localSheetId="19">#REF!</definedName>
    <definedName name="xin290nc3p">#REF!</definedName>
    <definedName name="xin290vl3p" localSheetId="19">#REF!</definedName>
    <definedName name="xin290vl3p">#REF!</definedName>
    <definedName name="xin3p" localSheetId="19">#REF!</definedName>
    <definedName name="xin3p">#REF!</definedName>
    <definedName name="xind" localSheetId="19">#REF!</definedName>
    <definedName name="xind">#REF!</definedName>
    <definedName name="xind1p" localSheetId="19">#REF!</definedName>
    <definedName name="xind1p">#REF!</definedName>
    <definedName name="xind3p" localSheetId="19">#REF!</definedName>
    <definedName name="xind3p">#REF!</definedName>
    <definedName name="xindnc1p" localSheetId="19">#REF!</definedName>
    <definedName name="xindnc1p">#REF!</definedName>
    <definedName name="xindvl1p" localSheetId="19">#REF!</definedName>
    <definedName name="xindvl1p">#REF!</definedName>
    <definedName name="xing1p" localSheetId="19">#REF!</definedName>
    <definedName name="xing1p">#REF!</definedName>
    <definedName name="xingnc1p" localSheetId="19">#REF!</definedName>
    <definedName name="xingnc1p">#REF!</definedName>
    <definedName name="xingvl1p" localSheetId="19">#REF!</definedName>
    <definedName name="xingvl1p">#REF!</definedName>
    <definedName name="xinnc3p" localSheetId="19">#REF!</definedName>
    <definedName name="xinnc3p">#REF!</definedName>
    <definedName name="xint1p" localSheetId="19">#REF!</definedName>
    <definedName name="xint1p">#REF!</definedName>
    <definedName name="xinvl3p" localSheetId="19">#REF!</definedName>
    <definedName name="xinvl3p">#REF!</definedName>
    <definedName name="xit" localSheetId="19">#REF!</definedName>
    <definedName name="xit">#REF!</definedName>
    <definedName name="xit1" localSheetId="19">#REF!</definedName>
    <definedName name="xit1">#REF!</definedName>
    <definedName name="xit1p" localSheetId="19">#REF!</definedName>
    <definedName name="xit1p">#REF!</definedName>
    <definedName name="xit2nc3p" localSheetId="19">#REF!</definedName>
    <definedName name="xit2nc3p">#REF!</definedName>
    <definedName name="xit2vl3p" localSheetId="19">#REF!</definedName>
    <definedName name="xit2vl3p">#REF!</definedName>
    <definedName name="xit3p" localSheetId="19">#REF!</definedName>
    <definedName name="xit3p">#REF!</definedName>
    <definedName name="xitnc3p" localSheetId="19">#REF!</definedName>
    <definedName name="xitnc3p">#REF!</definedName>
    <definedName name="xitvl3p" localSheetId="19">#REF!</definedName>
    <definedName name="xitvl3p">#REF!</definedName>
    <definedName name="XL" localSheetId="19">#REF!</definedName>
    <definedName name="XL">#REF!</definedName>
    <definedName name="XLxa" localSheetId="19">#REF!</definedName>
    <definedName name="XLxa">#REF!</definedName>
    <definedName name="ZYX" localSheetId="19">#REF!</definedName>
    <definedName name="ZYX">#REF!</definedName>
    <definedName name="ZZZ" localSheetId="19">#REF!</definedName>
    <definedName name="ZZZ">#REF!</definedName>
  </definedNames>
  <calcPr calcId="162913"/>
</workbook>
</file>

<file path=xl/calcChain.xml><?xml version="1.0" encoding="utf-8"?>
<calcChain xmlns="http://schemas.openxmlformats.org/spreadsheetml/2006/main">
  <c r="N36" i="20" l="1"/>
  <c r="N34" i="20"/>
  <c r="N33" i="20"/>
  <c r="M34" i="20"/>
  <c r="V10" i="18"/>
  <c r="O6" i="18"/>
  <c r="AS9" i="18"/>
  <c r="AS8" i="18"/>
  <c r="AW8" i="18"/>
  <c r="AW5" i="18" s="1"/>
  <c r="AW7" i="18"/>
  <c r="AS7" i="18"/>
  <c r="AS5" i="18" s="1"/>
  <c r="U8" i="18"/>
  <c r="U7" i="18"/>
  <c r="AT8" i="18"/>
  <c r="AT9" i="18"/>
  <c r="AT7" i="18"/>
  <c r="AP8" i="18"/>
  <c r="AP9" i="18"/>
  <c r="AP7" i="18"/>
  <c r="Q8" i="18"/>
  <c r="Q9" i="18"/>
  <c r="Q7" i="18"/>
  <c r="AW9" i="18"/>
  <c r="AO10" i="18"/>
  <c r="AO5" i="18" s="1"/>
  <c r="AC6" i="18"/>
  <c r="C3" i="26"/>
  <c r="L6" i="18"/>
  <c r="E33" i="14"/>
  <c r="E32" i="14"/>
  <c r="E31" i="14"/>
  <c r="E10" i="14"/>
  <c r="E12" i="14"/>
  <c r="AG6" i="18"/>
  <c r="AG5" i="18"/>
  <c r="AK10" i="18"/>
  <c r="AK5" i="18"/>
  <c r="AC10" i="18"/>
  <c r="AC9" i="18"/>
  <c r="U9" i="18"/>
  <c r="Y10" i="18"/>
  <c r="Y6" i="18"/>
  <c r="Y5" i="18" s="1"/>
  <c r="B16" i="17"/>
  <c r="U10" i="18"/>
  <c r="P6" i="18"/>
  <c r="P5" i="18"/>
  <c r="K9" i="30"/>
  <c r="L9" i="30" s="1"/>
  <c r="S9" i="30"/>
  <c r="V9" i="30" s="1"/>
  <c r="V8" i="30" s="1"/>
  <c r="S10" i="30"/>
  <c r="V10" i="30"/>
  <c r="L10" i="30"/>
  <c r="K11" i="30"/>
  <c r="L11" i="30" s="1"/>
  <c r="S11" i="30"/>
  <c r="V11" i="30" s="1"/>
  <c r="Y11" i="30"/>
  <c r="AB11" i="30" s="1"/>
  <c r="W10" i="30"/>
  <c r="Y22" i="30"/>
  <c r="AB22" i="30" s="1"/>
  <c r="S22" i="30"/>
  <c r="V22" i="30"/>
  <c r="K22" i="30"/>
  <c r="L22" i="30" s="1"/>
  <c r="Y17" i="30"/>
  <c r="AB17" i="30" s="1"/>
  <c r="K17" i="30"/>
  <c r="L17" i="30" s="1"/>
  <c r="S16" i="30"/>
  <c r="V16" i="30" s="1"/>
  <c r="K16" i="30"/>
  <c r="L16" i="30" s="1"/>
  <c r="Y14" i="30"/>
  <c r="AB14" i="30" s="1"/>
  <c r="L14" i="30" s="1"/>
  <c r="K14" i="30"/>
  <c r="Y13" i="30"/>
  <c r="AB13" i="30" s="1"/>
  <c r="L13" i="30" s="1"/>
  <c r="K13" i="30"/>
  <c r="I13" i="30"/>
  <c r="AH20" i="30"/>
  <c r="AH19" i="30"/>
  <c r="AB19" i="30"/>
  <c r="V19" i="30"/>
  <c r="V20" i="30"/>
  <c r="L20" i="30"/>
  <c r="N20" i="30" s="1"/>
  <c r="O20" i="30" s="1"/>
  <c r="L19" i="30"/>
  <c r="N19" i="30" s="1"/>
  <c r="O19" i="30" s="1"/>
  <c r="AB20" i="30"/>
  <c r="J20" i="30"/>
  <c r="S20" i="30" s="1"/>
  <c r="J19" i="30"/>
  <c r="J23" i="30" s="1"/>
  <c r="N9" i="27"/>
  <c r="H4" i="27"/>
  <c r="N5" i="27"/>
  <c r="N4" i="27"/>
  <c r="H8" i="27"/>
  <c r="N7" i="27"/>
  <c r="N6" i="27"/>
  <c r="H6" i="27"/>
  <c r="N3" i="27"/>
  <c r="H3" i="27"/>
  <c r="G11" i="24"/>
  <c r="C7" i="26"/>
  <c r="C6" i="26"/>
  <c r="C5" i="26"/>
  <c r="C4" i="26"/>
  <c r="X5" i="24"/>
  <c r="X4" i="24"/>
  <c r="L3" i="24"/>
  <c r="T9" i="24"/>
  <c r="T8" i="24"/>
  <c r="AH9" i="24"/>
  <c r="H10" i="24"/>
  <c r="H8" i="24"/>
  <c r="T7" i="24"/>
  <c r="T6" i="24"/>
  <c r="T5" i="24"/>
  <c r="H5" i="24"/>
  <c r="T4" i="24"/>
  <c r="H4" i="24"/>
  <c r="T3" i="24"/>
  <c r="H3" i="24"/>
  <c r="Q4" i="23"/>
  <c r="Q5" i="23"/>
  <c r="Q6" i="23"/>
  <c r="Q7" i="23"/>
  <c r="Q17" i="23" s="1"/>
  <c r="Q8" i="23"/>
  <c r="Q9" i="23"/>
  <c r="Q10" i="23"/>
  <c r="Q3" i="23"/>
  <c r="I4" i="23"/>
  <c r="I5" i="23"/>
  <c r="I8" i="23"/>
  <c r="I9" i="23"/>
  <c r="I3" i="23"/>
  <c r="B17" i="17"/>
  <c r="I26" i="13"/>
  <c r="I27" i="13"/>
  <c r="R64" i="6"/>
  <c r="S64" i="6"/>
  <c r="T64" i="6"/>
  <c r="Q64" i="6"/>
  <c r="P70" i="6"/>
  <c r="V70" i="6"/>
  <c r="AB70" i="6"/>
  <c r="P61" i="6"/>
  <c r="F114" i="11"/>
  <c r="G114" i="11"/>
  <c r="F113" i="11"/>
  <c r="G113" i="11"/>
  <c r="F112" i="11"/>
  <c r="G112" i="11"/>
  <c r="F111" i="11"/>
  <c r="G111" i="11"/>
  <c r="G110" i="11"/>
  <c r="F108" i="11"/>
  <c r="G108" i="11" s="1"/>
  <c r="F106" i="11"/>
  <c r="G106" i="11" s="1"/>
  <c r="F105" i="11"/>
  <c r="G105" i="11" s="1"/>
  <c r="F104" i="11"/>
  <c r="G104" i="11" s="1"/>
  <c r="F103" i="11"/>
  <c r="G103" i="11" s="1"/>
  <c r="F101" i="11"/>
  <c r="F100" i="11"/>
  <c r="F99" i="11"/>
  <c r="F98" i="11"/>
  <c r="F96" i="11"/>
  <c r="F95" i="11"/>
  <c r="F94" i="11"/>
  <c r="F93" i="11"/>
  <c r="F92" i="11"/>
  <c r="F91" i="11"/>
  <c r="F90" i="11"/>
  <c r="F89" i="11"/>
  <c r="F88" i="11"/>
  <c r="F87" i="11"/>
  <c r="F86" i="11"/>
  <c r="F85" i="11"/>
  <c r="F84" i="11"/>
  <c r="F83" i="11"/>
  <c r="F81" i="11" s="1"/>
  <c r="G81" i="11" s="1"/>
  <c r="F82" i="11"/>
  <c r="F80" i="11"/>
  <c r="F79" i="11"/>
  <c r="F78" i="11"/>
  <c r="F77" i="11"/>
  <c r="F76" i="11"/>
  <c r="F75" i="11"/>
  <c r="F74" i="11"/>
  <c r="F69" i="11"/>
  <c r="G69" i="11" s="1"/>
  <c r="F68" i="11"/>
  <c r="G68" i="11" s="1"/>
  <c r="F67" i="11"/>
  <c r="G67" i="11" s="1"/>
  <c r="F66" i="11"/>
  <c r="G66" i="11" s="1"/>
  <c r="F65" i="11"/>
  <c r="G65" i="11" s="1"/>
  <c r="F64" i="11"/>
  <c r="G64" i="11" s="1"/>
  <c r="F62" i="11"/>
  <c r="G62" i="11" s="1"/>
  <c r="F61" i="11"/>
  <c r="G61" i="11" s="1"/>
  <c r="F60" i="11"/>
  <c r="G60" i="11" s="1"/>
  <c r="F59" i="11"/>
  <c r="G59" i="11" s="1"/>
  <c r="F55" i="11"/>
  <c r="F54" i="11"/>
  <c r="F53" i="11"/>
  <c r="F52" i="11"/>
  <c r="F51" i="11"/>
  <c r="G51" i="11" s="1"/>
  <c r="F50" i="11"/>
  <c r="F49" i="11"/>
  <c r="F48" i="11"/>
  <c r="F47" i="11"/>
  <c r="F46" i="11"/>
  <c r="F45" i="11"/>
  <c r="F44" i="11"/>
  <c r="F39" i="11"/>
  <c r="G39" i="11"/>
  <c r="F38" i="11"/>
  <c r="G38" i="11"/>
  <c r="F37" i="11"/>
  <c r="G37" i="11"/>
  <c r="F35" i="11"/>
  <c r="G35" i="11"/>
  <c r="F34" i="11"/>
  <c r="G34" i="11"/>
  <c r="F33" i="11"/>
  <c r="G33" i="11"/>
  <c r="F32" i="11"/>
  <c r="G32" i="11"/>
  <c r="F30" i="11"/>
  <c r="G30" i="11"/>
  <c r="F29" i="11"/>
  <c r="F28" i="11"/>
  <c r="F27" i="11"/>
  <c r="F26" i="11"/>
  <c r="F25" i="11"/>
  <c r="F21" i="11"/>
  <c r="F20" i="11"/>
  <c r="F19" i="11"/>
  <c r="F18" i="11"/>
  <c r="F17" i="11"/>
  <c r="F16" i="11"/>
  <c r="F15" i="11"/>
  <c r="F14" i="11"/>
  <c r="G12" i="11"/>
  <c r="F11" i="11"/>
  <c r="F10" i="11"/>
  <c r="F9" i="11"/>
  <c r="F8" i="11"/>
  <c r="F7" i="11"/>
  <c r="F6" i="11"/>
  <c r="F5" i="11"/>
  <c r="F4" i="11"/>
  <c r="F114" i="7"/>
  <c r="H114" i="7"/>
  <c r="F113" i="7"/>
  <c r="H113" i="7"/>
  <c r="F112" i="7"/>
  <c r="H112" i="7"/>
  <c r="F111" i="7"/>
  <c r="H111" i="7"/>
  <c r="H110" i="7"/>
  <c r="F108" i="7"/>
  <c r="H108" i="7" s="1"/>
  <c r="F106" i="7"/>
  <c r="H106" i="7" s="1"/>
  <c r="F105" i="7"/>
  <c r="H105" i="7" s="1"/>
  <c r="F104" i="7"/>
  <c r="H104" i="7" s="1"/>
  <c r="F103" i="7"/>
  <c r="H103" i="7" s="1"/>
  <c r="F101" i="7"/>
  <c r="F100" i="7"/>
  <c r="F99" i="7"/>
  <c r="F98" i="7"/>
  <c r="F96" i="7"/>
  <c r="F95" i="7"/>
  <c r="F94" i="7"/>
  <c r="F93" i="7"/>
  <c r="F92" i="7"/>
  <c r="F91" i="7"/>
  <c r="F90" i="7"/>
  <c r="F89" i="7"/>
  <c r="F88" i="7"/>
  <c r="F87" i="7"/>
  <c r="F86" i="7"/>
  <c r="F85" i="7"/>
  <c r="F84" i="7"/>
  <c r="F83" i="7"/>
  <c r="F82" i="7"/>
  <c r="F80" i="7"/>
  <c r="F79" i="7"/>
  <c r="F78" i="7"/>
  <c r="F77" i="7"/>
  <c r="F76" i="7"/>
  <c r="F75" i="7"/>
  <c r="F74" i="7"/>
  <c r="F69" i="7"/>
  <c r="H69" i="7" s="1"/>
  <c r="F68" i="7"/>
  <c r="H68" i="7" s="1"/>
  <c r="F67" i="7"/>
  <c r="H67" i="7" s="1"/>
  <c r="F66" i="7"/>
  <c r="H66" i="7" s="1"/>
  <c r="F65" i="7"/>
  <c r="H65" i="7" s="1"/>
  <c r="F64" i="7"/>
  <c r="H64" i="7" s="1"/>
  <c r="F62" i="7"/>
  <c r="H62" i="7" s="1"/>
  <c r="F61" i="7"/>
  <c r="H61" i="7" s="1"/>
  <c r="F60" i="7"/>
  <c r="H60" i="7" s="1"/>
  <c r="F59" i="7"/>
  <c r="H59" i="7" s="1"/>
  <c r="F55" i="7"/>
  <c r="G55" i="7" s="1"/>
  <c r="F54" i="7"/>
  <c r="G54" i="7" s="1"/>
  <c r="F53" i="7"/>
  <c r="G53" i="7" s="1"/>
  <c r="F52" i="7"/>
  <c r="G52" i="7" s="1"/>
  <c r="F51" i="7"/>
  <c r="G51" i="7" s="1"/>
  <c r="F50" i="7"/>
  <c r="G50" i="7" s="1"/>
  <c r="F49" i="7"/>
  <c r="G49" i="7" s="1"/>
  <c r="F48" i="7"/>
  <c r="G48" i="7" s="1"/>
  <c r="F47" i="7"/>
  <c r="G47" i="7" s="1"/>
  <c r="F46" i="7"/>
  <c r="G46" i="7" s="1"/>
  <c r="F45" i="7"/>
  <c r="G45" i="7" s="1"/>
  <c r="F44" i="7"/>
  <c r="G44" i="7" s="1"/>
  <c r="F39" i="7"/>
  <c r="H39" i="7" s="1"/>
  <c r="F38" i="7"/>
  <c r="H38" i="7" s="1"/>
  <c r="F37" i="7"/>
  <c r="H37" i="7" s="1"/>
  <c r="F35" i="7"/>
  <c r="H35" i="7" s="1"/>
  <c r="F34" i="7"/>
  <c r="H34" i="7" s="1"/>
  <c r="F33" i="7"/>
  <c r="H33" i="7" s="1"/>
  <c r="F32" i="7"/>
  <c r="H32" i="7" s="1"/>
  <c r="F30" i="7"/>
  <c r="H30" i="7" s="1"/>
  <c r="F29" i="7"/>
  <c r="F28" i="7"/>
  <c r="F27" i="7"/>
  <c r="F26" i="7"/>
  <c r="F25" i="7"/>
  <c r="F21" i="7"/>
  <c r="F20" i="7"/>
  <c r="F19" i="7"/>
  <c r="F18" i="7"/>
  <c r="F17" i="7"/>
  <c r="F16" i="7"/>
  <c r="F15" i="7"/>
  <c r="F14" i="7"/>
  <c r="H12" i="7"/>
  <c r="F11" i="7"/>
  <c r="F10" i="7"/>
  <c r="F9" i="7"/>
  <c r="F8" i="7"/>
  <c r="F7" i="7"/>
  <c r="F6" i="7"/>
  <c r="F5" i="7"/>
  <c r="F4" i="7"/>
  <c r="Z83" i="6"/>
  <c r="Z82" i="6"/>
  <c r="Z81" i="6"/>
  <c r="Z25" i="6"/>
  <c r="Z24" i="6"/>
  <c r="Z23" i="6"/>
  <c r="AA23" i="6" s="1"/>
  <c r="AB23" i="6" s="1"/>
  <c r="Z22" i="6"/>
  <c r="AA22" i="6" s="1"/>
  <c r="AB22" i="6" s="1"/>
  <c r="Z21" i="6"/>
  <c r="Z20" i="6"/>
  <c r="AA20" i="6" s="1"/>
  <c r="Z19" i="6"/>
  <c r="Z17" i="6"/>
  <c r="AA17" i="6" s="1"/>
  <c r="AB17" i="6" s="1"/>
  <c r="Z16" i="6"/>
  <c r="Z15" i="6"/>
  <c r="AA15" i="6" s="1"/>
  <c r="Z14" i="6"/>
  <c r="H4" i="10"/>
  <c r="F3" i="9"/>
  <c r="F6" i="8"/>
  <c r="AA54" i="6"/>
  <c r="AB54" i="6" s="1"/>
  <c r="AB83" i="6" s="1"/>
  <c r="AA83" i="6"/>
  <c r="AA53" i="6"/>
  <c r="AA82" i="6"/>
  <c r="AA46" i="6"/>
  <c r="AA81" i="6"/>
  <c r="AB53" i="6"/>
  <c r="AB82" i="6"/>
  <c r="AB46" i="6"/>
  <c r="AB81" i="6"/>
  <c r="S38" i="6"/>
  <c r="U38" i="6"/>
  <c r="S39" i="6"/>
  <c r="U39" i="6"/>
  <c r="S40" i="6"/>
  <c r="U40" i="6"/>
  <c r="S41" i="6"/>
  <c r="U41" i="6"/>
  <c r="S42" i="6"/>
  <c r="U42" i="6"/>
  <c r="S43" i="6"/>
  <c r="U43" i="6"/>
  <c r="S44" i="6"/>
  <c r="U44" i="6"/>
  <c r="S45" i="6"/>
  <c r="U45" i="6"/>
  <c r="S37" i="6"/>
  <c r="U37" i="6" s="1"/>
  <c r="U34" i="6"/>
  <c r="U35" i="6"/>
  <c r="U36" i="6"/>
  <c r="AA21" i="6"/>
  <c r="AB21" i="6" s="1"/>
  <c r="AA25" i="6"/>
  <c r="AB25" i="6" s="1"/>
  <c r="AA24" i="6"/>
  <c r="AA18" i="6"/>
  <c r="AA19" i="6"/>
  <c r="AB19" i="6" s="1"/>
  <c r="Y20" i="6"/>
  <c r="Y23" i="6"/>
  <c r="Y24" i="6"/>
  <c r="AB24" i="6" s="1"/>
  <c r="Y15" i="6"/>
  <c r="Y16" i="6"/>
  <c r="Y17" i="6"/>
  <c r="Y18" i="6"/>
  <c r="Y19" i="6"/>
  <c r="Y14" i="6"/>
  <c r="AA16" i="6"/>
  <c r="AA14" i="6"/>
  <c r="M10" i="6"/>
  <c r="N10" i="6" s="1"/>
  <c r="O10" i="6" s="1"/>
  <c r="AB14" i="6"/>
  <c r="AB18" i="6"/>
  <c r="Q72" i="6"/>
  <c r="R72" i="6"/>
  <c r="S72" i="6"/>
  <c r="T72" i="6"/>
  <c r="S71" i="6"/>
  <c r="T71" i="6"/>
  <c r="R71" i="6"/>
  <c r="Q71" i="6"/>
  <c r="U32" i="6"/>
  <c r="U71" i="6" s="1"/>
  <c r="U33" i="6"/>
  <c r="U72" i="6" s="1"/>
  <c r="X68" i="6"/>
  <c r="R68" i="6"/>
  <c r="K66" i="6"/>
  <c r="K65" i="6"/>
  <c r="K63" i="6"/>
  <c r="K62" i="6"/>
  <c r="U7" i="6"/>
  <c r="U64" i="6"/>
  <c r="V63" i="6"/>
  <c r="V62" i="6"/>
  <c r="V61" i="6" s="1"/>
  <c r="T68" i="6"/>
  <c r="V68" i="6"/>
  <c r="W68" i="6"/>
  <c r="Y68" i="6"/>
  <c r="Z68" i="6"/>
  <c r="S68" i="6"/>
  <c r="Q68" i="6"/>
  <c r="L66" i="6"/>
  <c r="L65" i="6"/>
  <c r="L63" i="6"/>
  <c r="L62" i="6"/>
  <c r="J66" i="6"/>
  <c r="J65" i="6"/>
  <c r="J63" i="6"/>
  <c r="J62" i="6"/>
  <c r="N66" i="6"/>
  <c r="N65" i="6"/>
  <c r="N63" i="6"/>
  <c r="N62" i="6"/>
  <c r="O6" i="6"/>
  <c r="O63" i="6"/>
  <c r="O8" i="6"/>
  <c r="O65" i="6" s="1"/>
  <c r="O9" i="6"/>
  <c r="O66" i="6" s="1"/>
  <c r="O5" i="6"/>
  <c r="O62" i="6" s="1"/>
  <c r="I69" i="6"/>
  <c r="H69" i="6"/>
  <c r="G69" i="6"/>
  <c r="F69" i="6"/>
  <c r="E69" i="6"/>
  <c r="D69" i="6"/>
  <c r="S31" i="6"/>
  <c r="U31" i="6" s="1"/>
  <c r="S30" i="6"/>
  <c r="U30" i="6" s="1"/>
  <c r="S29" i="6"/>
  <c r="U29" i="6" s="1"/>
  <c r="S28" i="6"/>
  <c r="U27" i="6"/>
  <c r="U26" i="6"/>
  <c r="U24" i="6"/>
  <c r="U23" i="6"/>
  <c r="U20" i="6"/>
  <c r="U19" i="6"/>
  <c r="U18" i="6"/>
  <c r="U17" i="6"/>
  <c r="U16" i="6"/>
  <c r="U15" i="6"/>
  <c r="U14" i="6"/>
  <c r="U13" i="6"/>
  <c r="U12" i="6"/>
  <c r="AA11" i="6"/>
  <c r="AB11" i="6" s="1"/>
  <c r="AB68" i="6" s="1"/>
  <c r="AB61" i="6" s="1"/>
  <c r="U11" i="6"/>
  <c r="U68" i="6" s="1"/>
  <c r="AA7" i="6"/>
  <c r="H5" i="6"/>
  <c r="U28" i="6"/>
  <c r="AA68" i="6"/>
  <c r="AB7" i="6"/>
  <c r="E5" i="14"/>
  <c r="E11" i="14" s="1"/>
  <c r="N16" i="30" l="1"/>
  <c r="O16" i="30"/>
  <c r="W86" i="6"/>
  <c r="D87" i="6" s="1"/>
  <c r="U69" i="6"/>
  <c r="U61" i="6" s="1"/>
  <c r="O61" i="6"/>
  <c r="S69" i="6"/>
  <c r="F43" i="7"/>
  <c r="H43" i="7" s="1"/>
  <c r="L18" i="30"/>
  <c r="N18" i="30" s="1"/>
  <c r="E35" i="14"/>
  <c r="AB20" i="6"/>
  <c r="E13" i="14"/>
  <c r="E14" i="14" s="1"/>
  <c r="AB16" i="6"/>
  <c r="F3" i="11"/>
  <c r="G3" i="11" s="1"/>
  <c r="F13" i="11"/>
  <c r="G13" i="11" s="1"/>
  <c r="F24" i="11"/>
  <c r="G24" i="11" s="1"/>
  <c r="F43" i="11"/>
  <c r="G43" i="11" s="1"/>
  <c r="F3" i="7"/>
  <c r="H3" i="7" s="1"/>
  <c r="F13" i="7"/>
  <c r="H13" i="7" s="1"/>
  <c r="F24" i="7"/>
  <c r="H24" i="7" s="1"/>
  <c r="F73" i="7"/>
  <c r="H73" i="7" s="1"/>
  <c r="F81" i="7"/>
  <c r="H81" i="7" s="1"/>
  <c r="F97" i="7"/>
  <c r="H97" i="7" s="1"/>
  <c r="F73" i="11"/>
  <c r="G73" i="11" s="1"/>
  <c r="F97" i="11"/>
  <c r="G97" i="11" s="1"/>
  <c r="I17" i="23"/>
  <c r="N10" i="30"/>
  <c r="O10" i="30" s="1"/>
  <c r="AC5" i="18"/>
  <c r="U5" i="18"/>
  <c r="N14" i="30"/>
  <c r="O14" i="30" s="1"/>
  <c r="N17" i="30"/>
  <c r="O17" i="30" s="1"/>
  <c r="U70" i="6"/>
  <c r="AC70" i="6" s="1"/>
  <c r="AB15" i="6"/>
  <c r="L15" i="30"/>
  <c r="N11" i="30"/>
  <c r="O11" i="30"/>
  <c r="E15" i="14"/>
  <c r="N13" i="30"/>
  <c r="O13" i="30" s="1"/>
  <c r="L12" i="30"/>
  <c r="L21" i="30"/>
  <c r="N22" i="30"/>
  <c r="O22" i="30" s="1"/>
  <c r="N9" i="30"/>
  <c r="O9" i="30" s="1"/>
  <c r="L8" i="30"/>
  <c r="E28" i="14"/>
  <c r="E34" i="14" s="1"/>
  <c r="E36" i="14" s="1"/>
  <c r="E37" i="14" s="1"/>
  <c r="E38" i="14" s="1"/>
  <c r="E41" i="14" s="1"/>
  <c r="E42" i="14" s="1"/>
  <c r="G43" i="7"/>
  <c r="O18" i="30"/>
  <c r="H51" i="7"/>
  <c r="AC61" i="6" l="1"/>
  <c r="AC73" i="6"/>
  <c r="AC74" i="6" s="1"/>
  <c r="F34" i="13"/>
  <c r="L7" i="30"/>
  <c r="N8" i="30"/>
  <c r="O8" i="30"/>
  <c r="E17" i="14"/>
  <c r="E19" i="14" s="1"/>
  <c r="E18" i="14"/>
  <c r="N15" i="30"/>
  <c r="O15" i="30" s="1"/>
  <c r="N21" i="30"/>
  <c r="O21" i="30" s="1"/>
  <c r="N12" i="30"/>
  <c r="O12" i="30"/>
  <c r="F41" i="20" l="1"/>
  <c r="M32" i="20" s="1"/>
  <c r="N35" i="20" s="1"/>
  <c r="N37" i="20" s="1"/>
  <c r="I25" i="13"/>
  <c r="J28" i="13" s="1"/>
  <c r="N7" i="30"/>
  <c r="O7" i="30" s="1"/>
  <c r="D6" i="25" l="1"/>
  <c r="F6" i="25"/>
  <c r="B6" i="25"/>
  <c r="B8" i="25"/>
  <c r="E6" i="25" l="1"/>
  <c r="C6" i="25"/>
  <c r="G6" i="25" s="1"/>
  <c r="C8" i="25"/>
  <c r="G8" i="25"/>
  <c r="F8" i="25"/>
  <c r="B10" i="25"/>
  <c r="F10" i="25" s="1"/>
  <c r="D8" i="25"/>
  <c r="E8" i="25"/>
  <c r="F11" i="25" l="1"/>
  <c r="D10" i="25"/>
  <c r="D11" i="25" s="1"/>
  <c r="E10" i="25"/>
  <c r="C10" i="25"/>
  <c r="E20" i="14"/>
  <c r="G10" i="25"/>
  <c r="E11" i="25"/>
  <c r="C11" i="25"/>
  <c r="G11" i="25" l="1"/>
  <c r="F12" i="25" s="1"/>
</calcChain>
</file>

<file path=xl/comments1.xml><?xml version="1.0" encoding="utf-8"?>
<comments xmlns="http://schemas.openxmlformats.org/spreadsheetml/2006/main">
  <authors>
    <author>Bui Tan Man</author>
  </authors>
  <commentList>
    <comment ref="A1" authorId="0" shapeId="0">
      <text>
        <r>
          <rPr>
            <b/>
            <sz val="9"/>
            <color indexed="81"/>
            <rFont val="Tahoma"/>
            <family val="2"/>
          </rPr>
          <t xml:space="preserve">Workbooks:_x000D_
2. Khai toan buong do.xlsx_x000D_
Worksheets:_x000D_
PL4_x000D_
</t>
        </r>
      </text>
    </comment>
  </commentList>
</comments>
</file>

<file path=xl/comments2.xml><?xml version="1.0" encoding="utf-8"?>
<comments xmlns="http://schemas.openxmlformats.org/spreadsheetml/2006/main">
  <authors>
    <author>Bui Tan Man</author>
  </authors>
  <commentList>
    <comment ref="A3" authorId="0" shapeId="0">
      <text>
        <r>
          <rPr>
            <b/>
            <sz val="9"/>
            <color indexed="81"/>
            <rFont val="Tahoma"/>
            <family val="2"/>
          </rPr>
          <t xml:space="preserve">Workbooks:_x000D_
2. Khai toan buong do.xlsx_x000D_
Worksheets:_x000D_
PL_Kiem toan_x000D_
</t>
        </r>
      </text>
    </comment>
  </commentList>
</comments>
</file>

<file path=xl/sharedStrings.xml><?xml version="1.0" encoding="utf-8"?>
<sst xmlns="http://schemas.openxmlformats.org/spreadsheetml/2006/main" count="2301" uniqueCount="837">
  <si>
    <t>Số báo giá:</t>
  </si>
  <si>
    <t>Hiệu lực báo giá:</t>
  </si>
  <si>
    <t xml:space="preserve">Ngày báo giá: </t>
  </si>
  <si>
    <t>Quản lý bán hàng:</t>
  </si>
  <si>
    <t>Nếu quí khách có yêu cầu/ký hợp đồng đề nghị liên lạc:</t>
  </si>
  <si>
    <t>CÔNG TY CỔ PHẦN TƯ VẤN VÀ DỊCH VỤ CÔNG NGHỆ ASIC</t>
  </si>
  <si>
    <t>Trung tâm chăm sóc khách hàng:</t>
  </si>
  <si>
    <t>STT</t>
  </si>
  <si>
    <t>Số lượng</t>
  </si>
  <si>
    <t>Ghi chú:</t>
  </si>
  <si>
    <t xml:space="preserve">o   Người thụ hưởng: Công ty cổ phần tư vấn và dịch vụ công nghệ ASIC </t>
  </si>
  <si>
    <t>Báo giá</t>
  </si>
  <si>
    <t>Cảm ơn Quí khách hàng đã quan tâm đến các sản phẩm mà chúng tôi cung cấp. Thay mặt công ty, chúng tôi xin gửi đến Quí khách hàng bản chào giá sản phẩm như sau:</t>
  </si>
  <si>
    <t xml:space="preserve"> Mô tả sản phẩm</t>
  </si>
  <si>
    <t>Mã hiệu</t>
  </si>
  <si>
    <t>- Giá chào là giá DDP đã bao gồm toàn bộ chi phí vận chuyển đến địa chỉ giao hàng</t>
  </si>
  <si>
    <t>- Giao hàng: tại địa chỉ của khách hàng</t>
  </si>
  <si>
    <t>Trân trọng cảm ơn sự hợp tác của Quí khách hàng!</t>
  </si>
  <si>
    <t>Tổng giá (đã bao gồm thuế VAT 10%):</t>
  </si>
  <si>
    <t>Thuế VAT 10%:</t>
  </si>
  <si>
    <t>Đơn giá
(VND)</t>
  </si>
  <si>
    <t>Thành Tiền
(VND)</t>
  </si>
  <si>
    <t xml:space="preserve">Quí khách có thể thanh toán thông qua: </t>
  </si>
  <si>
    <t>Tên và địa chỉ khách hàng:</t>
  </si>
  <si>
    <t>Hãng sản xuất</t>
  </si>
  <si>
    <t>o   Tên ngân hàng: Ngân hàng TMCP Tiên Phong – Chi nhánh Hoàn Kiếm</t>
  </si>
  <si>
    <t xml:space="preserve">o   Số tài khoản: 8538 8538 901 </t>
  </si>
  <si>
    <t>Người báo giá</t>
  </si>
  <si>
    <t>Tổng giá (chưa bao gồm thuế VAT 10%):</t>
  </si>
  <si>
    <t>o   Người đại diện: Đào Mạnh Hùng, chức vụ: Giám đốc</t>
  </si>
  <si>
    <t xml:space="preserve">Tel: </t>
  </si>
  <si>
    <t xml:space="preserve">Tel: 024 3748 1504 </t>
  </si>
  <si>
    <t>- Bảo hành: 01 năm với máy chính và 3 tháng với phụ kiện.</t>
  </si>
  <si>
    <t>- Thanh toán: 50% trong vòng 07 ngày sau khi ký HĐ, 50% trước 14 ngày trước khi giao hàng.</t>
  </si>
  <si>
    <t>3</t>
  </si>
  <si>
    <t>ARB baseband generator (80 MHz RF bandwidth, 32 MSa)</t>
  </si>
  <si>
    <t>Spectrum analyzer</t>
  </si>
  <si>
    <t>85056D</t>
  </si>
  <si>
    <t>N9020A Signal Analyzer - Upgrade</t>
  </si>
  <si>
    <t>Tùy chọn nâng cấp:</t>
  </si>
  <si>
    <t>N9085EM0E</t>
  </si>
  <si>
    <t>5G NR Measurement Application</t>
  </si>
  <si>
    <t>Node-locked perpetual license</t>
  </si>
  <si>
    <t>R-Y6C-001-L</t>
  </si>
  <si>
    <t>RX MIMO (Software update only, hardware is not updatable)</t>
  </si>
  <si>
    <t>VSA Software update</t>
  </si>
  <si>
    <t>89601B-BHN</t>
  </si>
  <si>
    <t>5G NR/Pre-5G modulation analysis, transportable perpetual license</t>
  </si>
  <si>
    <t>89601BU-012</t>
  </si>
  <si>
    <t>12 month update subscription service, transportable perpetual license</t>
  </si>
  <si>
    <t>SystemVue upgrade</t>
  </si>
  <si>
    <t>W1465BP</t>
  </si>
  <si>
    <t>SystemVue System Architect Perpetual bundle license (Node-locked)</t>
  </si>
  <si>
    <t>W1918EP</t>
  </si>
  <si>
    <t>LTE-A Baseband Verification Library License (Node-locked)</t>
  </si>
  <si>
    <t>W1715EP</t>
  </si>
  <si>
    <t>MIMO Channel Builder License (Node-locked)</t>
  </si>
  <si>
    <t>W1716EP</t>
  </si>
  <si>
    <t>DPD Builder License (Node-locked)</t>
  </si>
  <si>
    <t>W1916EP</t>
  </si>
  <si>
    <t>3G Baseband Verification Library License (Node-locked)</t>
  </si>
  <si>
    <t>System Vue 5G library with 1 year support</t>
  </si>
  <si>
    <t>W1906EP</t>
  </si>
  <si>
    <t>5G Baseband Verification Library for SystemVue element software license R-35B-001-A Node-locked license</t>
  </si>
  <si>
    <t>R-36B-001-L</t>
  </si>
  <si>
    <t>TX MIMO (Update on N5182B) (already have option 506, 657, 657)</t>
  </si>
  <si>
    <t>N5182BU-660</t>
  </si>
  <si>
    <t>Upgrade baseband generator with real-time capability</t>
  </si>
  <si>
    <t>N5182BU-099</t>
  </si>
  <si>
    <t>Expanded license key upgradability</t>
  </si>
  <si>
    <t>N5182BU-UNV</t>
  </si>
  <si>
    <t>Enhanced dynamic range</t>
  </si>
  <si>
    <t>Upgrade with 5G NR signal generation software</t>
  </si>
  <si>
    <t>N7631APPC</t>
  </si>
  <si>
    <t>R-Y5C-001-A</t>
  </si>
  <si>
    <t>Channel Simulation</t>
  </si>
  <si>
    <t>F8800A</t>
  </si>
  <si>
    <t>PROPSIM F64 5G Channel Emulation Solution, 6GHz, 8 TRx, 160MHz BW</t>
  </si>
  <si>
    <t>N5182B Signal Generator - Upgrade</t>
  </si>
  <si>
    <t>Tùy chọn nâng cấp băng thông:</t>
  </si>
  <si>
    <t>N5182BU-657</t>
  </si>
  <si>
    <t>Upgrade baseband generator from 80 to 160 MHz RF bandwidth</t>
  </si>
  <si>
    <t>N5182BU-656</t>
  </si>
  <si>
    <t>Tùy chọn Signal Studio trên PC/Laptop:</t>
  </si>
  <si>
    <t>N7631C</t>
  </si>
  <si>
    <t>Signal Studio Pro for 5G NR</t>
  </si>
  <si>
    <t>R-Y5B-001-A</t>
  </si>
  <si>
    <t>R-Y6B-001-L</t>
  </si>
  <si>
    <t>N5172B Signal Generator</t>
  </si>
  <si>
    <t>Bao gồm:</t>
  </si>
  <si>
    <t>N5172B</t>
  </si>
  <si>
    <t>N5172B RF Vector Signal Generator</t>
  </si>
  <si>
    <t>N5172B-506</t>
  </si>
  <si>
    <t>Frequency range from 9 kHz to 6 GHz</t>
  </si>
  <si>
    <t>N5172B-653</t>
  </si>
  <si>
    <t>ARB baseband generator (60 MHz RF bandwidth, 32 MSa)</t>
  </si>
  <si>
    <t xml:space="preserve">N5172B-655 </t>
  </si>
  <si>
    <t>Upgrade baseband generator from 60 to 120 MHz RF
bandwidth</t>
  </si>
  <si>
    <t>N5767A Power Supply, 60V, 25A, 1500W</t>
  </si>
  <si>
    <t>N5767A</t>
  </si>
  <si>
    <t>FMC1322085 SMA Female to SMP Female Cable FM-F086 Coax</t>
  </si>
  <si>
    <t>FMC1322085</t>
  </si>
  <si>
    <t>SMA Female to SMP Female Cable</t>
  </si>
  <si>
    <t>PE354-12 SMA Male to N Male cable</t>
  </si>
  <si>
    <t>PE354-12</t>
  </si>
  <si>
    <t>SMA Male to N Male High Performance Test Cable 18 Ghz 12 Inch Length Using PE-P141 Coax, RoHS</t>
  </si>
  <si>
    <t xml:space="preserve"> PE7213-30 30 dB Fixed Attenuator</t>
  </si>
  <si>
    <t>PE7213-30</t>
  </si>
  <si>
    <t>30 dB Fixed Attenuator, N Male To N Female Directional Black Anodized Aluminum Heatsink Body Rated To 100 Watts Up To 6 GHz</t>
  </si>
  <si>
    <t>PE354-24 SMA Male to N Male Cable 24 Inch Length Using PE-P141 Coax with HeatShrink, LF Solder, RoHS</t>
  </si>
  <si>
    <t>PE354-24</t>
  </si>
  <si>
    <t>SMA Male to N Male Cable 24 Inch Length Using PE-P141 Coax with HeatShrink, LF Solder, RoHS</t>
  </si>
  <si>
    <t>PE300-24 SMA Male to SMA Male Cable 24 Inch Length Using PE-P141 Coax with HeatShrink, LF Solder</t>
  </si>
  <si>
    <t>PE300-24</t>
  </si>
  <si>
    <t>SMA Male to SMA Male Cable 24 Inch Length Using PE-P141 Coax with HeatShrink, LF Solder</t>
  </si>
  <si>
    <t>PE3M0116-18 MIL-DTL-17 BNC Male to SMA Male Cable 18 Inch Length Using M17/28-RG58 Coax</t>
  </si>
  <si>
    <t>PE3M0116-18</t>
  </si>
  <si>
    <t>MIL-DTL-17 BNC Male to SMA Male Cable 18 Inch Length Using M17/28-RG58 Coax</t>
  </si>
  <si>
    <t>USB Power Sensors</t>
  </si>
  <si>
    <t>U2001A</t>
  </si>
  <si>
    <t>10 MHz - 6 GHz USB Power Sensor
Wide dynamic range of -60 to +25 dBm</t>
  </si>
  <si>
    <t>U2004A</t>
  </si>
  <si>
    <t>9 kHz - 6 GHz USB Power Sensor
Wide dynamic range of -60 to +20 dBm</t>
  </si>
  <si>
    <t>Coaxial Directional Coupler</t>
  </si>
  <si>
    <t>773D</t>
  </si>
  <si>
    <t>772D</t>
  </si>
  <si>
    <t>772D Coaxial Dual-Directional Coupler, 2 GHz to 18 GHz, Coupler 20dB</t>
  </si>
  <si>
    <t>PIN Solid State Switch</t>
  </si>
  <si>
    <t>P9404A</t>
  </si>
  <si>
    <t xml:space="preserve"> PIN Solid State Switch, 100 MHz to 8 GHz, SP4T</t>
  </si>
  <si>
    <t>AC6804B Basic AC Power Source, 4000 VA, 310 V, 20 A</t>
  </si>
  <si>
    <t>AC6804B</t>
  </si>
  <si>
    <t>Basic AC Power Source, 4000 VA, 310 V, 20 A</t>
  </si>
  <si>
    <t>N5767A DC Power Supply, 60V, 25A, 1500W</t>
  </si>
  <si>
    <t>N9950A FieldFox Handheld Microwave Analyzer, 32 GHz</t>
  </si>
  <si>
    <t>N9950A</t>
  </si>
  <si>
    <t>N9950A-233</t>
  </si>
  <si>
    <t>N9950A-235</t>
  </si>
  <si>
    <t>Pre-Amplifier</t>
  </si>
  <si>
    <t>Calibration Kit</t>
  </si>
  <si>
    <t>PE6835 300 Watts High Power WR-112 Waveguide Load 7.05 GHz to 10 GHz</t>
  </si>
  <si>
    <t>PE6835</t>
  </si>
  <si>
    <t>300 Watts High Power WR-112 Waveguide Load 7.05 GHz to 10 GHz</t>
  </si>
  <si>
    <t>U1242C Handheld Digital Multimeter, 4 Digit, IP67</t>
  </si>
  <si>
    <t>Handheld Digital Multimeter, 4½ Digit, IP67</t>
  </si>
  <si>
    <t>U1194A Handheld Clamp Meter, 3 ½ Digit</t>
  </si>
  <si>
    <t>E5071C Network Analyzer</t>
  </si>
  <si>
    <t>E5071C</t>
  </si>
  <si>
    <t>E5071C ENA Vector Network Analyzer</t>
  </si>
  <si>
    <t>E5071C-4D5</t>
  </si>
  <si>
    <t>4-port test set, 300 kHz to 14 GHz</t>
  </si>
  <si>
    <t>E5071C-UNQ</t>
  </si>
  <si>
    <t>Standard stability time base</t>
  </si>
  <si>
    <t>E5071C-019</t>
  </si>
  <si>
    <t xml:space="preserve">Standard hard disk drive </t>
  </si>
  <si>
    <t>E5071C-A6J</t>
  </si>
  <si>
    <t>ANSI Z540 compliant calibration (certification documentation)</t>
  </si>
  <si>
    <t>MSOV134A Signal Oscilloscope</t>
  </si>
  <si>
    <t>MSOV134A</t>
  </si>
  <si>
    <t>Oscilloscope main-frame, include:
- Analog Bandwidth  13 GHz
- 80 GSa/s sample rate  2 channels
- 40 GSa/s sample rate 4 channels</t>
  </si>
  <si>
    <t>DSOV000-A6J</t>
  </si>
  <si>
    <t xml:space="preserve">ANSI Z540 compliant calibration </t>
  </si>
  <si>
    <t>Tùy chọn Probe:</t>
  </si>
  <si>
    <t>N7001A</t>
  </si>
  <si>
    <t>13 GHz InfiniiMax III+ probe amplifier</t>
  </si>
  <si>
    <t>N2848A</t>
  </si>
  <si>
    <t>16 GHz QuickTip probe head</t>
  </si>
  <si>
    <t>Tùy chọn phần mềm phân tích:</t>
  </si>
  <si>
    <t>MSOV000-DSA</t>
  </si>
  <si>
    <t>DSA option for MSO models</t>
  </si>
  <si>
    <t>N8831A-002</t>
  </si>
  <si>
    <t>MATLAB - Standard digital analysis</t>
  </si>
  <si>
    <t xml:space="preserve">N8827A-1FP </t>
  </si>
  <si>
    <t>Pulse amplitude modulation (PAM-4) analysis</t>
  </si>
  <si>
    <t>35</t>
  </si>
  <si>
    <t>XAir 3 5G Radio Head</t>
  </si>
  <si>
    <t>37</t>
  </si>
  <si>
    <t>EPC-Sim: X100-5G</t>
  </si>
  <si>
    <t>5G X100-5G + Radio Head</t>
  </si>
  <si>
    <t>39</t>
  </si>
  <si>
    <t>S9100A 5G Base Station Test</t>
  </si>
  <si>
    <t>S9100A</t>
  </si>
  <si>
    <t>5G Base Station Manufacturing Test Solution</t>
  </si>
  <si>
    <t>S9100A-RH1</t>
  </si>
  <si>
    <t>one remote radio heads</t>
  </si>
  <si>
    <t>M9037A</t>
  </si>
  <si>
    <t>PXIe High Performance Embedded Controller: 4-Slot, 3U, Gen 3</t>
  </si>
  <si>
    <t>Node-locked license</t>
  </si>
  <si>
    <t>N7631EMBC</t>
  </si>
  <si>
    <t>Signal Studio Pro for 5G NR, waveform playback</t>
  </si>
  <si>
    <t>KeysightCare software support subscription, node-locked - 12 months</t>
  </si>
  <si>
    <t>R-35B-001-A</t>
  </si>
  <si>
    <t>12 months upgrades and support - node-locked</t>
  </si>
  <si>
    <t>PathWave signal generation for 5G NR</t>
  </si>
  <si>
    <t>DC Power Supply 60V, 25A, 1500W; GPIB, LAN, USB, LXI</t>
  </si>
  <si>
    <t>Coupler, directional, 2 to 18 ghz</t>
  </si>
  <si>
    <t>32 GHz FieldFox Microwave Analyzer</t>
  </si>
  <si>
    <t>U1194A</t>
  </si>
  <si>
    <t xml:space="preserve">U1242C </t>
  </si>
  <si>
    <t>11</t>
  </si>
  <si>
    <t>ZTVX-16-18 Switch Matrix</t>
  </si>
  <si>
    <t>ZTVX-16-18</t>
  </si>
  <si>
    <t>2 by 16 Switch Matrix</t>
  </si>
  <si>
    <t>13</t>
  </si>
  <si>
    <t>ZFRSC-123+ Coaxial Power Splitter/Combiner</t>
  </si>
  <si>
    <t>ZFRSC-123+</t>
  </si>
  <si>
    <t>ZFRSC-123+ Coaxial Power Splitter/Combiner
(2 Way, 50Ω, DC to 12000 MHz)</t>
  </si>
  <si>
    <t>Nguyễn Anh Quân</t>
  </si>
  <si>
    <t>Tel/Fax: +84 974 731286</t>
  </si>
  <si>
    <t>Email:  quan.nguyen@asic.vn</t>
  </si>
  <si>
    <t>Địa chỉ: Phòng 1701 - G3, Vinhomes Green Bay, P. Mễ Trì, Q. Nam Từ Liêm, Hà Nội, Việt Nam</t>
  </si>
  <si>
    <t>o   Địa chỉ: Phòng 1701 - G3, Vinhomes Green Bay, P. Mễ Trì, Q. Nam Từ Liêm, Hà Nội, Việt Nam</t>
  </si>
  <si>
    <t>- Thời gian giao hàng: 14-16 tuần</t>
  </si>
  <si>
    <t>1</t>
  </si>
  <si>
    <t>Keysight</t>
  </si>
  <si>
    <t>2</t>
  </si>
  <si>
    <t>4</t>
  </si>
  <si>
    <t>5</t>
  </si>
  <si>
    <t>6</t>
  </si>
  <si>
    <t>7</t>
  </si>
  <si>
    <t>8</t>
  </si>
  <si>
    <t>Fairview</t>
  </si>
  <si>
    <t>Pasternack</t>
  </si>
  <si>
    <t>9</t>
  </si>
  <si>
    <t>10</t>
  </si>
  <si>
    <t>12</t>
  </si>
  <si>
    <t>15</t>
  </si>
  <si>
    <t>21</t>
  </si>
  <si>
    <t>22</t>
  </si>
  <si>
    <t>23</t>
  </si>
  <si>
    <t>24</t>
  </si>
  <si>
    <t>25</t>
  </si>
  <si>
    <t>26</t>
  </si>
  <si>
    <t>27</t>
  </si>
  <si>
    <t>28</t>
  </si>
  <si>
    <t>29</t>
  </si>
  <si>
    <t>30</t>
  </si>
  <si>
    <t>31</t>
  </si>
  <si>
    <t>32</t>
  </si>
  <si>
    <t>33</t>
  </si>
  <si>
    <t>34</t>
  </si>
  <si>
    <t xml:space="preserve">XAir 3 </t>
  </si>
  <si>
    <t>5G Radio Head</t>
  </si>
  <si>
    <t>Mini Circuit</t>
  </si>
  <si>
    <t>TỔNG CÔNG TY CÔNG NGHIỆP CÔNG NGHỆ CAO VIETTEL</t>
  </si>
  <si>
    <t>Trang thiết bị</t>
  </si>
  <si>
    <t>Số lượng cần</t>
  </si>
  <si>
    <t>Đã có
(Đảm bảo đo 5G)</t>
  </si>
  <si>
    <t>Cần nâng cấp</t>
  </si>
  <si>
    <t>Mua mới</t>
  </si>
  <si>
    <t>Giá (1 TB)</t>
  </si>
  <si>
    <t>Thành tiền</t>
  </si>
  <si>
    <t>Tính năng</t>
  </si>
  <si>
    <t>Phục vụ đề tài</t>
  </si>
  <si>
    <t>HW</t>
  </si>
  <si>
    <t>FPGA</t>
  </si>
  <si>
    <t>L1</t>
  </si>
  <si>
    <t>QA</t>
  </si>
  <si>
    <t>Tổng</t>
  </si>
  <si>
    <t>Tên máy</t>
  </si>
  <si>
    <t>Máy phân tích tín hiệu VSA</t>
  </si>
  <si>
    <t>N9020A</t>
  </si>
  <si>
    <t>65,000 $</t>
  </si>
  <si>
    <t xml:space="preserve">+ HW upgrade_N9020AK-MTP_Multi-touch User Interface
+ FW_upgrade_N9085EM0E_Ứng dụng đo kiểm 5G NR
+ Support: R-Y5C-001-A, R-Y5C-001-L : 12 tháng hỗ trợ </t>
  </si>
  <si>
    <t>4G &amp; 5G</t>
  </si>
  <si>
    <t>FSV13</t>
  </si>
  <si>
    <t>+ HW_upgrade_FSV-K144/VSE-K144 + FSV-B160 Nâng cấp lên 160 MHz
+ FW_upgrade_ Thông tin đang cập nhật</t>
  </si>
  <si>
    <t>FSW8
(nếu FSV13 không đáp ứng được)</t>
  </si>
  <si>
    <t>+ FSW-K144: Đo kiểm 3gpp 5G NR
+ FSW-K544: Điều chỉnh đáp ứng tập lệnh tần số SnP file
+ FSW-B4: (HW option) Tham chiếu tần số chính xác
+ FSW-B24: (HW option) Pre-Amplifier 30dB, 100kHz to 8/13GHz
+ FSW-B25: (HW option) Electronic attenuator, 13.6GHz, 1dB steps
+ FSW-B160: (HW option) Mở rộng Bandwidth 160 MHz</t>
  </si>
  <si>
    <t>Máy phát tín hiệu VSG</t>
  </si>
  <si>
    <t>SMW 200A</t>
  </si>
  <si>
    <t>338,447 $</t>
  </si>
  <si>
    <t>+ FW_upgrade_SMW-K144 Tạo tín hiệu 5G NR R.15 (45,280 €)
+ HW_upgrade_SMW-B9  Băng thông  RF 500 MHz (72,700 €)
+ HW_upgrade_SMW-B13XT  Phần cứng hỗ trợ cho SMW-B9 (7,560 €)
+ FW_upgrade_SMW-B15 Mô phỏng Fading và Signal Processor
+ FW_upgrade_SMW-K145 Tạo close loop cho tín hiệu 5G
+ SW_upgrade: SMW-K19 (software license)
+ Hiệu chuẩn: Hiệu chuẩn tại Singapore (2,500 €)</t>
  </si>
  <si>
    <t>N5182B VSG</t>
  </si>
  <si>
    <t xml:space="preserve">+ License key: N5182BU_657 Tạo tín hiệu RF 160 MHz
+ License key: N5182BU_656 ARB baseband generator (80MHz RF bandwidth, 32 MSa)
+ PC Application license: N7631 APPC Signal Studio Pro for 5G NR 2019
+ Support: R-Y5C-001-A, R-Y5C-001-L : 12 tháng hỗ trợ </t>
  </si>
  <si>
    <t>Nguồn phát cao tần</t>
  </si>
  <si>
    <t>+ Tạo tín hiệu RF:  SGMA Vector RF Source, 3 GHz RF and baseband HW included
+ Mở rộng tần số: 6GHz (SL)
+ Tín hiệu tham chiếu: Reference oscillator OCXO (HW opt)
+ Digital baseband connectivity (SL)</t>
  </si>
  <si>
    <t>Nguồn DC</t>
  </si>
  <si>
    <t>Connector TMA-A Plug to SMA Femal</t>
  </si>
  <si>
    <t>Cable TMA-A Plug to N type Femal</t>
  </si>
  <si>
    <t>5G</t>
  </si>
  <si>
    <t>Cable SMA Male To N Male 12 inch</t>
  </si>
  <si>
    <t>18 Ghz 12 Inch Length (30 cm)</t>
  </si>
  <si>
    <t>Suy hao</t>
  </si>
  <si>
    <t>30dB 100W 6GHz Attenuator N type</t>
  </si>
  <si>
    <t>Cable SMA Male To N Male 24 inch</t>
  </si>
  <si>
    <t>18 Ghz 24 Inch Length (60 cm)</t>
  </si>
  <si>
    <t>Switch RF</t>
  </si>
  <si>
    <t>2 by 16 Switch Matrix, 50Ω, USB and Ethernet-TCP/IP control interface, Windows environments Software support</t>
  </si>
  <si>
    <t xml:space="preserve">Jig cơ khí </t>
  </si>
  <si>
    <t>Tự làm</t>
  </si>
  <si>
    <t>Hỗ trợ di chuyển, gắn suy hao, có thể mở rộng lên 32T32R, …</t>
  </si>
  <si>
    <t xml:space="preserve">5G </t>
  </si>
  <si>
    <t>Cable SMA Male To SMA Male 24 inch</t>
  </si>
  <si>
    <t>24 Inch Length; 0.6M; PE300-24</t>
  </si>
  <si>
    <t>Power Combiner</t>
  </si>
  <si>
    <t>Notch Filter</t>
  </si>
  <si>
    <t>Cable trigger BNC To SMA</t>
  </si>
  <si>
    <t>Máy đo công suất</t>
  </si>
  <si>
    <t>USB Power Sensor, -45dBm to +10dBm, 50MHz to 6GHz</t>
  </si>
  <si>
    <t>USB Power Sensor, -30dBm to +20dBm, 1MHz to 6GHz</t>
  </si>
  <si>
    <t>High Power Directional Coupler, 35dB</t>
  </si>
  <si>
    <t>ZGDC35-93HP+</t>
  </si>
  <si>
    <t>Coupler 35dB</t>
  </si>
  <si>
    <t>High Power Bi-Directional Coupler, 16dB</t>
  </si>
  <si>
    <t>ZFBDC16-63HP+</t>
  </si>
  <si>
    <t>Coupler 16 dB</t>
  </si>
  <si>
    <t>USB SP4T Switch</t>
  </si>
  <si>
    <t>USB-SP4T-63</t>
  </si>
  <si>
    <t>RF Switch</t>
  </si>
  <si>
    <t>USB RF SPDT Switch Matrix</t>
  </si>
  <si>
    <t>USB-2SP2T-DCH</t>
  </si>
  <si>
    <t>Hãng 1</t>
  </si>
  <si>
    <t xml:space="preserve">RX MIMO </t>
  </si>
  <si>
    <t>(Software update only, hardware is not updatable)</t>
  </si>
  <si>
    <t>Thành Tiền
(VNĐ)</t>
  </si>
  <si>
    <t>USD</t>
  </si>
  <si>
    <t>Euro</t>
  </si>
  <si>
    <t>?</t>
  </si>
  <si>
    <t>TX MIMO</t>
  </si>
  <si>
    <t xml:space="preserve"> (Update on N5182B) (already have option 506, 657, 657)</t>
  </si>
  <si>
    <t>Tương đương GW Instek PSU60 - 25: 60V, 25A, 1500W</t>
  </si>
  <si>
    <t>A</t>
  </si>
  <si>
    <t>TM500- VIAVI</t>
  </si>
  <si>
    <t>XAir3 5G Radio Head - Keysight</t>
  </si>
  <si>
    <t>Giá (VNĐ)</t>
  </si>
  <si>
    <t xml:space="preserve">Hãng 2 </t>
  </si>
  <si>
    <t>UE Emulator</t>
  </si>
  <si>
    <t>Core Emulator</t>
  </si>
  <si>
    <t>Máy phát</t>
  </si>
  <si>
    <t>Máy thu</t>
  </si>
  <si>
    <t>Nguồn cao tần</t>
  </si>
  <si>
    <t>Dụng cụ &amp; Phụ kiện</t>
  </si>
  <si>
    <t>RX MIMO</t>
  </si>
  <si>
    <t>Nguồn DC, máy đo công suất, cáp chuyển đổi, suy hao, bộ chia, bộ lọc,…</t>
  </si>
  <si>
    <t>FSW8</t>
  </si>
  <si>
    <t>Đơn giá</t>
  </si>
  <si>
    <t>Đơn giá (Ngoại tệ)</t>
  </si>
  <si>
    <t>SGT100A</t>
  </si>
  <si>
    <t>Đơn giá
(VNĐ)</t>
  </si>
  <si>
    <t>Thành Tiền (VNĐ)</t>
  </si>
  <si>
    <t>Đơn giá (VNĐ)</t>
  </si>
  <si>
    <t>N9030</t>
  </si>
  <si>
    <t>R&amp;S</t>
  </si>
  <si>
    <t>Tên hãng</t>
  </si>
  <si>
    <t>Tên 
hãng</t>
  </si>
  <si>
    <t>Đơn Giá 
(VNĐ)</t>
  </si>
  <si>
    <t>Thiết bị giả lập UE</t>
  </si>
  <si>
    <t>Thiết bị giả lập Core</t>
  </si>
  <si>
    <t>Tên
 hãng</t>
  </si>
  <si>
    <t>VIAVI</t>
  </si>
  <si>
    <t>Polaris</t>
  </si>
  <si>
    <t>Dự kiến đầu tư</t>
  </si>
  <si>
    <t>1 x SMW200A Vector signal generator, base unit; freq.opt.&amp; BBmodule req.
1 x SMW-B107 Frequency range: 100 kHz to 7. 5 GHz,  RF path A  (HW opt.)
1 x SMW-B13 Baseband main module, one I/Q path to RF section (HW opt.)
1 x SMW-B10 Baseband generator with realtime coder and ARB (HW opt.)
1 x SMW-K144 5G New Radio (SL)</t>
  </si>
  <si>
    <t>Chapter 7: 164,530 euro
Chapter 6: 84,100 euro</t>
  </si>
  <si>
    <r>
      <t xml:space="preserve">Chapter 6: 
1 x SMW200A Vector signal generator, base unit; freq.opt.&amp; BBmodule req.
1 x SMW-B107 Frequency range: 100 kHz to 7. 5 GHz,  RF path A  (HW opt.)
</t>
    </r>
    <r>
      <rPr>
        <sz val="11"/>
        <color rgb="FFFF0000"/>
        <rFont val="Times New Roman"/>
        <family val="1"/>
      </rPr>
      <t>1 x SMW-B13 Baseband main module, one I/Q path to RF section (HW opt.)</t>
    </r>
    <r>
      <rPr>
        <sz val="11"/>
        <rFont val="Times New Roman"/>
        <family val="1"/>
      </rPr>
      <t xml:space="preserve">
1 x SMW-B10 Baseband generator with realtime coder and ARB (HW opt.)
1 x SMW-K144 5G New Radio (SL)
Chapter 7:
1 x SMW200A Vector signal generator, base unit; freq.opt.&amp; BBmodule req.
1 x SMW-B107 Frequency range: 100 kHz to 7. 5 GHz,  RF path A  (HW opt.)
1 x SMW-B207 Frequency range: 100 kHz to 7. 5 GHz,  RF path B  (HW opt.)
1 x SMW-B13T Baseband main module, two I/Q paths to RF section (HW opt.)
2 x SMW-B10 Baseband generator with realtime coder and ARB (HW opt.)
1 x SMW-K62 Additional white Gaussian noise (SL)
2 x SMW-K144 5G New Radio (SL)</t>
    </r>
  </si>
  <si>
    <t>ZFRSC-4-842-S+</t>
  </si>
  <si>
    <t>Notch Filter DL Band n78 (3300-3800)</t>
  </si>
  <si>
    <t>PE3M0061-100CM</t>
  </si>
  <si>
    <t>MIL-DTL-17 BNC Male to SMA Male Cable 100 cm Length Using M17/128-RG400 Coax</t>
  </si>
  <si>
    <t>TUNABLE BAND REJECT / NOTCH FILTERS FOR 5G NR DL BAND N78 (3300-3800 MHZ)
Tuning Range 3000 to 4000 MHz Slopes 7 MHz Bandwidth 10 MHz Attenuation 40 dB min.</t>
  </si>
  <si>
    <t xml:space="preserve">4-way Connectorized Power Splitter, DC-8400MHz </t>
  </si>
  <si>
    <t>SMA Male to N Male Cable 12 Inch Length Using PE-P141 Coax with HeatShrink, LF Solder, RoHS</t>
  </si>
  <si>
    <t xml:space="preserve">R&amp;S Không có </t>
  </si>
  <si>
    <t>Termination</t>
  </si>
  <si>
    <t>PE6039</t>
  </si>
  <si>
    <t>R&amp;S đề xuất sử dụng trong chapter 7</t>
  </si>
  <si>
    <t>PE2093</t>
  </si>
  <si>
    <t>PE20DV001</t>
  </si>
  <si>
    <t>1 x SGT100A SGMA Vector RF Source, 3 GHz RF and baseband HW included
1 x SGT-KB106 Frequency extension 6GHz (SL)
1 x SGT-B1 Reference oscillator OCXO (HW opt.)
1 x SGT-K18 Digital baseband connectivity (SL)</t>
  </si>
  <si>
    <t>1 x SMW-B13XT Wideband baseband main module, two I/Q paths to RF section
2 x SMW-B9 Wideband baseband generator, 500 MHz RF bandwidth, 256 MSaemples, R&amp;S®SMW-B13XT required
4 x SMW-B15 Fading Simulator and Signal Processor
2 x SMW-K144 5G New Radio R&amp;S®SMW-B9/B10 required
2 x SMW-K145 HARQ close loop feedback for 5G
2 x SMW-K19 Digital baseband output for R&amp;S®SMW wideband baseband R&amp;S®SMW-B13XT required (software license)
Calibration after changed board</t>
  </si>
  <si>
    <t>Mỏ hàn</t>
  </si>
  <si>
    <t>Máy khò</t>
  </si>
  <si>
    <t>Máy hút thiếc</t>
  </si>
  <si>
    <t>Nguồn AC</t>
  </si>
  <si>
    <t>Máy đo tỷ số sóng đứng</t>
  </si>
  <si>
    <t>Tải cao tần</t>
  </si>
  <si>
    <t>Đồng hồ vạn năng</t>
  </si>
  <si>
    <t>Ampe kìm</t>
  </si>
  <si>
    <t>Hệ thống gia công mạch in</t>
  </si>
  <si>
    <t>Máy phân tích mạng</t>
  </si>
  <si>
    <t>Máy hiện sóng</t>
  </si>
  <si>
    <t>Asic, keysight,R&amp;S  ko có</t>
  </si>
  <si>
    <t>Đầu tư giai đoạn 1</t>
  </si>
  <si>
    <t>Đầu tư giai đoạn 2</t>
  </si>
  <si>
    <t>Vivaldi antenna</t>
  </si>
  <si>
    <t>Buồng câm</t>
  </si>
  <si>
    <t>Anechoic Chamber</t>
  </si>
  <si>
    <t>CATR Antenna System</t>
  </si>
  <si>
    <t>RF Circuit</t>
  </si>
  <si>
    <t>System Controller &amp; Miscellaneous</t>
  </si>
  <si>
    <t>Test equipment</t>
  </si>
  <si>
    <t>OTA Software</t>
  </si>
  <si>
    <t>Calibration and Acceptance</t>
  </si>
  <si>
    <t>Calibration of multiple active antenna modules
(beamforming applications in sub-6 GHz frequency range)</t>
  </si>
  <si>
    <t>OTA power measurement
( TX beamforming verification - mmWave)</t>
  </si>
  <si>
    <t>OTA (For antenna)</t>
  </si>
  <si>
    <t>OTA for antenna</t>
  </si>
  <si>
    <t>CHAPTER 6 - Sub 6 GHz</t>
  </si>
  <si>
    <t>TT</t>
  </si>
  <si>
    <t>Loại máy</t>
  </si>
  <si>
    <t>Model</t>
  </si>
  <si>
    <t>Tổng giá</t>
  </si>
  <si>
    <t>Hạng mục</t>
  </si>
  <si>
    <t>Ghi chú</t>
  </si>
  <si>
    <t>Cấu hình</t>
  </si>
  <si>
    <t>Máy FSW8 tới 8 GHz, vẫn cần dùng máy FSV13 tới 13 GHz để thực hiện bài đo Spurious Emisson (yêu cầu tới 12.75 GHz)
--&gt; tận dụng máy FSV13 có sẵn, máy FSW13 đắt tiền hơn</t>
  </si>
  <si>
    <t>1 x FSW8 Signal- and Spectrum Analyzer 2 Hz to 8 GHz 
1 x FSW-K144 3GPP 5G-NR DL Measurements (SL)
1 x FSW-K544 User defined frequency response correction by SnP file (SL)
1 x FSW-B4 OCXO, precision frequency reference (hw opt.)
1 x FSW-B24  RF preamplifier, 30dB, 100kHz to 8GHz (hw opt.)
1 x FSW-B25 Electronic attenuator, 8GHz, 1dB steps (hw opt.)
1 x FSW-B160  Extension to 160 MHz signal analysis bandwidth (HW opt.)</t>
  </si>
  <si>
    <t>Nâng cấp FSV13 hiện có</t>
  </si>
  <si>
    <t>Giới hạn tính năng: không đo được đầy đủ hết bộ chỉ tiêu</t>
  </si>
  <si>
    <t>1x FSV-K144 3GPP 5G-NR DL Measurements (SL)
1 x Extension to 160MHz signal analysis bandwidth (HW opt.)
Calibration in Singapore after hardware changed</t>
  </si>
  <si>
    <t>Đã có đủ cho 5G</t>
  </si>
  <si>
    <t>SMW200A</t>
  </si>
  <si>
    <t>Tạo tín hiệu 5G cho bài đo Intermodulation</t>
  </si>
  <si>
    <t>https://www.pasternack.com/30db-fixed-n-male-n-female-100-watts-attenuator-pe7213-30-p.aspx</t>
  </si>
  <si>
    <t>Không có thông tin về loại cáp này</t>
  </si>
  <si>
    <t>https://www.pasternack.com/sma-male-n-male-pe-p141-cable-assembly-pe354-12-p.aspx</t>
  </si>
  <si>
    <t>https://www.pasternack.com/sma-male-n-male-pe-p141-cable-assembly-pe354-24-p.aspx</t>
  </si>
  <si>
    <t>Cần xác định rõ dải tần, band và băng thông đo để mua bộ Notch Filter phù hợp. Không có 1 bộ cho full band</t>
  </si>
  <si>
    <t>ZTVX-16-18-s</t>
  </si>
  <si>
    <t>Hybrid combiner</t>
  </si>
  <si>
    <t>Circulator</t>
  </si>
  <si>
    <t>PE83CR1004</t>
  </si>
  <si>
    <t>High Power Circulator With 20 dB Isolation From 2 GHz to 4 GHz, 50 Watts And SMA Female</t>
  </si>
  <si>
    <t xml:space="preserve"> PE83CR1000</t>
  </si>
  <si>
    <t>https://www.pasternack.com/high-power-circulator-18db-isolation-2-ghz-50-watts-sma-female-pe83cr1000-p.aspx</t>
  </si>
  <si>
    <t>High Power Circulator with 18 dB Isolation from 1 GHz to 2 GHz, 50 Watts and SMA Female</t>
  </si>
  <si>
    <t>CHAPTER 7</t>
  </si>
  <si>
    <t>Máy có sẵn 2 kênh độc lập nên chỉ cần 1 máy</t>
  </si>
  <si>
    <t>1 x SMW200A Vector signal generator, base unit; freq.opt.&amp; BBmodule req.
1 x SMW-B107 Frequency range: 100 kHz to 7. 5 GHz,  RF path A  (HW opt.)
1 x SMW-B207 Frequency range: 100 kHz to 7. 5 GHz,  RF path B  (HW opt.)
1 x SMW-B13T Baseband main module, two I/Q paths to RF section (HW opt.)
2 x SMW-B10 Baseband generator with realtime coder and ARB (HW opt.)
1 x SMW-K62 Additional white Gaussian noise (SL)
2 x SMW-K144 5G New Radio (SL)</t>
  </si>
  <si>
    <t>SGS100A</t>
  </si>
  <si>
    <t>Tạo nhiễu đến 12.75 GHz cho bài đo Out of Band Blocking và Intermodulation</t>
  </si>
  <si>
    <t>1 x SGS100A SGMA RF source, base unit
1 x SGS-B1 Reference oscillator OCXO (HW opt.)
1 x SGS-B106V Frequency range: 1MHz to 6GHz, w.vector modulation (HW opt.)
1 x SGS-B112V Frequency extension 12.75GHz, w. vector modulation (HW opt.)</t>
  </si>
  <si>
    <t>Đã có</t>
  </si>
  <si>
    <t>Dùng lại</t>
  </si>
  <si>
    <t>Sử dụng cho bài đo phát xạ giả</t>
  </si>
  <si>
    <t>https://www.pasternack.com/sma-male-sma-male-pe-p141-cable-assembly-pe300-24-p.aspx</t>
  </si>
  <si>
    <t>PE2066</t>
  </si>
  <si>
    <t>https://www.pasternack.com/2-way-n-power-divider-dc-18-ghz-1-watts-pe2066-p.aspx</t>
  </si>
  <si>
    <t>2 Way N Power Divider from DC to 18 GHz Rated at 1 Watt</t>
  </si>
  <si>
    <t>https://www.pasternack.com/3-way-n-wilkinson-power-divider-690-mhz-2.7-ghz-10-watts-pe2093-p.aspx</t>
  </si>
  <si>
    <t>3 Way N Wilkinson Power Divider From 690 MHz to 2.7 GHz Rated at 10 Watts</t>
  </si>
  <si>
    <t>https://www.pasternack.com/3-way-sma-power-divider-8-ghz-pe20dv001-p.aspx</t>
  </si>
  <si>
    <t>3 Way SMA Power Divider from 2 GHz to 8 GHz Rated at 30 Watts</t>
  </si>
  <si>
    <t>https://www.pasternack.com/50-watts-n-female-rf-load-up-to-18-ghz-pe6039-p.aspx</t>
  </si>
  <si>
    <t>50 Watt RF Load Up to 18 GHz With N Female Input Square Body Black Anodized Aluminum Heatsink</t>
  </si>
  <si>
    <t>CHAPTER 8</t>
  </si>
  <si>
    <t>Nâng cấp</t>
  </si>
  <si>
    <t>Nâng cấp option cho máy SMW200A hiện có</t>
  </si>
  <si>
    <t>Mua thêm để hỗ trợ MIMO 8x8</t>
  </si>
  <si>
    <t>Cable trigger BNC to SMA</t>
  </si>
  <si>
    <t>https://www.pasternack.com/bnc-male-sma-male-m17-128-rg400-cable-assembly-pe3m0061-100cm-p.aspx</t>
  </si>
  <si>
    <t>Power Sensor</t>
  </si>
  <si>
    <t>NRQ6</t>
  </si>
  <si>
    <r>
      <t xml:space="preserve">Dùng để cân chỉnh pha của anten mảng (antenna array)
</t>
    </r>
    <r>
      <rPr>
        <b/>
        <sz val="11"/>
        <color rgb="FFFF0000"/>
        <rFont val="Calibri"/>
        <family val="2"/>
        <scheme val="minor"/>
      </rPr>
      <t>- Dải tần dưới 6 GHz</t>
    </r>
  </si>
  <si>
    <t>1 x NRQ6 Freq. sel. power sensor;50MHz to 6GHz;-130 to +20dBm;N(m)
1 x NRQ6-K1 IQ-DATA INTERFACE (SL)
1 x NRQ6-K3 Phase coherent measurements (SL)
1 x NRP-ZAP1 8-port GbE switch, 4 ports GbE PoE+, 4 ports GbE</t>
  </si>
  <si>
    <t>Power sensor</t>
  </si>
  <si>
    <t>NRPM</t>
  </si>
  <si>
    <r>
      <t xml:space="preserve">Đo công suất qua vô tuyến, để kiểm tra việc điều khiển beamforming. 
</t>
    </r>
    <r>
      <rPr>
        <b/>
        <sz val="11"/>
        <color rgb="FFFF0000"/>
        <rFont val="Calibri"/>
        <family val="2"/>
        <scheme val="minor"/>
      </rPr>
      <t>Dải tần mmWave &gt; 18 GHz</t>
    </r>
  </si>
  <si>
    <t>3 x NRPM-A90 Antenna mod.; single polarized; OTA power meas.; 18-90 GHz
1 x NRPM-Z3 OTA 3-channel interface module; for OTA power measurement
1 x NRPM3 Sensor module for OTA power measurements
1 x NRP-ZKU USB cable(5.0m) for NRPxxS/T/A/SN/TN/AN;for Laptop/PC;(acc.)</t>
  </si>
  <si>
    <t>Cần thêm chamber</t>
  </si>
  <si>
    <t>OTA Antenna measurement</t>
  </si>
  <si>
    <r>
      <t xml:space="preserve">Chamber + test system
</t>
    </r>
    <r>
      <rPr>
        <b/>
        <sz val="11"/>
        <color rgb="FFFF0000"/>
        <rFont val="Calibri"/>
        <family val="2"/>
        <scheme val="minor"/>
      </rPr>
      <t>Dải tần dưới 6 GHz</t>
    </r>
  </si>
  <si>
    <t>R6 CATR Measurement System</t>
  </si>
  <si>
    <t>Đo antenna của trạm gốc 5G, đường kính tối đa 0.9m</t>
  </si>
  <si>
    <r>
      <rPr>
        <b/>
        <sz val="12"/>
        <color theme="1"/>
        <rFont val="Times New Roman"/>
        <family val="1"/>
      </rPr>
      <t>Anechoic Chamber</t>
    </r>
    <r>
      <rPr>
        <sz val="12"/>
        <color theme="1"/>
        <rFont val="Times New Roman"/>
        <family val="1"/>
      </rPr>
      <t xml:space="preserve">
- Dimension: 6.2 X 3.15 X 3.15m (L/W/H)
- Shielding effective: 1 - 18GHz &gt;100dB
- Absorber walkway: 5 set
- Honeycomb vent: 4 set
- Shielding door: Swinging auto-Launching
- Shielding door dimension: 1.0 X 2.0m (W/H)
- Power filter: 220VAC, 16A,
- Positioner cameras: 1 set
- Cross laser marker: 1 set
- Lighting: LED, 2 set
- Meets CNS-14705S
- Steel sheet: Modular steel pan type shielded enclosure by 2mm galvanized
- Absorber</t>
    </r>
  </si>
  <si>
    <r>
      <rPr>
        <b/>
        <sz val="12"/>
        <color theme="1"/>
        <rFont val="Times New Roman"/>
        <family val="1"/>
      </rPr>
      <t>CATR Antenna System</t>
    </r>
    <r>
      <rPr>
        <sz val="12"/>
        <color theme="1"/>
        <rFont val="Times New Roman"/>
        <family val="1"/>
      </rPr>
      <t xml:space="preserve">
- Reflector Size: 2.0 X 2.0m (W/H)
- Reflector Edge: Rolled edge
- Feed antenna location: Corner feed
- Quiet zone size: 0.9m
- Quiet zone shape: Circular cylinder
- Frequency range: 6 - 100GHz
- Cross polarization: -30dB
- Amplitude taper: 1dB
- Amplitude ripple: ±0.5dB
- Amplitude variation: 2.1dB
- Phase taper: ±4degree @6 - 40GHz
- Phase ripple: ±5 degree @6 - 40GHz
- Dynamic Range: 70dB @6 - 40GHz
- Clutter image: -35dBc
- Fixture for reflector: Adjustable
- Material: Aluminum
- F/D: 1.5</t>
    </r>
  </si>
  <si>
    <r>
      <rPr>
        <b/>
        <sz val="12"/>
        <color theme="1"/>
        <rFont val="Times New Roman"/>
        <family val="1"/>
      </rPr>
      <t>RF Circuit</t>
    </r>
    <r>
      <rPr>
        <sz val="12"/>
        <color theme="1"/>
        <rFont val="Times New Roman"/>
        <family val="1"/>
      </rPr>
      <t xml:space="preserve">
-RF cable up to 40GHz
-SMA rotary joint up to 40GHz, 2 set
-RF path: passive only
-Feed horn for 2.6 - 3.95GHz(S band)
-Feed horn for 8.2 - 12.4GHz(X band)
-Feed horn for 26.5 - 40GHz(Ka band)
-Standard gain horn for 2.6 - 3.95GHz(S band)
-Standard gain horn for 8.2 - 12.4GHz(X band)
-Standard gain horn for 26.5 - 40GHz(Ka band)
-Low noise amplifier: 1 to 40GHz, Gain 20dB, NF 4.5dB</t>
    </r>
  </si>
  <si>
    <r>
      <rPr>
        <b/>
        <sz val="12"/>
        <color theme="1"/>
        <rFont val="Times New Roman"/>
        <family val="1"/>
      </rPr>
      <t>System Controller &amp; Miscellaneous</t>
    </r>
    <r>
      <rPr>
        <sz val="12"/>
        <color theme="1"/>
        <rFont val="Times New Roman"/>
        <family val="1"/>
      </rPr>
      <t xml:space="preserve">
-Control unit: Adventech IPC
-CPU: Intel
-OS: Win7 English
-MS Excel included
-GPIB PCI card included
-3 axis DUT positioner: Roll/ Z / Azimuth
-Loading: 100 kg @30 cm depth
-Roll axis: Accuracy 0.1° for 0°-360°, max speed 20°/sec
-Z axis: Travel length 0~600 mm
-Azimuth axis: Accuracy 0.1° for 0°-360°, max speed 12° /sec
-Fixture for feed antenna: Z axis Adjustable, manually operation
-Fixture for standard gain horn</t>
    </r>
  </si>
  <si>
    <t>OSP130 OSP Open Switch and Control Unit</t>
  </si>
  <si>
    <t>FSW8 Signal- and Spectrum analyzer 2Hz to 8GHz</t>
  </si>
  <si>
    <t>SMW200A Vector signal generator Frequency range : 100kHz to 6GHz</t>
  </si>
  <si>
    <t>ZVA8 Vector network analyzer, 2 ports, 300 kHz - 8 GHz</t>
  </si>
  <si>
    <r>
      <t xml:space="preserve">OTA Software
</t>
    </r>
    <r>
      <rPr>
        <sz val="12"/>
        <color theme="1"/>
        <rFont val="Times New Roman"/>
        <family val="1"/>
      </rPr>
      <t>-2D/3D antenna pattern measurement
-Viewer software license</t>
    </r>
  </si>
  <si>
    <r>
      <rPr>
        <b/>
        <sz val="12"/>
        <color theme="1"/>
        <rFont val="Times New Roman"/>
        <family val="1"/>
      </rPr>
      <t>Calibration and Acceptance</t>
    </r>
    <r>
      <rPr>
        <sz val="12"/>
        <color theme="1"/>
        <rFont val="Times New Roman"/>
        <family val="1"/>
      </rPr>
      <t xml:space="preserve">
-Amplitude Testing
Amplitude ripple: ± 0.5dB @ 3 - 40GHz
Amplitude taper: 1dB @ 3 - 40GHz
Cross polarization: -28dB
Test frequency depend on purchased feed horn's middle frequency
Scanning along XY plane at Z =0
-Phase Testing
Phase ripple: ± 5 degree @ 3 - 40GHz
Phase taper: ± 5 degree @ 3 - 40GHz
Test frequency depend on purchased feed horn's middle frequency
Scanning along XY plane at Z =0
-Passive Path LossAccording purchased feed and standard gain horn antenna
-Passive check: Performing 1 rounds antenna pattern test with standard gain horn to make sure the OTA system works</t>
    </r>
  </si>
  <si>
    <t>Máy phân tích mạng 8 cổng</t>
  </si>
  <si>
    <t>ZNBT8</t>
  </si>
  <si>
    <t>Đo dẫn các phần tử anten của anten mảng pha 5G</t>
  </si>
  <si>
    <t>1 x ZNBT8 Vector Network Analyzer, 4(24max)ports, 9kHz - 8.5GHz, N(f)
1 x ZNBT-T81 4 DC inputs, 3 voltage ranges
1 x ZNBT8-B108 Adds ports 5 to 8 (HW opt.)
1 x ZNBT8-B504 Extended Dynamic Range R&amp;S®ZNBT8, P 1-4
1 x ZNBT-K2 Time domain analysis (SL)
1 x ZNBT-K20 Extended Time Domain Analysis for R&amp;S®ZNBT (SL)
8 x ZV-Z191 RF cable 50 Ohm; N(m) to N(m); DC-18GHz,910mm(36 inch)(acc.)
1 x ZN-Z51 Calibration unit 50 Ohm,100kHz-8.5GHz,4 ports, N(f) (acc.)</t>
  </si>
  <si>
    <t>Số lượng hiện có</t>
  </si>
  <si>
    <t>Số lượng cần đáp ứng
(1)</t>
  </si>
  <si>
    <t>Số lượng đảm bảo đo 5G
(2)</t>
  </si>
  <si>
    <t>Danh mục đầu tư
(3) = (1) - (2)</t>
  </si>
  <si>
    <t>Chương 6</t>
  </si>
  <si>
    <t>Chương 7</t>
  </si>
  <si>
    <t>Chương 8</t>
  </si>
  <si>
    <t>Liên hệ</t>
  </si>
  <si>
    <t>+ FSV-K144/VSE-K144: Đo kiểm 5G NR
+ FSV-B160 (HW) : Nâng cấp băng thông 160 MHz
+ Chỉ tiêu Transmit ON/OFF Power: Cần thêm thông tin từ hãng</t>
  </si>
  <si>
    <t>MIMO</t>
  </si>
  <si>
    <t>+ Nâng cấp bộ thư viện 5G cho SystemVue + VSA
+ Nâng cấp MIMO 4x4
+ Phục vụ quá trình R&amp;D, chưa đo full được các chỉ tiêu chương 6,7 (SEM, Spurious Emissions,…)</t>
  </si>
  <si>
    <t>(1)</t>
  </si>
  <si>
    <t>62,500 $</t>
  </si>
  <si>
    <t>312,500$</t>
  </si>
  <si>
    <t>34,031.142 $</t>
  </si>
  <si>
    <t>136,124.568 $</t>
  </si>
  <si>
    <t>GW Instek PSU60</t>
  </si>
  <si>
    <t>1,995 $</t>
  </si>
  <si>
    <t>GW Instek PSU60 - 25: 60V, 25A, 1500W</t>
  </si>
  <si>
    <t>152.81 $</t>
  </si>
  <si>
    <t>8557.36 $</t>
  </si>
  <si>
    <t>676.29 $</t>
  </si>
  <si>
    <t>37872.24 $</t>
  </si>
  <si>
    <t>163.18 $</t>
  </si>
  <si>
    <t>10280.34 $</t>
  </si>
  <si>
    <t>Giá đỡ hỗ trợ đo kiểm</t>
  </si>
  <si>
    <t>124.83 $</t>
  </si>
  <si>
    <t>499.32 $</t>
  </si>
  <si>
    <t>NRPM-A90/A90D</t>
  </si>
  <si>
    <t>NRPM-ZD3</t>
  </si>
  <si>
    <t>NRPM3</t>
  </si>
  <si>
    <t>NRPM-ZDK3</t>
  </si>
  <si>
    <t>Chamber</t>
  </si>
  <si>
    <t>PWR-6LGHS</t>
  </si>
  <si>
    <t>PWR-6GHS</t>
  </si>
  <si>
    <t>Máy phân tích Logic Analyzer</t>
  </si>
  <si>
    <t>Máy đếm tần</t>
  </si>
  <si>
    <t>Tủ môi trường</t>
  </si>
  <si>
    <t>Thiết bị rung xóc</t>
  </si>
  <si>
    <t>Thiết bị va đập/thả rơi</t>
  </si>
  <si>
    <t>Tủ bức xạ mặt trời UV</t>
  </si>
  <si>
    <t>Thiết bị thử sương muối</t>
  </si>
  <si>
    <t>Máy in 3D</t>
  </si>
  <si>
    <t>Máy scan 3D</t>
  </si>
  <si>
    <t>Hệ thống đo kiểm Quang học</t>
  </si>
  <si>
    <t>Khu thử nghiệm cơ khí môi trường</t>
  </si>
  <si>
    <t>Xưởng gia công lắp ráp</t>
  </si>
  <si>
    <t>Khu thử nghiệm tương thích điện từ</t>
  </si>
  <si>
    <t>Khu thử nghiệm thực tế (bãi thử anten, thử phát sóng)</t>
  </si>
  <si>
    <t>update FW</t>
  </si>
  <si>
    <t>Phân tích tín hiệu điều chế 5G</t>
  </si>
  <si>
    <t>Dịch vụ update trong 12 tháng (trong 1 năm tiêu chuẩn update như nào thì hãng sẽ update tiếp)</t>
  </si>
  <si>
    <t>Update phần mềm</t>
  </si>
  <si>
    <t>Update phần mềm thư viện Baseband</t>
  </si>
  <si>
    <t>Update phần mềm mô hình hóa kênh truyền dẫn đa đường</t>
  </si>
  <si>
    <t>Update phần mềm (Digital pre Distotion-méo trước)</t>
  </si>
  <si>
    <t>Update phần mềm ()</t>
  </si>
  <si>
    <t>HW+SW: Hỗ trợ phát thời gian thực cho baseband</t>
  </si>
  <si>
    <t>SW: Cho phép mở rộng license</t>
  </si>
  <si>
    <t>HW: thêm con khếch đại LNA (low noise amplyfier)</t>
  </si>
  <si>
    <t>Phần mềm tạo tín hiệu đầu ra dựa vào dạng waveform playback đầu vào</t>
  </si>
  <si>
    <t>HW: mô phỏng kênh truyền (64 đầu vào)</t>
  </si>
  <si>
    <t>SW: cũ là 80 MHz bandwidth. Mở rông lên 160 MHz</t>
  </si>
  <si>
    <t xml:space="preserve">SW:Tùy chỉnh dạng tín hiệu tùy ý </t>
  </si>
  <si>
    <t>SW:</t>
  </si>
  <si>
    <t>Nâng cấp FSV13: 39,200 euro nhưng không đo được đầy đủ chỉ tiêu. Cần mua mới thêm FSV8.</t>
  </si>
  <si>
    <t>Tổng (Chưa VAT)</t>
  </si>
  <si>
    <t>Tổng (Gồm VAT)</t>
  </si>
  <si>
    <t>Máy phân tích tín hiệu VSA, mỗi máy gồm:</t>
  </si>
  <si>
    <t>Signal- and Spectrum Analyzer 2 Hz to 8 GHz</t>
  </si>
  <si>
    <t>3GPP 5G-NR DL Measurements (SL)</t>
  </si>
  <si>
    <t>FSW-K144</t>
  </si>
  <si>
    <t>User defined frequency response correction by SnP file (SL)</t>
  </si>
  <si>
    <t>FSW-K544</t>
  </si>
  <si>
    <t>Documentation of calibration values</t>
  </si>
  <si>
    <t>DCV-2</t>
  </si>
  <si>
    <t>OCXO, precision frequency reference (hw opt.)</t>
  </si>
  <si>
    <t>FSW-B4</t>
  </si>
  <si>
    <t>RF preamplifier, 30dB, 100kHz to 8/13GHz (hw opt.)</t>
  </si>
  <si>
    <t>FSW-B24</t>
  </si>
  <si>
    <t>Electronic attenuator, 13.6GHz, 1dB steps (hw opt.)</t>
  </si>
  <si>
    <t>FSW-B25</t>
  </si>
  <si>
    <t>Extension to 160 MHz signal analysis bandwidth (HW opt.)</t>
  </si>
  <si>
    <t>FSW-B160</t>
  </si>
  <si>
    <t>Máy phát tín hiệu, mỗi máy gồm:</t>
  </si>
  <si>
    <t>Vector signal generator, base unit; freq.opt.&amp; BBmodule req.</t>
  </si>
  <si>
    <t>Frequency range: 100 kHz to 7. 5 GHz,  RF path A  (HW opt.)</t>
  </si>
  <si>
    <t>SMW-B107</t>
  </si>
  <si>
    <t>Baseband main module, one I/Q path to RF section (HW opt.)</t>
  </si>
  <si>
    <t>SMW-B13</t>
  </si>
  <si>
    <t>Baseband generator with realtime coder and ARB (HW opt.)</t>
  </si>
  <si>
    <t>SMW-B10</t>
  </si>
  <si>
    <t>5G New Radio (SL)</t>
  </si>
  <si>
    <t>SMW-K144</t>
  </si>
  <si>
    <t>Máy phát tín hiệu SMW200A, mỗi máy gồm:</t>
  </si>
  <si>
    <t>Frequency range: 100 kHz to 7. 5 GHz,  RF path B  (HW opt.)</t>
  </si>
  <si>
    <t>SMW-B207</t>
  </si>
  <si>
    <t>Baseband main module, two I/Q paths to RF section (HW opt.)</t>
  </si>
  <si>
    <t>SMW-B13T</t>
  </si>
  <si>
    <t>Additional white Gaussian noise (SL)</t>
  </si>
  <si>
    <t>SMW-K62</t>
  </si>
  <si>
    <t>Máy phát tín hiệu SGS100A, mỗi máy gồm:</t>
  </si>
  <si>
    <t>SGMA RF source, base unit</t>
  </si>
  <si>
    <t>Reference oscillator OCXO (HW opt.)</t>
  </si>
  <si>
    <t>SGS-B1</t>
  </si>
  <si>
    <t>Frequency range: 1MHz to 6GHz, w.vector modulation (HW opt.)</t>
  </si>
  <si>
    <t>SGS-B106V</t>
  </si>
  <si>
    <t>Frequency extension 12.75GHz, w. vector modulation (HW opt.)</t>
  </si>
  <si>
    <t>SGS-B112V</t>
  </si>
  <si>
    <t>Nâng cấp máy SMW200A, gồm:</t>
  </si>
  <si>
    <t>Wideband baseband main module, 2 I/Q paths to RF (HW opt.)</t>
  </si>
  <si>
    <t>SMW-B13XT</t>
  </si>
  <si>
    <t>Wideband baseband generator, 500 MHz, 256 MS (HW opt.)</t>
  </si>
  <si>
    <t>SMW-B9</t>
  </si>
  <si>
    <t>Digital baseband output for SMW wideband baseband (SL)</t>
  </si>
  <si>
    <t>SMW-K19</t>
  </si>
  <si>
    <t>Fading Simulator and signal processor (HW opt.)</t>
  </si>
  <si>
    <t>SMW-B15</t>
  </si>
  <si>
    <t>5G NR Closed-Loop BS Test (SL)</t>
  </si>
  <si>
    <t>SMW-K145</t>
  </si>
  <si>
    <t>Retrofit and Calibration service (include replacing power supply)</t>
  </si>
  <si>
    <t>Frequency range : 100kHz to 6GHz for RF path A (HW opt.)</t>
  </si>
  <si>
    <t>SMW-B106</t>
  </si>
  <si>
    <t>Frequency range : 100kHz to 6GHz for RF path B (HW opt.)</t>
  </si>
  <si>
    <t>SMW-B206</t>
  </si>
  <si>
    <t>Enhanced phase noise performance and FM/Phim mod. (HW opt.)</t>
  </si>
  <si>
    <t>SMW-B22</t>
  </si>
  <si>
    <t>Dynamic fading (SL)</t>
  </si>
  <si>
    <t>SMW-K71</t>
  </si>
  <si>
    <t>Enhanced fading models incl. Gauss- and Watterson-fading(SL)</t>
  </si>
  <si>
    <t>SMW-K72</t>
  </si>
  <si>
    <t>MIMO fading and  routing (SL)</t>
  </si>
  <si>
    <t>SMW-K74</t>
  </si>
  <si>
    <t>Solid state drive (HW opt.)</t>
  </si>
  <si>
    <t>SMW-B93</t>
  </si>
  <si>
    <t>Nguồn phát cao tần, mỗi máy gồm:</t>
  </si>
  <si>
    <t>SGMA Vector RF Source, 3 GHz RF and baseband HW included</t>
  </si>
  <si>
    <t>Frequency extension 6GHz (SL)</t>
  </si>
  <si>
    <t>SGT-KB106</t>
  </si>
  <si>
    <t>SGT-B1</t>
  </si>
  <si>
    <t>Digital baseband connectivity (SL)</t>
  </si>
  <si>
    <t>SGT-K18</t>
  </si>
  <si>
    <t>Đo công suất</t>
  </si>
  <si>
    <t>Máy đo công suất NRP6A</t>
  </si>
  <si>
    <t>NRP6A</t>
  </si>
  <si>
    <t>1 (Tùy chọn thay thế)</t>
  </si>
  <si>
    <t>FSW13</t>
  </si>
  <si>
    <t>Sử dụng FSW13 là đủ, không cần thêm FSV13</t>
  </si>
  <si>
    <t>Signal- and Spectrum Analyzer 2 Hz to 13.6 GHz</t>
  </si>
  <si>
    <t>Ghi chú: Giá chưa bao gồm VAT</t>
  </si>
  <si>
    <t>Giai đoạn 1: Thiết bị đo vô tuyến</t>
  </si>
  <si>
    <t xml:space="preserve">Giai đoạn 2: Thiết bị giả lập </t>
  </si>
  <si>
    <t>Công thức nội suy định mức</t>
  </si>
  <si>
    <t>Chi phí trang thiết bị và công dụng cụ</t>
  </si>
  <si>
    <t>Cận dưới</t>
  </si>
  <si>
    <t>Cận trên</t>
  </si>
  <si>
    <t>Nt</t>
  </si>
  <si>
    <t>Trong đó:</t>
  </si>
  <si>
    <r>
      <t>N</t>
    </r>
    <r>
      <rPr>
        <b/>
        <sz val="10"/>
        <color theme="1"/>
        <rFont val="Times New Roman"/>
        <family val="1"/>
      </rPr>
      <t>t</t>
    </r>
  </si>
  <si>
    <t>Định mức cần tính</t>
  </si>
  <si>
    <r>
      <t>C</t>
    </r>
    <r>
      <rPr>
        <b/>
        <sz val="10"/>
        <color theme="1"/>
        <rFont val="Times New Roman"/>
        <family val="1"/>
      </rPr>
      <t>t</t>
    </r>
  </si>
  <si>
    <t xml:space="preserve">Chi phí </t>
  </si>
  <si>
    <r>
      <t>C</t>
    </r>
    <r>
      <rPr>
        <b/>
        <sz val="10"/>
        <color theme="1"/>
        <rFont val="Times New Roman"/>
        <family val="1"/>
      </rPr>
      <t>a</t>
    </r>
  </si>
  <si>
    <r>
      <t>C</t>
    </r>
    <r>
      <rPr>
        <b/>
        <sz val="10"/>
        <color theme="1"/>
        <rFont val="Times New Roman"/>
        <family val="1"/>
      </rPr>
      <t>b</t>
    </r>
  </si>
  <si>
    <r>
      <t>N</t>
    </r>
    <r>
      <rPr>
        <b/>
        <sz val="10"/>
        <color theme="1"/>
        <rFont val="Times New Roman"/>
        <family val="1"/>
      </rPr>
      <t>a</t>
    </r>
  </si>
  <si>
    <r>
      <t>Định mức chi phí tương ứng C</t>
    </r>
    <r>
      <rPr>
        <sz val="10"/>
        <color theme="1"/>
        <rFont val="Times New Roman"/>
        <family val="1"/>
      </rPr>
      <t>a</t>
    </r>
  </si>
  <si>
    <r>
      <t>N</t>
    </r>
    <r>
      <rPr>
        <b/>
        <sz val="10"/>
        <color theme="1"/>
        <rFont val="Times New Roman"/>
        <family val="1"/>
      </rPr>
      <t>b</t>
    </r>
  </si>
  <si>
    <r>
      <t>Định mức chi phí tương ứng C</t>
    </r>
    <r>
      <rPr>
        <sz val="10"/>
        <color theme="1"/>
        <rFont val="Times New Roman"/>
        <family val="1"/>
      </rPr>
      <t>b</t>
    </r>
  </si>
  <si>
    <t>Căn cứ Mục IX: Hướng dẫn áp dụng định  mức chi phí giám sát- quyết định 79/QĐ-BXD</t>
  </si>
  <si>
    <t>Áp dụng theo hướng dẫn của Quyết định 79/ QĐ-BXD- Loại công trình công nghiệp</t>
  </si>
  <si>
    <t>Tính chi phí kiểm toán</t>
  </si>
  <si>
    <t>Gi</t>
  </si>
  <si>
    <t>tỷ đồng</t>
  </si>
  <si>
    <t>Định mức chi phí ktoan cận trên</t>
  </si>
  <si>
    <t>Ka</t>
  </si>
  <si>
    <t>Định mức chi phí ktoan cận dưới</t>
  </si>
  <si>
    <t>Kb</t>
  </si>
  <si>
    <t>Tổng mức đầu tư dự án cận trên</t>
  </si>
  <si>
    <t>Ga</t>
  </si>
  <si>
    <t>Tổng mức đầu tư dự án cận dưới</t>
  </si>
  <si>
    <t>Gb</t>
  </si>
  <si>
    <t>Tính</t>
  </si>
  <si>
    <t>(Kb-Ka)</t>
  </si>
  <si>
    <t>Kb-Ka</t>
  </si>
  <si>
    <t>Gi-Gb (đầu tư- cận dưới)</t>
  </si>
  <si>
    <t>Gi-Gb</t>
  </si>
  <si>
    <t>Ga-Gb (cận trên - cận dưới)</t>
  </si>
  <si>
    <t>Ga-Gb</t>
  </si>
  <si>
    <t>(Kb-Ka)*(Gi-Ga)/(Ga-Gb)</t>
  </si>
  <si>
    <t>Ki</t>
  </si>
  <si>
    <t>đơn vị %</t>
  </si>
  <si>
    <t>Chi phí kiểm toán</t>
  </si>
  <si>
    <t>Tính chi phí thẩm tra, phê duyệt quyết toán</t>
  </si>
  <si>
    <t>Định mức chi phí thẩm tra cận trên</t>
  </si>
  <si>
    <t>Định mức chi phí thẩm tra cận dưới</t>
  </si>
  <si>
    <t>Chi phí thẩm tra quyết toán (tính toán)</t>
  </si>
  <si>
    <t>Chi phí thẩm tra quyết toán thực tế</t>
  </si>
  <si>
    <t>Tổng chi phí thẩm tra quyết toán</t>
  </si>
  <si>
    <t xml:space="preserve"> CHI PHÍ QUẢN LÝ, CHI PHÍ TƯ VẤN VÀ CÁC CHI PHÍ KHÁC</t>
  </si>
  <si>
    <t>Khoản mục</t>
  </si>
  <si>
    <t>ĐVT</t>
  </si>
  <si>
    <t>Tỷ suất VAT/
TNCN</t>
  </si>
  <si>
    <t>Gói</t>
  </si>
  <si>
    <t xml:space="preserve">Chi phí kiểm toán  </t>
  </si>
  <si>
    <t xml:space="preserve">Chi phí thẩm tra quyết toán  </t>
  </si>
  <si>
    <t>1.1</t>
  </si>
  <si>
    <t>1.2</t>
  </si>
  <si>
    <t>3.1</t>
  </si>
  <si>
    <t>TỔNG MỨC ĐẦU TƯ</t>
  </si>
  <si>
    <t>NỘI DUNG CÁC KHOẢN CHI PHÍ</t>
  </si>
  <si>
    <t>Thành tiền
(chưa VAT)</t>
  </si>
  <si>
    <t>Thuế VAT</t>
  </si>
  <si>
    <t>Thành tiền
(đã có VAT)</t>
  </si>
  <si>
    <t>Chi phí quản lý dự án</t>
  </si>
  <si>
    <t>Chi phí khác</t>
  </si>
  <si>
    <t>4.1</t>
  </si>
  <si>
    <t>.</t>
  </si>
  <si>
    <t>4.2</t>
  </si>
  <si>
    <t>TỔNG CỘNG</t>
  </si>
  <si>
    <t>1.3</t>
  </si>
  <si>
    <t>Công dụng cụ &amp; Phụ kiện</t>
  </si>
  <si>
    <t>PHỤ LỤC 2:</t>
  </si>
  <si>
    <t>PHỤ LỤC 1: 
CHI PHÍ THIẾT BỊ</t>
  </si>
  <si>
    <t xml:space="preserve">                                       TỔNG CÔNG TY VHT</t>
  </si>
  <si>
    <t>Máy phân tích tín hiệu</t>
  </si>
  <si>
    <t>FSW26</t>
  </si>
  <si>
    <t>Đơn giá 
(VNĐ)</t>
  </si>
  <si>
    <t>ĐVT: VNĐ</t>
  </si>
  <si>
    <t>Chương 6/3GPP</t>
  </si>
  <si>
    <t>Yêu cầu</t>
  </si>
  <si>
    <t>Nội dung</t>
  </si>
  <si>
    <t>Máy phát tín hiệu</t>
  </si>
  <si>
    <t>Máy phát tín hiệu ghép nhiễu</t>
  </si>
  <si>
    <t>Chương 7/3GPP</t>
  </si>
  <si>
    <t>Chương 8/3GPP</t>
  </si>
  <si>
    <t>Hệ thống đo kiểm hiệu năng</t>
  </si>
  <si>
    <t>N5182B</t>
  </si>
  <si>
    <t>Đầu tư mới</t>
  </si>
  <si>
    <t>Nhu cầu cần 4 chiếc, trong đó đã có 2 chiếc và cần đầu tư mới 2 chiếc nữa</t>
  </si>
  <si>
    <t>Đo thu MIMO cho R&amp;D</t>
  </si>
  <si>
    <t>Đáp ứng Chương 6/3GPP</t>
  </si>
  <si>
    <t>Đáp ứng Chương 7/3GPP</t>
  </si>
  <si>
    <t>Đáp ứng Chương 8/3GPP</t>
  </si>
  <si>
    <t>Hãng Keysight</t>
  </si>
  <si>
    <t xml:space="preserve">Hãng R&amp;S </t>
  </si>
  <si>
    <t>Máy mới tương đương</t>
  </si>
  <si>
    <t>Đơn Giá 
mua mới
(VNĐ)</t>
  </si>
  <si>
    <t>N9020B</t>
  </si>
  <si>
    <t>Đã có sẵn 1 máy cũ cho đo kiểm 4G</t>
  </si>
  <si>
    <t xml:space="preserve">Hệ thống đo kiểm tuân theo chương 6,7 tiêu chuẩn 3GPP </t>
  </si>
  <si>
    <t>Mua mới bổ sung 1 máy phân tích tín hiệu</t>
  </si>
  <si>
    <t xml:space="preserve">Hệ thống đo kiểm tuân theo chương 8 tiêu chuẩn 3GPP </t>
  </si>
  <si>
    <t>* Hệ thống gồm 02 hệ đo kiểm chương 6,7 theo tiêu chuẩn 3GPP. 
* Mục đích: 01 hệ phục vụ đo kiểm HW và FPGA. 01 hệ phục vụ đo kiểm QA</t>
  </si>
  <si>
    <t>* Hệ thống bao gồm 01 hệ đo kiểm chương 8 theo tiêu chuẩn 3GPP. 
* Mục đích: Phục vụ đo kiểm Lớp L1</t>
  </si>
  <si>
    <t>2.1</t>
  </si>
  <si>
    <t>2.2</t>
  </si>
  <si>
    <t>3.2</t>
  </si>
  <si>
    <t>Nâng cấp thiết bị phục vụ đo kiểm R&amp;D</t>
  </si>
  <si>
    <t>Đơn giá ngoại tệ</t>
  </si>
  <si>
    <t>Nhà cung cấp 1</t>
  </si>
  <si>
    <t>Nhà cung cấp 2</t>
  </si>
  <si>
    <t>Comit</t>
  </si>
  <si>
    <t>TeraVN</t>
  </si>
  <si>
    <t>* Mục đích: Đo kiểm các chỉ tiêu tuyến phát theo tiêu chuẩn chương 6/3GPP và chỉ tiêu phát xạ giả thu theo tiêu chuẩn chương 7/3GPP.
* Chỉ tiêu kỹ thuật:
 + HW upgrade_N9020AK-MTP_Multi-touch User Interface
 + FW_upgrade_N9085EM0E_Ứng dụng đo kiểm 5G NR
 + Support: R-Y5C-001-A, R-Y5C-001-L : 12 tháng hỗ trợ 
* Báo giá ngày: 24/07/2019
Căn cứ theo báo giá của nhà cung cấp Asic: 988.974.000 vnđ</t>
  </si>
  <si>
    <t>* Mục đích: Nâng cấp thiết bị đo 4G lên chuẩn 5G, phục vụ đo kiểm các chỉ tiêu Massive MIMO 
* Chỉ tiêu kỹ thuật cơ bản: 
 + 5G NR/Pre-5G modulation analysis,
transportable perpetual license
 + SystemVue System Architect Perpetual bundle
license (Node-locked)
+ LTE-A Baseband Verification Library License
(Node-locked)
 +  MIMO Channel Builder License (Node-locked)
 + DPD Builder License (Node-locked)
 + 3G Baseband Verification Library License (Node-
locked)
+ 5G Baseband Verification Library for SystemVue element software license R-35B-001-A Node-
locked license
* Báo giá ngày: 24/07/2019
Căn cứ theo báo giá của nhà cung cấp Asic: 8.742.963.500 vnđ</t>
  </si>
  <si>
    <t>Asic</t>
  </si>
  <si>
    <t>NHU CẦU SỬ DỤNG VỐN THEO TIẾN ĐỘ DỰ KIẾN</t>
  </si>
  <si>
    <t>5.1</t>
  </si>
  <si>
    <t xml:space="preserve">SMW200A </t>
  </si>
  <si>
    <t>Mua mới
 tương đương</t>
  </si>
  <si>
    <t>Chi phí 
nâng cấp</t>
  </si>
  <si>
    <t>Chi phí 
mua mới</t>
  </si>
  <si>
    <t>Đo kiểm chương 6,7/3GPP</t>
  </si>
  <si>
    <t>Đo kiểm cho R&amp;D</t>
  </si>
  <si>
    <t>Đo kiểm cho chương 8/3GPP</t>
  </si>
  <si>
    <t>Đáp ứng Chương 6,7/3GPP</t>
  </si>
  <si>
    <t>Tổng theo quý</t>
  </si>
  <si>
    <t>Tổng dự án</t>
  </si>
  <si>
    <t>Nâng cấp Máy phân tích tín hiệu</t>
  </si>
  <si>
    <t xml:space="preserve">Nâng cấp Máy phát tín hiệu </t>
  </si>
  <si>
    <t>Nâng cấp máy phát SMW200A</t>
  </si>
  <si>
    <t>Chi phi thiết bị</t>
  </si>
  <si>
    <t>Hệ thống giả lập Core</t>
  </si>
  <si>
    <r>
      <t>Chi phí thiết bị (*):</t>
    </r>
    <r>
      <rPr>
        <sz val="13"/>
        <rFont val="Times New Roman"/>
        <family val="1"/>
      </rPr>
      <t xml:space="preserve"> Đã bao gồm chi phí thông quan, chí phí vận chuyển, chi phí lắp đặt và chi phí đào tạo.</t>
    </r>
  </si>
  <si>
    <t>Nhà cung cấp 3</t>
  </si>
  <si>
    <t>Công dụng cu đo kiểm</t>
  </si>
  <si>
    <t>Phụ kiện</t>
  </si>
  <si>
    <t>Thêm mới 04 module phát tín hiệu</t>
  </si>
  <si>
    <t>Nâng cấp máy phân tích tín hiệu dải tần 13 GHz</t>
  </si>
  <si>
    <t>Nâng cấp máy đo MIMO</t>
  </si>
  <si>
    <t>TeraVN/ Polaris
(Tham khảo)</t>
  </si>
  <si>
    <t xml:space="preserve">Nhà cung cấp </t>
  </si>
  <si>
    <t>* Mục đích: Nâng cấp thiết bị đo 4G lên chuẩn 5G, phục vụ đo kiểm các chỉ tiêu hiệu năng gNB theo tiêu chuẩn chương 8/3GPP
* Chỉ tiêu kỹ thuật cơ bản: Channel Emulation Solution, 6GHz, 8 TRx, 160MHz BW
* Báo giá ngày: 24/07/2019
Căn cứ theo báo giá của nhà cung cấp R&amp;S 1.058.400.500 vnđ</t>
  </si>
  <si>
    <t>* Mục đích: Đo kiểm các chỉ tiêu tuyến phát theo tiêu chuẩn chương 6/3GPP và chỉ tiêu phát xạ giả thu theo tiêu chuẩn chương 7/3GPP.
* Chỉ tiêu kỹ thuật cơ bản:
 + Dải tần: 10Hz - 13GHz
 + Tính năng phân tích thời gian thực
* Báo giá ngày: 24/07/2019 (Asic) và 10/07/2019 (R&amp;S)
Căn cứ theo báo giá thấp nhất của nhà cung cấp R&amp;S: 4.594.509.000 vnđ</t>
  </si>
  <si>
    <t>* Mục đích: Đo kiểm các chỉ tiêu hiệu năng gNB theo tiêu chuẩn chương 8/3GPP
* Chỉ tiêu kỹ thuật cơ bản: 
- Máy phát tín hiệu SMW200A: Channel Emulation Solution, 6GHz, 8 TRx, 160MHz BW
- 04 module phát tín hiệu: Mỗi module phát có tần số mở rộng lên tới 6GHz, kết nối băng gốc dạng số
* Báo giá ngày: 24/07/2019 (Asic) và 10/07/2019 (R&amp;S)
Căn cứ theo báo giá thấp nhất của nhà cung cấp R&amp;S: 
- Nâng cấp 01 máy phát SMW200A: 7.316.595.000 vnđ
- Đầu tư thêm mới 04 module phát tín hiệu: 4 x 856.764.000 vnđ</t>
  </si>
  <si>
    <t>* Mục đích: Đo kiểm các chỉ tiêu tuyến phát theo tiêu chuẩn chương 6/3GPP và chỉ tiêu tuyến thu theo tiêu chuẩn chương 7/3GPP.
* Mỗi hệ đo cần nâng cấp 02 máy phát N5182B, do đó để đáp ứng 02 hệ đo cần nâng cấp 04 máy phát N5182B. Do hiện trang mỗi máy đang sử dụng các option khác nhau nên khi nâng cấp sẽ khác nhau.
* Chỉ tiêu kỹ thuật:
 + License key: N5182BU_657 Tạo tín hiệu RF 160 MHz
 + License key: N5182BU_656 ARB baseband generator (80MHz RF bandwidth, 32 MSa)
 + PC Application license: N7631 APPC Signal Studio Pro for 5G NR 2019
 + Support: R-Y5C-001-A, R-Y5C-001-L : 12 tháng hỗ trợ 
* Báo giá ngày: 03/10/2019
Căn cứ theo báo giá của nhà cung cấp Asic: 
- Nâng cấp 01 máy N5281B MXG S/N MY57300543: 1.899.527.500
- Nâng cấp 01 máy N5281B MXG S/N MY57301303: 1.091.198.000
- Nâng cấp 02 máy N5281B MXG S/N MY57301293 và S/N MY57300712: 2 x 1.679.168.000</t>
  </si>
  <si>
    <t>Nt (Sau hs k)</t>
  </si>
  <si>
    <t>Nt (Trước hs k)</t>
  </si>
  <si>
    <t xml:space="preserve">* Mục đích: Giả lập hệ thống Core để đo kiểm khả năng đáp ứng lưu lượng, các giao thức truyền dữ liệu của gNB theo tiêu chuẩn 3GPP
* Chỉ tiêu kỹ thuật cơ bản: 
-Hỗ trợ 5G NSA Option 3/3a/3x
-Hỗ trợ tối thiểu 100 trạm (eNB + gNB) đồng thời
-Hỗ trợ 10k UE đồng thời
-Hỗ trợ 400TPS
-Hỗ trợ đồng thời 8 Bears/UE
-Hỗ trợ tối thiểu 10Gbps throughput (Control Plane + User Plane, cho cả Uplink + Downlink)
* Báo giá ngày: 16/08/2019 (Comit) 
Căn cứ theo báo giá của nhà cung cấp Tecotec: 8.136.000.000 vnđ </t>
  </si>
  <si>
    <t>VAT (VNĐ)</t>
  </si>
  <si>
    <t>Thành tiền (VAT)</t>
  </si>
  <si>
    <t>Đơn giá chưa VAT
(VNĐ)</t>
  </si>
  <si>
    <t>Thành Tiền chưa VAT (VNĐ)</t>
  </si>
  <si>
    <t>N9020B
(Tham khảo)</t>
  </si>
  <si>
    <t>Chi phí dự phòng</t>
  </si>
  <si>
    <t>Chi phí thiết bị (*)</t>
  </si>
  <si>
    <t>Mức đầu tư</t>
  </si>
  <si>
    <t>Thanh quyết toán</t>
  </si>
  <si>
    <t>Các mốc kế hoạch tương ứng</t>
  </si>
  <si>
    <t>Tổng cộng</t>
  </si>
  <si>
    <t>Tên máy/ thiết bị/ thành phần</t>
  </si>
  <si>
    <t xml:space="preserve">Đơn vị </t>
  </si>
  <si>
    <t>Tỷ suất VAT</t>
  </si>
  <si>
    <t>Thiết bị &gt;51% (kiểm toán = 70%, hệ số 0,7)</t>
  </si>
  <si>
    <t>Trường hợp dự án đã kiểm toán chi phí thẩm tra quyết toán bằng 50% (Hệ số 0,5)</t>
  </si>
  <si>
    <r>
      <t>N</t>
    </r>
    <r>
      <rPr>
        <b/>
        <sz val="10"/>
        <rFont val="Times New Roman"/>
        <family val="1"/>
      </rPr>
      <t>t</t>
    </r>
  </si>
  <si>
    <r>
      <t>G</t>
    </r>
    <r>
      <rPr>
        <b/>
        <sz val="10"/>
        <rFont val="Times New Roman"/>
        <family val="1"/>
      </rPr>
      <t>t</t>
    </r>
  </si>
  <si>
    <r>
      <t>G</t>
    </r>
    <r>
      <rPr>
        <b/>
        <sz val="10"/>
        <rFont val="Times New Roman"/>
        <family val="1"/>
      </rPr>
      <t>a</t>
    </r>
  </si>
  <si>
    <r>
      <t>G</t>
    </r>
    <r>
      <rPr>
        <b/>
        <sz val="10"/>
        <rFont val="Times New Roman"/>
        <family val="1"/>
      </rPr>
      <t>b</t>
    </r>
  </si>
  <si>
    <r>
      <t>N</t>
    </r>
    <r>
      <rPr>
        <b/>
        <sz val="10"/>
        <rFont val="Times New Roman"/>
        <family val="1"/>
      </rPr>
      <t>a</t>
    </r>
  </si>
  <si>
    <r>
      <t>Định mức chi phí tương ứng C</t>
    </r>
    <r>
      <rPr>
        <sz val="10"/>
        <rFont val="Times New Roman"/>
        <family val="1"/>
      </rPr>
      <t>a</t>
    </r>
  </si>
  <si>
    <r>
      <t>N</t>
    </r>
    <r>
      <rPr>
        <b/>
        <sz val="10"/>
        <rFont val="Times New Roman"/>
        <family val="1"/>
      </rPr>
      <t>b</t>
    </r>
  </si>
  <si>
    <r>
      <t>Định mức chi phí tương ứng C</t>
    </r>
    <r>
      <rPr>
        <sz val="10"/>
        <rFont val="Times New Roman"/>
        <family val="1"/>
      </rPr>
      <t>b</t>
    </r>
  </si>
  <si>
    <t>Tổng mức chi phí kiểm toán chưa gồm VAT</t>
  </si>
  <si>
    <t>Chi phí kiểm toán (chưa tính VAT)</t>
  </si>
  <si>
    <t>Ký kết hợp đồng</t>
  </si>
  <si>
    <t>Nâng cấp Lab Đo kiểm tương thích điện từ trường</t>
  </si>
  <si>
    <t>Quý I/2025</t>
  </si>
  <si>
    <r>
      <t>Chi phí dự phòng (**):</t>
    </r>
    <r>
      <rPr>
        <sz val="13"/>
        <rFont val="Times New Roman"/>
        <family val="1"/>
      </rPr>
      <t xml:space="preserve"> Dự phòng 5% cho phần phát sinh về trượt giá</t>
    </r>
  </si>
  <si>
    <t>Công ty CP thiết bị và dịch vụ công nghệ T&amp;M</t>
  </si>
  <si>
    <t>Rohde&amp;Schwarz Vietnam Co.,Ltd</t>
  </si>
  <si>
    <t>Công ty Cổ phần Công nghệ COMIT</t>
  </si>
  <si>
    <t>Công ty Elinco</t>
  </si>
  <si>
    <t>Công ty TNHH TM công nghệ và kỹ thuật TTS</t>
  </si>
  <si>
    <t>Thiết bị thử nghiệm môi trường kết hợp áp suất thấp (mô phỏng độ cao)</t>
  </si>
  <si>
    <t>Công ty TNHH Công nghiệp Techno Việt Nam</t>
  </si>
  <si>
    <t>Công ty cổ phần ITC</t>
  </si>
  <si>
    <t>Công ty  TNHH dịch vụ Công nghệ Micro Max Việt Nam</t>
  </si>
  <si>
    <t>Công ty Cổ phần TECOTEC Group</t>
  </si>
  <si>
    <t>1.4</t>
  </si>
  <si>
    <t>1.5</t>
  </si>
  <si>
    <t>Quý II/2025</t>
  </si>
  <si>
    <t>Quý IV/2025</t>
  </si>
  <si>
    <t>Hoàn thành lắp đặt</t>
  </si>
  <si>
    <t>Công trình hạ tầng kỹ thuật</t>
  </si>
  <si>
    <t>Vận dụng theo Thông tư số 12/2021/TT-BXD ngày 31/8/2021 của Bộ Xây dựng Ban hành định mức xây dựng</t>
  </si>
  <si>
    <t>Hệ số K (*) (**)</t>
  </si>
  <si>
    <t>(**) Tổng chi phí thiết bị chiếm tỷ trọng &gt;50% tổng mức đầu tư</t>
  </si>
  <si>
    <t>(*)   Chủ đầu tư sử dụng bộ máy chuyên môn trực thuộc để trực tiếp quản lý dựa án</t>
  </si>
  <si>
    <t>Quý II/2024</t>
  </si>
  <si>
    <t>Quý III/2025</t>
  </si>
  <si>
    <t>Chi phí thiết bị đo và dự phòng thiết bị đo</t>
  </si>
  <si>
    <t>Chi phí kiểm tra, thẩm tra quyết toán và dự phòng</t>
  </si>
  <si>
    <t>Chi phí quản lý dự án và dự phòng</t>
  </si>
  <si>
    <t>Bằng chữ: ...đồng./.</t>
  </si>
  <si>
    <t>ĐƠN VỊ THỰC HIỆN</t>
  </si>
  <si>
    <t>(Kèm theo Báo cáo đề xuất chủ trương đầu tư “Tên dự án”)</t>
  </si>
  <si>
    <t>(Kèm theo Báo cáo đề xuất chủ trương đầu tư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</si>
</sst>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8" formatCode="&quot;$&quot;#,##0.00_);[Red]\(&quot;$&quot;#,##0.00\)"/>
    <numFmt numFmtId="41" formatCode="_(* #,##0_);_(* \(#,##0\);_(* &quot;-&quot;_);_(@_)"/>
    <numFmt numFmtId="44" formatCode="_(&quot;$&quot;* #,##0.00_);_(&quot;$&quot;* \(#,##0.00\);_(&quot;$&quot;* &quot;-&quot;??_);_(@_)"/>
    <numFmt numFmtId="43" formatCode="_(* #,##0.00_);_(* \(#,##0.00\);_(* &quot;-&quot;??_);_(@_)"/>
    <numFmt numFmtId="164" formatCode="ddmmyyyy"/>
    <numFmt numFmtId="165" formatCode="_(* #,##0_);_(* \(#,##0\);_(* &quot;-&quot;??_);_(@_)"/>
    <numFmt numFmtId="166" formatCode="##,##0"/>
    <numFmt numFmtId="167" formatCode="_(* #,##0.00_);_(* \(#,##0.00\);_(* \-??_);_(@_)"/>
    <numFmt numFmtId="168" formatCode="#,##0.000"/>
    <numFmt numFmtId="169" formatCode="_-* #,##0.00\ _þ_-;\-* #,##0.00\ _þ_-;_-* &quot;-&quot;??\ _þ_-;_-@_-"/>
    <numFmt numFmtId="170" formatCode="[$VND]\ #,##0"/>
    <numFmt numFmtId="171" formatCode="#,##0.00000"/>
    <numFmt numFmtId="172" formatCode="_(* #,##0.0_);_(* \(#,##0.0\);_(* &quot;-&quot;??_);_(@_)"/>
  </numFmts>
  <fonts count="8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b/>
      <sz val="14"/>
      <color indexed="8"/>
      <name val="Arial"/>
      <family val="2"/>
    </font>
    <font>
      <sz val="10"/>
      <name val="Agilent TT Cond"/>
      <family val="2"/>
    </font>
    <font>
      <b/>
      <sz val="10"/>
      <name val="Arial"/>
      <family val="2"/>
    </font>
    <font>
      <sz val="10"/>
      <color indexed="8"/>
      <name val="Arial"/>
      <family val="2"/>
    </font>
    <font>
      <sz val="10"/>
      <color indexed="62"/>
      <name val="Arial"/>
      <family val="2"/>
    </font>
    <font>
      <b/>
      <sz val="10"/>
      <color indexed="8"/>
      <name val="Arial"/>
      <family val="2"/>
    </font>
    <font>
      <b/>
      <u/>
      <sz val="10"/>
      <name val="Arial"/>
      <family val="2"/>
    </font>
    <font>
      <b/>
      <sz val="10"/>
      <name val="Agilent TT Cond"/>
      <charset val="163"/>
    </font>
    <font>
      <b/>
      <sz val="10"/>
      <name val="Agilent TT Cond"/>
    </font>
    <font>
      <sz val="11"/>
      <color theme="1"/>
      <name val="Calibri"/>
      <family val="2"/>
      <scheme val="minor"/>
    </font>
    <font>
      <b/>
      <sz val="10"/>
      <color theme="1"/>
      <name val="Arial"/>
      <family val="2"/>
    </font>
    <font>
      <sz val="10"/>
      <color theme="1"/>
      <name val="Arial"/>
      <family val="2"/>
    </font>
    <font>
      <b/>
      <sz val="9"/>
      <color theme="1"/>
      <name val="Arial"/>
      <family val="2"/>
    </font>
    <font>
      <b/>
      <sz val="9"/>
      <color rgb="FF000000"/>
      <name val="Arial"/>
      <family val="2"/>
    </font>
    <font>
      <sz val="9"/>
      <name val="Arial"/>
      <family val="2"/>
    </font>
    <font>
      <sz val="9"/>
      <color theme="1"/>
      <name val="Arial"/>
      <family val="2"/>
    </font>
    <font>
      <sz val="9"/>
      <color rgb="FF000000"/>
      <name val="Arial"/>
      <family val="2"/>
    </font>
    <font>
      <b/>
      <sz val="9"/>
      <name val="Arial"/>
      <family val="2"/>
    </font>
    <font>
      <b/>
      <sz val="10"/>
      <name val="Agilent TT Cond"/>
      <family val="2"/>
    </font>
    <font>
      <b/>
      <i/>
      <sz val="9"/>
      <color rgb="FF000000"/>
      <name val="Arial"/>
      <family val="2"/>
    </font>
    <font>
      <b/>
      <sz val="11"/>
      <color theme="1"/>
      <name val="Calibri"/>
      <family val="2"/>
      <scheme val="minor"/>
    </font>
    <font>
      <sz val="11"/>
      <color theme="1"/>
      <name val="Times New Roman"/>
      <family val="1"/>
    </font>
    <font>
      <sz val="14"/>
      <name val="Times New Roman"/>
      <family val="1"/>
    </font>
    <font>
      <b/>
      <sz val="11"/>
      <color rgb="FFFF0000"/>
      <name val="Calibri"/>
      <family val="2"/>
      <scheme val="minor"/>
    </font>
    <font>
      <b/>
      <sz val="11"/>
      <color theme="1"/>
      <name val="Times New Roman"/>
      <family val="1"/>
    </font>
    <font>
      <sz val="10"/>
      <name val="Times New Roman"/>
      <family val="1"/>
    </font>
    <font>
      <b/>
      <sz val="10"/>
      <name val="Times New Roman"/>
      <family val="1"/>
    </font>
    <font>
      <sz val="11"/>
      <color rgb="FFFF0000"/>
      <name val="Times New Roman"/>
      <family val="1"/>
    </font>
    <font>
      <sz val="11"/>
      <name val="Times New Roman"/>
      <family val="1"/>
    </font>
    <font>
      <b/>
      <sz val="11"/>
      <name val="Times New Roman"/>
      <family val="1"/>
    </font>
    <font>
      <sz val="10"/>
      <name val="Arial"/>
      <family val="2"/>
    </font>
    <font>
      <sz val="12"/>
      <color theme="1"/>
      <name val="Times New Roman"/>
      <family val="1"/>
    </font>
    <font>
      <sz val="11"/>
      <name val="Calibri"/>
      <family val="2"/>
      <scheme val="minor"/>
    </font>
    <font>
      <sz val="25"/>
      <name val="Times New Roman"/>
      <family val="1"/>
    </font>
    <font>
      <u/>
      <sz val="11"/>
      <color theme="10"/>
      <name val="Calibri"/>
      <family val="2"/>
      <scheme val="minor"/>
    </font>
    <font>
      <sz val="14"/>
      <color theme="1"/>
      <name val="Calibri"/>
      <family val="2"/>
      <scheme val="minor"/>
    </font>
    <font>
      <b/>
      <sz val="14"/>
      <color theme="1"/>
      <name val="Times New Roman"/>
      <family val="1"/>
    </font>
    <font>
      <b/>
      <sz val="12"/>
      <color theme="1"/>
      <name val="Times New Roman"/>
      <family val="1"/>
    </font>
    <font>
      <b/>
      <sz val="20"/>
      <color theme="1"/>
      <name val="Times New Roman"/>
      <family val="1"/>
    </font>
    <font>
      <sz val="20"/>
      <color theme="1"/>
      <name val="Times New Roman"/>
      <family val="1"/>
    </font>
    <font>
      <sz val="16"/>
      <color theme="1"/>
      <name val="Calibri"/>
      <family val="2"/>
      <scheme val="minor"/>
    </font>
    <font>
      <sz val="11"/>
      <color rgb="FF00B050"/>
      <name val="Times New Roman"/>
      <family val="1"/>
    </font>
    <font>
      <u/>
      <sz val="11"/>
      <color theme="10"/>
      <name val="Times New Roman"/>
      <family val="1"/>
    </font>
    <font>
      <sz val="11"/>
      <color rgb="FF0070C0"/>
      <name val="Times New Roman"/>
      <family val="1"/>
    </font>
    <font>
      <b/>
      <sz val="14"/>
      <name val="Times New Roman"/>
      <family val="1"/>
    </font>
    <font>
      <b/>
      <sz val="12"/>
      <name val="Times New Roman"/>
      <family val="1"/>
    </font>
    <font>
      <sz val="10"/>
      <name val="Arial"/>
      <family val="2"/>
    </font>
    <font>
      <sz val="13"/>
      <name val="Times New Roman"/>
      <family val="1"/>
    </font>
    <font>
      <b/>
      <sz val="13"/>
      <name val="Times New Roman"/>
      <family val="1"/>
    </font>
    <font>
      <b/>
      <sz val="10"/>
      <color theme="1"/>
      <name val="Times New Roman"/>
      <family val="1"/>
    </font>
    <font>
      <sz val="10"/>
      <color theme="1"/>
      <name val="Times New Roman"/>
      <family val="1"/>
    </font>
    <font>
      <b/>
      <sz val="9"/>
      <color indexed="81"/>
      <name val="Tahoma"/>
      <family val="2"/>
    </font>
    <font>
      <sz val="12"/>
      <name val="Times New Roman"/>
      <family val="1"/>
    </font>
    <font>
      <i/>
      <sz val="13"/>
      <name val="Times New Roman"/>
      <family val="1"/>
    </font>
    <font>
      <sz val="11"/>
      <color indexed="8"/>
      <name val="Arial"/>
      <family val="2"/>
    </font>
    <font>
      <i/>
      <sz val="12"/>
      <name val="Times New Roman"/>
      <family val="1"/>
    </font>
    <font>
      <sz val="8.25"/>
      <name val="Microsoft Sans Serif"/>
      <family val="2"/>
      <charset val="163"/>
    </font>
    <font>
      <sz val="11"/>
      <color theme="1"/>
      <name val="Calibri"/>
      <family val="2"/>
      <charset val="163"/>
      <scheme val="minor"/>
    </font>
    <font>
      <sz val="10"/>
      <color rgb="FF000000"/>
      <name val="Arial"/>
      <family val="2"/>
    </font>
    <font>
      <b/>
      <sz val="12"/>
      <color rgb="FFFF0000"/>
      <name val="Times New Roman"/>
      <family val="1"/>
    </font>
    <font>
      <b/>
      <sz val="14"/>
      <color rgb="FFFF0000"/>
      <name val="Times New Roman"/>
      <family val="1"/>
    </font>
    <font>
      <b/>
      <sz val="12"/>
      <color theme="0"/>
      <name val="Times New Roman"/>
      <family val="1"/>
    </font>
    <font>
      <b/>
      <sz val="10"/>
      <color theme="0"/>
      <name val="Times New Roman"/>
      <family val="1"/>
    </font>
    <font>
      <sz val="12"/>
      <color theme="0"/>
      <name val="Times New Roman"/>
      <family val="1"/>
    </font>
    <font>
      <sz val="10"/>
      <color theme="0"/>
      <name val="Times New Roman"/>
      <family val="1"/>
    </font>
    <font>
      <b/>
      <sz val="13"/>
      <color theme="2" tint="-0.249977111117893"/>
      <name val="Times New Roman"/>
      <family val="1"/>
    </font>
    <font>
      <b/>
      <sz val="13"/>
      <color theme="0" tint="-0.249977111117893"/>
      <name val="Times New Roman"/>
      <family val="1"/>
    </font>
    <font>
      <i/>
      <sz val="13"/>
      <color theme="0" tint="-0.249977111117893"/>
      <name val="Times New Roman"/>
      <family val="1"/>
    </font>
    <font>
      <b/>
      <i/>
      <sz val="13"/>
      <color theme="0" tint="-0.249977111117893"/>
      <name val="Times New Roman"/>
      <family val="1"/>
    </font>
    <font>
      <b/>
      <sz val="13"/>
      <color theme="0" tint="-0.34998626667073579"/>
      <name val="Times New Roman"/>
      <family val="1"/>
    </font>
    <font>
      <sz val="13"/>
      <color theme="1"/>
      <name val="Times New Roman"/>
      <family val="1"/>
    </font>
    <font>
      <b/>
      <i/>
      <sz val="13"/>
      <name val="Times New Roman"/>
      <family val="1"/>
    </font>
  </fonts>
  <fills count="24">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6" tint="0.39997558519241921"/>
        <bgColor indexed="64"/>
      </patternFill>
    </fill>
    <fill>
      <patternFill patternType="solid">
        <fgColor rgb="FF92D050"/>
        <bgColor indexed="64"/>
      </patternFill>
    </fill>
    <fill>
      <patternFill patternType="solid">
        <fgColor theme="4" tint="0.59999389629810485"/>
        <bgColor indexed="64"/>
      </patternFill>
    </fill>
    <fill>
      <patternFill patternType="solid">
        <fgColor theme="6"/>
        <bgColor indexed="64"/>
      </patternFill>
    </fill>
    <fill>
      <patternFill patternType="solid">
        <fgColor theme="8"/>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4"/>
        <bgColor indexed="64"/>
      </patternFill>
    </fill>
    <fill>
      <patternFill patternType="solid">
        <fgColor theme="8" tint="0.79998168889431442"/>
        <bgColor indexed="64"/>
      </patternFill>
    </fill>
  </fills>
  <borders count="30">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bottom style="thin">
        <color indexed="64"/>
      </bottom>
      <diagonal/>
    </border>
    <border>
      <left style="thin">
        <color indexed="64"/>
      </left>
      <right/>
      <top/>
      <bottom style="medium">
        <color indexed="64"/>
      </bottom>
      <diagonal/>
    </border>
    <border>
      <left style="thin">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indexed="64"/>
      </right>
      <top/>
      <bottom/>
      <diagonal/>
    </border>
  </borders>
  <cellStyleXfs count="92">
    <xf numFmtId="170" fontId="0" fillId="0" borderId="0"/>
    <xf numFmtId="43" fontId="12" fillId="0" borderId="0" applyFont="0" applyFill="0" applyBorder="0" applyAlignment="0" applyProtection="0"/>
    <xf numFmtId="170" fontId="24" fillId="0" borderId="0"/>
    <xf numFmtId="170" fontId="11" fillId="0" borderId="0"/>
    <xf numFmtId="43" fontId="11" fillId="0" borderId="0" applyFont="0" applyFill="0" applyBorder="0" applyAlignment="0" applyProtection="0"/>
    <xf numFmtId="170" fontId="12" fillId="0" borderId="0"/>
    <xf numFmtId="170" fontId="10" fillId="0" borderId="0"/>
    <xf numFmtId="9" fontId="12" fillId="0" borderId="0" applyFont="0" applyFill="0" applyBorder="0" applyAlignment="0" applyProtection="0"/>
    <xf numFmtId="170" fontId="10" fillId="0" borderId="0"/>
    <xf numFmtId="43" fontId="10" fillId="0" borderId="0" applyFont="0" applyFill="0" applyBorder="0" applyAlignment="0" applyProtection="0"/>
    <xf numFmtId="170" fontId="12" fillId="0" borderId="0"/>
    <xf numFmtId="170" fontId="9"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4" fontId="45" fillId="0" borderId="0" applyFont="0" applyFill="0" applyBorder="0" applyAlignment="0" applyProtection="0"/>
    <xf numFmtId="170" fontId="12" fillId="0" borderId="0"/>
    <xf numFmtId="170" fontId="7" fillId="0" borderId="0"/>
    <xf numFmtId="170" fontId="7" fillId="0" borderId="0"/>
    <xf numFmtId="43" fontId="7" fillId="0" borderId="0" applyFont="0" applyFill="0" applyBorder="0" applyAlignment="0" applyProtection="0"/>
    <xf numFmtId="170" fontId="12" fillId="0" borderId="0"/>
    <xf numFmtId="170" fontId="7" fillId="0" borderId="0"/>
    <xf numFmtId="170" fontId="7" fillId="0" borderId="0"/>
    <xf numFmtId="43" fontId="7" fillId="0" borderId="0" applyFont="0" applyFill="0" applyBorder="0" applyAlignment="0" applyProtection="0"/>
    <xf numFmtId="170" fontId="7" fillId="0" borderId="0"/>
    <xf numFmtId="170" fontId="7" fillId="0" borderId="0"/>
    <xf numFmtId="170" fontId="49" fillId="0" borderId="0" applyNumberFormat="0" applyFill="0" applyBorder="0" applyAlignment="0" applyProtection="0"/>
    <xf numFmtId="41" fontId="61" fillId="0" borderId="0" applyFont="0" applyFill="0" applyBorder="0" applyAlignment="0" applyProtection="0"/>
    <xf numFmtId="43" fontId="12" fillId="0" borderId="0" applyFont="0" applyFill="0" applyBorder="0" applyAlignment="0" applyProtection="0"/>
    <xf numFmtId="43" fontId="69" fillId="0" borderId="0" applyFont="0" applyFill="0" applyBorder="0" applyAlignment="0" applyProtection="0"/>
    <xf numFmtId="43" fontId="12" fillId="0" borderId="0" applyFont="0" applyFill="0" applyBorder="0" applyAlignment="0" applyProtection="0"/>
    <xf numFmtId="170" fontId="12" fillId="0" borderId="0">
      <alignment vertical="top"/>
    </xf>
    <xf numFmtId="43" fontId="6" fillId="0" borderId="0" applyFont="0" applyFill="0" applyBorder="0" applyAlignment="0" applyProtection="0"/>
    <xf numFmtId="9" fontId="12" fillId="0" borderId="0" applyFont="0" applyFill="0" applyBorder="0" applyAlignment="0" applyProtection="0"/>
    <xf numFmtId="170" fontId="12" fillId="0" borderId="0"/>
    <xf numFmtId="170" fontId="6" fillId="0" borderId="0"/>
    <xf numFmtId="170" fontId="12" fillId="0" borderId="0"/>
    <xf numFmtId="169" fontId="71" fillId="0" borderId="0" applyNumberFormat="0">
      <protection locked="0"/>
    </xf>
    <xf numFmtId="170" fontId="72" fillId="0" borderId="0"/>
    <xf numFmtId="167" fontId="12" fillId="0" borderId="0" applyFill="0" applyBorder="0" applyAlignment="0" applyProtection="0"/>
    <xf numFmtId="170" fontId="12" fillId="0" borderId="0"/>
    <xf numFmtId="170" fontId="5" fillId="0" borderId="0"/>
    <xf numFmtId="43" fontId="5" fillId="0" borderId="0" applyFont="0" applyFill="0" applyBorder="0" applyAlignment="0" applyProtection="0"/>
    <xf numFmtId="44" fontId="5" fillId="0" borderId="0" applyFont="0" applyFill="0" applyBorder="0" applyAlignment="0" applyProtection="0"/>
    <xf numFmtId="170" fontId="5" fillId="0" borderId="0"/>
    <xf numFmtId="170" fontId="4" fillId="0" borderId="0"/>
    <xf numFmtId="170" fontId="4" fillId="0" borderId="0"/>
    <xf numFmtId="43" fontId="4" fillId="0" borderId="0" applyFont="0" applyFill="0" applyBorder="0" applyAlignment="0" applyProtection="0"/>
    <xf numFmtId="170" fontId="4" fillId="0" borderId="0"/>
    <xf numFmtId="170" fontId="4" fillId="0" borderId="0"/>
    <xf numFmtId="43" fontId="4" fillId="0" borderId="0" applyFont="0" applyFill="0" applyBorder="0" applyAlignment="0" applyProtection="0"/>
    <xf numFmtId="170" fontId="4" fillId="0" borderId="0"/>
    <xf numFmtId="170" fontId="4" fillId="0" borderId="0"/>
    <xf numFmtId="170" fontId="4" fillId="0" borderId="0"/>
    <xf numFmtId="43" fontId="4" fillId="0" borderId="0" applyFont="0" applyFill="0" applyBorder="0" applyAlignment="0" applyProtection="0"/>
    <xf numFmtId="170" fontId="4" fillId="0" borderId="0"/>
    <xf numFmtId="170" fontId="4" fillId="0" borderId="0"/>
    <xf numFmtId="43" fontId="4" fillId="0" borderId="0" applyFont="0" applyFill="0" applyBorder="0" applyAlignment="0" applyProtection="0"/>
    <xf numFmtId="170" fontId="4" fillId="0" borderId="0"/>
    <xf numFmtId="170" fontId="4" fillId="0" borderId="0"/>
    <xf numFmtId="44" fontId="12" fillId="0" borderId="0" applyFont="0" applyFill="0" applyBorder="0" applyAlignment="0" applyProtection="0"/>
    <xf numFmtId="170" fontId="4" fillId="0" borderId="0"/>
    <xf numFmtId="170" fontId="4" fillId="0" borderId="0"/>
    <xf numFmtId="43" fontId="4" fillId="0" borderId="0" applyFont="0" applyFill="0" applyBorder="0" applyAlignment="0" applyProtection="0"/>
    <xf numFmtId="170" fontId="4" fillId="0" borderId="0"/>
    <xf numFmtId="170" fontId="4" fillId="0" borderId="0"/>
    <xf numFmtId="43" fontId="4" fillId="0" borderId="0" applyFont="0" applyFill="0" applyBorder="0" applyAlignment="0" applyProtection="0"/>
    <xf numFmtId="170" fontId="4" fillId="0" borderId="0"/>
    <xf numFmtId="170" fontId="4" fillId="0" borderId="0"/>
    <xf numFmtId="41" fontId="12" fillId="0" borderId="0" applyFont="0" applyFill="0" applyBorder="0" applyAlignment="0" applyProtection="0"/>
    <xf numFmtId="43" fontId="4" fillId="0" borderId="0" applyFont="0" applyFill="0" applyBorder="0" applyAlignment="0" applyProtection="0"/>
    <xf numFmtId="170" fontId="4" fillId="0" borderId="0"/>
    <xf numFmtId="170" fontId="3" fillId="0" borderId="0"/>
    <xf numFmtId="43" fontId="3" fillId="0" borderId="0" applyFont="0" applyFill="0" applyBorder="0" applyAlignment="0" applyProtection="0"/>
    <xf numFmtId="44" fontId="3" fillId="0" borderId="0" applyFont="0" applyFill="0" applyBorder="0" applyAlignment="0" applyProtection="0"/>
    <xf numFmtId="170" fontId="3" fillId="0" borderId="0"/>
    <xf numFmtId="17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2" fillId="0" borderId="0"/>
    <xf numFmtId="43" fontId="2" fillId="0" borderId="0" applyFont="0" applyFill="0" applyBorder="0" applyAlignment="0" applyProtection="0"/>
    <xf numFmtId="0" fontId="1" fillId="0" borderId="0"/>
    <xf numFmtId="43" fontId="1" fillId="0" borderId="0" applyFont="0" applyFill="0" applyBorder="0" applyAlignment="0" applyProtection="0"/>
  </cellStyleXfs>
  <cellXfs count="1012">
    <xf numFmtId="170" fontId="0" fillId="0" borderId="0" xfId="0"/>
    <xf numFmtId="170" fontId="14" fillId="0" borderId="0" xfId="0" applyFont="1" applyAlignment="1">
      <alignment horizontal="left" vertical="top"/>
    </xf>
    <xf numFmtId="170" fontId="14" fillId="0" borderId="0" xfId="0" applyFont="1"/>
    <xf numFmtId="170" fontId="15" fillId="0" borderId="0" xfId="0" applyFont="1" applyBorder="1" applyAlignment="1">
      <alignment horizontal="left" vertical="top"/>
    </xf>
    <xf numFmtId="170" fontId="16" fillId="0" borderId="0" xfId="0" applyFont="1"/>
    <xf numFmtId="170" fontId="17" fillId="0" borderId="0" xfId="0" applyFont="1" applyBorder="1" applyAlignment="1">
      <alignment horizontal="center"/>
    </xf>
    <xf numFmtId="170" fontId="18" fillId="0" borderId="1" xfId="0" applyFont="1" applyBorder="1" applyAlignment="1">
      <alignment vertical="center"/>
    </xf>
    <xf numFmtId="170" fontId="16" fillId="0" borderId="2" xfId="0" applyFont="1" applyBorder="1" applyAlignment="1">
      <alignment vertical="center"/>
    </xf>
    <xf numFmtId="170" fontId="18" fillId="0" borderId="3" xfId="0" applyFont="1" applyBorder="1" applyAlignment="1">
      <alignment vertical="center"/>
    </xf>
    <xf numFmtId="170" fontId="16" fillId="0" borderId="4" xfId="0" applyFont="1" applyBorder="1" applyAlignment="1">
      <alignment vertical="center"/>
    </xf>
    <xf numFmtId="164" fontId="18" fillId="0" borderId="5" xfId="0" applyNumberFormat="1" applyFont="1" applyBorder="1" applyAlignment="1">
      <alignment horizontal="left" vertical="top" wrapText="1"/>
    </xf>
    <xf numFmtId="164" fontId="18" fillId="0" borderId="0" xfId="0" applyNumberFormat="1" applyFont="1" applyBorder="1" applyAlignment="1">
      <alignment vertical="top" wrapText="1"/>
    </xf>
    <xf numFmtId="170" fontId="18" fillId="0" borderId="6" xfId="0" applyFont="1" applyBorder="1" applyAlignment="1">
      <alignment vertical="top"/>
    </xf>
    <xf numFmtId="170" fontId="14" fillId="0" borderId="7" xfId="0" quotePrefix="1" applyNumberFormat="1" applyFont="1" applyBorder="1" applyAlignment="1">
      <alignment horizontal="left"/>
    </xf>
    <xf numFmtId="170" fontId="14" fillId="0" borderId="7" xfId="0" applyNumberFormat="1" applyFont="1" applyBorder="1" applyAlignment="1">
      <alignment horizontal="left"/>
    </xf>
    <xf numFmtId="170" fontId="16" fillId="0" borderId="8" xfId="0" applyFont="1" applyBorder="1"/>
    <xf numFmtId="170" fontId="17" fillId="0" borderId="0" xfId="0" applyFont="1" applyAlignment="1">
      <alignment horizontal="left" vertical="top"/>
    </xf>
    <xf numFmtId="170" fontId="17" fillId="0" borderId="0" xfId="0" applyFont="1" applyAlignment="1">
      <alignment vertical="top"/>
    </xf>
    <xf numFmtId="170" fontId="17" fillId="0" borderId="0" xfId="0" applyFont="1" applyAlignment="1">
      <alignment horizontal="center" vertical="top"/>
    </xf>
    <xf numFmtId="170" fontId="14" fillId="0" borderId="0" xfId="0" applyFont="1" applyAlignment="1">
      <alignment vertical="top"/>
    </xf>
    <xf numFmtId="170" fontId="17" fillId="0" borderId="1" xfId="0" applyFont="1" applyBorder="1" applyAlignment="1">
      <alignment horizontal="left" vertical="center"/>
    </xf>
    <xf numFmtId="170" fontId="19" fillId="0" borderId="2" xfId="0" applyFont="1" applyBorder="1" applyAlignment="1">
      <alignment vertical="center"/>
    </xf>
    <xf numFmtId="170" fontId="17" fillId="0" borderId="2" xfId="0" applyFont="1" applyBorder="1" applyAlignment="1">
      <alignment vertical="center"/>
    </xf>
    <xf numFmtId="170" fontId="17" fillId="0" borderId="1" xfId="0" applyFont="1" applyBorder="1" applyAlignment="1">
      <alignment vertical="center"/>
    </xf>
    <xf numFmtId="170" fontId="17" fillId="0" borderId="4" xfId="0" applyFont="1" applyBorder="1" applyAlignment="1">
      <alignment vertical="center"/>
    </xf>
    <xf numFmtId="170" fontId="16" fillId="0" borderId="0" xfId="0" applyFont="1" applyAlignment="1">
      <alignment vertical="center"/>
    </xf>
    <xf numFmtId="170" fontId="14" fillId="0" borderId="0" xfId="0" applyFont="1" applyBorder="1" applyAlignment="1">
      <alignment vertical="center"/>
    </xf>
    <xf numFmtId="170" fontId="14" fillId="0" borderId="10" xfId="0" applyFont="1" applyBorder="1" applyAlignment="1">
      <alignment vertical="center"/>
    </xf>
    <xf numFmtId="170" fontId="16" fillId="0" borderId="0" xfId="0" applyFont="1" applyBorder="1" applyAlignment="1">
      <alignment vertical="center"/>
    </xf>
    <xf numFmtId="170" fontId="14" fillId="0" borderId="11" xfId="0" applyFont="1" applyBorder="1" applyAlignment="1">
      <alignment vertical="center"/>
    </xf>
    <xf numFmtId="170" fontId="16" fillId="0" borderId="11" xfId="0" applyFont="1" applyBorder="1" applyAlignment="1">
      <alignment vertical="center"/>
    </xf>
    <xf numFmtId="170" fontId="14" fillId="0" borderId="12" xfId="0" applyFont="1" applyFill="1" applyBorder="1" applyAlignment="1">
      <alignment vertical="center"/>
    </xf>
    <xf numFmtId="170" fontId="14" fillId="0" borderId="0" xfId="0" applyFont="1" applyAlignment="1">
      <alignment horizontal="center"/>
    </xf>
    <xf numFmtId="170" fontId="17" fillId="0" borderId="1" xfId="0" applyFont="1" applyBorder="1" applyAlignment="1">
      <alignment horizontal="left" vertical="top"/>
    </xf>
    <xf numFmtId="170" fontId="14" fillId="0" borderId="2" xfId="0" applyFont="1" applyBorder="1" applyAlignment="1">
      <alignment vertical="top"/>
    </xf>
    <xf numFmtId="170" fontId="14" fillId="0" borderId="9" xfId="0" applyFont="1" applyBorder="1" applyAlignment="1">
      <alignment horizontal="left" vertical="top"/>
    </xf>
    <xf numFmtId="170" fontId="14" fillId="0" borderId="0" xfId="0" applyFont="1" applyBorder="1" applyAlignment="1">
      <alignment vertical="top"/>
    </xf>
    <xf numFmtId="170" fontId="14" fillId="0" borderId="11" xfId="0" applyFont="1" applyBorder="1" applyAlignment="1">
      <alignment vertical="top"/>
    </xf>
    <xf numFmtId="170" fontId="16" fillId="0" borderId="0" xfId="0" applyFont="1" applyAlignment="1">
      <alignment vertical="top"/>
    </xf>
    <xf numFmtId="165" fontId="17" fillId="0" borderId="13" xfId="1" applyNumberFormat="1" applyFont="1" applyFill="1" applyBorder="1" applyAlignment="1">
      <alignment horizontal="right" vertical="top" wrapText="1"/>
    </xf>
    <xf numFmtId="170" fontId="21" fillId="0" borderId="0" xfId="0" applyFont="1" applyAlignment="1">
      <alignment horizontal="left" vertical="top"/>
    </xf>
    <xf numFmtId="170" fontId="14" fillId="0" borderId="0" xfId="0" quotePrefix="1" applyFont="1" applyAlignment="1">
      <alignment horizontal="left" vertical="top"/>
    </xf>
    <xf numFmtId="170" fontId="17" fillId="0" borderId="0" xfId="0" quotePrefix="1" applyFont="1" applyAlignment="1">
      <alignment horizontal="left" vertical="top"/>
    </xf>
    <xf numFmtId="170" fontId="22" fillId="0" borderId="0" xfId="0" applyFont="1" applyAlignment="1">
      <alignment horizontal="left" vertical="top"/>
    </xf>
    <xf numFmtId="170" fontId="16" fillId="0" borderId="0" xfId="0" applyFont="1" applyAlignment="1">
      <alignment horizontal="center"/>
    </xf>
    <xf numFmtId="170" fontId="16" fillId="0" borderId="0" xfId="0" applyFont="1" applyAlignment="1">
      <alignment horizontal="left" vertical="top"/>
    </xf>
    <xf numFmtId="165" fontId="12" fillId="0" borderId="13" xfId="1" applyNumberFormat="1" applyFont="1" applyFill="1" applyBorder="1" applyAlignment="1">
      <alignment horizontal="right" vertical="top" wrapText="1"/>
    </xf>
    <xf numFmtId="170" fontId="12" fillId="0" borderId="0" xfId="0" applyFont="1" applyAlignment="1">
      <alignment horizontal="left" vertical="top"/>
    </xf>
    <xf numFmtId="170" fontId="12" fillId="0" borderId="0" xfId="0" applyFont="1"/>
    <xf numFmtId="170" fontId="12" fillId="0" borderId="0" xfId="0" applyFont="1" applyAlignment="1">
      <alignment horizontal="center"/>
    </xf>
    <xf numFmtId="170" fontId="23" fillId="0" borderId="0" xfId="0" applyFont="1" applyAlignment="1">
      <alignment horizontal="center"/>
    </xf>
    <xf numFmtId="170" fontId="23" fillId="0" borderId="0" xfId="0" applyFont="1"/>
    <xf numFmtId="170" fontId="12" fillId="0" borderId="5" xfId="0" applyFont="1" applyBorder="1" applyAlignment="1">
      <alignment horizontal="left" vertical="center"/>
    </xf>
    <xf numFmtId="170" fontId="12" fillId="0" borderId="9" xfId="0" applyFont="1" applyBorder="1" applyAlignment="1">
      <alignment vertical="center"/>
    </xf>
    <xf numFmtId="170" fontId="12" fillId="0" borderId="5" xfId="0" applyFont="1" applyBorder="1" applyAlignment="1">
      <alignment horizontal="left" vertical="top"/>
    </xf>
    <xf numFmtId="170" fontId="12" fillId="0" borderId="5" xfId="0" applyFont="1" applyFill="1" applyBorder="1" applyAlignment="1">
      <alignment vertical="center"/>
    </xf>
    <xf numFmtId="170" fontId="12" fillId="0" borderId="0" xfId="0" quotePrefix="1" applyFont="1" applyAlignment="1">
      <alignment horizontal="left" vertical="top"/>
    </xf>
    <xf numFmtId="49" fontId="17" fillId="2" borderId="13" xfId="1" applyNumberFormat="1" applyFont="1" applyFill="1" applyBorder="1" applyAlignment="1">
      <alignment horizontal="center" vertical="center" wrapText="1"/>
    </xf>
    <xf numFmtId="165" fontId="17" fillId="2" borderId="13" xfId="1" applyNumberFormat="1" applyFont="1" applyFill="1" applyBorder="1" applyAlignment="1">
      <alignment horizontal="center" vertical="center" wrapText="1"/>
    </xf>
    <xf numFmtId="49" fontId="20" fillId="2" borderId="13" xfId="1" applyNumberFormat="1" applyFont="1" applyFill="1" applyBorder="1" applyAlignment="1">
      <alignment horizontal="center" vertical="center" wrapText="1"/>
    </xf>
    <xf numFmtId="170" fontId="17" fillId="0" borderId="0" xfId="10" applyFont="1" applyFill="1"/>
    <xf numFmtId="170" fontId="12" fillId="0" borderId="9" xfId="10" applyFont="1" applyBorder="1" applyAlignment="1">
      <alignment vertical="center"/>
    </xf>
    <xf numFmtId="170" fontId="16" fillId="0" borderId="0" xfId="0" applyFont="1" applyFill="1"/>
    <xf numFmtId="170" fontId="33" fillId="0" borderId="0" xfId="0" applyFont="1"/>
    <xf numFmtId="170" fontId="17" fillId="4" borderId="0" xfId="10" applyFont="1" applyFill="1"/>
    <xf numFmtId="170" fontId="33" fillId="0" borderId="0" xfId="0" applyFont="1" applyFill="1"/>
    <xf numFmtId="170" fontId="33" fillId="4" borderId="0" xfId="0" applyFont="1" applyFill="1"/>
    <xf numFmtId="49" fontId="27" fillId="4" borderId="13" xfId="2" applyNumberFormat="1" applyFont="1" applyFill="1" applyBorder="1" applyAlignment="1" applyProtection="1">
      <alignment horizontal="center" vertical="top"/>
    </xf>
    <xf numFmtId="43" fontId="32" fillId="4" borderId="13" xfId="1" applyFont="1" applyFill="1" applyBorder="1" applyAlignment="1" applyProtection="1">
      <alignment horizontal="center" vertical="top"/>
      <protection locked="0"/>
    </xf>
    <xf numFmtId="165" fontId="17" fillId="4" borderId="13" xfId="1" quotePrefix="1" applyNumberFormat="1" applyFont="1" applyFill="1" applyBorder="1" applyAlignment="1">
      <alignment horizontal="right" vertical="top" wrapText="1"/>
    </xf>
    <xf numFmtId="166" fontId="17" fillId="4" borderId="13" xfId="10" applyNumberFormat="1" applyFont="1" applyFill="1" applyBorder="1" applyAlignment="1">
      <alignment horizontal="center" vertical="top"/>
    </xf>
    <xf numFmtId="165" fontId="17" fillId="4" borderId="13" xfId="1" applyNumberFormat="1" applyFont="1" applyFill="1" applyBorder="1" applyAlignment="1">
      <alignment horizontal="right" vertical="top" wrapText="1"/>
    </xf>
    <xf numFmtId="49" fontId="30" fillId="0" borderId="13" xfId="2" quotePrefix="1" applyNumberFormat="1" applyFont="1" applyFill="1" applyBorder="1" applyAlignment="1" applyProtection="1">
      <alignment horizontal="center" vertical="top"/>
    </xf>
    <xf numFmtId="170" fontId="31" fillId="0" borderId="13" xfId="10" applyFont="1" applyFill="1" applyBorder="1" applyAlignment="1" applyProtection="1">
      <alignment vertical="top" wrapText="1"/>
      <protection locked="0"/>
    </xf>
    <xf numFmtId="43" fontId="29" fillId="0" borderId="13" xfId="1" applyFont="1" applyFill="1" applyBorder="1" applyAlignment="1" applyProtection="1">
      <alignment horizontal="center" vertical="top"/>
      <protection locked="0"/>
    </xf>
    <xf numFmtId="165" fontId="12" fillId="0" borderId="13" xfId="1" quotePrefix="1" applyNumberFormat="1" applyFont="1" applyFill="1" applyBorder="1" applyAlignment="1">
      <alignment horizontal="right" vertical="top" wrapText="1"/>
    </xf>
    <xf numFmtId="166" fontId="12" fillId="0" borderId="13" xfId="10" applyNumberFormat="1" applyFont="1" applyFill="1" applyBorder="1" applyAlignment="1">
      <alignment horizontal="center" vertical="top"/>
    </xf>
    <xf numFmtId="49" fontId="30" fillId="0" borderId="13" xfId="2" applyNumberFormat="1" applyFont="1" applyFill="1" applyBorder="1" applyAlignment="1" applyProtection="1">
      <alignment horizontal="center" vertical="top"/>
    </xf>
    <xf numFmtId="49" fontId="27" fillId="0" borderId="13" xfId="2" applyNumberFormat="1" applyFont="1" applyFill="1" applyBorder="1" applyAlignment="1" applyProtection="1">
      <alignment horizontal="center" vertical="top"/>
    </xf>
    <xf numFmtId="43" fontId="32" fillId="0" borderId="13" xfId="1" applyFont="1" applyFill="1" applyBorder="1" applyAlignment="1" applyProtection="1">
      <alignment horizontal="center" vertical="top"/>
      <protection locked="0"/>
    </xf>
    <xf numFmtId="49" fontId="27" fillId="4" borderId="13" xfId="2" quotePrefix="1" applyNumberFormat="1" applyFont="1" applyFill="1" applyBorder="1" applyAlignment="1" applyProtection="1">
      <alignment horizontal="center" vertical="top"/>
    </xf>
    <xf numFmtId="3" fontId="29" fillId="0" borderId="13" xfId="1" applyNumberFormat="1" applyFont="1" applyFill="1" applyBorder="1" applyAlignment="1">
      <alignment horizontal="right" vertical="center" wrapText="1"/>
    </xf>
    <xf numFmtId="3" fontId="32" fillId="4" borderId="13" xfId="1" applyNumberFormat="1" applyFont="1" applyFill="1" applyBorder="1" applyAlignment="1">
      <alignment horizontal="right" vertical="center" wrapText="1"/>
    </xf>
    <xf numFmtId="49" fontId="27" fillId="0" borderId="13" xfId="2" quotePrefix="1" applyNumberFormat="1" applyFont="1" applyFill="1" applyBorder="1" applyAlignment="1" applyProtection="1">
      <alignment horizontal="center" vertical="top"/>
    </xf>
    <xf numFmtId="3" fontId="32" fillId="0" borderId="13" xfId="1" applyNumberFormat="1" applyFont="1" applyFill="1" applyBorder="1" applyAlignment="1">
      <alignment horizontal="right" vertical="center" wrapText="1"/>
    </xf>
    <xf numFmtId="165" fontId="17" fillId="0" borderId="13" xfId="1" quotePrefix="1" applyNumberFormat="1" applyFont="1" applyFill="1" applyBorder="1" applyAlignment="1">
      <alignment horizontal="right" vertical="top" wrapText="1"/>
    </xf>
    <xf numFmtId="166" fontId="17" fillId="0" borderId="13" xfId="10" applyNumberFormat="1" applyFont="1" applyFill="1" applyBorder="1" applyAlignment="1">
      <alignment horizontal="center" vertical="top"/>
    </xf>
    <xf numFmtId="170" fontId="18" fillId="0" borderId="13" xfId="0" applyFont="1" applyBorder="1" applyAlignment="1">
      <alignment horizontal="left" vertical="top"/>
    </xf>
    <xf numFmtId="170" fontId="17" fillId="0" borderId="13" xfId="0" quotePrefix="1" applyFont="1" applyBorder="1" applyAlignment="1">
      <alignment vertical="center"/>
    </xf>
    <xf numFmtId="170" fontId="12" fillId="0" borderId="13" xfId="0" applyFont="1" applyBorder="1" applyAlignment="1">
      <alignment vertical="center"/>
    </xf>
    <xf numFmtId="170" fontId="18" fillId="0" borderId="13" xfId="0" applyFont="1" applyBorder="1" applyAlignment="1">
      <alignment horizontal="center" vertical="center" wrapText="1"/>
    </xf>
    <xf numFmtId="43" fontId="12" fillId="0" borderId="13" xfId="1" applyFont="1" applyBorder="1" applyAlignment="1">
      <alignment horizontal="right" vertical="center" wrapText="1"/>
    </xf>
    <xf numFmtId="1" fontId="25" fillId="0" borderId="13" xfId="1" applyNumberFormat="1" applyFont="1" applyFill="1" applyBorder="1" applyAlignment="1">
      <alignment horizontal="right" vertical="center"/>
    </xf>
    <xf numFmtId="1" fontId="26" fillId="0" borderId="13" xfId="1" applyNumberFormat="1" applyFont="1" applyBorder="1" applyAlignment="1">
      <alignment horizontal="right" vertical="center"/>
    </xf>
    <xf numFmtId="170" fontId="18" fillId="0" borderId="13" xfId="0" applyFont="1" applyFill="1" applyBorder="1" applyAlignment="1">
      <alignment horizontal="left" vertical="top"/>
    </xf>
    <xf numFmtId="170" fontId="17" fillId="0" borderId="13" xfId="0" quotePrefix="1" applyFont="1" applyFill="1" applyBorder="1" applyAlignment="1">
      <alignment vertical="center"/>
    </xf>
    <xf numFmtId="170" fontId="12" fillId="0" borderId="13" xfId="0" applyFont="1" applyFill="1" applyBorder="1" applyAlignment="1">
      <alignment vertical="center"/>
    </xf>
    <xf numFmtId="170" fontId="18" fillId="0" borderId="13" xfId="0" applyFont="1" applyFill="1" applyBorder="1" applyAlignment="1">
      <alignment horizontal="center" vertical="center" wrapText="1"/>
    </xf>
    <xf numFmtId="43" fontId="12" fillId="0" borderId="13" xfId="1" applyFont="1" applyFill="1" applyBorder="1" applyAlignment="1">
      <alignment horizontal="right" vertical="center" wrapText="1"/>
    </xf>
    <xf numFmtId="170" fontId="28" fillId="0" borderId="13" xfId="10" applyFont="1" applyFill="1" applyBorder="1" applyAlignment="1" applyProtection="1">
      <alignment vertical="top" wrapText="1"/>
      <protection locked="0"/>
    </xf>
    <xf numFmtId="170" fontId="34" fillId="0" borderId="13" xfId="10" applyFont="1" applyFill="1" applyBorder="1" applyAlignment="1" applyProtection="1">
      <alignment vertical="top" wrapText="1"/>
      <protection locked="0"/>
    </xf>
    <xf numFmtId="165" fontId="17" fillId="3" borderId="13" xfId="1" quotePrefix="1" applyNumberFormat="1" applyFont="1" applyFill="1" applyBorder="1" applyAlignment="1">
      <alignment horizontal="right" vertical="top" wrapText="1"/>
    </xf>
    <xf numFmtId="165" fontId="17" fillId="3" borderId="13" xfId="1" applyNumberFormat="1" applyFont="1" applyFill="1" applyBorder="1" applyAlignment="1">
      <alignment horizontal="right" vertical="top" wrapText="1"/>
    </xf>
    <xf numFmtId="170" fontId="0" fillId="0" borderId="0" xfId="0" applyAlignment="1">
      <alignment horizontal="center"/>
    </xf>
    <xf numFmtId="170" fontId="0" fillId="0" borderId="0" xfId="0" applyAlignment="1">
      <alignment horizontal="center" vertical="center"/>
    </xf>
    <xf numFmtId="170" fontId="40" fillId="0" borderId="0" xfId="0" applyFont="1"/>
    <xf numFmtId="170" fontId="40" fillId="0" borderId="13" xfId="0" applyFont="1" applyFill="1" applyBorder="1" applyAlignment="1">
      <alignment horizontal="left" vertical="center"/>
    </xf>
    <xf numFmtId="170" fontId="40" fillId="0" borderId="13" xfId="0" applyFont="1" applyBorder="1"/>
    <xf numFmtId="170" fontId="40" fillId="0" borderId="13" xfId="0" applyFont="1" applyBorder="1" applyAlignment="1">
      <alignment horizontal="left" vertical="center" wrapText="1"/>
    </xf>
    <xf numFmtId="3" fontId="44" fillId="0" borderId="13" xfId="0" applyNumberFormat="1" applyFont="1" applyFill="1" applyBorder="1" applyAlignment="1">
      <alignment horizontal="right" vertical="center"/>
    </xf>
    <xf numFmtId="3" fontId="43" fillId="0" borderId="13" xfId="0" applyNumberFormat="1" applyFont="1" applyFill="1" applyBorder="1" applyAlignment="1">
      <alignment horizontal="right" vertical="center"/>
    </xf>
    <xf numFmtId="3" fontId="43" fillId="13" borderId="13" xfId="0" applyNumberFormat="1" applyFont="1" applyFill="1" applyBorder="1" applyAlignment="1">
      <alignment horizontal="right" vertical="center"/>
    </xf>
    <xf numFmtId="170" fontId="43" fillId="0" borderId="0" xfId="0" applyNumberFormat="1" applyFont="1"/>
    <xf numFmtId="170" fontId="43" fillId="0" borderId="0" xfId="0" applyNumberFormat="1" applyFont="1" applyAlignment="1">
      <alignment horizontal="center" vertical="center"/>
    </xf>
    <xf numFmtId="170" fontId="43" fillId="0" borderId="0" xfId="0" applyNumberFormat="1" applyFont="1" applyAlignment="1">
      <alignment horizontal="right" vertical="center"/>
    </xf>
    <xf numFmtId="170" fontId="44" fillId="0" borderId="0" xfId="0" applyNumberFormat="1" applyFont="1" applyAlignment="1">
      <alignment horizontal="right" vertical="center"/>
    </xf>
    <xf numFmtId="170" fontId="44" fillId="8" borderId="13" xfId="0" applyNumberFormat="1" applyFont="1" applyFill="1" applyBorder="1" applyAlignment="1">
      <alignment vertical="center" wrapText="1"/>
    </xf>
    <xf numFmtId="170" fontId="39" fillId="7" borderId="13" xfId="0" applyNumberFormat="1" applyFont="1" applyFill="1" applyBorder="1" applyAlignment="1">
      <alignment horizontal="center" vertical="center"/>
    </xf>
    <xf numFmtId="170" fontId="39" fillId="7" borderId="13" xfId="0" applyNumberFormat="1" applyFont="1" applyFill="1" applyBorder="1" applyAlignment="1">
      <alignment horizontal="center" vertical="center" wrapText="1"/>
    </xf>
    <xf numFmtId="170" fontId="39" fillId="12" borderId="13" xfId="0" applyNumberFormat="1" applyFont="1" applyFill="1" applyBorder="1" applyAlignment="1">
      <alignment horizontal="center" vertical="center"/>
    </xf>
    <xf numFmtId="170" fontId="39" fillId="12" borderId="13" xfId="0" applyNumberFormat="1" applyFont="1" applyFill="1" applyBorder="1" applyAlignment="1">
      <alignment horizontal="center" vertical="center" wrapText="1"/>
    </xf>
    <xf numFmtId="170" fontId="39" fillId="10" borderId="13" xfId="0" applyNumberFormat="1" applyFont="1" applyFill="1" applyBorder="1" applyAlignment="1">
      <alignment horizontal="center" vertical="center"/>
    </xf>
    <xf numFmtId="170" fontId="39" fillId="10" borderId="13" xfId="0" applyNumberFormat="1" applyFont="1" applyFill="1" applyBorder="1" applyAlignment="1">
      <alignment horizontal="center" vertical="center" wrapText="1"/>
    </xf>
    <xf numFmtId="170" fontId="39" fillId="11" borderId="13" xfId="0" applyNumberFormat="1" applyFont="1" applyFill="1" applyBorder="1" applyAlignment="1">
      <alignment horizontal="center" vertical="center"/>
    </xf>
    <xf numFmtId="170" fontId="39" fillId="11" borderId="13" xfId="0" applyNumberFormat="1" applyFont="1" applyFill="1" applyBorder="1" applyAlignment="1">
      <alignment horizontal="center" vertical="center" wrapText="1"/>
    </xf>
    <xf numFmtId="170" fontId="39" fillId="14" borderId="13" xfId="0" applyNumberFormat="1" applyFont="1" applyFill="1" applyBorder="1" applyAlignment="1">
      <alignment horizontal="center" vertical="center" wrapText="1"/>
    </xf>
    <xf numFmtId="170" fontId="43" fillId="13" borderId="13" xfId="0" applyNumberFormat="1" applyFont="1" applyFill="1" applyBorder="1" applyAlignment="1">
      <alignment horizontal="left" vertical="center"/>
    </xf>
    <xf numFmtId="170" fontId="43" fillId="13" borderId="13" xfId="0" applyNumberFormat="1" applyFont="1" applyFill="1" applyBorder="1" applyAlignment="1">
      <alignment horizontal="center" vertical="center"/>
    </xf>
    <xf numFmtId="170" fontId="43" fillId="0" borderId="13" xfId="0" applyNumberFormat="1" applyFont="1" applyFill="1" applyBorder="1" applyAlignment="1">
      <alignment horizontal="center" vertical="center"/>
    </xf>
    <xf numFmtId="170" fontId="43" fillId="0" borderId="13" xfId="0" applyNumberFormat="1" applyFont="1" applyBorder="1"/>
    <xf numFmtId="170" fontId="43" fillId="0" borderId="13" xfId="0" applyNumberFormat="1" applyFont="1" applyFill="1" applyBorder="1" applyAlignment="1">
      <alignment horizontal="left" vertical="center"/>
    </xf>
    <xf numFmtId="170" fontId="43" fillId="13" borderId="13" xfId="0" applyNumberFormat="1" applyFont="1" applyFill="1" applyBorder="1" applyAlignment="1">
      <alignment horizontal="left" vertical="center" wrapText="1"/>
    </xf>
    <xf numFmtId="170" fontId="43" fillId="0" borderId="13" xfId="0" applyNumberFormat="1" applyFont="1" applyBorder="1" applyAlignment="1">
      <alignment horizontal="left" vertical="center" wrapText="1"/>
    </xf>
    <xf numFmtId="170" fontId="43" fillId="0" borderId="13" xfId="0" applyNumberFormat="1" applyFont="1" applyFill="1" applyBorder="1" applyAlignment="1">
      <alignment vertical="center"/>
    </xf>
    <xf numFmtId="170" fontId="44" fillId="0" borderId="13" xfId="0" applyNumberFormat="1" applyFont="1" applyFill="1" applyBorder="1" applyAlignment="1">
      <alignment vertical="center"/>
    </xf>
    <xf numFmtId="170" fontId="43" fillId="0" borderId="13" xfId="0" applyNumberFormat="1" applyFont="1" applyFill="1" applyBorder="1"/>
    <xf numFmtId="170" fontId="43" fillId="0" borderId="13" xfId="0" applyNumberFormat="1" applyFont="1" applyFill="1" applyBorder="1" applyAlignment="1">
      <alignment horizontal="center" vertical="center"/>
    </xf>
    <xf numFmtId="170" fontId="43" fillId="0" borderId="13" xfId="0" applyNumberFormat="1" applyFont="1" applyFill="1" applyBorder="1" applyAlignment="1">
      <alignment horizontal="center" vertical="center" wrapText="1"/>
    </xf>
    <xf numFmtId="170" fontId="44" fillId="0" borderId="13" xfId="0" applyNumberFormat="1" applyFont="1" applyFill="1" applyBorder="1" applyAlignment="1">
      <alignment horizontal="center" vertical="center"/>
    </xf>
    <xf numFmtId="170" fontId="44" fillId="0" borderId="13" xfId="0" applyNumberFormat="1" applyFont="1" applyFill="1" applyBorder="1"/>
    <xf numFmtId="3" fontId="44" fillId="13" borderId="13" xfId="0" applyNumberFormat="1" applyFont="1" applyFill="1" applyBorder="1" applyAlignment="1">
      <alignment horizontal="right" vertical="center"/>
    </xf>
    <xf numFmtId="3" fontId="44" fillId="0" borderId="8" xfId="0" applyNumberFormat="1" applyFont="1" applyFill="1" applyBorder="1" applyAlignment="1">
      <alignment horizontal="right" vertical="center"/>
    </xf>
    <xf numFmtId="170" fontId="43" fillId="0" borderId="0" xfId="0" applyNumberFormat="1" applyFont="1" applyAlignment="1">
      <alignment horizontal="center"/>
    </xf>
    <xf numFmtId="170" fontId="43" fillId="0" borderId="0" xfId="0" applyNumberFormat="1" applyFont="1"/>
    <xf numFmtId="170" fontId="39" fillId="5" borderId="13" xfId="0" applyNumberFormat="1" applyFont="1" applyFill="1" applyBorder="1" applyAlignment="1">
      <alignment horizontal="center" vertical="center"/>
    </xf>
    <xf numFmtId="170" fontId="43" fillId="0" borderId="13" xfId="0" applyNumberFormat="1" applyFont="1" applyFill="1" applyBorder="1" applyAlignment="1">
      <alignment horizontal="center" vertical="center"/>
    </xf>
    <xf numFmtId="170" fontId="43" fillId="0" borderId="13" xfId="0" applyNumberFormat="1" applyFont="1" applyFill="1" applyBorder="1" applyAlignment="1">
      <alignment vertical="center"/>
    </xf>
    <xf numFmtId="170" fontId="43" fillId="0" borderId="0" xfId="0" applyNumberFormat="1" applyFont="1" applyAlignment="1">
      <alignment horizontal="center" vertical="center"/>
    </xf>
    <xf numFmtId="170" fontId="39" fillId="7" borderId="13" xfId="0" applyNumberFormat="1" applyFont="1" applyFill="1" applyBorder="1" applyAlignment="1">
      <alignment horizontal="center" vertical="center" wrapText="1"/>
    </xf>
    <xf numFmtId="170" fontId="39" fillId="10" borderId="13" xfId="0" applyNumberFormat="1" applyFont="1" applyFill="1" applyBorder="1" applyAlignment="1">
      <alignment horizontal="center" vertical="center" wrapText="1"/>
    </xf>
    <xf numFmtId="170" fontId="43" fillId="13" borderId="13" xfId="0" applyNumberFormat="1" applyFont="1" applyFill="1" applyBorder="1" applyAlignment="1">
      <alignment horizontal="center" vertical="center"/>
    </xf>
    <xf numFmtId="170" fontId="39" fillId="12" borderId="13" xfId="0" applyNumberFormat="1" applyFont="1" applyFill="1" applyBorder="1" applyAlignment="1">
      <alignment horizontal="center" vertical="center" wrapText="1"/>
    </xf>
    <xf numFmtId="170" fontId="39" fillId="11" borderId="13" xfId="0" applyNumberFormat="1" applyFont="1" applyFill="1" applyBorder="1" applyAlignment="1">
      <alignment horizontal="center" vertical="center" wrapText="1"/>
    </xf>
    <xf numFmtId="170" fontId="43" fillId="13" borderId="13" xfId="0" applyNumberFormat="1" applyFont="1" applyFill="1" applyBorder="1" applyAlignment="1">
      <alignment horizontal="left" vertical="center" wrapText="1"/>
    </xf>
    <xf numFmtId="170" fontId="44" fillId="0" borderId="13" xfId="0" applyNumberFormat="1" applyFont="1" applyFill="1" applyBorder="1" applyAlignment="1">
      <alignment horizontal="center" vertical="center"/>
    </xf>
    <xf numFmtId="170" fontId="39" fillId="14" borderId="13" xfId="0" applyNumberFormat="1" applyFont="1" applyFill="1" applyBorder="1" applyAlignment="1">
      <alignment horizontal="center" vertical="center" wrapText="1"/>
    </xf>
    <xf numFmtId="170" fontId="43" fillId="9" borderId="3" xfId="0" applyNumberFormat="1" applyFont="1" applyFill="1" applyBorder="1" applyAlignment="1">
      <alignment vertical="center"/>
    </xf>
    <xf numFmtId="170" fontId="43" fillId="9" borderId="13" xfId="0" applyNumberFormat="1" applyFont="1" applyFill="1" applyBorder="1" applyAlignment="1">
      <alignment horizontal="center" vertical="center"/>
    </xf>
    <xf numFmtId="170" fontId="43" fillId="15" borderId="0" xfId="0" applyNumberFormat="1" applyFont="1" applyFill="1" applyBorder="1" applyAlignment="1">
      <alignment vertical="center"/>
    </xf>
    <xf numFmtId="170" fontId="43" fillId="9" borderId="13" xfId="0" applyNumberFormat="1" applyFont="1" applyFill="1" applyBorder="1" applyAlignment="1">
      <alignment vertical="center"/>
    </xf>
    <xf numFmtId="170" fontId="0" fillId="0" borderId="0" xfId="0" applyNumberFormat="1" applyAlignment="1">
      <alignment horizontal="center" vertical="center"/>
    </xf>
    <xf numFmtId="170" fontId="43" fillId="0" borderId="0" xfId="0" applyNumberFormat="1" applyFont="1" applyAlignment="1">
      <alignment wrapText="1"/>
    </xf>
    <xf numFmtId="44" fontId="43" fillId="0" borderId="0" xfId="20" applyFont="1"/>
    <xf numFmtId="170" fontId="43" fillId="0" borderId="0" xfId="0" applyNumberFormat="1" applyFont="1"/>
    <xf numFmtId="170" fontId="0" fillId="0" borderId="13" xfId="0" applyBorder="1" applyAlignment="1">
      <alignment vertical="center" wrapText="1"/>
    </xf>
    <xf numFmtId="170" fontId="42" fillId="0" borderId="0" xfId="0" applyNumberFormat="1" applyFont="1"/>
    <xf numFmtId="170" fontId="43" fillId="0" borderId="13" xfId="0" quotePrefix="1" applyNumberFormat="1" applyFont="1" applyFill="1" applyBorder="1" applyAlignment="1">
      <alignment horizontal="left" vertical="center" wrapText="1"/>
    </xf>
    <xf numFmtId="170" fontId="42" fillId="0" borderId="13" xfId="0" applyNumberFormat="1" applyFont="1" applyFill="1" applyBorder="1" applyAlignment="1">
      <alignment horizontal="center" vertical="center"/>
    </xf>
    <xf numFmtId="170" fontId="42" fillId="0" borderId="13" xfId="0" applyNumberFormat="1" applyFont="1" applyFill="1" applyBorder="1" applyAlignment="1">
      <alignment horizontal="center" vertical="center"/>
    </xf>
    <xf numFmtId="170" fontId="42" fillId="0" borderId="13" xfId="0" applyNumberFormat="1" applyFont="1" applyFill="1" applyBorder="1" applyAlignment="1">
      <alignment horizontal="left" vertical="center"/>
    </xf>
    <xf numFmtId="170" fontId="43" fillId="0" borderId="13" xfId="0" applyNumberFormat="1" applyFont="1" applyFill="1" applyBorder="1" applyAlignment="1">
      <alignment horizontal="left" vertical="center" wrapText="1"/>
    </xf>
    <xf numFmtId="170" fontId="43" fillId="0" borderId="13" xfId="0" applyNumberFormat="1" applyFont="1" applyFill="1" applyBorder="1" applyAlignment="1">
      <alignment vertical="center" wrapText="1"/>
    </xf>
    <xf numFmtId="170" fontId="43" fillId="0" borderId="13" xfId="0" quotePrefix="1" applyNumberFormat="1" applyFont="1" applyFill="1" applyBorder="1" applyAlignment="1">
      <alignment vertical="center" wrapText="1"/>
    </xf>
    <xf numFmtId="3" fontId="43" fillId="0" borderId="13" xfId="0" quotePrefix="1" applyNumberFormat="1" applyFont="1" applyFill="1" applyBorder="1" applyAlignment="1">
      <alignment horizontal="left" vertical="center" wrapText="1"/>
    </xf>
    <xf numFmtId="170" fontId="43" fillId="0" borderId="13" xfId="0" applyNumberFormat="1" applyFont="1" applyFill="1" applyBorder="1" applyAlignment="1">
      <alignment horizontal="right" vertical="center"/>
    </xf>
    <xf numFmtId="170" fontId="42" fillId="0" borderId="13" xfId="0" applyNumberFormat="1" applyFont="1" applyFill="1" applyBorder="1" applyAlignment="1">
      <alignment horizontal="center" vertical="center" wrapText="1"/>
    </xf>
    <xf numFmtId="3" fontId="42" fillId="0" borderId="13" xfId="0" applyNumberFormat="1" applyFont="1" applyFill="1" applyBorder="1" applyAlignment="1">
      <alignment horizontal="right" vertical="center"/>
    </xf>
    <xf numFmtId="170" fontId="42" fillId="0" borderId="13" xfId="0" applyNumberFormat="1" applyFont="1" applyFill="1" applyBorder="1"/>
    <xf numFmtId="170" fontId="42" fillId="16" borderId="13" xfId="0" applyNumberFormat="1" applyFont="1" applyFill="1" applyBorder="1" applyAlignment="1">
      <alignment horizontal="center" vertical="center" wrapText="1"/>
    </xf>
    <xf numFmtId="170" fontId="43" fillId="16" borderId="13" xfId="0" applyNumberFormat="1" applyFont="1" applyFill="1" applyBorder="1" applyAlignment="1">
      <alignment horizontal="center" vertical="center" wrapText="1"/>
    </xf>
    <xf numFmtId="170" fontId="42" fillId="16" borderId="13" xfId="0" applyNumberFormat="1" applyFont="1" applyFill="1" applyBorder="1" applyAlignment="1">
      <alignment vertical="center" wrapText="1"/>
    </xf>
    <xf numFmtId="170" fontId="43" fillId="0" borderId="0" xfId="0" applyNumberFormat="1" applyFont="1" applyFill="1" applyAlignment="1">
      <alignment vertical="center" wrapText="1"/>
    </xf>
    <xf numFmtId="3" fontId="43" fillId="0" borderId="13" xfId="0" applyNumberFormat="1" applyFont="1" applyFill="1" applyBorder="1" applyAlignment="1">
      <alignment horizontal="right" vertical="center" wrapText="1"/>
    </xf>
    <xf numFmtId="170" fontId="43" fillId="0" borderId="0" xfId="0" applyNumberFormat="1" applyFont="1" applyAlignment="1">
      <alignment horizontal="center" vertical="center" wrapText="1"/>
    </xf>
    <xf numFmtId="170" fontId="44" fillId="0" borderId="13" xfId="0" applyNumberFormat="1" applyFont="1" applyFill="1" applyBorder="1" applyAlignment="1">
      <alignment horizontal="center" vertical="center" wrapText="1"/>
    </xf>
    <xf numFmtId="170" fontId="43" fillId="0" borderId="13" xfId="0" applyNumberFormat="1" applyFont="1" applyBorder="1" applyAlignment="1">
      <alignment horizontal="center" vertical="center" wrapText="1"/>
    </xf>
    <xf numFmtId="170" fontId="43" fillId="0" borderId="13" xfId="0" applyNumberFormat="1" applyFont="1" applyBorder="1" applyAlignment="1">
      <alignment horizontal="center" vertical="center"/>
    </xf>
    <xf numFmtId="170" fontId="48" fillId="0" borderId="0" xfId="0" applyNumberFormat="1" applyFont="1" applyAlignment="1">
      <alignment vertical="center" wrapText="1"/>
    </xf>
    <xf numFmtId="170" fontId="43" fillId="0" borderId="3" xfId="0" applyNumberFormat="1" applyFont="1" applyFill="1" applyBorder="1" applyAlignment="1">
      <alignment horizontal="center" vertical="center"/>
    </xf>
    <xf numFmtId="170" fontId="47" fillId="3" borderId="13" xfId="21" applyFont="1" applyFill="1" applyBorder="1" applyAlignment="1">
      <alignment vertical="center"/>
    </xf>
    <xf numFmtId="3" fontId="43" fillId="0" borderId="13" xfId="0" applyNumberFormat="1" applyFont="1" applyFill="1" applyBorder="1" applyAlignment="1">
      <alignment horizontal="center" vertical="center"/>
    </xf>
    <xf numFmtId="170" fontId="43" fillId="13" borderId="13" xfId="0" applyNumberFormat="1" applyFont="1" applyFill="1" applyBorder="1" applyAlignment="1">
      <alignment horizontal="center" vertical="center" wrapText="1"/>
    </xf>
    <xf numFmtId="170" fontId="43" fillId="0" borderId="13" xfId="0" quotePrefix="1" applyNumberFormat="1" applyFont="1" applyFill="1" applyBorder="1" applyAlignment="1">
      <alignment horizontal="center" vertical="center" wrapText="1"/>
    </xf>
    <xf numFmtId="170" fontId="0" fillId="0" borderId="13" xfId="0" applyBorder="1"/>
    <xf numFmtId="170" fontId="0" fillId="0" borderId="13" xfId="0" applyBorder="1" applyAlignment="1">
      <alignment wrapText="1"/>
    </xf>
    <xf numFmtId="170" fontId="0" fillId="0" borderId="13" xfId="0" applyBorder="1" applyAlignment="1">
      <alignment vertical="center"/>
    </xf>
    <xf numFmtId="170" fontId="0" fillId="0" borderId="13" xfId="0" applyBorder="1" applyAlignment="1">
      <alignment horizontal="left" vertical="center" wrapText="1"/>
    </xf>
    <xf numFmtId="170" fontId="0" fillId="0" borderId="13" xfId="0" applyBorder="1" applyAlignment="1">
      <alignment horizontal="left" vertical="center"/>
    </xf>
    <xf numFmtId="170" fontId="35" fillId="3" borderId="3" xfId="0" applyFont="1" applyFill="1" applyBorder="1" applyAlignment="1">
      <alignment horizontal="center" vertical="center"/>
    </xf>
    <xf numFmtId="170" fontId="35" fillId="3" borderId="3" xfId="0" applyFont="1" applyFill="1" applyBorder="1"/>
    <xf numFmtId="170" fontId="39" fillId="17" borderId="13" xfId="0" applyFont="1" applyFill="1" applyBorder="1" applyAlignment="1">
      <alignment horizontal="center" vertical="center"/>
    </xf>
    <xf numFmtId="170" fontId="39" fillId="17" borderId="13" xfId="0" applyFont="1" applyFill="1" applyBorder="1" applyAlignment="1">
      <alignment vertical="center" wrapText="1"/>
    </xf>
    <xf numFmtId="170" fontId="0" fillId="17" borderId="13" xfId="0" applyFill="1" applyBorder="1"/>
    <xf numFmtId="170" fontId="0" fillId="0" borderId="13" xfId="0" applyNumberFormat="1" applyBorder="1" applyAlignment="1">
      <alignment horizontal="left" vertical="center"/>
    </xf>
    <xf numFmtId="170" fontId="50" fillId="0" borderId="13" xfId="0" applyFont="1" applyBorder="1" applyAlignment="1">
      <alignment vertical="center"/>
    </xf>
    <xf numFmtId="170" fontId="36" fillId="0" borderId="13" xfId="0" applyFont="1" applyBorder="1" applyAlignment="1">
      <alignment horizontal="left" vertical="center" wrapText="1"/>
    </xf>
    <xf numFmtId="170" fontId="51" fillId="0" borderId="13" xfId="0" applyFont="1" applyBorder="1" applyAlignment="1">
      <alignment vertical="center" wrapText="1"/>
    </xf>
    <xf numFmtId="170" fontId="38" fillId="0" borderId="13" xfId="0" applyFont="1" applyBorder="1"/>
    <xf numFmtId="170" fontId="39" fillId="17" borderId="13" xfId="0" applyFont="1" applyFill="1" applyBorder="1" applyAlignment="1">
      <alignment vertical="center"/>
    </xf>
    <xf numFmtId="170" fontId="35" fillId="17" borderId="13" xfId="0" applyFont="1" applyFill="1" applyBorder="1"/>
    <xf numFmtId="170" fontId="35" fillId="17" borderId="13" xfId="0" applyFont="1" applyFill="1" applyBorder="1" applyAlignment="1">
      <alignment wrapText="1"/>
    </xf>
    <xf numFmtId="170" fontId="46" fillId="0" borderId="13" xfId="0" applyFont="1" applyBorder="1" applyAlignment="1">
      <alignment horizontal="center" vertical="center"/>
    </xf>
    <xf numFmtId="170" fontId="52" fillId="0" borderId="13" xfId="0" applyFont="1" applyBorder="1" applyAlignment="1">
      <alignment vertical="center" wrapText="1"/>
    </xf>
    <xf numFmtId="170" fontId="46" fillId="0" borderId="13" xfId="0" applyFont="1" applyBorder="1" applyAlignment="1">
      <alignment vertical="center"/>
    </xf>
    <xf numFmtId="44" fontId="46" fillId="0" borderId="13" xfId="20" applyFont="1" applyBorder="1" applyAlignment="1">
      <alignment vertical="center"/>
    </xf>
    <xf numFmtId="170" fontId="46" fillId="0" borderId="13" xfId="0" applyFont="1" applyBorder="1" applyAlignment="1">
      <alignment vertical="center" wrapText="1"/>
    </xf>
    <xf numFmtId="170" fontId="46" fillId="0" borderId="13" xfId="0" applyFont="1" applyBorder="1"/>
    <xf numFmtId="170" fontId="46" fillId="0" borderId="13" xfId="0" applyFont="1" applyBorder="1" applyAlignment="1">
      <alignment wrapText="1"/>
    </xf>
    <xf numFmtId="170" fontId="46" fillId="0" borderId="13" xfId="0" applyFont="1" applyBorder="1" applyAlignment="1">
      <alignment horizontal="center"/>
    </xf>
    <xf numFmtId="170" fontId="52" fillId="0" borderId="13" xfId="0" applyFont="1" applyBorder="1"/>
    <xf numFmtId="170" fontId="52" fillId="0" borderId="13" xfId="0" applyFont="1" applyBorder="1" applyAlignment="1">
      <alignment wrapText="1"/>
    </xf>
    <xf numFmtId="170" fontId="46" fillId="0" borderId="0" xfId="0" applyFont="1"/>
    <xf numFmtId="170" fontId="35" fillId="3" borderId="13" xfId="0" applyFont="1" applyFill="1" applyBorder="1" applyAlignment="1">
      <alignment horizontal="center" vertical="center"/>
    </xf>
    <xf numFmtId="170" fontId="35" fillId="3" borderId="13" xfId="0" applyFont="1" applyFill="1" applyBorder="1"/>
    <xf numFmtId="170" fontId="0" fillId="0" borderId="13" xfId="0" applyNumberFormat="1" applyBorder="1" applyAlignment="1">
      <alignment vertical="center"/>
    </xf>
    <xf numFmtId="170" fontId="54" fillId="0" borderId="18" xfId="0" applyFont="1" applyBorder="1" applyAlignment="1">
      <alignment horizontal="center"/>
    </xf>
    <xf numFmtId="170" fontId="54" fillId="0" borderId="18" xfId="0" applyFont="1" applyBorder="1"/>
    <xf numFmtId="170" fontId="55" fillId="0" borderId="0" xfId="0" applyFont="1"/>
    <xf numFmtId="170" fontId="53" fillId="5" borderId="18" xfId="0" applyFont="1" applyFill="1" applyBorder="1" applyAlignment="1">
      <alignment vertical="center"/>
    </xf>
    <xf numFmtId="170" fontId="53" fillId="5" borderId="18" xfId="0" applyFont="1" applyFill="1" applyBorder="1" applyAlignment="1">
      <alignment horizontal="center" vertical="center"/>
    </xf>
    <xf numFmtId="170" fontId="54" fillId="0" borderId="19" xfId="0" applyFont="1" applyBorder="1" applyAlignment="1">
      <alignment horizontal="center" vertical="center"/>
    </xf>
    <xf numFmtId="170" fontId="54" fillId="0" borderId="18" xfId="0" applyFont="1" applyBorder="1" applyAlignment="1">
      <alignment horizontal="center" vertical="center"/>
    </xf>
    <xf numFmtId="8" fontId="54" fillId="0" borderId="18" xfId="0" applyNumberFormat="1" applyFont="1" applyBorder="1" applyAlignment="1">
      <alignment horizontal="center" vertical="center"/>
    </xf>
    <xf numFmtId="170" fontId="55" fillId="0" borderId="18" xfId="0" quotePrefix="1" applyFont="1" applyBorder="1" applyAlignment="1">
      <alignment horizontal="left" vertical="center" wrapText="1"/>
    </xf>
    <xf numFmtId="170" fontId="55" fillId="0" borderId="18" xfId="0" applyFont="1" applyBorder="1" applyAlignment="1">
      <alignment horizontal="center" vertical="center"/>
    </xf>
    <xf numFmtId="170" fontId="54" fillId="15" borderId="18" xfId="0" applyFont="1" applyFill="1" applyBorder="1" applyAlignment="1">
      <alignment horizontal="center" vertical="center"/>
    </xf>
    <xf numFmtId="170" fontId="54" fillId="18" borderId="18" xfId="0" applyFont="1" applyFill="1" applyBorder="1" applyAlignment="1">
      <alignment horizontal="center" vertical="center" wrapText="1"/>
    </xf>
    <xf numFmtId="170" fontId="54" fillId="18" borderId="18" xfId="0" applyNumberFormat="1" applyFont="1" applyFill="1" applyBorder="1" applyAlignment="1">
      <alignment horizontal="center" vertical="center"/>
    </xf>
    <xf numFmtId="170" fontId="55" fillId="18" borderId="18" xfId="0" quotePrefix="1" applyFont="1" applyFill="1" applyBorder="1" applyAlignment="1">
      <alignment horizontal="left" vertical="center" wrapText="1"/>
    </xf>
    <xf numFmtId="170" fontId="55" fillId="18" borderId="18" xfId="0" applyFont="1" applyFill="1" applyBorder="1" applyAlignment="1">
      <alignment horizontal="center" vertical="center"/>
    </xf>
    <xf numFmtId="170" fontId="54" fillId="0" borderId="18" xfId="0" applyFont="1" applyBorder="1" applyAlignment="1">
      <alignment horizontal="center" vertical="center" wrapText="1"/>
    </xf>
    <xf numFmtId="170" fontId="54" fillId="0" borderId="18" xfId="0" applyNumberFormat="1" applyFont="1" applyBorder="1" applyAlignment="1">
      <alignment horizontal="center" vertical="center"/>
    </xf>
    <xf numFmtId="170" fontId="54" fillId="0" borderId="14" xfId="0" applyFont="1" applyBorder="1" applyAlignment="1">
      <alignment horizontal="center" vertical="center" wrapText="1"/>
    </xf>
    <xf numFmtId="170" fontId="54" fillId="0" borderId="14" xfId="0" applyFont="1" applyBorder="1" applyAlignment="1">
      <alignment vertical="center" wrapText="1"/>
    </xf>
    <xf numFmtId="170" fontId="54" fillId="0" borderId="14" xfId="0" applyFont="1" applyFill="1" applyBorder="1" applyAlignment="1">
      <alignment horizontal="center" vertical="center"/>
    </xf>
    <xf numFmtId="170" fontId="55" fillId="0" borderId="14" xfId="0" quotePrefix="1" applyFont="1" applyBorder="1" applyAlignment="1">
      <alignment vertical="center" wrapText="1"/>
    </xf>
    <xf numFmtId="170" fontId="54" fillId="0" borderId="18" xfId="0" applyFont="1" applyBorder="1" applyAlignment="1">
      <alignment horizontal="left" vertical="center"/>
    </xf>
    <xf numFmtId="170" fontId="54" fillId="0" borderId="18" xfId="0" quotePrefix="1" applyFont="1" applyFill="1" applyBorder="1" applyAlignment="1">
      <alignment horizontal="center" vertical="center" wrapText="1"/>
    </xf>
    <xf numFmtId="170" fontId="55" fillId="0" borderId="18" xfId="0" applyFont="1" applyBorder="1" applyAlignment="1">
      <alignment horizontal="left" vertical="center"/>
    </xf>
    <xf numFmtId="170" fontId="54" fillId="0" borderId="18" xfId="0" applyFont="1" applyFill="1" applyBorder="1" applyAlignment="1">
      <alignment horizontal="center" vertical="center"/>
    </xf>
    <xf numFmtId="170" fontId="55" fillId="19" borderId="18" xfId="0" applyFont="1" applyFill="1" applyBorder="1" applyAlignment="1">
      <alignment horizontal="center" vertical="center"/>
    </xf>
    <xf numFmtId="170" fontId="54" fillId="0" borderId="18" xfId="0" applyFont="1" applyBorder="1" applyAlignment="1">
      <alignment vertical="center"/>
    </xf>
    <xf numFmtId="170" fontId="54" fillId="0" borderId="18" xfId="0" applyFont="1" applyFill="1" applyBorder="1" applyAlignment="1">
      <alignment vertical="center"/>
    </xf>
    <xf numFmtId="170" fontId="55" fillId="0" borderId="18" xfId="0" applyFont="1" applyFill="1" applyBorder="1" applyAlignment="1">
      <alignment vertical="center"/>
    </xf>
    <xf numFmtId="170" fontId="54" fillId="0" borderId="0" xfId="0" applyFont="1" applyAlignment="1">
      <alignment horizontal="center" vertical="center"/>
    </xf>
    <xf numFmtId="170" fontId="55" fillId="0" borderId="18" xfId="0" applyFont="1" applyBorder="1"/>
    <xf numFmtId="170" fontId="55" fillId="0" borderId="18" xfId="0" applyFont="1" applyBorder="1" applyAlignment="1">
      <alignment wrapText="1"/>
    </xf>
    <xf numFmtId="170" fontId="55" fillId="0" borderId="18" xfId="0" applyFont="1" applyFill="1" applyBorder="1" applyAlignment="1">
      <alignment horizontal="left" vertical="center"/>
    </xf>
    <xf numFmtId="170" fontId="0" fillId="0" borderId="0" xfId="0" applyBorder="1"/>
    <xf numFmtId="170" fontId="36" fillId="0" borderId="0" xfId="0" applyFont="1" applyFill="1" applyBorder="1" applyAlignment="1">
      <alignment horizontal="center" vertical="center" wrapText="1"/>
    </xf>
    <xf numFmtId="170" fontId="36" fillId="0" borderId="0" xfId="0" applyFont="1" applyBorder="1" applyAlignment="1">
      <alignment horizontal="center" vertical="center" wrapText="1"/>
    </xf>
    <xf numFmtId="170" fontId="54" fillId="0" borderId="18" xfId="0" applyFont="1" applyFill="1" applyBorder="1" applyAlignment="1">
      <alignment horizontal="left" vertical="center" wrapText="1"/>
    </xf>
    <xf numFmtId="170" fontId="54" fillId="0" borderId="18" xfId="0" applyFont="1" applyFill="1" applyBorder="1" applyAlignment="1">
      <alignment horizontal="center"/>
    </xf>
    <xf numFmtId="170" fontId="54" fillId="0" borderId="18" xfId="0" applyFont="1" applyBorder="1" applyAlignment="1">
      <alignment vertical="center" wrapText="1"/>
    </xf>
    <xf numFmtId="170" fontId="53" fillId="5" borderId="18" xfId="0" applyNumberFormat="1" applyFont="1" applyFill="1" applyBorder="1" applyAlignment="1">
      <alignment horizontal="center" vertical="center" wrapText="1"/>
    </xf>
    <xf numFmtId="170" fontId="54" fillId="0" borderId="18" xfId="0" applyNumberFormat="1" applyFont="1" applyBorder="1" applyAlignment="1">
      <alignment horizontal="center" vertical="center"/>
    </xf>
    <xf numFmtId="170" fontId="54" fillId="0" borderId="14" xfId="0" applyNumberFormat="1" applyFont="1" applyBorder="1" applyAlignment="1">
      <alignment horizontal="center" vertical="center"/>
    </xf>
    <xf numFmtId="170" fontId="54" fillId="18" borderId="18" xfId="0" quotePrefix="1" applyNumberFormat="1" applyFont="1" applyFill="1" applyBorder="1" applyAlignment="1">
      <alignment horizontal="center" vertical="center"/>
    </xf>
    <xf numFmtId="170" fontId="54" fillId="0" borderId="18" xfId="0" applyNumberFormat="1" applyFont="1" applyFill="1" applyBorder="1" applyAlignment="1">
      <alignment horizontal="center" vertical="center"/>
    </xf>
    <xf numFmtId="170" fontId="54" fillId="0" borderId="0" xfId="0" applyNumberFormat="1" applyFont="1" applyAlignment="1">
      <alignment horizontal="center" vertical="center"/>
    </xf>
    <xf numFmtId="170" fontId="43" fillId="0" borderId="13" xfId="0" quotePrefix="1" applyNumberFormat="1" applyFont="1" applyFill="1" applyBorder="1" applyAlignment="1">
      <alignment horizontal="left" vertical="center" wrapText="1"/>
    </xf>
    <xf numFmtId="170" fontId="43" fillId="0" borderId="13" xfId="0" applyNumberFormat="1" applyFont="1" applyFill="1" applyBorder="1" applyAlignment="1">
      <alignment horizontal="center" vertical="center"/>
    </xf>
    <xf numFmtId="170" fontId="43" fillId="0" borderId="13" xfId="0" quotePrefix="1" applyNumberFormat="1" applyFont="1" applyFill="1" applyBorder="1" applyAlignment="1">
      <alignment horizontal="left" vertical="center" wrapText="1"/>
    </xf>
    <xf numFmtId="170" fontId="35" fillId="3" borderId="3" xfId="0" applyNumberFormat="1" applyFont="1" applyFill="1" applyBorder="1" applyAlignment="1">
      <alignment horizontal="center" vertical="center"/>
    </xf>
    <xf numFmtId="170" fontId="0" fillId="17" borderId="13" xfId="0" applyNumberFormat="1" applyFill="1" applyBorder="1" applyAlignment="1">
      <alignment horizontal="center" vertical="center"/>
    </xf>
    <xf numFmtId="170" fontId="0" fillId="0" borderId="13" xfId="0" applyNumberFormat="1" applyBorder="1" applyAlignment="1">
      <alignment horizontal="center" vertical="center"/>
    </xf>
    <xf numFmtId="170" fontId="35" fillId="17" borderId="13" xfId="0" applyNumberFormat="1" applyFont="1" applyFill="1" applyBorder="1" applyAlignment="1">
      <alignment horizontal="center" vertical="center"/>
    </xf>
    <xf numFmtId="170" fontId="46" fillId="0" borderId="13" xfId="0" applyNumberFormat="1" applyFont="1" applyBorder="1" applyAlignment="1">
      <alignment horizontal="center" vertical="center"/>
    </xf>
    <xf numFmtId="170" fontId="46" fillId="0" borderId="0" xfId="0" applyNumberFormat="1" applyFont="1" applyAlignment="1">
      <alignment horizontal="center" vertical="center"/>
    </xf>
    <xf numFmtId="170" fontId="35" fillId="3" borderId="13" xfId="0" applyNumberFormat="1" applyFont="1" applyFill="1" applyBorder="1" applyAlignment="1">
      <alignment horizontal="center" vertical="center"/>
    </xf>
    <xf numFmtId="170" fontId="0" fillId="0" borderId="13" xfId="0" applyNumberFormat="1" applyBorder="1" applyAlignment="1">
      <alignment vertical="center"/>
    </xf>
    <xf numFmtId="170" fontId="0" fillId="0" borderId="0" xfId="0" applyNumberFormat="1"/>
    <xf numFmtId="170" fontId="43" fillId="0" borderId="13" xfId="0" applyNumberFormat="1" applyFont="1" applyBorder="1" applyAlignment="1">
      <alignment horizontal="center"/>
    </xf>
    <xf numFmtId="170" fontId="43" fillId="0" borderId="13" xfId="0" applyNumberFormat="1" applyFont="1" applyBorder="1"/>
    <xf numFmtId="170" fontId="43" fillId="0" borderId="13" xfId="0" applyNumberFormat="1" applyFont="1" applyBorder="1" applyAlignment="1">
      <alignment horizontal="center" vertical="center"/>
    </xf>
    <xf numFmtId="170" fontId="43" fillId="0" borderId="13" xfId="0" applyNumberFormat="1" applyFont="1" applyBorder="1" applyAlignment="1">
      <alignment horizontal="right" vertical="center"/>
    </xf>
    <xf numFmtId="170" fontId="44" fillId="0" borderId="13" xfId="0" applyNumberFormat="1" applyFont="1" applyBorder="1" applyAlignment="1">
      <alignment horizontal="right" vertical="center"/>
    </xf>
    <xf numFmtId="44" fontId="43" fillId="0" borderId="13" xfId="20" applyFont="1" applyBorder="1" applyAlignment="1">
      <alignment horizontal="center" vertical="center"/>
    </xf>
    <xf numFmtId="3" fontId="43" fillId="0" borderId="13" xfId="20" applyNumberFormat="1" applyFont="1" applyBorder="1" applyAlignment="1">
      <alignment horizontal="center" vertical="center"/>
    </xf>
    <xf numFmtId="170" fontId="43" fillId="15" borderId="21" xfId="0" applyNumberFormat="1" applyFont="1" applyFill="1" applyBorder="1" applyAlignment="1">
      <alignment horizontal="center" vertical="center"/>
    </xf>
    <xf numFmtId="170" fontId="43" fillId="0" borderId="21" xfId="0" applyNumberFormat="1" applyFont="1" applyBorder="1" applyAlignment="1">
      <alignment horizontal="left" vertical="center" wrapText="1"/>
    </xf>
    <xf numFmtId="170" fontId="43" fillId="0" borderId="6" xfId="0" applyNumberFormat="1" applyFont="1" applyBorder="1" applyAlignment="1">
      <alignment horizontal="center"/>
    </xf>
    <xf numFmtId="170" fontId="43" fillId="0" borderId="7" xfId="0" applyNumberFormat="1" applyFont="1" applyBorder="1"/>
    <xf numFmtId="170" fontId="43" fillId="0" borderId="7" xfId="0" applyNumberFormat="1" applyFont="1" applyBorder="1" applyAlignment="1">
      <alignment horizontal="center" vertical="center"/>
    </xf>
    <xf numFmtId="170" fontId="43" fillId="0" borderId="7" xfId="0" applyNumberFormat="1" applyFont="1" applyBorder="1" applyAlignment="1">
      <alignment horizontal="center" vertical="center"/>
    </xf>
    <xf numFmtId="170" fontId="43" fillId="0" borderId="8" xfId="0" applyNumberFormat="1" applyFont="1" applyBorder="1" applyAlignment="1">
      <alignment horizontal="center" vertical="center"/>
    </xf>
    <xf numFmtId="170" fontId="43" fillId="0" borderId="6" xfId="0" applyNumberFormat="1" applyFont="1" applyBorder="1" applyAlignment="1">
      <alignment horizontal="center" vertical="center" wrapText="1"/>
    </xf>
    <xf numFmtId="44" fontId="43" fillId="0" borderId="7" xfId="20" applyFont="1" applyBorder="1" applyAlignment="1">
      <alignment horizontal="center" vertical="center"/>
    </xf>
    <xf numFmtId="3" fontId="43" fillId="0" borderId="7" xfId="20" applyNumberFormat="1" applyFont="1" applyBorder="1" applyAlignment="1">
      <alignment horizontal="center" vertical="center"/>
    </xf>
    <xf numFmtId="3" fontId="43" fillId="0" borderId="8" xfId="20" applyNumberFormat="1" applyFont="1" applyBorder="1" applyAlignment="1">
      <alignment horizontal="center" vertical="center"/>
    </xf>
    <xf numFmtId="170" fontId="48" fillId="0" borderId="3" xfId="0" applyNumberFormat="1" applyFont="1" applyBorder="1" applyAlignment="1">
      <alignment vertical="center" wrapText="1"/>
    </xf>
    <xf numFmtId="170" fontId="48" fillId="0" borderId="23" xfId="0" applyNumberFormat="1" applyFont="1" applyBorder="1" applyAlignment="1">
      <alignment vertical="center" wrapText="1"/>
    </xf>
    <xf numFmtId="170" fontId="43" fillId="0" borderId="13" xfId="0" applyNumberFormat="1" applyFont="1" applyFill="1" applyBorder="1" applyAlignment="1">
      <alignment horizontal="center" vertical="center"/>
    </xf>
    <xf numFmtId="3" fontId="44" fillId="0" borderId="8" xfId="0" applyNumberFormat="1" applyFont="1" applyFill="1" applyBorder="1" applyAlignment="1">
      <alignment horizontal="right" vertical="center"/>
    </xf>
    <xf numFmtId="3" fontId="44" fillId="0" borderId="8" xfId="0" applyNumberFormat="1" applyFont="1" applyFill="1" applyBorder="1" applyAlignment="1">
      <alignment horizontal="left" vertical="center"/>
    </xf>
    <xf numFmtId="170" fontId="39" fillId="10" borderId="13" xfId="0" applyNumberFormat="1" applyFont="1" applyFill="1" applyBorder="1" applyAlignment="1">
      <alignment horizontal="center" vertical="center" wrapText="1"/>
    </xf>
    <xf numFmtId="170" fontId="43" fillId="0" borderId="13" xfId="0" applyNumberFormat="1" applyFont="1" applyBorder="1" applyAlignment="1">
      <alignment horizontal="left" vertical="center" wrapText="1"/>
    </xf>
    <xf numFmtId="170" fontId="43" fillId="9" borderId="13" xfId="0" applyNumberFormat="1" applyFont="1" applyFill="1" applyBorder="1" applyAlignment="1">
      <alignment horizontal="center" vertical="center"/>
    </xf>
    <xf numFmtId="170" fontId="39" fillId="8" borderId="13" xfId="0" applyNumberFormat="1" applyFont="1" applyFill="1" applyBorder="1" applyAlignment="1">
      <alignment horizontal="center" vertical="center"/>
    </xf>
    <xf numFmtId="170" fontId="43" fillId="0" borderId="13" xfId="0" applyNumberFormat="1" applyFont="1" applyFill="1" applyBorder="1" applyAlignment="1">
      <alignment horizontal="center" vertical="center"/>
    </xf>
    <xf numFmtId="170" fontId="43" fillId="0" borderId="13" xfId="0" applyNumberFormat="1" applyFont="1" applyFill="1" applyBorder="1" applyAlignment="1">
      <alignment horizontal="center" vertical="center" wrapText="1"/>
    </xf>
    <xf numFmtId="170" fontId="39" fillId="12" borderId="13" xfId="0" applyNumberFormat="1" applyFont="1" applyFill="1" applyBorder="1" applyAlignment="1">
      <alignment horizontal="center" vertical="center" wrapText="1"/>
    </xf>
    <xf numFmtId="170" fontId="44" fillId="12" borderId="13" xfId="0" applyNumberFormat="1" applyFont="1" applyFill="1" applyBorder="1" applyAlignment="1">
      <alignment horizontal="center" vertical="center"/>
    </xf>
    <xf numFmtId="170" fontId="39" fillId="7" borderId="13" xfId="0" applyNumberFormat="1" applyFont="1" applyFill="1" applyBorder="1" applyAlignment="1">
      <alignment horizontal="center" vertical="center" wrapText="1"/>
    </xf>
    <xf numFmtId="3" fontId="43" fillId="0" borderId="13" xfId="0" applyNumberFormat="1" applyFont="1" applyFill="1" applyBorder="1" applyAlignment="1">
      <alignment horizontal="center" vertical="center"/>
    </xf>
    <xf numFmtId="170" fontId="39" fillId="5" borderId="0" xfId="0" applyNumberFormat="1" applyFont="1" applyFill="1" applyBorder="1" applyAlignment="1">
      <alignment horizontal="center" vertical="center"/>
    </xf>
    <xf numFmtId="170" fontId="40" fillId="0" borderId="13" xfId="0" applyFont="1" applyBorder="1" applyAlignment="1">
      <alignment horizontal="left" vertical="center"/>
    </xf>
    <xf numFmtId="170" fontId="44" fillId="0" borderId="0" xfId="0" applyNumberFormat="1" applyFont="1"/>
    <xf numFmtId="170" fontId="43" fillId="15" borderId="13" xfId="0" applyNumberFormat="1" applyFont="1" applyFill="1" applyBorder="1" applyAlignment="1">
      <alignment horizontal="left" vertical="center"/>
    </xf>
    <xf numFmtId="170" fontId="43" fillId="15" borderId="13" xfId="0" applyNumberFormat="1" applyFont="1" applyFill="1" applyBorder="1" applyAlignment="1">
      <alignment horizontal="center" vertical="center"/>
    </xf>
    <xf numFmtId="3" fontId="43" fillId="15" borderId="13" xfId="0" applyNumberFormat="1" applyFont="1" applyFill="1" applyBorder="1" applyAlignment="1">
      <alignment horizontal="right" vertical="center"/>
    </xf>
    <xf numFmtId="170" fontId="39" fillId="3" borderId="13" xfId="0" applyFont="1" applyFill="1" applyBorder="1"/>
    <xf numFmtId="170" fontId="40" fillId="3" borderId="13" xfId="0" applyFont="1" applyFill="1" applyBorder="1" applyAlignment="1">
      <alignment horizontal="left"/>
    </xf>
    <xf numFmtId="170" fontId="40" fillId="3" borderId="13" xfId="0" applyFont="1" applyFill="1" applyBorder="1"/>
    <xf numFmtId="170" fontId="40" fillId="3" borderId="13" xfId="0" applyFont="1" applyFill="1" applyBorder="1" applyAlignment="1"/>
    <xf numFmtId="170" fontId="40" fillId="3" borderId="0" xfId="0" applyFont="1" applyFill="1"/>
    <xf numFmtId="170" fontId="39" fillId="0" borderId="13" xfId="0" applyFont="1" applyBorder="1"/>
    <xf numFmtId="170" fontId="39" fillId="0" borderId="13" xfId="0" applyFont="1" applyBorder="1" applyAlignment="1">
      <alignment horizontal="left"/>
    </xf>
    <xf numFmtId="170" fontId="39" fillId="0" borderId="13" xfId="0" applyFont="1" applyBorder="1" applyAlignment="1">
      <alignment horizontal="center"/>
    </xf>
    <xf numFmtId="170" fontId="39" fillId="0" borderId="13" xfId="0" applyFont="1" applyBorder="1" applyAlignment="1"/>
    <xf numFmtId="170" fontId="39" fillId="0" borderId="0" xfId="0" applyFont="1"/>
    <xf numFmtId="170" fontId="40" fillId="20" borderId="13" xfId="0" applyFont="1" applyFill="1" applyBorder="1" applyAlignment="1">
      <alignment horizontal="left" vertical="center"/>
    </xf>
    <xf numFmtId="170" fontId="40" fillId="20" borderId="13" xfId="0" applyFont="1" applyFill="1" applyBorder="1"/>
    <xf numFmtId="170" fontId="40" fillId="20" borderId="13" xfId="0" applyNumberFormat="1" applyFont="1" applyFill="1" applyBorder="1" applyAlignment="1">
      <alignment horizontal="right" vertical="center"/>
    </xf>
    <xf numFmtId="170" fontId="40" fillId="20" borderId="13" xfId="0" applyFont="1" applyFill="1" applyBorder="1" applyAlignment="1">
      <alignment horizontal="left"/>
    </xf>
    <xf numFmtId="170" fontId="40" fillId="0" borderId="13" xfId="0" applyFont="1" applyBorder="1" applyAlignment="1">
      <alignment horizontal="center" vertical="center"/>
    </xf>
    <xf numFmtId="170" fontId="40" fillId="0" borderId="13" xfId="0" applyFont="1" applyBorder="1" applyAlignment="1">
      <alignment vertical="center"/>
    </xf>
    <xf numFmtId="170" fontId="40" fillId="0" borderId="13" xfId="0" applyNumberFormat="1" applyFont="1" applyBorder="1" applyAlignment="1">
      <alignment horizontal="right" vertical="center"/>
    </xf>
    <xf numFmtId="170" fontId="40" fillId="0" borderId="13" xfId="0" applyFont="1" applyBorder="1" applyAlignment="1">
      <alignment horizontal="center" wrapText="1"/>
    </xf>
    <xf numFmtId="170" fontId="40" fillId="0" borderId="13" xfId="0" applyFont="1" applyBorder="1" applyAlignment="1">
      <alignment wrapText="1"/>
    </xf>
    <xf numFmtId="170" fontId="40" fillId="15" borderId="0" xfId="0" applyFont="1" applyFill="1"/>
    <xf numFmtId="170" fontId="40" fillId="0" borderId="13" xfId="0" applyFont="1" applyBorder="1" applyAlignment="1">
      <alignment horizontal="right" vertical="center"/>
    </xf>
    <xf numFmtId="170" fontId="40" fillId="0" borderId="13" xfId="0" applyFont="1" applyBorder="1" applyAlignment="1">
      <alignment horizontal="center"/>
    </xf>
    <xf numFmtId="170" fontId="40" fillId="0" borderId="13" xfId="0" applyFont="1" applyBorder="1" applyAlignment="1"/>
    <xf numFmtId="44" fontId="56" fillId="0" borderId="13" xfId="20" applyFont="1" applyBorder="1" applyAlignment="1">
      <alignment horizontal="right" vertical="center"/>
    </xf>
    <xf numFmtId="170" fontId="57" fillId="0" borderId="13" xfId="31" applyFont="1" applyBorder="1" applyAlignment="1">
      <alignment wrapText="1"/>
    </xf>
    <xf numFmtId="170" fontId="56" fillId="0" borderId="13" xfId="0" applyFont="1" applyBorder="1" applyAlignment="1">
      <alignment horizontal="right" vertical="center"/>
    </xf>
    <xf numFmtId="170" fontId="43" fillId="0" borderId="13" xfId="0" applyFont="1" applyBorder="1" applyAlignment="1"/>
    <xf numFmtId="170" fontId="57" fillId="0" borderId="13" xfId="31" applyFont="1" applyBorder="1" applyAlignment="1"/>
    <xf numFmtId="44" fontId="56" fillId="0" borderId="13" xfId="0" applyNumberFormat="1" applyFont="1" applyBorder="1" applyAlignment="1">
      <alignment horizontal="right" vertical="center"/>
    </xf>
    <xf numFmtId="170" fontId="58" fillId="0" borderId="13" xfId="0" applyFont="1" applyFill="1" applyBorder="1" applyAlignment="1">
      <alignment horizontal="left" vertical="center"/>
    </xf>
    <xf numFmtId="170" fontId="39" fillId="3" borderId="13" xfId="0" applyFont="1" applyFill="1" applyBorder="1" applyAlignment="1">
      <alignment horizontal="left"/>
    </xf>
    <xf numFmtId="170" fontId="39" fillId="3" borderId="13" xfId="0" applyFont="1" applyFill="1" applyBorder="1" applyAlignment="1"/>
    <xf numFmtId="170" fontId="40" fillId="0" borderId="0" xfId="0" applyFont="1" applyFill="1"/>
    <xf numFmtId="170" fontId="40" fillId="20" borderId="13" xfId="0" applyFont="1" applyFill="1" applyBorder="1" applyAlignment="1">
      <alignment vertical="center"/>
    </xf>
    <xf numFmtId="170" fontId="40" fillId="20" borderId="0" xfId="0" applyFont="1" applyFill="1"/>
    <xf numFmtId="170" fontId="43" fillId="0" borderId="13" xfId="0" applyFont="1" applyBorder="1"/>
    <xf numFmtId="170" fontId="57" fillId="0" borderId="13" xfId="31" applyFont="1" applyBorder="1"/>
    <xf numFmtId="170" fontId="58" fillId="0" borderId="0" xfId="0" applyFont="1"/>
    <xf numFmtId="170" fontId="40" fillId="0" borderId="0" xfId="0" applyFont="1" applyAlignment="1">
      <alignment horizontal="left"/>
    </xf>
    <xf numFmtId="170" fontId="40" fillId="0" borderId="0" xfId="0" applyFont="1" applyAlignment="1"/>
    <xf numFmtId="170" fontId="43" fillId="0" borderId="13" xfId="0" applyFont="1" applyBorder="1" applyAlignment="1">
      <alignment horizontal="left" vertical="center"/>
    </xf>
    <xf numFmtId="170" fontId="57" fillId="0" borderId="13" xfId="31" applyFont="1" applyBorder="1" applyAlignment="1">
      <alignment horizontal="left" vertical="center"/>
    </xf>
    <xf numFmtId="170" fontId="57" fillId="0" borderId="13" xfId="31" applyFont="1" applyBorder="1" applyAlignment="1">
      <alignment horizontal="left" vertical="center" wrapText="1"/>
    </xf>
    <xf numFmtId="170" fontId="40" fillId="0" borderId="13" xfId="0" applyFont="1" applyFill="1" applyBorder="1" applyAlignment="1">
      <alignment wrapText="1"/>
    </xf>
    <xf numFmtId="44" fontId="56" fillId="0" borderId="13" xfId="20" applyFont="1" applyBorder="1"/>
    <xf numFmtId="170" fontId="39" fillId="3" borderId="13" xfId="0" applyFont="1" applyFill="1" applyBorder="1" applyAlignment="1">
      <alignment horizontal="left" vertical="center"/>
    </xf>
    <xf numFmtId="44" fontId="56" fillId="20" borderId="13" xfId="20" applyFont="1" applyFill="1" applyBorder="1"/>
    <xf numFmtId="44" fontId="56" fillId="20" borderId="13" xfId="20" applyFont="1" applyFill="1" applyBorder="1" applyAlignment="1">
      <alignment wrapText="1"/>
    </xf>
    <xf numFmtId="170" fontId="40" fillId="0" borderId="0" xfId="0" applyNumberFormat="1" applyFont="1"/>
    <xf numFmtId="44" fontId="40" fillId="0" borderId="0" xfId="0" applyNumberFormat="1" applyFont="1"/>
    <xf numFmtId="170" fontId="39" fillId="3" borderId="13" xfId="0" applyNumberFormat="1" applyFont="1" applyFill="1" applyBorder="1" applyAlignment="1">
      <alignment horizontal="center"/>
    </xf>
    <xf numFmtId="170" fontId="39" fillId="0" borderId="13" xfId="0" applyNumberFormat="1" applyFont="1" applyBorder="1"/>
    <xf numFmtId="170" fontId="40" fillId="20" borderId="13" xfId="0" applyNumberFormat="1" applyFont="1" applyFill="1" applyBorder="1" applyAlignment="1">
      <alignment horizontal="center" vertical="center"/>
    </xf>
    <xf numFmtId="170" fontId="40" fillId="20" borderId="13" xfId="0" applyNumberFormat="1" applyFont="1" applyFill="1" applyBorder="1"/>
    <xf numFmtId="170" fontId="40" fillId="0" borderId="13" xfId="0" applyNumberFormat="1" applyFont="1" applyBorder="1" applyAlignment="1">
      <alignment horizontal="center" vertical="center"/>
    </xf>
    <xf numFmtId="170" fontId="40" fillId="20" borderId="13" xfId="0" applyNumberFormat="1" applyFont="1" applyFill="1" applyBorder="1" applyAlignment="1">
      <alignment wrapText="1"/>
    </xf>
    <xf numFmtId="170" fontId="40" fillId="0" borderId="13" xfId="0" applyNumberFormat="1" applyFont="1" applyBorder="1"/>
    <xf numFmtId="170" fontId="39" fillId="3" borderId="13" xfId="0" applyNumberFormat="1" applyFont="1" applyFill="1" applyBorder="1"/>
    <xf numFmtId="170" fontId="39" fillId="0" borderId="13" xfId="0" applyNumberFormat="1" applyFont="1" applyBorder="1" applyAlignment="1">
      <alignment horizontal="center" vertical="center"/>
    </xf>
    <xf numFmtId="170" fontId="40" fillId="20" borderId="13" xfId="0" applyNumberFormat="1" applyFont="1" applyFill="1" applyBorder="1" applyAlignment="1">
      <alignment vertical="center"/>
    </xf>
    <xf numFmtId="170" fontId="40" fillId="0" borderId="0" xfId="0" applyNumberFormat="1" applyFont="1"/>
    <xf numFmtId="170" fontId="39" fillId="3" borderId="13" xfId="0" applyNumberFormat="1" applyFont="1" applyFill="1" applyBorder="1" applyAlignment="1">
      <alignment horizontal="center" vertical="center"/>
    </xf>
    <xf numFmtId="170" fontId="40" fillId="0" borderId="13" xfId="0" applyNumberFormat="1" applyFont="1" applyFill="1" applyBorder="1" applyAlignment="1">
      <alignment horizontal="center" vertical="center"/>
    </xf>
    <xf numFmtId="170" fontId="40" fillId="3" borderId="13" xfId="0" applyNumberFormat="1" applyFont="1" applyFill="1" applyBorder="1" applyAlignment="1">
      <alignment horizontal="center" vertical="center"/>
    </xf>
    <xf numFmtId="170" fontId="40" fillId="0" borderId="0" xfId="0" applyNumberFormat="1" applyFont="1" applyAlignment="1">
      <alignment horizontal="center" vertical="center"/>
    </xf>
    <xf numFmtId="170" fontId="43" fillId="0" borderId="13" xfId="0" applyNumberFormat="1" applyFont="1" applyFill="1" applyBorder="1" applyAlignment="1">
      <alignment horizontal="right" vertical="center"/>
    </xf>
    <xf numFmtId="170" fontId="42" fillId="0" borderId="13" xfId="0" applyNumberFormat="1" applyFont="1" applyFill="1" applyBorder="1" applyAlignment="1">
      <alignment horizontal="right" vertical="center"/>
    </xf>
    <xf numFmtId="170" fontId="43" fillId="13" borderId="13" xfId="0" applyNumberFormat="1" applyFont="1" applyFill="1" applyBorder="1" applyAlignment="1">
      <alignment horizontal="right" vertical="center"/>
    </xf>
    <xf numFmtId="170" fontId="43" fillId="15" borderId="13" xfId="0" applyNumberFormat="1" applyFont="1" applyFill="1" applyBorder="1" applyAlignment="1">
      <alignment horizontal="right" vertical="center"/>
    </xf>
    <xf numFmtId="170" fontId="43" fillId="0" borderId="7" xfId="0" applyNumberFormat="1" applyFont="1" applyBorder="1" applyAlignment="1">
      <alignment horizontal="right" vertical="center"/>
    </xf>
    <xf numFmtId="170" fontId="48" fillId="3" borderId="0" xfId="0" applyNumberFormat="1" applyFont="1" applyFill="1" applyBorder="1" applyAlignment="1">
      <alignment horizontal="center" vertical="center" wrapText="1"/>
    </xf>
    <xf numFmtId="170" fontId="48" fillId="3" borderId="3" xfId="0" applyNumberFormat="1" applyFont="1" applyFill="1" applyBorder="1" applyAlignment="1">
      <alignment horizontal="center" vertical="center" wrapText="1"/>
    </xf>
    <xf numFmtId="170" fontId="48" fillId="3" borderId="23" xfId="0" applyNumberFormat="1" applyFont="1" applyFill="1" applyBorder="1" applyAlignment="1">
      <alignment horizontal="center" vertical="center" wrapText="1"/>
    </xf>
    <xf numFmtId="170" fontId="44" fillId="6" borderId="23" xfId="0" applyNumberFormat="1" applyFont="1" applyFill="1" applyBorder="1" applyAlignment="1">
      <alignment horizontal="center" vertical="center"/>
    </xf>
    <xf numFmtId="170" fontId="39" fillId="14" borderId="23" xfId="0" applyNumberFormat="1" applyFont="1" applyFill="1" applyBorder="1" applyAlignment="1">
      <alignment horizontal="center" vertical="center" wrapText="1"/>
    </xf>
    <xf numFmtId="170" fontId="39" fillId="14" borderId="21" xfId="0" applyNumberFormat="1" applyFont="1" applyFill="1" applyBorder="1" applyAlignment="1">
      <alignment horizontal="center" vertical="center" wrapText="1"/>
    </xf>
    <xf numFmtId="170" fontId="59" fillId="13" borderId="7" xfId="0" applyNumberFormat="1" applyFont="1" applyFill="1" applyBorder="1" applyAlignment="1">
      <alignment vertical="center" wrapText="1"/>
    </xf>
    <xf numFmtId="170" fontId="39" fillId="13" borderId="13" xfId="0" applyNumberFormat="1" applyFont="1" applyFill="1" applyBorder="1" applyAlignment="1">
      <alignment vertical="center" wrapText="1"/>
    </xf>
    <xf numFmtId="3" fontId="44" fillId="0" borderId="6" xfId="0" applyNumberFormat="1" applyFont="1" applyFill="1" applyBorder="1" applyAlignment="1">
      <alignment vertical="center"/>
    </xf>
    <xf numFmtId="3" fontId="44" fillId="0" borderId="7" xfId="0" applyNumberFormat="1" applyFont="1" applyFill="1" applyBorder="1" applyAlignment="1">
      <alignment vertical="center"/>
    </xf>
    <xf numFmtId="3" fontId="44" fillId="0" borderId="8" xfId="0" applyNumberFormat="1" applyFont="1" applyFill="1" applyBorder="1" applyAlignment="1">
      <alignment vertical="center"/>
    </xf>
    <xf numFmtId="3" fontId="44" fillId="0" borderId="0" xfId="0" applyNumberFormat="1" applyFont="1" applyFill="1" applyBorder="1" applyAlignment="1">
      <alignment horizontal="right" vertical="center"/>
    </xf>
    <xf numFmtId="170" fontId="43" fillId="0" borderId="13" xfId="0" applyNumberFormat="1" applyFont="1" applyFill="1" applyBorder="1" applyAlignment="1">
      <alignment horizontal="center" vertical="center"/>
    </xf>
    <xf numFmtId="170" fontId="43" fillId="0" borderId="13" xfId="0" applyNumberFormat="1" applyFont="1" applyFill="1" applyBorder="1" applyAlignment="1">
      <alignment horizontal="center" vertical="center" wrapText="1"/>
    </xf>
    <xf numFmtId="3" fontId="40" fillId="20" borderId="13" xfId="0" applyNumberFormat="1" applyFont="1" applyFill="1" applyBorder="1" applyAlignment="1">
      <alignment horizontal="right" vertical="center"/>
    </xf>
    <xf numFmtId="170" fontId="36" fillId="0" borderId="0" xfId="0" applyNumberFormat="1" applyFont="1"/>
    <xf numFmtId="170" fontId="62" fillId="0" borderId="13" xfId="2" applyNumberFormat="1" applyFont="1" applyFill="1" applyBorder="1"/>
    <xf numFmtId="170" fontId="63" fillId="0" borderId="13" xfId="2" applyNumberFormat="1" applyFont="1" applyFill="1" applyBorder="1"/>
    <xf numFmtId="170" fontId="36" fillId="0" borderId="0" xfId="0" applyNumberFormat="1" applyFont="1" applyAlignment="1">
      <alignment horizontal="left" wrapText="1"/>
    </xf>
    <xf numFmtId="170" fontId="39" fillId="0" borderId="0" xfId="0" applyNumberFormat="1" applyFont="1" applyAlignment="1">
      <alignment wrapText="1"/>
    </xf>
    <xf numFmtId="170" fontId="36" fillId="0" borderId="0" xfId="0" applyNumberFormat="1" applyFont="1" applyAlignment="1">
      <alignment wrapText="1"/>
    </xf>
    <xf numFmtId="170" fontId="39" fillId="0" borderId="6" xfId="0" applyNumberFormat="1" applyFont="1" applyBorder="1" applyAlignment="1">
      <alignment horizontal="left"/>
    </xf>
    <xf numFmtId="170" fontId="39" fillId="0" borderId="7" xfId="0" applyNumberFormat="1" applyFont="1" applyBorder="1" applyAlignment="1">
      <alignment horizontal="left"/>
    </xf>
    <xf numFmtId="170" fontId="12" fillId="0" borderId="0" xfId="2" applyNumberFormat="1" applyFont="1" applyFill="1"/>
    <xf numFmtId="170" fontId="17" fillId="0" borderId="0" xfId="2" applyNumberFormat="1" applyFont="1" applyFill="1"/>
    <xf numFmtId="170" fontId="17" fillId="0" borderId="13" xfId="2" applyNumberFormat="1" applyFont="1" applyFill="1" applyBorder="1"/>
    <xf numFmtId="170" fontId="12" fillId="0" borderId="13" xfId="2" applyNumberFormat="1" applyFont="1" applyFill="1" applyBorder="1"/>
    <xf numFmtId="170" fontId="17" fillId="0" borderId="0" xfId="2" applyNumberFormat="1" applyFont="1" applyFill="1" applyBorder="1" applyAlignment="1">
      <alignment horizontal="center" wrapText="1"/>
    </xf>
    <xf numFmtId="170" fontId="67" fillId="0" borderId="0" xfId="2" applyFont="1" applyFill="1" applyAlignment="1">
      <alignment vertical="center"/>
    </xf>
    <xf numFmtId="170" fontId="40" fillId="0" borderId="0" xfId="2" applyFont="1" applyFill="1" applyAlignment="1">
      <alignment horizontal="center" vertical="center"/>
    </xf>
    <xf numFmtId="170" fontId="40" fillId="0" borderId="0" xfId="2" applyFont="1" applyFill="1" applyAlignment="1">
      <alignment vertical="center"/>
    </xf>
    <xf numFmtId="170" fontId="60" fillId="0" borderId="0" xfId="2" applyFont="1" applyFill="1" applyAlignment="1">
      <alignment horizontal="center" vertical="center"/>
    </xf>
    <xf numFmtId="170" fontId="41" fillId="0" borderId="0" xfId="2" applyFont="1" applyFill="1" applyAlignment="1">
      <alignment horizontal="center" vertical="center"/>
    </xf>
    <xf numFmtId="170" fontId="41" fillId="0" borderId="0" xfId="2" applyFont="1" applyFill="1" applyAlignment="1">
      <alignment vertical="center"/>
    </xf>
    <xf numFmtId="170" fontId="41" fillId="0" borderId="0" xfId="2" applyFont="1" applyFill="1" applyAlignment="1">
      <alignment horizontal="right" vertical="center"/>
    </xf>
    <xf numFmtId="168" fontId="40" fillId="0" borderId="0" xfId="2" applyNumberFormat="1" applyFont="1" applyFill="1" applyAlignment="1">
      <alignment vertical="center"/>
    </xf>
    <xf numFmtId="170" fontId="60" fillId="0" borderId="0" xfId="2" applyFont="1" applyFill="1" applyAlignment="1">
      <alignment vertical="center"/>
    </xf>
    <xf numFmtId="170" fontId="40" fillId="0" borderId="0" xfId="2" applyFont="1" applyFill="1" applyAlignment="1">
      <alignment horizontal="left" vertical="center"/>
    </xf>
    <xf numFmtId="170" fontId="40" fillId="0" borderId="0" xfId="2" applyFont="1" applyFill="1" applyAlignment="1">
      <alignment horizontal="right" vertical="center"/>
    </xf>
    <xf numFmtId="170" fontId="59" fillId="0" borderId="0" xfId="0" applyFont="1" applyFill="1" applyAlignment="1">
      <alignment horizontal="center" vertical="center"/>
    </xf>
    <xf numFmtId="170" fontId="43" fillId="0" borderId="0" xfId="0" applyNumberFormat="1" applyFont="1" applyFill="1" applyAlignment="1">
      <alignment horizontal="right" vertical="center"/>
    </xf>
    <xf numFmtId="3" fontId="44" fillId="0" borderId="13" xfId="0" quotePrefix="1" applyNumberFormat="1" applyFont="1" applyFill="1" applyBorder="1" applyAlignment="1">
      <alignment horizontal="left" vertical="center" wrapText="1"/>
    </xf>
    <xf numFmtId="170" fontId="44" fillId="0" borderId="13" xfId="0" quotePrefix="1" applyNumberFormat="1" applyFont="1" applyFill="1" applyBorder="1" applyAlignment="1">
      <alignment vertical="center" wrapText="1"/>
    </xf>
    <xf numFmtId="170" fontId="44" fillId="0" borderId="13" xfId="0" quotePrefix="1" applyNumberFormat="1" applyFont="1" applyFill="1" applyBorder="1" applyAlignment="1">
      <alignment horizontal="left" vertical="center" wrapText="1"/>
    </xf>
    <xf numFmtId="170" fontId="39" fillId="0" borderId="13" xfId="0" applyNumberFormat="1" applyFont="1" applyFill="1" applyBorder="1" applyAlignment="1">
      <alignment vertical="center"/>
    </xf>
    <xf numFmtId="170" fontId="62" fillId="0" borderId="0" xfId="45" applyFont="1" applyFill="1" applyBorder="1" applyAlignment="1">
      <alignment vertical="center"/>
    </xf>
    <xf numFmtId="170" fontId="62" fillId="0" borderId="0" xfId="45" applyFont="1" applyFill="1" applyAlignment="1"/>
    <xf numFmtId="170" fontId="62" fillId="0" borderId="0" xfId="45" applyFont="1" applyFill="1" applyAlignment="1">
      <alignment horizontal="center"/>
    </xf>
    <xf numFmtId="9" fontId="62" fillId="0" borderId="0" xfId="45" applyNumberFormat="1" applyFont="1" applyFill="1" applyAlignment="1">
      <alignment horizontal="center"/>
    </xf>
    <xf numFmtId="170" fontId="62" fillId="0" borderId="0" xfId="45" applyFont="1" applyFill="1" applyAlignment="1">
      <alignment horizontal="right"/>
    </xf>
    <xf numFmtId="170" fontId="63" fillId="0" borderId="13" xfId="45" applyFont="1" applyFill="1" applyBorder="1" applyAlignment="1">
      <alignment horizontal="center" vertical="center"/>
    </xf>
    <xf numFmtId="170" fontId="62" fillId="0" borderId="0" xfId="45" applyFont="1" applyFill="1"/>
    <xf numFmtId="170" fontId="63" fillId="0" borderId="13" xfId="45" applyNumberFormat="1" applyFont="1" applyFill="1" applyBorder="1" applyAlignment="1" applyProtection="1">
      <alignment horizontal="center" vertical="center" wrapText="1"/>
    </xf>
    <xf numFmtId="170" fontId="63" fillId="0" borderId="13" xfId="45" applyNumberFormat="1" applyFont="1" applyFill="1" applyBorder="1" applyAlignment="1" applyProtection="1">
      <alignment horizontal="left" vertical="center" wrapText="1"/>
    </xf>
    <xf numFmtId="170" fontId="63" fillId="0" borderId="0" xfId="45" applyFont="1" applyFill="1"/>
    <xf numFmtId="170" fontId="63" fillId="0" borderId="0" xfId="45" applyFont="1" applyFill="1" applyBorder="1" applyAlignment="1">
      <alignment vertical="center"/>
    </xf>
    <xf numFmtId="170" fontId="63" fillId="0" borderId="0" xfId="45" applyFont="1" applyFill="1" applyAlignment="1">
      <alignment vertical="center"/>
    </xf>
    <xf numFmtId="44" fontId="43" fillId="0" borderId="0" xfId="20" applyFont="1" applyFill="1"/>
    <xf numFmtId="170" fontId="43" fillId="0" borderId="0" xfId="0" applyNumberFormat="1" applyFont="1" applyFill="1"/>
    <xf numFmtId="170" fontId="44" fillId="0" borderId="0" xfId="0" applyNumberFormat="1" applyFont="1" applyFill="1"/>
    <xf numFmtId="170" fontId="43" fillId="0" borderId="0" xfId="0" applyNumberFormat="1" applyFont="1" applyFill="1" applyAlignment="1">
      <alignment wrapText="1"/>
    </xf>
    <xf numFmtId="170" fontId="43" fillId="0" borderId="0" xfId="0" applyNumberFormat="1" applyFont="1" applyFill="1" applyAlignment="1">
      <alignment horizontal="center" vertical="center"/>
    </xf>
    <xf numFmtId="170" fontId="43" fillId="0" borderId="0" xfId="0" applyNumberFormat="1" applyFont="1" applyFill="1" applyAlignment="1">
      <alignment horizontal="center" vertical="center" wrapText="1"/>
    </xf>
    <xf numFmtId="170" fontId="44" fillId="0" borderId="0" xfId="0" applyNumberFormat="1" applyFont="1" applyFill="1" applyAlignment="1">
      <alignment horizontal="right" vertical="center"/>
    </xf>
    <xf numFmtId="170" fontId="68" fillId="0" borderId="0" xfId="45" applyNumberFormat="1" applyFont="1" applyFill="1" applyAlignment="1">
      <alignment horizontal="right"/>
    </xf>
    <xf numFmtId="170" fontId="36" fillId="0" borderId="0" xfId="0" applyNumberFormat="1" applyFont="1"/>
    <xf numFmtId="170" fontId="36" fillId="0" borderId="0" xfId="0" applyNumberFormat="1" applyFont="1" applyAlignment="1">
      <alignment wrapText="1"/>
    </xf>
    <xf numFmtId="170" fontId="39" fillId="0" borderId="8" xfId="0" applyNumberFormat="1" applyFont="1" applyBorder="1" applyAlignment="1">
      <alignment horizontal="left"/>
    </xf>
    <xf numFmtId="170" fontId="12" fillId="0" borderId="0" xfId="2" applyNumberFormat="1" applyFont="1" applyFill="1" applyAlignment="1">
      <alignment horizontal="center"/>
    </xf>
    <xf numFmtId="170" fontId="40" fillId="0" borderId="0" xfId="2" applyNumberFormat="1" applyFont="1" applyFill="1" applyAlignment="1">
      <alignment horizontal="center" vertical="center"/>
    </xf>
    <xf numFmtId="170" fontId="63" fillId="0" borderId="0" xfId="45" applyNumberFormat="1" applyFont="1" applyFill="1" applyAlignment="1">
      <alignment horizontal="center"/>
    </xf>
    <xf numFmtId="170" fontId="63" fillId="0" borderId="13" xfId="45" applyNumberFormat="1" applyFont="1" applyFill="1" applyBorder="1" applyAlignment="1">
      <alignment horizontal="center" vertical="center"/>
    </xf>
    <xf numFmtId="170" fontId="62" fillId="0" borderId="0" xfId="45" applyNumberFormat="1" applyFont="1" applyFill="1"/>
    <xf numFmtId="170" fontId="63" fillId="0" borderId="0" xfId="45" applyNumberFormat="1" applyFont="1" applyFill="1" applyBorder="1" applyAlignment="1"/>
    <xf numFmtId="170" fontId="36" fillId="0" borderId="0" xfId="0" applyNumberFormat="1" applyFont="1"/>
    <xf numFmtId="170" fontId="62" fillId="0" borderId="13" xfId="2" applyNumberFormat="1" applyFont="1" applyFill="1" applyBorder="1" applyAlignment="1">
      <alignment horizontal="right"/>
    </xf>
    <xf numFmtId="170" fontId="62" fillId="0" borderId="13" xfId="2" applyNumberFormat="1" applyFont="1" applyFill="1" applyBorder="1"/>
    <xf numFmtId="170" fontId="63" fillId="0" borderId="13" xfId="2" applyNumberFormat="1" applyFont="1" applyFill="1" applyBorder="1"/>
    <xf numFmtId="2" fontId="39" fillId="0" borderId="13" xfId="0" applyNumberFormat="1" applyFont="1" applyBorder="1" applyAlignment="1">
      <alignment horizontal="center"/>
    </xf>
    <xf numFmtId="2" fontId="39" fillId="0" borderId="13" xfId="0" applyNumberFormat="1" applyFont="1" applyBorder="1" applyAlignment="1">
      <alignment horizontal="left" wrapText="1"/>
    </xf>
    <xf numFmtId="43" fontId="43" fillId="0" borderId="13" xfId="0" applyNumberFormat="1" applyFont="1" applyFill="1" applyBorder="1" applyAlignment="1">
      <alignment vertical="center"/>
    </xf>
    <xf numFmtId="43" fontId="42" fillId="0" borderId="13" xfId="0" applyNumberFormat="1" applyFont="1" applyFill="1" applyBorder="1" applyAlignment="1">
      <alignment horizontal="center" vertical="center"/>
    </xf>
    <xf numFmtId="1" fontId="62" fillId="0" borderId="0" xfId="45" applyNumberFormat="1" applyFont="1" applyFill="1" applyAlignment="1">
      <alignment horizontal="center"/>
    </xf>
    <xf numFmtId="1" fontId="63" fillId="0" borderId="13" xfId="45" applyNumberFormat="1" applyFont="1" applyFill="1" applyBorder="1" applyAlignment="1">
      <alignment horizontal="center" vertical="center"/>
    </xf>
    <xf numFmtId="1" fontId="62" fillId="0" borderId="0" xfId="45" applyNumberFormat="1" applyFont="1" applyFill="1"/>
    <xf numFmtId="43" fontId="39" fillId="0" borderId="13" xfId="0" applyNumberFormat="1" applyFont="1" applyFill="1" applyBorder="1" applyAlignment="1">
      <alignment horizontal="center" vertical="center" wrapText="1"/>
    </xf>
    <xf numFmtId="43" fontId="43" fillId="0" borderId="0" xfId="0" applyNumberFormat="1" applyFont="1" applyFill="1" applyAlignment="1">
      <alignment horizontal="center" vertical="center"/>
    </xf>
    <xf numFmtId="43" fontId="44" fillId="0" borderId="13" xfId="0" applyNumberFormat="1" applyFont="1" applyFill="1" applyBorder="1" applyAlignment="1">
      <alignment horizontal="right" vertical="center"/>
    </xf>
    <xf numFmtId="43" fontId="41" fillId="0" borderId="0" xfId="2" applyNumberFormat="1" applyFont="1" applyFill="1" applyAlignment="1">
      <alignment horizontal="center"/>
    </xf>
    <xf numFmtId="43" fontId="60" fillId="0" borderId="0" xfId="2" applyNumberFormat="1" applyFont="1" applyFill="1" applyAlignment="1">
      <alignment horizontal="center"/>
    </xf>
    <xf numFmtId="43" fontId="62" fillId="0" borderId="13" xfId="2" quotePrefix="1" applyNumberFormat="1" applyFont="1" applyFill="1" applyBorder="1" applyAlignment="1">
      <alignment horizontal="center"/>
    </xf>
    <xf numFmtId="43" fontId="63" fillId="0" borderId="13" xfId="2" applyNumberFormat="1" applyFont="1" applyFill="1" applyBorder="1" applyAlignment="1">
      <alignment horizontal="center" wrapText="1"/>
    </xf>
    <xf numFmtId="43" fontId="40" fillId="0" borderId="0" xfId="2" applyNumberFormat="1" applyFont="1" applyFill="1" applyAlignment="1">
      <alignment horizontal="center"/>
    </xf>
    <xf numFmtId="3" fontId="62" fillId="0" borderId="13" xfId="2" quotePrefix="1" applyNumberFormat="1" applyFont="1" applyFill="1" applyBorder="1" applyAlignment="1">
      <alignment horizontal="center"/>
    </xf>
    <xf numFmtId="3" fontId="73" fillId="0" borderId="28" xfId="0" applyNumberFormat="1" applyFont="1" applyFill="1" applyBorder="1" applyAlignment="1">
      <alignment horizontal="right" vertical="center" shrinkToFit="1"/>
    </xf>
    <xf numFmtId="170" fontId="43" fillId="0" borderId="13" xfId="0" quotePrefix="1" applyNumberFormat="1" applyFont="1" applyFill="1" applyBorder="1" applyAlignment="1">
      <alignment horizontal="left" vertical="center" wrapText="1"/>
    </xf>
    <xf numFmtId="170" fontId="39" fillId="0" borderId="13" xfId="0" applyNumberFormat="1" applyFont="1" applyFill="1" applyBorder="1" applyAlignment="1">
      <alignment horizontal="center" vertical="center" wrapText="1"/>
    </xf>
    <xf numFmtId="170" fontId="43" fillId="0" borderId="13" xfId="0" applyNumberFormat="1" applyFont="1" applyFill="1" applyBorder="1" applyAlignment="1">
      <alignment horizontal="center" vertical="center"/>
    </xf>
    <xf numFmtId="170" fontId="43" fillId="0" borderId="13" xfId="0" applyNumberFormat="1" applyFont="1" applyFill="1" applyBorder="1" applyAlignment="1">
      <alignment horizontal="center" vertical="center" wrapText="1"/>
    </xf>
    <xf numFmtId="3" fontId="12" fillId="0" borderId="0" xfId="32" applyNumberFormat="1" applyFont="1" applyFill="1" applyAlignment="1">
      <alignment horizontal="center"/>
    </xf>
    <xf numFmtId="4" fontId="12" fillId="0" borderId="13" xfId="2" applyNumberFormat="1" applyFont="1" applyFill="1" applyBorder="1" applyAlignment="1">
      <alignment horizontal="center"/>
    </xf>
    <xf numFmtId="4" fontId="12" fillId="0" borderId="0" xfId="2" applyNumberFormat="1" applyFont="1" applyFill="1" applyAlignment="1">
      <alignment horizontal="center"/>
    </xf>
    <xf numFmtId="3" fontId="39" fillId="0" borderId="13" xfId="1" applyNumberFormat="1" applyFont="1" applyFill="1" applyBorder="1" applyAlignment="1">
      <alignment horizontal="center" vertical="center" wrapText="1"/>
    </xf>
    <xf numFmtId="170" fontId="43" fillId="0" borderId="13" xfId="0" applyNumberFormat="1" applyFont="1" applyFill="1" applyBorder="1" applyAlignment="1">
      <alignment wrapText="1"/>
    </xf>
    <xf numFmtId="170" fontId="36" fillId="0" borderId="13" xfId="0" applyNumberFormat="1" applyFont="1" applyFill="1" applyBorder="1" applyAlignment="1">
      <alignment horizontal="left" vertical="center" wrapText="1"/>
    </xf>
    <xf numFmtId="170" fontId="36" fillId="0" borderId="13" xfId="0" applyNumberFormat="1" applyFont="1" applyFill="1" applyBorder="1" applyAlignment="1">
      <alignment horizontal="center" vertical="center" wrapText="1"/>
    </xf>
    <xf numFmtId="3" fontId="36" fillId="0" borderId="13" xfId="1" applyNumberFormat="1" applyFont="1" applyFill="1" applyBorder="1" applyAlignment="1">
      <alignment horizontal="center" vertical="center" wrapText="1"/>
    </xf>
    <xf numFmtId="170" fontId="36" fillId="0" borderId="13" xfId="0" applyNumberFormat="1" applyFont="1" applyFill="1" applyBorder="1" applyAlignment="1">
      <alignment vertical="center"/>
    </xf>
    <xf numFmtId="3" fontId="36" fillId="0" borderId="13" xfId="0" applyNumberFormat="1" applyFont="1" applyFill="1" applyBorder="1" applyAlignment="1">
      <alignment horizontal="right" vertical="center" wrapText="1"/>
    </xf>
    <xf numFmtId="170" fontId="36" fillId="15" borderId="13" xfId="0" applyNumberFormat="1" applyFont="1" applyFill="1" applyBorder="1" applyAlignment="1">
      <alignment horizontal="center" vertical="center" wrapText="1"/>
    </xf>
    <xf numFmtId="170" fontId="36" fillId="21" borderId="13" xfId="0" applyNumberFormat="1" applyFont="1" applyFill="1" applyBorder="1" applyAlignment="1">
      <alignment horizontal="center" vertical="center" wrapText="1"/>
    </xf>
    <xf numFmtId="3" fontId="39" fillId="0" borderId="13" xfId="0" applyNumberFormat="1" applyFont="1" applyFill="1" applyBorder="1" applyAlignment="1">
      <alignment horizontal="right" vertical="center" wrapText="1"/>
    </xf>
    <xf numFmtId="170" fontId="36" fillId="0" borderId="13" xfId="0" applyNumberFormat="1" applyFont="1" applyFill="1" applyBorder="1" applyAlignment="1">
      <alignment vertical="center" wrapText="1"/>
    </xf>
    <xf numFmtId="3" fontId="73" fillId="0" borderId="13" xfId="0" applyNumberFormat="1" applyFont="1" applyFill="1" applyBorder="1" applyAlignment="1">
      <alignment horizontal="right" vertical="center" shrinkToFit="1"/>
    </xf>
    <xf numFmtId="170" fontId="42" fillId="21" borderId="13" xfId="0" applyNumberFormat="1" applyFont="1" applyFill="1" applyBorder="1" applyAlignment="1">
      <alignment horizontal="center" vertical="center" wrapText="1"/>
    </xf>
    <xf numFmtId="3" fontId="42" fillId="21" borderId="13" xfId="1" applyNumberFormat="1" applyFont="1" applyFill="1" applyBorder="1" applyAlignment="1">
      <alignment horizontal="center" vertical="center" wrapText="1"/>
    </xf>
    <xf numFmtId="3" fontId="42" fillId="21" borderId="13" xfId="0" applyNumberFormat="1" applyFont="1" applyFill="1" applyBorder="1" applyAlignment="1">
      <alignment horizontal="right" vertical="center" wrapText="1"/>
    </xf>
    <xf numFmtId="3" fontId="42" fillId="21" borderId="13" xfId="0" applyNumberFormat="1" applyFont="1" applyFill="1" applyBorder="1" applyAlignment="1">
      <alignment horizontal="right" vertical="center"/>
    </xf>
    <xf numFmtId="3" fontId="63" fillId="0" borderId="13" xfId="45" applyNumberFormat="1" applyFont="1" applyFill="1" applyBorder="1" applyAlignment="1">
      <alignment horizontal="center" vertical="center"/>
    </xf>
    <xf numFmtId="170" fontId="63" fillId="0" borderId="13" xfId="45" applyFont="1" applyFill="1" applyBorder="1" applyAlignment="1">
      <alignment vertical="center" wrapText="1"/>
    </xf>
    <xf numFmtId="170" fontId="62" fillId="0" borderId="13" xfId="45" applyNumberFormat="1" applyFont="1" applyFill="1" applyBorder="1" applyAlignment="1">
      <alignment horizontal="left" vertical="center" wrapText="1"/>
    </xf>
    <xf numFmtId="170" fontId="62" fillId="0" borderId="13" xfId="45" quotePrefix="1" applyNumberFormat="1" applyFont="1" applyFill="1" applyBorder="1" applyAlignment="1">
      <alignment horizontal="left" vertical="center" wrapText="1"/>
    </xf>
    <xf numFmtId="170" fontId="12" fillId="0" borderId="13" xfId="2" applyNumberFormat="1" applyFont="1" applyFill="1" applyBorder="1" applyAlignment="1">
      <alignment wrapText="1"/>
    </xf>
    <xf numFmtId="170" fontId="12" fillId="0" borderId="13" xfId="2" applyNumberFormat="1" applyFont="1" applyFill="1" applyBorder="1" applyAlignment="1">
      <alignment horizontal="left" wrapText="1"/>
    </xf>
    <xf numFmtId="170" fontId="37" fillId="0" borderId="0" xfId="0" applyFont="1"/>
    <xf numFmtId="3" fontId="59" fillId="0" borderId="13" xfId="0" applyNumberFormat="1" applyFont="1" applyBorder="1" applyAlignment="1">
      <alignment wrapText="1"/>
    </xf>
    <xf numFmtId="170" fontId="37" fillId="0" borderId="13" xfId="0" applyFont="1" applyBorder="1"/>
    <xf numFmtId="3" fontId="37" fillId="0" borderId="13" xfId="0" applyNumberFormat="1" applyFont="1" applyBorder="1" applyAlignment="1">
      <alignment horizontal="center"/>
    </xf>
    <xf numFmtId="3" fontId="37" fillId="0" borderId="13" xfId="0" applyNumberFormat="1" applyFont="1" applyBorder="1"/>
    <xf numFmtId="170" fontId="37" fillId="0" borderId="13" xfId="0" applyFont="1" applyBorder="1" applyAlignment="1">
      <alignment wrapText="1"/>
    </xf>
    <xf numFmtId="170" fontId="59" fillId="0" borderId="13" xfId="0" applyFont="1" applyBorder="1" applyAlignment="1">
      <alignment horizontal="center" vertical="center"/>
    </xf>
    <xf numFmtId="170" fontId="59" fillId="0" borderId="13" xfId="0" applyFont="1" applyBorder="1" applyAlignment="1">
      <alignment horizontal="center" vertical="center" wrapText="1"/>
    </xf>
    <xf numFmtId="170" fontId="43" fillId="15" borderId="0" xfId="0" applyNumberFormat="1" applyFont="1" applyFill="1"/>
    <xf numFmtId="44" fontId="43" fillId="15" borderId="0" xfId="20" applyFont="1" applyFill="1"/>
    <xf numFmtId="170" fontId="36" fillId="15" borderId="13" xfId="0" applyNumberFormat="1" applyFont="1" applyFill="1" applyBorder="1" applyAlignment="1">
      <alignment vertical="center"/>
    </xf>
    <xf numFmtId="3" fontId="36" fillId="15" borderId="13" xfId="1" applyNumberFormat="1" applyFont="1" applyFill="1" applyBorder="1" applyAlignment="1">
      <alignment horizontal="center" vertical="center" wrapText="1"/>
    </xf>
    <xf numFmtId="3" fontId="36" fillId="15" borderId="13" xfId="0" applyNumberFormat="1" applyFont="1" applyFill="1" applyBorder="1" applyAlignment="1">
      <alignment horizontal="right" vertical="center" wrapText="1"/>
    </xf>
    <xf numFmtId="170" fontId="44" fillId="15" borderId="0" xfId="0" applyNumberFormat="1" applyFont="1" applyFill="1"/>
    <xf numFmtId="170" fontId="43" fillId="15" borderId="13" xfId="0" applyNumberFormat="1" applyFont="1" applyFill="1" applyBorder="1" applyAlignment="1">
      <alignment wrapText="1"/>
    </xf>
    <xf numFmtId="170" fontId="44" fillId="15" borderId="13" xfId="0" applyNumberFormat="1" applyFont="1" applyFill="1" applyBorder="1" applyAlignment="1">
      <alignment horizontal="right" vertical="center"/>
    </xf>
    <xf numFmtId="170" fontId="43" fillId="15" borderId="13" xfId="0" applyNumberFormat="1" applyFont="1" applyFill="1" applyBorder="1" applyAlignment="1">
      <alignment horizontal="center" vertical="center" wrapText="1"/>
    </xf>
    <xf numFmtId="170" fontId="43" fillId="15" borderId="0" xfId="0" applyNumberFormat="1" applyFont="1" applyFill="1" applyAlignment="1">
      <alignment horizontal="center" vertical="center"/>
    </xf>
    <xf numFmtId="170" fontId="43" fillId="15" borderId="0" xfId="0" applyNumberFormat="1" applyFont="1" applyFill="1" applyAlignment="1">
      <alignment horizontal="center" vertical="center" wrapText="1"/>
    </xf>
    <xf numFmtId="43" fontId="43" fillId="15" borderId="0" xfId="0" applyNumberFormat="1" applyFont="1" applyFill="1" applyAlignment="1">
      <alignment horizontal="center" vertical="center"/>
    </xf>
    <xf numFmtId="170" fontId="43" fillId="15" borderId="0" xfId="0" applyNumberFormat="1" applyFont="1" applyFill="1" applyAlignment="1">
      <alignment horizontal="right" vertical="center"/>
    </xf>
    <xf numFmtId="170" fontId="44" fillId="15" borderId="0" xfId="0" applyNumberFormat="1" applyFont="1" applyFill="1" applyAlignment="1">
      <alignment horizontal="right" vertical="center"/>
    </xf>
    <xf numFmtId="3" fontId="43" fillId="15" borderId="13" xfId="1" applyNumberFormat="1" applyFont="1" applyFill="1" applyBorder="1" applyAlignment="1">
      <alignment horizontal="center" vertical="center" wrapText="1"/>
    </xf>
    <xf numFmtId="3" fontId="43" fillId="15" borderId="13" xfId="0" applyNumberFormat="1" applyFont="1" applyFill="1" applyBorder="1" applyAlignment="1">
      <alignment horizontal="right" vertical="center" wrapText="1"/>
    </xf>
    <xf numFmtId="170" fontId="43" fillId="15" borderId="13" xfId="0" applyNumberFormat="1" applyFont="1" applyFill="1" applyBorder="1" applyAlignment="1">
      <alignment vertical="center" wrapText="1"/>
    </xf>
    <xf numFmtId="170" fontId="43" fillId="15" borderId="13" xfId="0" applyNumberFormat="1" applyFont="1" applyFill="1" applyBorder="1" applyAlignment="1">
      <alignment vertical="center"/>
    </xf>
    <xf numFmtId="3" fontId="12" fillId="15" borderId="13" xfId="0" applyNumberFormat="1" applyFont="1" applyFill="1" applyBorder="1" applyAlignment="1">
      <alignment horizontal="right" vertical="center" shrinkToFit="1"/>
    </xf>
    <xf numFmtId="170" fontId="44" fillId="13" borderId="13" xfId="0" applyNumberFormat="1" applyFont="1" applyFill="1" applyBorder="1" applyAlignment="1">
      <alignment horizontal="center" vertical="center" wrapText="1"/>
    </xf>
    <xf numFmtId="43" fontId="44" fillId="13" borderId="13" xfId="0" applyNumberFormat="1" applyFont="1" applyFill="1" applyBorder="1" applyAlignment="1">
      <alignment horizontal="center" vertical="center" wrapText="1"/>
    </xf>
    <xf numFmtId="170" fontId="44" fillId="13" borderId="13" xfId="0" applyNumberFormat="1" applyFont="1" applyFill="1" applyBorder="1" applyAlignment="1">
      <alignment vertical="center"/>
    </xf>
    <xf numFmtId="170" fontId="59" fillId="0" borderId="13" xfId="0" applyFont="1" applyBorder="1" applyAlignment="1">
      <alignment horizontal="center"/>
    </xf>
    <xf numFmtId="170" fontId="37" fillId="0" borderId="13" xfId="0" applyFont="1" applyFill="1" applyBorder="1" applyAlignment="1">
      <alignment wrapText="1"/>
    </xf>
    <xf numFmtId="3" fontId="37" fillId="0" borderId="13" xfId="0" applyNumberFormat="1" applyFont="1" applyFill="1" applyBorder="1" applyAlignment="1">
      <alignment wrapText="1"/>
    </xf>
    <xf numFmtId="170" fontId="60" fillId="15" borderId="13" xfId="0" applyNumberFormat="1" applyFont="1" applyFill="1" applyBorder="1" applyAlignment="1">
      <alignment horizontal="center" vertical="center" wrapText="1"/>
    </xf>
    <xf numFmtId="43" fontId="60" fillId="15" borderId="13" xfId="0" applyNumberFormat="1" applyFont="1" applyFill="1" applyBorder="1" applyAlignment="1">
      <alignment horizontal="center" vertical="center" wrapText="1"/>
    </xf>
    <xf numFmtId="170" fontId="60" fillId="15" borderId="13" xfId="0" applyNumberFormat="1" applyFont="1" applyFill="1" applyBorder="1" applyAlignment="1">
      <alignment vertical="center"/>
    </xf>
    <xf numFmtId="170" fontId="67" fillId="15" borderId="13" xfId="0" applyNumberFormat="1" applyFont="1" applyFill="1" applyBorder="1"/>
    <xf numFmtId="37" fontId="67" fillId="15" borderId="13" xfId="0" applyNumberFormat="1" applyFont="1" applyFill="1" applyBorder="1" applyAlignment="1">
      <alignment horizontal="center" vertical="center"/>
    </xf>
    <xf numFmtId="170" fontId="67" fillId="15" borderId="13" xfId="0" applyNumberFormat="1" applyFont="1" applyFill="1" applyBorder="1" applyAlignment="1">
      <alignment vertical="center"/>
    </xf>
    <xf numFmtId="170" fontId="60" fillId="15" borderId="13" xfId="0" applyNumberFormat="1" applyFont="1" applyFill="1" applyBorder="1"/>
    <xf numFmtId="3" fontId="60" fillId="15" borderId="13" xfId="0" applyNumberFormat="1" applyFont="1" applyFill="1" applyBorder="1" applyAlignment="1">
      <alignment horizontal="right" vertical="center"/>
    </xf>
    <xf numFmtId="170" fontId="67" fillId="15" borderId="13" xfId="0" applyNumberFormat="1" applyFont="1" applyFill="1" applyBorder="1" applyAlignment="1">
      <alignment horizontal="center" vertical="center" wrapText="1"/>
    </xf>
    <xf numFmtId="170" fontId="67" fillId="15" borderId="13" xfId="0" applyNumberFormat="1" applyFont="1" applyFill="1" applyBorder="1" applyAlignment="1">
      <alignment horizontal="center" vertical="center"/>
    </xf>
    <xf numFmtId="3" fontId="67" fillId="15" borderId="13" xfId="0" applyNumberFormat="1" applyFont="1" applyFill="1" applyBorder="1" applyAlignment="1">
      <alignment horizontal="right" vertical="center"/>
    </xf>
    <xf numFmtId="170" fontId="67" fillId="15" borderId="0" xfId="0" applyNumberFormat="1" applyFont="1" applyFill="1"/>
    <xf numFmtId="170" fontId="67" fillId="15" borderId="0" xfId="2" applyFont="1" applyFill="1" applyAlignment="1">
      <alignment vertical="center"/>
    </xf>
    <xf numFmtId="43" fontId="60" fillId="15" borderId="13" xfId="0" applyNumberFormat="1" applyFont="1" applyFill="1" applyBorder="1" applyAlignment="1">
      <alignment vertical="center" wrapText="1"/>
    </xf>
    <xf numFmtId="170" fontId="60" fillId="15" borderId="0" xfId="0" applyNumberFormat="1" applyFont="1" applyFill="1" applyBorder="1" applyAlignment="1">
      <alignment vertical="center"/>
    </xf>
    <xf numFmtId="44" fontId="67" fillId="15" borderId="0" xfId="20" applyFont="1" applyFill="1"/>
    <xf numFmtId="43" fontId="60" fillId="15" borderId="13" xfId="0" applyNumberFormat="1" applyFont="1" applyFill="1" applyBorder="1" applyAlignment="1">
      <alignment horizontal="center" vertical="center"/>
    </xf>
    <xf numFmtId="165" fontId="60" fillId="15" borderId="13" xfId="1" applyNumberFormat="1" applyFont="1" applyFill="1" applyBorder="1" applyAlignment="1">
      <alignment horizontal="center" vertical="center" wrapText="1"/>
    </xf>
    <xf numFmtId="170" fontId="60" fillId="15" borderId="13" xfId="0" applyNumberFormat="1" applyFont="1" applyFill="1" applyBorder="1" applyAlignment="1">
      <alignment horizontal="center" vertical="center"/>
    </xf>
    <xf numFmtId="3" fontId="60" fillId="15" borderId="13" xfId="0" applyNumberFormat="1" applyFont="1" applyFill="1" applyBorder="1" applyAlignment="1">
      <alignment horizontal="center" vertical="center" wrapText="1"/>
    </xf>
    <xf numFmtId="170" fontId="60" fillId="15" borderId="13" xfId="0" applyNumberFormat="1" applyFont="1" applyFill="1" applyBorder="1" applyAlignment="1">
      <alignment vertical="center" wrapText="1"/>
    </xf>
    <xf numFmtId="3" fontId="60" fillId="15" borderId="13" xfId="0" applyNumberFormat="1" applyFont="1" applyFill="1" applyBorder="1" applyAlignment="1">
      <alignment horizontal="center" vertical="center"/>
    </xf>
    <xf numFmtId="3" fontId="67" fillId="15" borderId="13" xfId="0" applyNumberFormat="1" applyFont="1" applyFill="1" applyBorder="1" applyAlignment="1">
      <alignment horizontal="center" vertical="center"/>
    </xf>
    <xf numFmtId="170" fontId="60" fillId="15" borderId="13" xfId="0" applyNumberFormat="1" applyFont="1" applyFill="1" applyBorder="1" applyAlignment="1">
      <alignment horizontal="left" vertical="center" wrapText="1"/>
    </xf>
    <xf numFmtId="170" fontId="60" fillId="15" borderId="0" xfId="0" applyNumberFormat="1" applyFont="1" applyFill="1"/>
    <xf numFmtId="170" fontId="67" fillId="15" borderId="13" xfId="0" applyNumberFormat="1" applyFont="1" applyFill="1" applyBorder="1" applyAlignment="1">
      <alignment vertical="center" wrapText="1"/>
    </xf>
    <xf numFmtId="3" fontId="67" fillId="15" borderId="13" xfId="1" applyNumberFormat="1" applyFont="1" applyFill="1" applyBorder="1" applyAlignment="1">
      <alignment horizontal="center" vertical="center"/>
    </xf>
    <xf numFmtId="1" fontId="67" fillId="15" borderId="13" xfId="1" applyNumberFormat="1" applyFont="1" applyFill="1" applyBorder="1" applyAlignment="1">
      <alignment horizontal="center" vertical="center"/>
    </xf>
    <xf numFmtId="170" fontId="67" fillId="15" borderId="13" xfId="0" quotePrefix="1" applyNumberFormat="1" applyFont="1" applyFill="1" applyBorder="1" applyAlignment="1">
      <alignment horizontal="left" vertical="center" wrapText="1"/>
    </xf>
    <xf numFmtId="43" fontId="67" fillId="15" borderId="13" xfId="0" applyNumberFormat="1" applyFont="1" applyFill="1" applyBorder="1" applyAlignment="1">
      <alignment horizontal="center" vertical="center"/>
    </xf>
    <xf numFmtId="170" fontId="67" fillId="15" borderId="0" xfId="0" applyNumberFormat="1" applyFont="1" applyFill="1" applyBorder="1"/>
    <xf numFmtId="3" fontId="67" fillId="15" borderId="13" xfId="0" applyNumberFormat="1" applyFont="1" applyFill="1" applyBorder="1" applyAlignment="1">
      <alignment horizontal="right" vertical="center" wrapText="1"/>
    </xf>
    <xf numFmtId="43" fontId="67" fillId="15" borderId="13" xfId="0" applyNumberFormat="1" applyFont="1" applyFill="1" applyBorder="1" applyAlignment="1">
      <alignment horizontal="right" vertical="center"/>
    </xf>
    <xf numFmtId="170" fontId="67" fillId="15" borderId="0" xfId="0" applyNumberFormat="1" applyFont="1" applyFill="1" applyAlignment="1">
      <alignment wrapText="1"/>
    </xf>
    <xf numFmtId="37" fontId="60" fillId="15" borderId="13" xfId="0" applyNumberFormat="1" applyFont="1" applyFill="1" applyBorder="1" applyAlignment="1">
      <alignment horizontal="center" vertical="center"/>
    </xf>
    <xf numFmtId="3" fontId="60" fillId="15" borderId="13" xfId="0" applyNumberFormat="1" applyFont="1" applyFill="1" applyBorder="1" applyAlignment="1">
      <alignment horizontal="right" vertical="center" wrapText="1"/>
    </xf>
    <xf numFmtId="43" fontId="60" fillId="15" borderId="13" xfId="0" applyNumberFormat="1" applyFont="1" applyFill="1" applyBorder="1" applyAlignment="1">
      <alignment horizontal="right" vertical="center"/>
    </xf>
    <xf numFmtId="3" fontId="67" fillId="15" borderId="13" xfId="0" quotePrefix="1" applyNumberFormat="1" applyFont="1" applyFill="1" applyBorder="1" applyAlignment="1">
      <alignment horizontal="center" vertical="center" wrapText="1"/>
    </xf>
    <xf numFmtId="3" fontId="67" fillId="15" borderId="13" xfId="0" applyNumberFormat="1" applyFont="1" applyFill="1" applyBorder="1" applyAlignment="1">
      <alignment horizontal="center" vertical="center" wrapText="1"/>
    </xf>
    <xf numFmtId="43" fontId="67" fillId="15" borderId="13" xfId="0" applyNumberFormat="1" applyFont="1" applyFill="1" applyBorder="1" applyAlignment="1">
      <alignment horizontal="center" vertical="center" wrapText="1"/>
    </xf>
    <xf numFmtId="170" fontId="67" fillId="15" borderId="0" xfId="0" applyNumberFormat="1" applyFont="1" applyFill="1" applyBorder="1" applyAlignment="1">
      <alignment vertical="center"/>
    </xf>
    <xf numFmtId="170" fontId="60" fillId="15" borderId="0" xfId="0" applyNumberFormat="1" applyFont="1" applyFill="1" applyBorder="1"/>
    <xf numFmtId="4" fontId="60" fillId="15" borderId="13" xfId="0" applyNumberFormat="1" applyFont="1" applyFill="1" applyBorder="1" applyAlignment="1">
      <alignment horizontal="right" vertical="center"/>
    </xf>
    <xf numFmtId="3" fontId="60" fillId="15" borderId="13" xfId="1" applyNumberFormat="1" applyFont="1" applyFill="1" applyBorder="1" applyAlignment="1">
      <alignment horizontal="center" vertical="center"/>
    </xf>
    <xf numFmtId="170" fontId="60" fillId="15" borderId="13" xfId="0" quotePrefix="1" applyNumberFormat="1" applyFont="1" applyFill="1" applyBorder="1" applyAlignment="1">
      <alignment horizontal="left" vertical="center" wrapText="1"/>
    </xf>
    <xf numFmtId="3" fontId="60" fillId="15" borderId="0" xfId="0" applyNumberFormat="1" applyFont="1" applyFill="1"/>
    <xf numFmtId="43" fontId="67" fillId="15" borderId="0" xfId="0" applyNumberFormat="1" applyFont="1" applyFill="1" applyBorder="1" applyAlignment="1">
      <alignment horizontal="center" vertical="center"/>
    </xf>
    <xf numFmtId="43" fontId="67" fillId="15" borderId="0" xfId="0" applyNumberFormat="1" applyFont="1" applyFill="1" applyAlignment="1">
      <alignment horizontal="center"/>
    </xf>
    <xf numFmtId="43" fontId="67" fillId="15" borderId="0" xfId="0" applyNumberFormat="1" applyFont="1" applyFill="1"/>
    <xf numFmtId="165" fontId="67" fillId="15" borderId="0" xfId="1" applyNumberFormat="1" applyFont="1" applyFill="1" applyAlignment="1">
      <alignment horizontal="center" vertical="center"/>
    </xf>
    <xf numFmtId="170" fontId="67" fillId="15" borderId="0" xfId="0" applyNumberFormat="1" applyFont="1" applyFill="1" applyAlignment="1">
      <alignment horizontal="center" vertical="center"/>
    </xf>
    <xf numFmtId="170" fontId="67" fillId="15" borderId="0" xfId="0" applyNumberFormat="1" applyFont="1" applyFill="1" applyAlignment="1">
      <alignment horizontal="center" vertical="center" wrapText="1"/>
    </xf>
    <xf numFmtId="43" fontId="67" fillId="15" borderId="0" xfId="0" applyNumberFormat="1" applyFont="1" applyFill="1" applyAlignment="1">
      <alignment horizontal="center" vertical="center"/>
    </xf>
    <xf numFmtId="170" fontId="67" fillId="15" borderId="0" xfId="0" applyNumberFormat="1" applyFont="1" applyFill="1" applyAlignment="1">
      <alignment horizontal="right" vertical="center"/>
    </xf>
    <xf numFmtId="170" fontId="60" fillId="15" borderId="0" xfId="0" applyNumberFormat="1" applyFont="1" applyFill="1" applyAlignment="1">
      <alignment horizontal="right" vertical="center"/>
    </xf>
    <xf numFmtId="170" fontId="67" fillId="15" borderId="0" xfId="0" applyNumberFormat="1" applyFont="1" applyFill="1" applyAlignment="1">
      <alignment horizontal="center"/>
    </xf>
    <xf numFmtId="170" fontId="60" fillId="15" borderId="0" xfId="2" applyFont="1" applyFill="1" applyBorder="1" applyAlignment="1">
      <alignment horizontal="center" vertical="center" wrapText="1"/>
    </xf>
    <xf numFmtId="170" fontId="60" fillId="15" borderId="0" xfId="0" applyNumberFormat="1" applyFont="1" applyFill="1" applyAlignment="1">
      <alignment horizontal="center" vertical="center" wrapText="1"/>
    </xf>
    <xf numFmtId="9" fontId="60" fillId="15" borderId="13" xfId="0" applyNumberFormat="1" applyFont="1" applyFill="1" applyBorder="1" applyAlignment="1">
      <alignment horizontal="center" vertical="center"/>
    </xf>
    <xf numFmtId="9" fontId="67" fillId="15" borderId="13" xfId="0" applyNumberFormat="1" applyFont="1" applyFill="1" applyBorder="1" applyAlignment="1">
      <alignment horizontal="center" vertical="center"/>
    </xf>
    <xf numFmtId="170" fontId="60" fillId="15" borderId="13" xfId="0" applyNumberFormat="1" applyFont="1" applyFill="1" applyBorder="1" applyAlignment="1">
      <alignment wrapText="1"/>
    </xf>
    <xf numFmtId="43" fontId="60" fillId="15" borderId="13" xfId="0" applyNumberFormat="1" applyFont="1" applyFill="1" applyBorder="1" applyAlignment="1">
      <alignment horizontal="center"/>
    </xf>
    <xf numFmtId="43" fontId="60" fillId="15" borderId="13" xfId="0" applyNumberFormat="1" applyFont="1" applyFill="1" applyBorder="1"/>
    <xf numFmtId="1" fontId="67" fillId="15" borderId="13" xfId="1" applyNumberFormat="1" applyFont="1" applyFill="1" applyBorder="1" applyAlignment="1">
      <alignment horizontal="center" vertical="center" wrapText="1"/>
    </xf>
    <xf numFmtId="165" fontId="40" fillId="0" borderId="0" xfId="1" applyNumberFormat="1" applyFont="1" applyFill="1" applyAlignment="1">
      <alignment horizontal="right" vertical="center"/>
    </xf>
    <xf numFmtId="43" fontId="63" fillId="0" borderId="13" xfId="2" applyNumberFormat="1" applyFont="1" applyFill="1" applyBorder="1" applyAlignment="1">
      <alignment horizontal="center" vertical="center"/>
    </xf>
    <xf numFmtId="3" fontId="63" fillId="0" borderId="13" xfId="2" quotePrefix="1" applyNumberFormat="1" applyFont="1" applyFill="1" applyBorder="1" applyAlignment="1">
      <alignment horizontal="center"/>
    </xf>
    <xf numFmtId="170" fontId="70" fillId="0" borderId="11" xfId="0" applyFont="1" applyBorder="1" applyAlignment="1">
      <alignment horizontal="right"/>
    </xf>
    <xf numFmtId="170" fontId="37" fillId="0" borderId="13" xfId="0" applyFont="1" applyBorder="1" applyAlignment="1">
      <alignment horizontal="center" vertical="center"/>
    </xf>
    <xf numFmtId="170" fontId="70" fillId="0" borderId="0" xfId="0" applyFont="1" applyBorder="1" applyAlignment="1"/>
    <xf numFmtId="170" fontId="37" fillId="0" borderId="0" xfId="0" applyFont="1" applyBorder="1"/>
    <xf numFmtId="170" fontId="40" fillId="0" borderId="0" xfId="2" applyFont="1" applyFill="1" applyBorder="1" applyAlignment="1">
      <alignment vertical="center"/>
    </xf>
    <xf numFmtId="170" fontId="40" fillId="0" borderId="0" xfId="2" applyNumberFormat="1" applyFont="1" applyFill="1" applyBorder="1" applyAlignment="1">
      <alignment horizontal="center" vertical="center"/>
    </xf>
    <xf numFmtId="43" fontId="40" fillId="0" borderId="0" xfId="2" applyNumberFormat="1" applyFont="1" applyFill="1" applyBorder="1" applyAlignment="1">
      <alignment horizontal="center" vertical="center"/>
    </xf>
    <xf numFmtId="168" fontId="41" fillId="0" borderId="0" xfId="2" applyNumberFormat="1" applyFont="1" applyFill="1" applyBorder="1" applyAlignment="1">
      <alignment horizontal="center" vertical="center"/>
    </xf>
    <xf numFmtId="170" fontId="67" fillId="0" borderId="0" xfId="2" applyNumberFormat="1" applyFont="1" applyFill="1" applyBorder="1" applyAlignment="1">
      <alignment vertical="center"/>
    </xf>
    <xf numFmtId="170" fontId="63" fillId="0" borderId="0" xfId="2" applyFont="1" applyFill="1" applyBorder="1" applyAlignment="1">
      <alignment horizontal="center" vertical="center" wrapText="1"/>
    </xf>
    <xf numFmtId="3" fontId="63" fillId="0" borderId="0" xfId="2" applyNumberFormat="1" applyFont="1" applyFill="1" applyBorder="1" applyAlignment="1">
      <alignment horizontal="right" vertical="center"/>
    </xf>
    <xf numFmtId="170" fontId="60" fillId="0" borderId="0" xfId="2" applyFont="1" applyFill="1" applyAlignment="1">
      <alignment horizontal="center" vertical="center" wrapText="1"/>
    </xf>
    <xf numFmtId="170" fontId="70" fillId="0" borderId="0" xfId="2" applyFont="1" applyFill="1" applyBorder="1" applyAlignment="1">
      <alignment horizontal="right" vertical="center"/>
    </xf>
    <xf numFmtId="170" fontId="63" fillId="0" borderId="0" xfId="2" applyFont="1" applyFill="1" applyBorder="1" applyAlignment="1">
      <alignment horizontal="left" wrapText="1"/>
    </xf>
    <xf numFmtId="3" fontId="41" fillId="0" borderId="0" xfId="2" applyNumberFormat="1" applyFont="1" applyFill="1" applyBorder="1" applyAlignment="1">
      <alignment horizontal="center" vertical="center" wrapText="1"/>
    </xf>
    <xf numFmtId="170" fontId="76" fillId="0" borderId="0" xfId="2" applyNumberFormat="1" applyFont="1" applyFill="1" applyBorder="1" applyAlignment="1">
      <alignment vertical="center"/>
    </xf>
    <xf numFmtId="170" fontId="78" fillId="0" borderId="0" xfId="2" applyNumberFormat="1" applyFont="1" applyFill="1" applyBorder="1" applyAlignment="1">
      <alignment vertical="center"/>
    </xf>
    <xf numFmtId="3" fontId="76" fillId="0" borderId="0" xfId="2" applyNumberFormat="1" applyFont="1" applyFill="1" applyBorder="1" applyAlignment="1">
      <alignment vertical="center"/>
    </xf>
    <xf numFmtId="170" fontId="78" fillId="0" borderId="0" xfId="2" applyFont="1" applyFill="1" applyBorder="1" applyAlignment="1">
      <alignment vertical="center"/>
    </xf>
    <xf numFmtId="170" fontId="79" fillId="0" borderId="0" xfId="2" applyFont="1" applyFill="1" applyBorder="1" applyAlignment="1">
      <alignment vertical="center"/>
    </xf>
    <xf numFmtId="170" fontId="79" fillId="0" borderId="0" xfId="2" applyNumberFormat="1" applyFont="1" applyFill="1" applyBorder="1" applyAlignment="1">
      <alignment vertical="center"/>
    </xf>
    <xf numFmtId="168" fontId="40" fillId="0" borderId="0" xfId="2" applyNumberFormat="1" applyFont="1" applyFill="1" applyBorder="1" applyAlignment="1">
      <alignment vertical="center"/>
    </xf>
    <xf numFmtId="170" fontId="40" fillId="0" borderId="0" xfId="2" applyNumberFormat="1" applyFont="1" applyFill="1" applyBorder="1" applyAlignment="1">
      <alignment vertical="center"/>
    </xf>
    <xf numFmtId="170" fontId="60" fillId="0" borderId="0" xfId="2" applyFont="1" applyFill="1" applyBorder="1" applyAlignment="1">
      <alignment horizontal="center" vertical="center"/>
    </xf>
    <xf numFmtId="3" fontId="74" fillId="0" borderId="0" xfId="2" applyNumberFormat="1" applyFont="1" applyFill="1" applyBorder="1" applyAlignment="1">
      <alignment vertical="center"/>
    </xf>
    <xf numFmtId="170" fontId="40" fillId="0" borderId="0" xfId="2" applyFont="1" applyFill="1" applyBorder="1" applyAlignment="1">
      <alignment horizontal="right" vertical="center"/>
    </xf>
    <xf numFmtId="165" fontId="40" fillId="0" borderId="0" xfId="1" applyNumberFormat="1" applyFont="1" applyFill="1" applyBorder="1" applyAlignment="1">
      <alignment horizontal="right" vertical="center"/>
    </xf>
    <xf numFmtId="170" fontId="63" fillId="0" borderId="0" xfId="2" applyFont="1" applyFill="1" applyBorder="1" applyAlignment="1">
      <alignment horizontal="left" wrapText="1"/>
    </xf>
    <xf numFmtId="3" fontId="60" fillId="0" borderId="0" xfId="2" applyNumberFormat="1" applyFont="1" applyFill="1" applyBorder="1" applyAlignment="1">
      <alignment vertical="center"/>
    </xf>
    <xf numFmtId="168" fontId="41" fillId="0" borderId="0" xfId="2" applyNumberFormat="1" applyFont="1" applyFill="1" applyBorder="1" applyAlignment="1">
      <alignment vertical="center" wrapText="1"/>
    </xf>
    <xf numFmtId="170" fontId="63" fillId="0" borderId="0" xfId="2" applyFont="1" applyFill="1" applyBorder="1" applyAlignment="1">
      <alignment wrapText="1"/>
    </xf>
    <xf numFmtId="170" fontId="63" fillId="0" borderId="0" xfId="2" applyFont="1" applyFill="1" applyBorder="1" applyAlignment="1">
      <alignment horizontal="left" wrapText="1"/>
    </xf>
    <xf numFmtId="3" fontId="80" fillId="0" borderId="0" xfId="2" applyNumberFormat="1" applyFont="1" applyFill="1" applyBorder="1" applyAlignment="1">
      <alignment horizontal="right" vertical="center"/>
    </xf>
    <xf numFmtId="170" fontId="80" fillId="0" borderId="0" xfId="2" applyFont="1" applyFill="1" applyBorder="1" applyAlignment="1">
      <alignment horizontal="left" wrapText="1"/>
    </xf>
    <xf numFmtId="3" fontId="81" fillId="0" borderId="0" xfId="2" applyNumberFormat="1" applyFont="1" applyFill="1" applyBorder="1" applyAlignment="1">
      <alignment horizontal="right" vertical="center"/>
    </xf>
    <xf numFmtId="3" fontId="82" fillId="0" borderId="0" xfId="4" applyNumberFormat="1" applyFont="1" applyFill="1" applyBorder="1" applyAlignment="1" applyProtection="1">
      <alignment horizontal="right" vertical="center" wrapText="1"/>
    </xf>
    <xf numFmtId="170" fontId="83" fillId="0" borderId="0" xfId="39" applyNumberFormat="1" applyFont="1" applyFill="1" applyBorder="1" applyAlignment="1" applyProtection="1">
      <alignment horizontal="center" vertical="center" wrapText="1"/>
    </xf>
    <xf numFmtId="3" fontId="84" fillId="0" borderId="0" xfId="2" applyNumberFormat="1" applyFont="1" applyFill="1" applyBorder="1" applyAlignment="1">
      <alignment horizontal="right" vertical="center"/>
    </xf>
    <xf numFmtId="170" fontId="75" fillId="3" borderId="13" xfId="0" applyFont="1" applyFill="1" applyBorder="1" applyAlignment="1">
      <alignment horizontal="center"/>
    </xf>
    <xf numFmtId="170" fontId="62" fillId="0" borderId="0" xfId="2" applyFont="1" applyFill="1" applyAlignment="1">
      <alignment vertical="center"/>
    </xf>
    <xf numFmtId="170" fontId="62" fillId="0" borderId="0" xfId="0" applyNumberFormat="1" applyFont="1" applyFill="1"/>
    <xf numFmtId="170" fontId="63" fillId="0" borderId="13" xfId="0" applyNumberFormat="1" applyFont="1" applyFill="1" applyBorder="1" applyAlignment="1">
      <alignment horizontal="center" vertical="center" wrapText="1"/>
    </xf>
    <xf numFmtId="43" fontId="63" fillId="0" borderId="13" xfId="0" applyNumberFormat="1" applyFont="1" applyFill="1" applyBorder="1" applyAlignment="1">
      <alignment horizontal="center" vertical="center" wrapText="1"/>
    </xf>
    <xf numFmtId="165" fontId="63" fillId="0" borderId="13" xfId="1" applyNumberFormat="1" applyFont="1" applyFill="1" applyBorder="1" applyAlignment="1">
      <alignment horizontal="center" vertical="center" wrapText="1"/>
    </xf>
    <xf numFmtId="3" fontId="63" fillId="0" borderId="13" xfId="0" applyNumberFormat="1" applyFont="1" applyFill="1" applyBorder="1" applyAlignment="1">
      <alignment horizontal="right" vertical="center"/>
    </xf>
    <xf numFmtId="170" fontId="63" fillId="0" borderId="13" xfId="0" applyNumberFormat="1" applyFont="1" applyFill="1" applyBorder="1" applyAlignment="1">
      <alignment vertical="center" wrapText="1"/>
    </xf>
    <xf numFmtId="170" fontId="62" fillId="0" borderId="13" xfId="0" quotePrefix="1" applyNumberFormat="1" applyFont="1" applyFill="1" applyBorder="1" applyAlignment="1">
      <alignment vertical="center" wrapText="1"/>
    </xf>
    <xf numFmtId="170" fontId="62" fillId="0" borderId="13" xfId="0" quotePrefix="1" applyNumberFormat="1" applyFont="1" applyFill="1" applyBorder="1" applyAlignment="1">
      <alignment horizontal="center" vertical="center" wrapText="1"/>
    </xf>
    <xf numFmtId="3" fontId="62" fillId="0" borderId="13" xfId="0" applyNumberFormat="1" applyFont="1" applyFill="1" applyBorder="1" applyAlignment="1">
      <alignment horizontal="right" vertical="center"/>
    </xf>
    <xf numFmtId="170" fontId="62" fillId="0" borderId="13" xfId="0" quotePrefix="1" applyNumberFormat="1" applyFont="1" applyFill="1" applyBorder="1" applyAlignment="1">
      <alignment horizontal="left" vertical="center" wrapText="1"/>
    </xf>
    <xf numFmtId="37" fontId="62" fillId="0" borderId="13" xfId="0" applyNumberFormat="1" applyFont="1" applyFill="1" applyBorder="1" applyAlignment="1">
      <alignment horizontal="center" vertical="center"/>
    </xf>
    <xf numFmtId="43" fontId="62" fillId="0" borderId="13" xfId="0" applyNumberFormat="1" applyFont="1" applyFill="1" applyBorder="1" applyAlignment="1">
      <alignment horizontal="center" vertical="center"/>
    </xf>
    <xf numFmtId="170" fontId="63" fillId="0" borderId="0" xfId="0" applyNumberFormat="1" applyFont="1" applyFill="1"/>
    <xf numFmtId="3" fontId="62" fillId="0" borderId="13" xfId="0" quotePrefix="1" applyNumberFormat="1" applyFont="1" applyFill="1" applyBorder="1" applyAlignment="1">
      <alignment horizontal="left" vertical="center" wrapText="1"/>
    </xf>
    <xf numFmtId="170" fontId="62" fillId="0" borderId="0" xfId="0" applyNumberFormat="1" applyFont="1" applyFill="1" applyBorder="1"/>
    <xf numFmtId="172" fontId="62" fillId="0" borderId="0" xfId="0" applyNumberFormat="1" applyFont="1" applyFill="1" applyBorder="1" applyAlignment="1">
      <alignment horizontal="center" vertical="center"/>
    </xf>
    <xf numFmtId="170" fontId="62" fillId="0" borderId="0" xfId="0" applyNumberFormat="1" applyFont="1" applyFill="1" applyBorder="1" applyAlignment="1">
      <alignment wrapText="1"/>
    </xf>
    <xf numFmtId="43" fontId="62" fillId="0" borderId="0" xfId="0" applyNumberFormat="1" applyFont="1" applyFill="1" applyBorder="1" applyAlignment="1">
      <alignment horizontal="center"/>
    </xf>
    <xf numFmtId="165" fontId="62" fillId="0" borderId="0" xfId="1" applyNumberFormat="1" applyFont="1" applyFill="1" applyBorder="1" applyAlignment="1">
      <alignment horizontal="center" vertical="center"/>
    </xf>
    <xf numFmtId="170" fontId="62" fillId="0" borderId="0" xfId="0" applyNumberFormat="1" applyFont="1" applyFill="1" applyBorder="1" applyAlignment="1">
      <alignment horizontal="center" vertical="center"/>
    </xf>
    <xf numFmtId="3" fontId="62" fillId="0" borderId="0" xfId="0" applyNumberFormat="1" applyFont="1" applyFill="1" applyBorder="1" applyAlignment="1">
      <alignment horizontal="right" vertical="center"/>
    </xf>
    <xf numFmtId="170" fontId="62" fillId="0" borderId="0" xfId="0" applyNumberFormat="1" applyFont="1" applyFill="1" applyBorder="1" applyAlignment="1">
      <alignment horizontal="center" vertical="center" wrapText="1"/>
    </xf>
    <xf numFmtId="43" fontId="62" fillId="0" borderId="0" xfId="0" applyNumberFormat="1" applyFont="1" applyFill="1" applyBorder="1" applyAlignment="1">
      <alignment horizontal="center" vertical="center"/>
    </xf>
    <xf numFmtId="170" fontId="62" fillId="0" borderId="0" xfId="0" applyNumberFormat="1" applyFont="1" applyFill="1" applyBorder="1" applyAlignment="1">
      <alignment horizontal="right" vertical="center"/>
    </xf>
    <xf numFmtId="170" fontId="62" fillId="0" borderId="0" xfId="0" applyNumberFormat="1" applyFont="1" applyFill="1" applyAlignment="1">
      <alignment wrapText="1"/>
    </xf>
    <xf numFmtId="43" fontId="62" fillId="0" borderId="0" xfId="0" applyNumberFormat="1" applyFont="1" applyFill="1" applyAlignment="1">
      <alignment horizontal="center"/>
    </xf>
    <xf numFmtId="165" fontId="62" fillId="0" borderId="0" xfId="1" applyNumberFormat="1" applyFont="1" applyFill="1" applyAlignment="1">
      <alignment horizontal="center" vertical="center"/>
    </xf>
    <xf numFmtId="170" fontId="62" fillId="0" borderId="0" xfId="0" applyNumberFormat="1" applyFont="1" applyFill="1" applyAlignment="1">
      <alignment horizontal="center" vertical="center"/>
    </xf>
    <xf numFmtId="170" fontId="62" fillId="0" borderId="0" xfId="0" applyNumberFormat="1" applyFont="1" applyFill="1" applyAlignment="1">
      <alignment horizontal="center" vertical="center" wrapText="1"/>
    </xf>
    <xf numFmtId="43" fontId="62" fillId="0" borderId="0" xfId="0" applyNumberFormat="1" applyFont="1" applyFill="1" applyAlignment="1">
      <alignment horizontal="center" vertical="center"/>
    </xf>
    <xf numFmtId="170" fontId="62" fillId="0" borderId="0" xfId="0" applyNumberFormat="1" applyFont="1" applyFill="1" applyAlignment="1">
      <alignment horizontal="right" vertical="center"/>
    </xf>
    <xf numFmtId="170" fontId="62" fillId="0" borderId="0" xfId="0" applyNumberFormat="1" applyFont="1" applyFill="1" applyAlignment="1">
      <alignment horizontal="center"/>
    </xf>
    <xf numFmtId="170" fontId="63" fillId="0" borderId="13" xfId="0" applyNumberFormat="1" applyFont="1" applyFill="1" applyBorder="1" applyAlignment="1">
      <alignment horizontal="left" vertical="top" wrapText="1"/>
    </xf>
    <xf numFmtId="43" fontId="63" fillId="0" borderId="13" xfId="1" applyFont="1" applyFill="1" applyBorder="1" applyAlignment="1">
      <alignment horizontal="center" vertical="center" wrapText="1"/>
    </xf>
    <xf numFmtId="170" fontId="63" fillId="0" borderId="13" xfId="45" applyNumberFormat="1" applyFont="1" applyFill="1" applyBorder="1"/>
    <xf numFmtId="170" fontId="63" fillId="0" borderId="13" xfId="45" applyFont="1" applyFill="1" applyBorder="1"/>
    <xf numFmtId="170" fontId="63" fillId="0" borderId="13" xfId="45" applyFont="1" applyFill="1" applyBorder="1" applyAlignment="1">
      <alignment horizontal="center"/>
    </xf>
    <xf numFmtId="1" fontId="63" fillId="0" borderId="13" xfId="45" applyNumberFormat="1" applyFont="1" applyFill="1" applyBorder="1"/>
    <xf numFmtId="170" fontId="63" fillId="5" borderId="13" xfId="45" applyFont="1" applyFill="1" applyBorder="1" applyAlignment="1">
      <alignment horizontal="center" vertical="center" wrapText="1"/>
    </xf>
    <xf numFmtId="9" fontId="63" fillId="5" borderId="13" xfId="45" applyNumberFormat="1" applyFont="1" applyFill="1" applyBorder="1" applyAlignment="1">
      <alignment horizontal="center" vertical="center" wrapText="1"/>
    </xf>
    <xf numFmtId="168" fontId="12" fillId="0" borderId="13" xfId="2" applyNumberFormat="1" applyFont="1" applyFill="1" applyBorder="1" applyAlignment="1">
      <alignment horizontal="center"/>
    </xf>
    <xf numFmtId="43" fontId="62" fillId="0" borderId="0" xfId="1" applyFont="1" applyFill="1"/>
    <xf numFmtId="43" fontId="62" fillId="0" borderId="0" xfId="1" applyFont="1" applyFill="1" applyAlignment="1">
      <alignment horizontal="center"/>
    </xf>
    <xf numFmtId="43" fontId="62" fillId="0" borderId="0" xfId="1" applyFont="1" applyFill="1" applyAlignment="1">
      <alignment horizontal="right"/>
    </xf>
    <xf numFmtId="170" fontId="62" fillId="0" borderId="0" xfId="45" applyFont="1" applyFill="1" applyAlignment="1">
      <alignment vertical="center"/>
    </xf>
    <xf numFmtId="170" fontId="63" fillId="0" borderId="0" xfId="45" applyNumberFormat="1" applyFont="1" applyFill="1"/>
    <xf numFmtId="4" fontId="67" fillId="3" borderId="25" xfId="40" applyNumberFormat="1" applyFont="1" applyFill="1" applyBorder="1" applyAlignment="1">
      <alignment horizontal="center" vertical="center" wrapText="1"/>
    </xf>
    <xf numFmtId="168" fontId="67" fillId="3" borderId="25" xfId="40" applyNumberFormat="1" applyFont="1" applyFill="1" applyBorder="1" applyAlignment="1">
      <alignment horizontal="center" vertical="center" wrapText="1"/>
    </xf>
    <xf numFmtId="170" fontId="47" fillId="0" borderId="0" xfId="40" applyNumberFormat="1" applyFont="1" applyFill="1"/>
    <xf numFmtId="3" fontId="47" fillId="0" borderId="0" xfId="40" applyNumberFormat="1" applyFont="1" applyFill="1"/>
    <xf numFmtId="3" fontId="43" fillId="0" borderId="0" xfId="40" applyNumberFormat="1" applyFont="1" applyFill="1"/>
    <xf numFmtId="3" fontId="43" fillId="0" borderId="13" xfId="40" applyNumberFormat="1" applyFont="1" applyFill="1" applyBorder="1" applyAlignment="1">
      <alignment wrapText="1"/>
    </xf>
    <xf numFmtId="4" fontId="67" fillId="0" borderId="25" xfId="40" applyNumberFormat="1" applyFont="1" applyFill="1" applyBorder="1" applyAlignment="1">
      <alignment horizontal="center" vertical="center" wrapText="1"/>
    </xf>
    <xf numFmtId="171" fontId="62" fillId="0" borderId="13" xfId="40" applyNumberFormat="1" applyFont="1" applyFill="1" applyBorder="1" applyAlignment="1">
      <alignment horizontal="center" vertical="center" wrapText="1"/>
    </xf>
    <xf numFmtId="3" fontId="62" fillId="0" borderId="13" xfId="40" applyNumberFormat="1" applyFont="1" applyFill="1" applyBorder="1"/>
    <xf numFmtId="4" fontId="62" fillId="0" borderId="13" xfId="40" applyNumberFormat="1" applyFont="1" applyFill="1" applyBorder="1" applyAlignment="1">
      <alignment horizontal="center" vertical="center" wrapText="1"/>
    </xf>
    <xf numFmtId="4" fontId="62" fillId="0" borderId="13" xfId="40" applyNumberFormat="1" applyFont="1" applyFill="1" applyBorder="1"/>
    <xf numFmtId="3" fontId="63" fillId="0" borderId="13" xfId="40" applyNumberFormat="1" applyFont="1" applyFill="1" applyBorder="1"/>
    <xf numFmtId="171" fontId="63" fillId="0" borderId="13" xfId="40" applyNumberFormat="1" applyFont="1" applyFill="1" applyBorder="1"/>
    <xf numFmtId="3" fontId="44" fillId="0" borderId="13" xfId="40" applyNumberFormat="1" applyFont="1" applyFill="1" applyBorder="1" applyAlignment="1">
      <alignment horizontal="left"/>
    </xf>
    <xf numFmtId="3" fontId="44" fillId="0" borderId="13" xfId="40" applyNumberFormat="1" applyFont="1" applyFill="1" applyBorder="1"/>
    <xf numFmtId="3" fontId="44" fillId="0" borderId="13" xfId="40" applyNumberFormat="1" applyFont="1" applyFill="1" applyBorder="1" applyAlignment="1">
      <alignment horizontal="center"/>
    </xf>
    <xf numFmtId="3" fontId="43" fillId="0" borderId="0" xfId="40" applyNumberFormat="1" applyFont="1" applyFill="1" applyAlignment="1">
      <alignment horizontal="left" wrapText="1"/>
    </xf>
    <xf numFmtId="170" fontId="43" fillId="0" borderId="0" xfId="40" applyNumberFormat="1" applyFont="1" applyFill="1"/>
    <xf numFmtId="170" fontId="63" fillId="0" borderId="0" xfId="0" applyNumberFormat="1" applyFont="1" applyFill="1" applyAlignment="1">
      <alignment horizontal="center" vertical="center" wrapText="1"/>
    </xf>
    <xf numFmtId="165" fontId="68" fillId="0" borderId="13" xfId="1" quotePrefix="1" applyNumberFormat="1" applyFont="1" applyFill="1" applyBorder="1" applyAlignment="1">
      <alignment horizontal="center" vertical="center"/>
    </xf>
    <xf numFmtId="165" fontId="63" fillId="0" borderId="13" xfId="1" quotePrefix="1" applyNumberFormat="1" applyFont="1" applyFill="1" applyBorder="1" applyAlignment="1" applyProtection="1">
      <alignment horizontal="center" vertical="center"/>
    </xf>
    <xf numFmtId="3" fontId="63" fillId="0" borderId="13" xfId="45" quotePrefix="1" applyNumberFormat="1" applyFont="1" applyFill="1" applyBorder="1" applyAlignment="1">
      <alignment horizontal="center" vertical="center"/>
    </xf>
    <xf numFmtId="170" fontId="63" fillId="0" borderId="0" xfId="0" applyNumberFormat="1" applyFont="1" applyFill="1" applyBorder="1" applyAlignment="1">
      <alignment horizontal="right" vertical="center"/>
    </xf>
    <xf numFmtId="170" fontId="63" fillId="0" borderId="0" xfId="0" applyNumberFormat="1" applyFont="1" applyFill="1" applyAlignment="1">
      <alignment horizontal="right" vertical="center"/>
    </xf>
    <xf numFmtId="3" fontId="62" fillId="0" borderId="13" xfId="41" applyNumberFormat="1" applyFont="1" applyFill="1" applyBorder="1" applyAlignment="1">
      <alignment horizontal="right"/>
    </xf>
    <xf numFmtId="3" fontId="62" fillId="0" borderId="3" xfId="41" applyNumberFormat="1" applyFont="1" applyFill="1" applyBorder="1" applyAlignment="1">
      <alignment horizontal="right"/>
    </xf>
    <xf numFmtId="4" fontId="67" fillId="0" borderId="29" xfId="40" applyNumberFormat="1" applyFont="1" applyFill="1" applyBorder="1" applyAlignment="1">
      <alignment horizontal="center" vertical="center" wrapText="1"/>
    </xf>
    <xf numFmtId="3" fontId="63" fillId="23" borderId="13" xfId="0" applyNumberFormat="1" applyFont="1" applyFill="1" applyBorder="1" applyAlignment="1">
      <alignment horizontal="right" vertical="center"/>
    </xf>
    <xf numFmtId="3" fontId="62" fillId="23" borderId="13" xfId="0" applyNumberFormat="1" applyFont="1" applyFill="1" applyBorder="1" applyAlignment="1">
      <alignment horizontal="right" vertical="center"/>
    </xf>
    <xf numFmtId="4" fontId="12" fillId="23" borderId="13" xfId="2" applyNumberFormat="1" applyFont="1" applyFill="1" applyBorder="1" applyAlignment="1">
      <alignment horizontal="center"/>
    </xf>
    <xf numFmtId="4" fontId="17" fillId="23" borderId="13" xfId="2" applyNumberFormat="1" applyFont="1" applyFill="1" applyBorder="1" applyAlignment="1">
      <alignment horizontal="center"/>
    </xf>
    <xf numFmtId="3" fontId="12" fillId="23" borderId="0" xfId="2" applyNumberFormat="1" applyFont="1" applyFill="1" applyAlignment="1">
      <alignment horizontal="center"/>
    </xf>
    <xf numFmtId="165" fontId="46" fillId="0" borderId="13" xfId="0" applyNumberFormat="1" applyFont="1" applyBorder="1" applyAlignment="1">
      <alignment vertical="center"/>
    </xf>
    <xf numFmtId="170" fontId="85" fillId="0" borderId="13" xfId="0" quotePrefix="1" applyFont="1" applyBorder="1" applyAlignment="1">
      <alignment horizontal="left" vertical="center" wrapText="1"/>
    </xf>
    <xf numFmtId="3" fontId="62" fillId="0" borderId="13" xfId="0" applyNumberFormat="1" applyFont="1" applyFill="1" applyBorder="1" applyAlignment="1">
      <alignment horizontal="center" vertical="center" wrapText="1"/>
    </xf>
    <xf numFmtId="3" fontId="43" fillId="0" borderId="0" xfId="40" quotePrefix="1" applyNumberFormat="1" applyFont="1" applyFill="1"/>
    <xf numFmtId="9" fontId="37" fillId="0" borderId="13" xfId="0" applyNumberFormat="1" applyFont="1" applyFill="1" applyBorder="1" applyAlignment="1">
      <alignment horizontal="center" vertical="center"/>
    </xf>
    <xf numFmtId="170" fontId="63" fillId="0" borderId="0" xfId="2" applyFont="1" applyFill="1" applyBorder="1" applyAlignment="1">
      <alignment vertical="center" wrapText="1"/>
    </xf>
    <xf numFmtId="170" fontId="63" fillId="0" borderId="0" xfId="2" applyFont="1" applyFill="1" applyBorder="1" applyAlignment="1">
      <alignment horizontal="left"/>
    </xf>
    <xf numFmtId="170" fontId="60" fillId="0" borderId="0" xfId="2" applyFont="1" applyFill="1" applyAlignment="1">
      <alignment horizontal="center" vertical="center" wrapText="1"/>
    </xf>
    <xf numFmtId="170" fontId="40" fillId="0" borderId="0" xfId="2" applyFont="1" applyFill="1" applyBorder="1" applyAlignment="1">
      <alignment horizontal="center" vertical="center"/>
    </xf>
    <xf numFmtId="170" fontId="60" fillId="0" borderId="0" xfId="2" applyFont="1" applyFill="1" applyAlignment="1">
      <alignment horizontal="left" vertical="center"/>
    </xf>
    <xf numFmtId="170" fontId="70" fillId="0" borderId="0" xfId="2" applyFont="1" applyFill="1" applyBorder="1" applyAlignment="1">
      <alignment horizontal="right" vertical="center"/>
    </xf>
    <xf numFmtId="170" fontId="63" fillId="0" borderId="13" xfId="2" applyFont="1" applyFill="1" applyBorder="1" applyAlignment="1">
      <alignment horizontal="center" vertical="center"/>
    </xf>
    <xf numFmtId="170" fontId="63" fillId="0" borderId="0" xfId="2" applyFont="1" applyFill="1" applyBorder="1" applyAlignment="1">
      <alignment horizontal="left" wrapText="1"/>
    </xf>
    <xf numFmtId="170" fontId="63" fillId="0" borderId="13" xfId="2" applyFont="1" applyFill="1" applyBorder="1" applyAlignment="1">
      <alignment horizontal="left" vertical="center" wrapText="1"/>
    </xf>
    <xf numFmtId="170" fontId="86" fillId="0" borderId="13" xfId="39" quotePrefix="1" applyNumberFormat="1" applyFont="1" applyFill="1" applyBorder="1" applyAlignment="1" applyProtection="1">
      <alignment horizontal="center" vertical="center" wrapText="1"/>
    </xf>
    <xf numFmtId="170" fontId="86" fillId="0" borderId="13" xfId="39" applyNumberFormat="1" applyFont="1" applyFill="1" applyBorder="1" applyAlignment="1" applyProtection="1">
      <alignment horizontal="center" vertical="center" wrapText="1"/>
    </xf>
    <xf numFmtId="170" fontId="68" fillId="0" borderId="13" xfId="2" applyFont="1" applyFill="1" applyBorder="1" applyAlignment="1">
      <alignment horizontal="left" vertical="center" wrapText="1"/>
    </xf>
    <xf numFmtId="170" fontId="63" fillId="0" borderId="6" xfId="2" applyFont="1" applyFill="1" applyBorder="1" applyAlignment="1">
      <alignment horizontal="left" vertical="center" wrapText="1"/>
    </xf>
    <xf numFmtId="170" fontId="63" fillId="0" borderId="7" xfId="2" applyFont="1" applyFill="1" applyBorder="1" applyAlignment="1">
      <alignment horizontal="left" vertical="center" wrapText="1"/>
    </xf>
    <xf numFmtId="170" fontId="63" fillId="0" borderId="8" xfId="2" applyFont="1" applyFill="1" applyBorder="1" applyAlignment="1">
      <alignment horizontal="left" vertical="center" wrapText="1"/>
    </xf>
    <xf numFmtId="170" fontId="79" fillId="0" borderId="0" xfId="2" applyNumberFormat="1" applyFont="1" applyFill="1" applyBorder="1" applyAlignment="1">
      <alignment horizontal="center" vertical="top" wrapText="1"/>
    </xf>
    <xf numFmtId="170" fontId="63" fillId="0" borderId="13" xfId="2" applyFont="1" applyFill="1" applyBorder="1" applyAlignment="1">
      <alignment horizontal="left" vertical="center"/>
    </xf>
    <xf numFmtId="3" fontId="77" fillId="0" borderId="0" xfId="2" applyNumberFormat="1" applyFont="1" applyFill="1" applyBorder="1" applyAlignment="1">
      <alignment horizontal="center" vertical="center" wrapText="1"/>
    </xf>
    <xf numFmtId="170" fontId="68" fillId="0" borderId="6" xfId="2" applyFont="1" applyFill="1" applyBorder="1" applyAlignment="1">
      <alignment vertical="center"/>
    </xf>
    <xf numFmtId="170" fontId="68" fillId="0" borderId="7" xfId="2" applyFont="1" applyFill="1" applyBorder="1" applyAlignment="1">
      <alignment vertical="center"/>
    </xf>
    <xf numFmtId="170" fontId="68" fillId="0" borderId="8" xfId="2" applyFont="1" applyFill="1" applyBorder="1" applyAlignment="1">
      <alignment vertical="center"/>
    </xf>
    <xf numFmtId="170" fontId="63" fillId="0" borderId="3" xfId="0" applyNumberFormat="1" applyFont="1" applyFill="1" applyBorder="1" applyAlignment="1">
      <alignment horizontal="center" vertical="center" wrapText="1"/>
    </xf>
    <xf numFmtId="170" fontId="63" fillId="0" borderId="23" xfId="0" applyNumberFormat="1" applyFont="1" applyFill="1" applyBorder="1" applyAlignment="1">
      <alignment horizontal="center" vertical="center" wrapText="1"/>
    </xf>
    <xf numFmtId="170" fontId="63" fillId="0" borderId="21" xfId="0" applyNumberFormat="1" applyFont="1" applyFill="1" applyBorder="1" applyAlignment="1">
      <alignment horizontal="center" vertical="center" wrapText="1"/>
    </xf>
    <xf numFmtId="43" fontId="63" fillId="0" borderId="3" xfId="0" applyNumberFormat="1" applyFont="1" applyFill="1" applyBorder="1" applyAlignment="1">
      <alignment horizontal="center" vertical="center" wrapText="1"/>
    </xf>
    <xf numFmtId="43" fontId="63" fillId="0" borderId="21" xfId="0" applyNumberFormat="1" applyFont="1" applyFill="1" applyBorder="1" applyAlignment="1">
      <alignment horizontal="center" vertical="center" wrapText="1"/>
    </xf>
    <xf numFmtId="170" fontId="63" fillId="0" borderId="6" xfId="0" applyNumberFormat="1" applyFont="1" applyFill="1" applyBorder="1" applyAlignment="1">
      <alignment horizontal="center" vertical="center" wrapText="1"/>
    </xf>
    <xf numFmtId="170" fontId="63" fillId="0" borderId="7" xfId="0" applyNumberFormat="1" applyFont="1" applyFill="1" applyBorder="1" applyAlignment="1">
      <alignment horizontal="center" vertical="center" wrapText="1"/>
    </xf>
    <xf numFmtId="170" fontId="63" fillId="0" borderId="8" xfId="0" applyNumberFormat="1" applyFont="1" applyFill="1" applyBorder="1" applyAlignment="1">
      <alignment horizontal="center" vertical="center" wrapText="1"/>
    </xf>
    <xf numFmtId="170" fontId="63" fillId="0" borderId="3" xfId="0" applyNumberFormat="1" applyFont="1" applyFill="1" applyBorder="1" applyAlignment="1">
      <alignment horizontal="center" vertical="top" wrapText="1"/>
    </xf>
    <xf numFmtId="170" fontId="63" fillId="0" borderId="23" xfId="0" applyNumberFormat="1" applyFont="1" applyFill="1" applyBorder="1" applyAlignment="1">
      <alignment horizontal="center" vertical="top" wrapText="1"/>
    </xf>
    <xf numFmtId="170" fontId="63" fillId="0" borderId="21" xfId="0" applyNumberFormat="1" applyFont="1" applyFill="1" applyBorder="1" applyAlignment="1">
      <alignment horizontal="center" vertical="top" wrapText="1"/>
    </xf>
    <xf numFmtId="3" fontId="62" fillId="0" borderId="3" xfId="0" applyNumberFormat="1" applyFont="1" applyFill="1" applyBorder="1" applyAlignment="1">
      <alignment horizontal="center" vertical="center"/>
    </xf>
    <xf numFmtId="3" fontId="62" fillId="0" borderId="23" xfId="0" applyNumberFormat="1" applyFont="1" applyFill="1" applyBorder="1" applyAlignment="1">
      <alignment horizontal="center" vertical="center"/>
    </xf>
    <xf numFmtId="3" fontId="62" fillId="0" borderId="21" xfId="0" applyNumberFormat="1" applyFont="1" applyFill="1" applyBorder="1" applyAlignment="1">
      <alignment horizontal="center" vertical="center"/>
    </xf>
    <xf numFmtId="170" fontId="63" fillId="0" borderId="6" xfId="2" applyFont="1" applyFill="1" applyBorder="1" applyAlignment="1">
      <alignment horizontal="center" vertical="center" wrapText="1"/>
    </xf>
    <xf numFmtId="170" fontId="63" fillId="0" borderId="7" xfId="2" applyFont="1" applyFill="1" applyBorder="1" applyAlignment="1">
      <alignment horizontal="center" vertical="center" wrapText="1"/>
    </xf>
    <xf numFmtId="170" fontId="63" fillId="0" borderId="0" xfId="0" applyNumberFormat="1" applyFont="1" applyFill="1" applyAlignment="1">
      <alignment horizontal="center" vertical="center" wrapText="1"/>
    </xf>
    <xf numFmtId="170" fontId="63" fillId="0" borderId="6" xfId="0" applyNumberFormat="1" applyFont="1" applyFill="1" applyBorder="1" applyAlignment="1">
      <alignment horizontal="center" vertical="center"/>
    </xf>
    <xf numFmtId="170" fontId="63" fillId="0" borderId="7" xfId="0" applyNumberFormat="1" applyFont="1" applyFill="1" applyBorder="1" applyAlignment="1">
      <alignment horizontal="center" vertical="center"/>
    </xf>
    <xf numFmtId="170" fontId="63" fillId="0" borderId="8" xfId="0" applyNumberFormat="1" applyFont="1" applyFill="1" applyBorder="1" applyAlignment="1">
      <alignment horizontal="center" vertical="center"/>
    </xf>
    <xf numFmtId="165" fontId="63" fillId="0" borderId="3" xfId="1" applyNumberFormat="1" applyFont="1" applyFill="1" applyBorder="1" applyAlignment="1">
      <alignment horizontal="center" vertical="center" wrapText="1"/>
    </xf>
    <xf numFmtId="165" fontId="63" fillId="0" borderId="21" xfId="1" applyNumberFormat="1" applyFont="1" applyFill="1" applyBorder="1" applyAlignment="1">
      <alignment horizontal="center" vertical="center" wrapText="1"/>
    </xf>
    <xf numFmtId="170" fontId="63" fillId="0" borderId="6" xfId="0" applyNumberFormat="1" applyFont="1" applyFill="1" applyBorder="1" applyAlignment="1">
      <alignment horizontal="left" vertical="center" wrapText="1"/>
    </xf>
    <xf numFmtId="170" fontId="63" fillId="0" borderId="8" xfId="0" applyNumberFormat="1" applyFont="1" applyFill="1" applyBorder="1" applyAlignment="1">
      <alignment horizontal="left" vertical="center" wrapText="1"/>
    </xf>
    <xf numFmtId="170" fontId="39" fillId="9" borderId="13" xfId="0" applyNumberFormat="1" applyFont="1" applyFill="1" applyBorder="1" applyAlignment="1">
      <alignment horizontal="center" vertical="center" wrapText="1"/>
    </xf>
    <xf numFmtId="170" fontId="39" fillId="5" borderId="13" xfId="0" applyNumberFormat="1" applyFont="1" applyFill="1" applyBorder="1" applyAlignment="1">
      <alignment horizontal="center" vertical="center" wrapText="1"/>
    </xf>
    <xf numFmtId="170" fontId="43" fillId="0" borderId="13" xfId="0" applyNumberFormat="1" applyFont="1" applyBorder="1" applyAlignment="1">
      <alignment horizontal="left" vertical="center" wrapText="1"/>
    </xf>
    <xf numFmtId="170" fontId="43" fillId="0" borderId="13" xfId="0" applyNumberFormat="1" applyFont="1" applyFill="1" applyBorder="1" applyAlignment="1">
      <alignment horizontal="center" vertical="center" wrapText="1"/>
    </xf>
    <xf numFmtId="170" fontId="43" fillId="0" borderId="13" xfId="0" applyNumberFormat="1" applyFont="1" applyFill="1" applyBorder="1" applyAlignment="1">
      <alignment horizontal="center" vertical="center"/>
    </xf>
    <xf numFmtId="170" fontId="43" fillId="9" borderId="13" xfId="0" applyNumberFormat="1" applyFont="1" applyFill="1" applyBorder="1" applyAlignment="1">
      <alignment horizontal="center" vertical="center"/>
    </xf>
    <xf numFmtId="170" fontId="52" fillId="13" borderId="13" xfId="0" applyNumberFormat="1" applyFont="1" applyFill="1" applyBorder="1" applyAlignment="1">
      <alignment vertical="center" wrapText="1"/>
    </xf>
    <xf numFmtId="170" fontId="39" fillId="8" borderId="13" xfId="0" applyNumberFormat="1" applyFont="1" applyFill="1" applyBorder="1" applyAlignment="1">
      <alignment horizontal="center" vertical="center"/>
    </xf>
    <xf numFmtId="170" fontId="39" fillId="12" borderId="13" xfId="0" applyNumberFormat="1" applyFont="1" applyFill="1" applyBorder="1" applyAlignment="1">
      <alignment horizontal="center" vertical="center"/>
    </xf>
    <xf numFmtId="170" fontId="43" fillId="0" borderId="13" xfId="0" applyNumberFormat="1" applyFont="1" applyFill="1" applyBorder="1" applyAlignment="1">
      <alignment horizontal="left" vertical="center" wrapText="1"/>
    </xf>
    <xf numFmtId="170" fontId="44" fillId="6" borderId="3" xfId="0" applyNumberFormat="1" applyFont="1" applyFill="1" applyBorder="1" applyAlignment="1">
      <alignment horizontal="center" vertical="center"/>
    </xf>
    <xf numFmtId="170" fontId="44" fillId="6" borderId="23" xfId="0" applyNumberFormat="1" applyFont="1" applyFill="1" applyBorder="1" applyAlignment="1">
      <alignment horizontal="center" vertical="center"/>
    </xf>
    <xf numFmtId="170" fontId="44" fillId="6" borderId="21" xfId="0" applyNumberFormat="1" applyFont="1" applyFill="1" applyBorder="1" applyAlignment="1">
      <alignment horizontal="center" vertical="center"/>
    </xf>
    <xf numFmtId="170" fontId="39" fillId="10" borderId="13" xfId="0" applyNumberFormat="1" applyFont="1" applyFill="1" applyBorder="1" applyAlignment="1">
      <alignment horizontal="center" vertical="center" wrapText="1"/>
    </xf>
    <xf numFmtId="170" fontId="44" fillId="6" borderId="13" xfId="0" applyNumberFormat="1" applyFont="1" applyFill="1" applyBorder="1" applyAlignment="1">
      <alignment horizontal="center" vertical="center"/>
    </xf>
    <xf numFmtId="170" fontId="39" fillId="12" borderId="13" xfId="0" applyNumberFormat="1" applyFont="1" applyFill="1" applyBorder="1" applyAlignment="1">
      <alignment horizontal="center" vertical="center" wrapText="1"/>
    </xf>
    <xf numFmtId="170" fontId="39" fillId="5" borderId="13" xfId="0" applyNumberFormat="1" applyFont="1" applyFill="1" applyBorder="1" applyAlignment="1">
      <alignment horizontal="center" vertical="center"/>
    </xf>
    <xf numFmtId="170" fontId="39" fillId="11" borderId="13" xfId="0" applyNumberFormat="1" applyFont="1" applyFill="1" applyBorder="1" applyAlignment="1">
      <alignment horizontal="center" vertical="center"/>
    </xf>
    <xf numFmtId="170" fontId="39" fillId="14" borderId="13" xfId="0" applyNumberFormat="1" applyFont="1" applyFill="1" applyBorder="1" applyAlignment="1">
      <alignment horizontal="center" vertical="center" wrapText="1"/>
    </xf>
    <xf numFmtId="170" fontId="44" fillId="12" borderId="13" xfId="0" applyNumberFormat="1" applyFont="1" applyFill="1" applyBorder="1" applyAlignment="1">
      <alignment horizontal="center" vertical="center"/>
    </xf>
    <xf numFmtId="170" fontId="39" fillId="5" borderId="9" xfId="0" applyNumberFormat="1" applyFont="1" applyFill="1" applyBorder="1" applyAlignment="1">
      <alignment horizontal="center" vertical="center"/>
    </xf>
    <xf numFmtId="170" fontId="39" fillId="5" borderId="22" xfId="0" applyNumberFormat="1" applyFont="1" applyFill="1" applyBorder="1" applyAlignment="1">
      <alignment horizontal="center" vertical="center"/>
    </xf>
    <xf numFmtId="170" fontId="48" fillId="3" borderId="13" xfId="0" applyNumberFormat="1" applyFont="1" applyFill="1" applyBorder="1" applyAlignment="1">
      <alignment horizontal="center" vertical="center" wrapText="1"/>
    </xf>
    <xf numFmtId="170" fontId="43" fillId="0" borderId="13" xfId="0" quotePrefix="1" applyNumberFormat="1" applyFont="1" applyFill="1" applyBorder="1" applyAlignment="1">
      <alignment horizontal="center" vertical="center" wrapText="1"/>
    </xf>
    <xf numFmtId="170" fontId="39" fillId="7" borderId="13" xfId="0" applyNumberFormat="1" applyFont="1" applyFill="1" applyBorder="1" applyAlignment="1">
      <alignment horizontal="center" vertical="center" wrapText="1"/>
    </xf>
    <xf numFmtId="3" fontId="43" fillId="0" borderId="13" xfId="0" applyNumberFormat="1" applyFont="1" applyFill="1" applyBorder="1" applyAlignment="1">
      <alignment horizontal="center" vertical="center"/>
    </xf>
    <xf numFmtId="170" fontId="39" fillId="5" borderId="0" xfId="0" applyNumberFormat="1" applyFont="1" applyFill="1" applyBorder="1" applyAlignment="1">
      <alignment horizontal="center" vertical="center"/>
    </xf>
    <xf numFmtId="170" fontId="39" fillId="5" borderId="24" xfId="0" applyNumberFormat="1" applyFont="1" applyFill="1" applyBorder="1" applyAlignment="1">
      <alignment horizontal="center" vertical="center"/>
    </xf>
    <xf numFmtId="170" fontId="39" fillId="8" borderId="23" xfId="0" applyNumberFormat="1" applyFont="1" applyFill="1" applyBorder="1" applyAlignment="1">
      <alignment horizontal="center" vertical="center"/>
    </xf>
    <xf numFmtId="170" fontId="39" fillId="8" borderId="21" xfId="0" applyNumberFormat="1" applyFont="1" applyFill="1" applyBorder="1" applyAlignment="1">
      <alignment horizontal="center" vertical="center"/>
    </xf>
    <xf numFmtId="170" fontId="44" fillId="0" borderId="6" xfId="0" applyNumberFormat="1" applyFont="1" applyFill="1" applyBorder="1" applyAlignment="1">
      <alignment horizontal="center" vertical="center" wrapText="1"/>
    </xf>
    <xf numFmtId="170" fontId="44" fillId="0" borderId="8" xfId="0" applyNumberFormat="1" applyFont="1" applyFill="1" applyBorder="1" applyAlignment="1">
      <alignment horizontal="center" vertical="center" wrapText="1"/>
    </xf>
    <xf numFmtId="170" fontId="60" fillId="13" borderId="7" xfId="0" applyNumberFormat="1" applyFont="1" applyFill="1" applyBorder="1" applyAlignment="1">
      <alignment horizontal="left" vertical="center" wrapText="1"/>
    </xf>
    <xf numFmtId="170" fontId="44" fillId="0" borderId="13" xfId="0" applyNumberFormat="1" applyFont="1" applyFill="1" applyBorder="1" applyAlignment="1">
      <alignment horizontal="center" vertical="center"/>
    </xf>
    <xf numFmtId="3" fontId="44" fillId="0" borderId="6" xfId="0" applyNumberFormat="1" applyFont="1" applyFill="1" applyBorder="1" applyAlignment="1">
      <alignment horizontal="right" vertical="center"/>
    </xf>
    <xf numFmtId="3" fontId="44" fillId="0" borderId="7" xfId="0" applyNumberFormat="1" applyFont="1" applyFill="1" applyBorder="1" applyAlignment="1">
      <alignment horizontal="right" vertical="center"/>
    </xf>
    <xf numFmtId="3" fontId="44" fillId="0" borderId="8" xfId="0" applyNumberFormat="1" applyFont="1" applyFill="1" applyBorder="1" applyAlignment="1">
      <alignment horizontal="right" vertical="center"/>
    </xf>
    <xf numFmtId="3" fontId="44" fillId="0" borderId="6" xfId="0" applyNumberFormat="1" applyFont="1" applyFill="1" applyBorder="1" applyAlignment="1">
      <alignment horizontal="left" vertical="center"/>
    </xf>
    <xf numFmtId="3" fontId="44" fillId="0" borderId="7" xfId="0" applyNumberFormat="1" applyFont="1" applyFill="1" applyBorder="1" applyAlignment="1">
      <alignment horizontal="left" vertical="center"/>
    </xf>
    <xf numFmtId="3" fontId="44" fillId="0" borderId="8" xfId="0" applyNumberFormat="1" applyFont="1" applyFill="1" applyBorder="1" applyAlignment="1">
      <alignment horizontal="left" vertical="center"/>
    </xf>
    <xf numFmtId="170" fontId="43" fillId="0" borderId="3" xfId="0" applyNumberFormat="1" applyFont="1" applyBorder="1" applyAlignment="1">
      <alignment horizontal="left" vertical="center" wrapText="1"/>
    </xf>
    <xf numFmtId="170" fontId="43" fillId="0" borderId="23" xfId="0" applyNumberFormat="1" applyFont="1" applyBorder="1" applyAlignment="1">
      <alignment horizontal="left" vertical="center" wrapText="1"/>
    </xf>
    <xf numFmtId="170" fontId="43" fillId="0" borderId="21" xfId="0" applyNumberFormat="1" applyFont="1" applyBorder="1" applyAlignment="1">
      <alignment horizontal="left" vertical="center" wrapText="1"/>
    </xf>
    <xf numFmtId="170" fontId="43" fillId="15" borderId="3" xfId="0" applyNumberFormat="1" applyFont="1" applyFill="1" applyBorder="1" applyAlignment="1">
      <alignment horizontal="center" vertical="center"/>
    </xf>
    <xf numFmtId="170" fontId="43" fillId="15" borderId="23" xfId="0" applyNumberFormat="1" applyFont="1" applyFill="1" applyBorder="1" applyAlignment="1">
      <alignment horizontal="center" vertical="center"/>
    </xf>
    <xf numFmtId="170" fontId="43" fillId="15" borderId="21" xfId="0" applyNumberFormat="1" applyFont="1" applyFill="1" applyBorder="1" applyAlignment="1">
      <alignment horizontal="center" vertical="center"/>
    </xf>
    <xf numFmtId="170" fontId="44" fillId="0" borderId="13" xfId="0" applyNumberFormat="1" applyFont="1" applyBorder="1" applyAlignment="1">
      <alignment horizontal="center" vertical="center"/>
    </xf>
    <xf numFmtId="170" fontId="28" fillId="4" borderId="13" xfId="10" applyFont="1" applyFill="1" applyBorder="1" applyAlignment="1" applyProtection="1">
      <alignment horizontal="left" vertical="top" wrapText="1"/>
      <protection locked="0"/>
    </xf>
    <xf numFmtId="170" fontId="12" fillId="0" borderId="9" xfId="0" applyFont="1" applyBorder="1" applyAlignment="1">
      <alignment horizontal="left" vertical="center" wrapText="1"/>
    </xf>
    <xf numFmtId="170" fontId="12" fillId="0" borderId="0" xfId="0" applyFont="1" applyBorder="1" applyAlignment="1">
      <alignment horizontal="left" vertical="center" wrapText="1"/>
    </xf>
    <xf numFmtId="170" fontId="12" fillId="0" borderId="10" xfId="0" applyFont="1" applyBorder="1" applyAlignment="1">
      <alignment horizontal="left" vertical="center" wrapText="1"/>
    </xf>
    <xf numFmtId="170" fontId="28" fillId="4" borderId="13" xfId="10" applyFont="1" applyFill="1" applyBorder="1" applyAlignment="1" applyProtection="1">
      <alignment horizontal="center" vertical="top" wrapText="1"/>
      <protection locked="0"/>
    </xf>
    <xf numFmtId="170" fontId="23" fillId="0" borderId="0" xfId="0" applyFont="1" applyAlignment="1">
      <alignment horizontal="center"/>
    </xf>
    <xf numFmtId="170" fontId="18" fillId="0" borderId="5" xfId="0" applyNumberFormat="1" applyFont="1" applyBorder="1" applyAlignment="1">
      <alignment horizontal="left" vertical="center"/>
    </xf>
    <xf numFmtId="170" fontId="18" fillId="0" borderId="12" xfId="0" applyNumberFormat="1" applyFont="1" applyBorder="1" applyAlignment="1">
      <alignment horizontal="left" vertical="center"/>
    </xf>
    <xf numFmtId="170" fontId="14" fillId="0" borderId="0" xfId="0" applyFont="1" applyBorder="1" applyAlignment="1">
      <alignment horizontal="left" vertical="center" wrapText="1"/>
    </xf>
    <xf numFmtId="170" fontId="17" fillId="0" borderId="1" xfId="0" applyFont="1" applyBorder="1" applyAlignment="1">
      <alignment horizontal="left" vertical="top" wrapText="1"/>
    </xf>
    <xf numFmtId="170" fontId="17" fillId="0" borderId="2" xfId="0" applyFont="1" applyBorder="1" applyAlignment="1">
      <alignment horizontal="left" vertical="top" wrapText="1"/>
    </xf>
    <xf numFmtId="170" fontId="17" fillId="0" borderId="4" xfId="0" applyFont="1" applyBorder="1" applyAlignment="1">
      <alignment horizontal="left" vertical="top" wrapText="1"/>
    </xf>
    <xf numFmtId="170" fontId="12" fillId="0" borderId="9" xfId="0" applyFont="1" applyBorder="1" applyAlignment="1">
      <alignment horizontal="left" vertical="top" wrapText="1"/>
    </xf>
    <xf numFmtId="170" fontId="14" fillId="0" borderId="0" xfId="0" applyFont="1" applyBorder="1" applyAlignment="1">
      <alignment horizontal="left" vertical="top" wrapText="1"/>
    </xf>
    <xf numFmtId="170" fontId="14" fillId="0" borderId="10" xfId="0" applyFont="1" applyBorder="1" applyAlignment="1">
      <alignment horizontal="left" vertical="top" wrapText="1"/>
    </xf>
    <xf numFmtId="170" fontId="14" fillId="0" borderId="5" xfId="0" applyFont="1" applyBorder="1" applyAlignment="1">
      <alignment horizontal="left" vertical="top" wrapText="1"/>
    </xf>
    <xf numFmtId="170" fontId="14" fillId="0" borderId="11" xfId="0" applyFont="1" applyBorder="1" applyAlignment="1">
      <alignment horizontal="left" vertical="top" wrapText="1"/>
    </xf>
    <xf numFmtId="170" fontId="14" fillId="0" borderId="12" xfId="0" applyFont="1" applyBorder="1" applyAlignment="1">
      <alignment horizontal="left" vertical="top" wrapText="1"/>
    </xf>
    <xf numFmtId="170" fontId="23" fillId="0" borderId="0" xfId="0" applyFont="1" applyAlignment="1">
      <alignment horizontal="right"/>
    </xf>
    <xf numFmtId="170" fontId="40" fillId="20" borderId="3" xfId="0" applyFont="1" applyFill="1" applyBorder="1" applyAlignment="1">
      <alignment horizontal="center"/>
    </xf>
    <xf numFmtId="170" fontId="40" fillId="20" borderId="23" xfId="0" applyFont="1" applyFill="1" applyBorder="1" applyAlignment="1">
      <alignment horizontal="center"/>
    </xf>
    <xf numFmtId="170" fontId="40" fillId="20" borderId="21" xfId="0" applyFont="1" applyFill="1" applyBorder="1" applyAlignment="1">
      <alignment horizontal="center"/>
    </xf>
    <xf numFmtId="170" fontId="40" fillId="20" borderId="13" xfId="0" applyFont="1" applyFill="1" applyBorder="1" applyAlignment="1">
      <alignment horizontal="center" vertical="center"/>
    </xf>
    <xf numFmtId="170" fontId="40" fillId="20" borderId="13" xfId="0" applyFont="1" applyFill="1" applyBorder="1" applyAlignment="1">
      <alignment horizontal="center" vertical="center" wrapText="1"/>
    </xf>
    <xf numFmtId="170" fontId="40" fillId="20" borderId="13" xfId="0" applyFont="1" applyFill="1" applyBorder="1" applyAlignment="1">
      <alignment wrapText="1"/>
    </xf>
    <xf numFmtId="170" fontId="40" fillId="20" borderId="13" xfId="0" applyFont="1" applyFill="1" applyBorder="1" applyAlignment="1">
      <alignment horizontal="center"/>
    </xf>
    <xf numFmtId="170" fontId="39" fillId="0" borderId="13" xfId="0" applyFont="1" applyBorder="1" applyAlignment="1">
      <alignment horizontal="center"/>
    </xf>
    <xf numFmtId="170" fontId="40" fillId="20" borderId="13" xfId="0" applyNumberFormat="1" applyFont="1" applyFill="1" applyBorder="1" applyAlignment="1">
      <alignment horizontal="center" vertical="center"/>
    </xf>
    <xf numFmtId="170" fontId="40" fillId="20" borderId="13" xfId="0" applyNumberFormat="1" applyFont="1" applyFill="1" applyBorder="1" applyAlignment="1">
      <alignment horizontal="center" wrapText="1"/>
    </xf>
    <xf numFmtId="170" fontId="40" fillId="20" borderId="13" xfId="0" applyFont="1" applyFill="1" applyBorder="1" applyAlignment="1">
      <alignment vertical="center" wrapText="1"/>
    </xf>
    <xf numFmtId="170" fontId="40" fillId="20" borderId="13" xfId="0" applyFont="1" applyFill="1" applyBorder="1" applyAlignment="1">
      <alignment horizontal="center" wrapText="1"/>
    </xf>
    <xf numFmtId="170" fontId="53" fillId="5" borderId="14" xfId="0" applyNumberFormat="1" applyFont="1" applyFill="1" applyBorder="1" applyAlignment="1">
      <alignment horizontal="center" vertical="center"/>
    </xf>
    <xf numFmtId="170" fontId="53" fillId="5" borderId="20" xfId="0" applyNumberFormat="1" applyFont="1" applyFill="1" applyBorder="1" applyAlignment="1">
      <alignment horizontal="center" vertical="center"/>
    </xf>
    <xf numFmtId="170" fontId="53" fillId="5" borderId="19" xfId="0" applyNumberFormat="1" applyFont="1" applyFill="1" applyBorder="1" applyAlignment="1">
      <alignment horizontal="center" vertical="center"/>
    </xf>
    <xf numFmtId="170" fontId="53" fillId="5" borderId="14" xfId="0" applyFont="1" applyFill="1" applyBorder="1" applyAlignment="1">
      <alignment horizontal="center" vertical="center"/>
    </xf>
    <xf numFmtId="170" fontId="53" fillId="5" borderId="20" xfId="0" applyFont="1" applyFill="1" applyBorder="1" applyAlignment="1">
      <alignment horizontal="center" vertical="center"/>
    </xf>
    <xf numFmtId="170" fontId="53" fillId="5" borderId="19" xfId="0" applyFont="1" applyFill="1" applyBorder="1" applyAlignment="1">
      <alignment horizontal="center" vertical="center"/>
    </xf>
    <xf numFmtId="170" fontId="53" fillId="5" borderId="14" xfId="0" applyFont="1" applyFill="1" applyBorder="1" applyAlignment="1">
      <alignment horizontal="center" vertical="center" wrapText="1"/>
    </xf>
    <xf numFmtId="170" fontId="53" fillId="5" borderId="20" xfId="0" applyFont="1" applyFill="1" applyBorder="1" applyAlignment="1">
      <alignment horizontal="center" vertical="center" wrapText="1"/>
    </xf>
    <xf numFmtId="170" fontId="53" fillId="5" borderId="19" xfId="0" applyFont="1" applyFill="1" applyBorder="1" applyAlignment="1">
      <alignment horizontal="center" vertical="center" wrapText="1"/>
    </xf>
    <xf numFmtId="170" fontId="53" fillId="5" borderId="18" xfId="0" applyFont="1" applyFill="1" applyBorder="1" applyAlignment="1">
      <alignment horizontal="center" vertical="center" wrapText="1"/>
    </xf>
    <xf numFmtId="170" fontId="53" fillId="5" borderId="18" xfId="0" applyFont="1" applyFill="1" applyBorder="1" applyAlignment="1">
      <alignment horizontal="center" vertical="center"/>
    </xf>
    <xf numFmtId="170" fontId="53" fillId="5" borderId="15" xfId="0" applyFont="1" applyFill="1" applyBorder="1" applyAlignment="1">
      <alignment horizontal="center" vertical="center" wrapText="1"/>
    </xf>
    <xf numFmtId="170" fontId="53" fillId="5" borderId="16" xfId="0" applyFont="1" applyFill="1" applyBorder="1" applyAlignment="1">
      <alignment horizontal="center" vertical="center" wrapText="1"/>
    </xf>
    <xf numFmtId="170" fontId="53" fillId="5" borderId="17" xfId="0" applyFont="1" applyFill="1" applyBorder="1" applyAlignment="1">
      <alignment horizontal="center" vertical="center" wrapText="1"/>
    </xf>
    <xf numFmtId="170" fontId="54" fillId="0" borderId="14" xfId="0" applyFont="1" applyBorder="1" applyAlignment="1">
      <alignment horizontal="center" vertical="center"/>
    </xf>
    <xf numFmtId="170" fontId="54" fillId="0" borderId="20" xfId="0" applyFont="1" applyBorder="1" applyAlignment="1">
      <alignment horizontal="center" vertical="center"/>
    </xf>
    <xf numFmtId="170" fontId="54" fillId="0" borderId="19" xfId="0" applyFont="1" applyBorder="1" applyAlignment="1">
      <alignment horizontal="center" vertical="center"/>
    </xf>
    <xf numFmtId="170" fontId="55" fillId="0" borderId="0" xfId="0" applyFont="1" applyAlignment="1">
      <alignment horizontal="center" vertical="center"/>
    </xf>
    <xf numFmtId="170" fontId="54" fillId="0" borderId="18" xfId="0" applyNumberFormat="1" applyFont="1" applyBorder="1" applyAlignment="1">
      <alignment horizontal="center" vertical="center"/>
    </xf>
    <xf numFmtId="170" fontId="54" fillId="0" borderId="14" xfId="0" applyFont="1" applyBorder="1" applyAlignment="1">
      <alignment horizontal="left" vertical="center"/>
    </xf>
    <xf numFmtId="170" fontId="54" fillId="0" borderId="20" xfId="0" applyFont="1" applyBorder="1" applyAlignment="1">
      <alignment horizontal="left" vertical="center"/>
    </xf>
    <xf numFmtId="170" fontId="54" fillId="0" borderId="19" xfId="0" applyFont="1" applyBorder="1" applyAlignment="1">
      <alignment horizontal="left" vertical="center"/>
    </xf>
    <xf numFmtId="170" fontId="54" fillId="0" borderId="14" xfId="0" applyNumberFormat="1" applyFont="1" applyBorder="1" applyAlignment="1">
      <alignment horizontal="center" vertical="center"/>
    </xf>
    <xf numFmtId="170" fontId="54" fillId="0" borderId="20" xfId="0" applyNumberFormat="1" applyFont="1" applyBorder="1" applyAlignment="1">
      <alignment horizontal="center" vertical="center"/>
    </xf>
    <xf numFmtId="170" fontId="54" fillId="0" borderId="19" xfId="0" applyNumberFormat="1" applyFont="1" applyBorder="1" applyAlignment="1">
      <alignment horizontal="center" vertical="center"/>
    </xf>
    <xf numFmtId="170" fontId="54" fillId="0" borderId="14" xfId="0" applyFont="1" applyFill="1" applyBorder="1" applyAlignment="1">
      <alignment horizontal="center" vertical="center"/>
    </xf>
    <xf numFmtId="170" fontId="54" fillId="0" borderId="20" xfId="0" applyFont="1" applyFill="1" applyBorder="1" applyAlignment="1">
      <alignment horizontal="center" vertical="center"/>
    </xf>
    <xf numFmtId="170" fontId="54" fillId="0" borderId="19" xfId="0" applyFont="1" applyFill="1" applyBorder="1" applyAlignment="1">
      <alignment horizontal="center" vertical="center"/>
    </xf>
    <xf numFmtId="170" fontId="54" fillId="0" borderId="14" xfId="0" applyFont="1" applyFill="1" applyBorder="1" applyAlignment="1">
      <alignment horizontal="center" vertical="center" wrapText="1"/>
    </xf>
    <xf numFmtId="170" fontId="54" fillId="0" borderId="20" xfId="0" applyFont="1" applyFill="1" applyBorder="1" applyAlignment="1">
      <alignment horizontal="center" vertical="center" wrapText="1"/>
    </xf>
    <xf numFmtId="170" fontId="54" fillId="0" borderId="19" xfId="0" applyFont="1" applyFill="1" applyBorder="1" applyAlignment="1">
      <alignment horizontal="center" vertical="center" wrapText="1"/>
    </xf>
    <xf numFmtId="170" fontId="54" fillId="0" borderId="14" xfId="0" applyFont="1" applyFill="1" applyBorder="1" applyAlignment="1">
      <alignment horizontal="left" vertical="center"/>
    </xf>
    <xf numFmtId="170" fontId="54" fillId="0" borderId="19" xfId="0" applyFont="1" applyFill="1" applyBorder="1" applyAlignment="1">
      <alignment horizontal="left" vertical="center"/>
    </xf>
    <xf numFmtId="170" fontId="40" fillId="20" borderId="3" xfId="0" applyNumberFormat="1" applyFont="1" applyFill="1" applyBorder="1" applyAlignment="1">
      <alignment horizontal="center" vertical="center" wrapText="1"/>
    </xf>
    <xf numFmtId="170" fontId="40" fillId="20" borderId="23" xfId="0" applyNumberFormat="1" applyFont="1" applyFill="1" applyBorder="1" applyAlignment="1">
      <alignment horizontal="center" vertical="center" wrapText="1"/>
    </xf>
    <xf numFmtId="170" fontId="40" fillId="20" borderId="21" xfId="0" applyNumberFormat="1" applyFont="1" applyFill="1" applyBorder="1" applyAlignment="1">
      <alignment horizontal="center" vertical="center" wrapText="1"/>
    </xf>
    <xf numFmtId="170" fontId="40" fillId="20" borderId="3" xfId="0" applyNumberFormat="1" applyFont="1" applyFill="1" applyBorder="1" applyAlignment="1">
      <alignment horizontal="center" vertical="center"/>
    </xf>
    <xf numFmtId="170" fontId="40" fillId="20" borderId="23" xfId="0" applyNumberFormat="1" applyFont="1" applyFill="1" applyBorder="1" applyAlignment="1">
      <alignment horizontal="center" vertical="center"/>
    </xf>
    <xf numFmtId="170" fontId="40" fillId="20" borderId="21" xfId="0" applyNumberFormat="1" applyFont="1" applyFill="1" applyBorder="1" applyAlignment="1">
      <alignment horizontal="center" vertical="center"/>
    </xf>
    <xf numFmtId="170" fontId="40" fillId="20" borderId="3" xfId="0" applyFont="1" applyFill="1" applyBorder="1" applyAlignment="1">
      <alignment horizontal="center" vertical="center"/>
    </xf>
    <xf numFmtId="170" fontId="40" fillId="20" borderId="23" xfId="0" applyFont="1" applyFill="1" applyBorder="1" applyAlignment="1">
      <alignment horizontal="center" vertical="center"/>
    </xf>
    <xf numFmtId="170" fontId="40" fillId="20" borderId="21" xfId="0" applyFont="1" applyFill="1" applyBorder="1" applyAlignment="1">
      <alignment horizontal="center" vertical="center"/>
    </xf>
    <xf numFmtId="170" fontId="40" fillId="20" borderId="3" xfId="0" applyFont="1" applyFill="1" applyBorder="1" applyAlignment="1">
      <alignment horizontal="center" vertical="center" wrapText="1"/>
    </xf>
    <xf numFmtId="170" fontId="40" fillId="20" borderId="23" xfId="0" applyFont="1" applyFill="1" applyBorder="1" applyAlignment="1">
      <alignment horizontal="center" vertical="center" wrapText="1"/>
    </xf>
    <xf numFmtId="170" fontId="40" fillId="20" borderId="21" xfId="0" applyFont="1" applyFill="1" applyBorder="1" applyAlignment="1">
      <alignment horizontal="center" vertical="center" wrapText="1"/>
    </xf>
    <xf numFmtId="170" fontId="40" fillId="20" borderId="3" xfId="0" applyFont="1" applyFill="1" applyBorder="1" applyAlignment="1">
      <alignment wrapText="1"/>
    </xf>
    <xf numFmtId="170" fontId="40" fillId="20" borderId="23" xfId="0" applyFont="1" applyFill="1" applyBorder="1" applyAlignment="1">
      <alignment wrapText="1"/>
    </xf>
    <xf numFmtId="170" fontId="40" fillId="20" borderId="21" xfId="0" applyFont="1" applyFill="1" applyBorder="1" applyAlignment="1">
      <alignment wrapText="1"/>
    </xf>
    <xf numFmtId="170" fontId="39" fillId="0" borderId="6" xfId="0" applyFont="1" applyBorder="1" applyAlignment="1">
      <alignment horizontal="center"/>
    </xf>
    <xf numFmtId="170" fontId="39" fillId="0" borderId="8" xfId="0" applyFont="1" applyBorder="1" applyAlignment="1">
      <alignment horizontal="center"/>
    </xf>
    <xf numFmtId="170" fontId="40" fillId="20" borderId="3" xfId="0" applyNumberFormat="1" applyFont="1" applyFill="1" applyBorder="1" applyAlignment="1">
      <alignment horizontal="center" wrapText="1"/>
    </xf>
    <xf numFmtId="170" fontId="40" fillId="20" borderId="23" xfId="0" applyNumberFormat="1" applyFont="1" applyFill="1" applyBorder="1" applyAlignment="1">
      <alignment horizontal="center" wrapText="1"/>
    </xf>
    <xf numFmtId="170" fontId="40" fillId="20" borderId="21" xfId="0" applyNumberFormat="1" applyFont="1" applyFill="1" applyBorder="1" applyAlignment="1">
      <alignment horizontal="center" wrapText="1"/>
    </xf>
    <xf numFmtId="170" fontId="40" fillId="20" borderId="3" xfId="0" applyFont="1" applyFill="1" applyBorder="1" applyAlignment="1">
      <alignment vertical="center" wrapText="1"/>
    </xf>
    <xf numFmtId="170" fontId="40" fillId="20" borderId="23" xfId="0" applyFont="1" applyFill="1" applyBorder="1" applyAlignment="1">
      <alignment vertical="center" wrapText="1"/>
    </xf>
    <xf numFmtId="170" fontId="40" fillId="20" borderId="21" xfId="0" applyFont="1" applyFill="1" applyBorder="1" applyAlignment="1">
      <alignment vertical="center" wrapText="1"/>
    </xf>
    <xf numFmtId="170" fontId="40" fillId="20" borderId="3" xfId="0" applyFont="1" applyFill="1" applyBorder="1" applyAlignment="1">
      <alignment horizontal="center" wrapText="1"/>
    </xf>
    <xf numFmtId="170" fontId="40" fillId="20" borderId="23" xfId="0" applyFont="1" applyFill="1" applyBorder="1" applyAlignment="1">
      <alignment horizontal="center" wrapText="1"/>
    </xf>
    <xf numFmtId="170" fontId="40" fillId="20" borderId="21" xfId="0" applyFont="1" applyFill="1" applyBorder="1" applyAlignment="1">
      <alignment horizontal="center" wrapText="1"/>
    </xf>
    <xf numFmtId="170" fontId="36" fillId="0" borderId="6" xfId="0" applyNumberFormat="1" applyFont="1" applyBorder="1" applyAlignment="1">
      <alignment horizontal="left" wrapText="1"/>
    </xf>
    <xf numFmtId="170" fontId="36" fillId="0" borderId="7" xfId="0" applyNumberFormat="1" applyFont="1" applyBorder="1" applyAlignment="1">
      <alignment horizontal="left" wrapText="1"/>
    </xf>
    <xf numFmtId="170" fontId="36" fillId="0" borderId="8" xfId="0" applyNumberFormat="1" applyFont="1" applyBorder="1" applyAlignment="1">
      <alignment horizontal="left" wrapText="1"/>
    </xf>
    <xf numFmtId="170" fontId="51" fillId="0" borderId="0" xfId="0" applyNumberFormat="1" applyFont="1" applyAlignment="1">
      <alignment horizontal="center" wrapText="1"/>
    </xf>
    <xf numFmtId="170" fontId="51" fillId="0" borderId="13" xfId="0" applyNumberFormat="1" applyFont="1" applyBorder="1" applyAlignment="1">
      <alignment horizontal="center"/>
    </xf>
    <xf numFmtId="170" fontId="63" fillId="0" borderId="0" xfId="45" applyFont="1" applyFill="1" applyBorder="1" applyAlignment="1">
      <alignment horizontal="center" vertical="center"/>
    </xf>
    <xf numFmtId="170" fontId="63" fillId="0" borderId="0" xfId="45" applyFont="1" applyFill="1" applyAlignment="1">
      <alignment horizontal="center" vertical="center"/>
    </xf>
    <xf numFmtId="170" fontId="63" fillId="0" borderId="0" xfId="45" applyFont="1" applyFill="1" applyAlignment="1">
      <alignment horizontal="center" vertical="center" wrapText="1"/>
    </xf>
    <xf numFmtId="170" fontId="63" fillId="0" borderId="0" xfId="45" applyFont="1" applyFill="1" applyBorder="1" applyAlignment="1">
      <alignment horizontal="left" vertical="center"/>
    </xf>
    <xf numFmtId="3" fontId="62" fillId="0" borderId="6" xfId="41" applyNumberFormat="1" applyFont="1" applyFill="1" applyBorder="1" applyAlignment="1">
      <alignment horizontal="left"/>
    </xf>
    <xf numFmtId="3" fontId="62" fillId="0" borderId="7" xfId="41" applyNumberFormat="1" applyFont="1" applyFill="1" applyBorder="1" applyAlignment="1">
      <alignment horizontal="left"/>
    </xf>
    <xf numFmtId="3" fontId="62" fillId="0" borderId="8" xfId="41" applyNumberFormat="1" applyFont="1" applyFill="1" applyBorder="1" applyAlignment="1">
      <alignment horizontal="left"/>
    </xf>
    <xf numFmtId="3" fontId="59" fillId="0" borderId="13" xfId="40" applyNumberFormat="1" applyFont="1" applyFill="1" applyBorder="1" applyAlignment="1">
      <alignment horizontal="center" wrapText="1"/>
    </xf>
    <xf numFmtId="3" fontId="59" fillId="0" borderId="6" xfId="40" applyNumberFormat="1" applyFont="1" applyFill="1" applyBorder="1" applyAlignment="1">
      <alignment horizontal="center" wrapText="1"/>
    </xf>
    <xf numFmtId="3" fontId="59" fillId="0" borderId="7" xfId="40" applyNumberFormat="1" applyFont="1" applyFill="1" applyBorder="1" applyAlignment="1">
      <alignment horizontal="center" wrapText="1"/>
    </xf>
    <xf numFmtId="3" fontId="59" fillId="0" borderId="8" xfId="40" applyNumberFormat="1" applyFont="1" applyFill="1" applyBorder="1" applyAlignment="1">
      <alignment horizontal="center" wrapText="1"/>
    </xf>
    <xf numFmtId="3" fontId="43" fillId="0" borderId="13" xfId="40" applyNumberFormat="1" applyFont="1" applyFill="1" applyBorder="1" applyAlignment="1">
      <alignment horizontal="left" wrapText="1"/>
    </xf>
    <xf numFmtId="3" fontId="62" fillId="0" borderId="1" xfId="41" applyNumberFormat="1" applyFont="1" applyFill="1" applyBorder="1" applyAlignment="1">
      <alignment horizontal="left"/>
    </xf>
    <xf numFmtId="3" fontId="62" fillId="0" borderId="2" xfId="41" applyNumberFormat="1" applyFont="1" applyFill="1" applyBorder="1" applyAlignment="1">
      <alignment horizontal="left"/>
    </xf>
    <xf numFmtId="3" fontId="62" fillId="0" borderId="4" xfId="41" applyNumberFormat="1" applyFont="1" applyFill="1" applyBorder="1" applyAlignment="1">
      <alignment horizontal="left"/>
    </xf>
    <xf numFmtId="3" fontId="62" fillId="0" borderId="13" xfId="41" applyNumberFormat="1" applyFont="1" applyFill="1" applyBorder="1" applyAlignment="1">
      <alignment horizontal="left"/>
    </xf>
    <xf numFmtId="170" fontId="59" fillId="0" borderId="13" xfId="0" applyFont="1" applyBorder="1" applyAlignment="1">
      <alignment horizontal="left" vertical="center" wrapText="1"/>
    </xf>
    <xf numFmtId="170" fontId="59" fillId="0" borderId="13" xfId="0" applyFont="1" applyBorder="1" applyAlignment="1">
      <alignment horizontal="center"/>
    </xf>
    <xf numFmtId="170" fontId="59" fillId="0" borderId="0" xfId="0" applyFont="1" applyAlignment="1">
      <alignment horizontal="center" vertical="center" wrapText="1"/>
    </xf>
    <xf numFmtId="1" fontId="37" fillId="0" borderId="13" xfId="0" applyNumberFormat="1" applyFont="1" applyBorder="1" applyAlignment="1">
      <alignment horizontal="center" vertical="center" wrapText="1"/>
    </xf>
    <xf numFmtId="1" fontId="37" fillId="0" borderId="13" xfId="0" applyNumberFormat="1" applyFont="1" applyBorder="1" applyAlignment="1">
      <alignment horizontal="center" vertical="center"/>
    </xf>
    <xf numFmtId="9" fontId="37" fillId="0" borderId="13" xfId="0" applyNumberFormat="1" applyFont="1" applyFill="1" applyBorder="1" applyAlignment="1">
      <alignment horizontal="center" vertical="center"/>
    </xf>
    <xf numFmtId="3" fontId="59" fillId="0" borderId="13" xfId="0" applyNumberFormat="1" applyFont="1" applyBorder="1" applyAlignment="1">
      <alignment horizontal="right" wrapText="1"/>
    </xf>
    <xf numFmtId="170" fontId="67" fillId="0" borderId="13" xfId="0" applyFont="1" applyBorder="1" applyAlignment="1">
      <alignment horizontal="center" vertical="center"/>
    </xf>
    <xf numFmtId="170" fontId="67" fillId="0" borderId="13" xfId="0" applyFont="1" applyBorder="1" applyAlignment="1">
      <alignment horizontal="center" vertical="center" wrapText="1"/>
    </xf>
    <xf numFmtId="170" fontId="39" fillId="20" borderId="6" xfId="0" applyNumberFormat="1" applyFont="1" applyFill="1" applyBorder="1" applyAlignment="1">
      <alignment horizontal="center" vertical="center" wrapText="1"/>
    </xf>
    <xf numFmtId="170" fontId="39" fillId="20" borderId="7" xfId="0" applyNumberFormat="1" applyFont="1" applyFill="1" applyBorder="1" applyAlignment="1">
      <alignment horizontal="center" vertical="center" wrapText="1"/>
    </xf>
    <xf numFmtId="170" fontId="39" fillId="20" borderId="8" xfId="0" applyNumberFormat="1" applyFont="1" applyFill="1" applyBorder="1" applyAlignment="1">
      <alignment horizontal="center" vertical="center" wrapText="1"/>
    </xf>
    <xf numFmtId="170" fontId="39" fillId="13" borderId="6" xfId="0" applyNumberFormat="1" applyFont="1" applyFill="1" applyBorder="1" applyAlignment="1">
      <alignment horizontal="center" vertical="center"/>
    </xf>
    <xf numFmtId="170" fontId="39" fillId="13" borderId="7" xfId="0" applyNumberFormat="1" applyFont="1" applyFill="1" applyBorder="1" applyAlignment="1">
      <alignment horizontal="center" vertical="center"/>
    </xf>
    <xf numFmtId="170" fontId="39" fillId="13" borderId="8" xfId="0" applyNumberFormat="1" applyFont="1" applyFill="1" applyBorder="1" applyAlignment="1">
      <alignment horizontal="center" vertical="center"/>
    </xf>
    <xf numFmtId="170" fontId="36" fillId="0" borderId="3" xfId="0" applyNumberFormat="1" applyFont="1" applyFill="1" applyBorder="1" applyAlignment="1">
      <alignment horizontal="left" vertical="center" wrapText="1"/>
    </xf>
    <xf numFmtId="170" fontId="36" fillId="0" borderId="23" xfId="0" applyNumberFormat="1" applyFont="1" applyFill="1" applyBorder="1" applyAlignment="1">
      <alignment horizontal="left" vertical="center" wrapText="1"/>
    </xf>
    <xf numFmtId="170" fontId="36" fillId="0" borderId="21" xfId="0" applyNumberFormat="1" applyFont="1" applyFill="1" applyBorder="1" applyAlignment="1">
      <alignment horizontal="left" vertical="center" wrapText="1"/>
    </xf>
    <xf numFmtId="170" fontId="44" fillId="0" borderId="0" xfId="0" applyNumberFormat="1" applyFont="1" applyFill="1" applyAlignment="1">
      <alignment horizontal="center" vertical="center" wrapText="1"/>
    </xf>
    <xf numFmtId="170" fontId="29" fillId="0" borderId="26" xfId="0" applyFont="1" applyFill="1" applyBorder="1" applyAlignment="1">
      <alignment horizontal="left" vertical="top" wrapText="1"/>
    </xf>
    <xf numFmtId="170" fontId="29" fillId="0" borderId="27" xfId="0" applyFont="1" applyFill="1" applyBorder="1" applyAlignment="1">
      <alignment horizontal="left" vertical="top" wrapText="1"/>
    </xf>
    <xf numFmtId="170" fontId="0" fillId="0" borderId="26" xfId="0" applyFill="1" applyBorder="1" applyAlignment="1">
      <alignment horizontal="left" vertical="top" wrapText="1"/>
    </xf>
    <xf numFmtId="170" fontId="0" fillId="0" borderId="27" xfId="0" applyFill="1" applyBorder="1" applyAlignment="1">
      <alignment horizontal="left" vertical="top" wrapText="1"/>
    </xf>
    <xf numFmtId="3" fontId="39" fillId="0" borderId="3" xfId="1" applyNumberFormat="1" applyFont="1" applyFill="1" applyBorder="1" applyAlignment="1">
      <alignment horizontal="center" vertical="center" wrapText="1"/>
    </xf>
    <xf numFmtId="3" fontId="39" fillId="0" borderId="21" xfId="1" applyNumberFormat="1" applyFont="1" applyFill="1" applyBorder="1" applyAlignment="1">
      <alignment horizontal="center" vertical="center" wrapText="1"/>
    </xf>
    <xf numFmtId="3" fontId="39" fillId="0" borderId="23" xfId="1" applyNumberFormat="1" applyFont="1" applyFill="1" applyBorder="1" applyAlignment="1">
      <alignment horizontal="center" vertical="center" wrapText="1"/>
    </xf>
    <xf numFmtId="170" fontId="39" fillId="0" borderId="3" xfId="0" applyNumberFormat="1" applyFont="1" applyFill="1" applyBorder="1" applyAlignment="1">
      <alignment horizontal="center" vertical="center" wrapText="1"/>
    </xf>
    <xf numFmtId="170" fontId="39" fillId="0" borderId="21" xfId="0" applyNumberFormat="1" applyFont="1" applyFill="1" applyBorder="1" applyAlignment="1">
      <alignment horizontal="center" vertical="center" wrapText="1"/>
    </xf>
    <xf numFmtId="170" fontId="39" fillId="0" borderId="23" xfId="0" applyNumberFormat="1" applyFont="1" applyFill="1" applyBorder="1" applyAlignment="1">
      <alignment horizontal="center" vertical="center" wrapText="1"/>
    </xf>
    <xf numFmtId="3" fontId="39" fillId="0" borderId="13" xfId="1" applyNumberFormat="1" applyFont="1" applyFill="1" applyBorder="1" applyAlignment="1">
      <alignment horizontal="center" vertical="center" wrapText="1"/>
    </xf>
    <xf numFmtId="170" fontId="39" fillId="0" borderId="13" xfId="0" applyNumberFormat="1" applyFont="1" applyFill="1" applyBorder="1" applyAlignment="1">
      <alignment horizontal="center" vertical="center" wrapText="1"/>
    </xf>
    <xf numFmtId="170" fontId="39" fillId="17" borderId="13" xfId="0" applyNumberFormat="1" applyFont="1" applyFill="1" applyBorder="1" applyAlignment="1">
      <alignment horizontal="center" vertical="center"/>
    </xf>
    <xf numFmtId="170" fontId="39" fillId="22" borderId="13" xfId="0" applyNumberFormat="1" applyFont="1" applyFill="1" applyBorder="1" applyAlignment="1">
      <alignment horizontal="center" vertical="center" wrapText="1"/>
    </xf>
    <xf numFmtId="3" fontId="44" fillId="13" borderId="13" xfId="1" applyNumberFormat="1" applyFont="1" applyFill="1" applyBorder="1" applyAlignment="1">
      <alignment horizontal="center" vertical="center" wrapText="1"/>
    </xf>
    <xf numFmtId="170" fontId="44" fillId="13" borderId="13" xfId="0" applyNumberFormat="1" applyFont="1" applyFill="1" applyBorder="1" applyAlignment="1">
      <alignment horizontal="center" vertical="center" wrapText="1"/>
    </xf>
    <xf numFmtId="170" fontId="44" fillId="13" borderId="13" xfId="0" applyNumberFormat="1" applyFont="1" applyFill="1" applyBorder="1" applyAlignment="1">
      <alignment horizontal="center" vertical="center"/>
    </xf>
    <xf numFmtId="3" fontId="44" fillId="15" borderId="13" xfId="1" applyNumberFormat="1" applyFont="1" applyFill="1" applyBorder="1" applyAlignment="1">
      <alignment horizontal="center" vertical="center" wrapText="1"/>
    </xf>
    <xf numFmtId="170" fontId="44" fillId="15" borderId="13" xfId="0" applyNumberFormat="1" applyFont="1" applyFill="1" applyBorder="1" applyAlignment="1">
      <alignment horizontal="center" vertical="center" wrapText="1"/>
    </xf>
    <xf numFmtId="170" fontId="44" fillId="15" borderId="0" xfId="0" applyNumberFormat="1" applyFont="1" applyFill="1" applyAlignment="1">
      <alignment horizontal="center" vertical="center" wrapText="1"/>
    </xf>
    <xf numFmtId="3" fontId="44" fillId="15" borderId="13" xfId="0" quotePrefix="1" applyNumberFormat="1" applyFont="1" applyFill="1" applyBorder="1" applyAlignment="1">
      <alignment horizontal="center" vertical="center" wrapText="1"/>
    </xf>
    <xf numFmtId="170" fontId="67" fillId="15" borderId="3" xfId="0" quotePrefix="1" applyNumberFormat="1" applyFont="1" applyFill="1" applyBorder="1" applyAlignment="1">
      <alignment horizontal="left" vertical="center" wrapText="1"/>
    </xf>
    <xf numFmtId="170" fontId="67" fillId="15" borderId="21" xfId="0" quotePrefix="1" applyNumberFormat="1" applyFont="1" applyFill="1" applyBorder="1" applyAlignment="1">
      <alignment horizontal="left" vertical="center" wrapText="1"/>
    </xf>
    <xf numFmtId="170" fontId="60" fillId="15" borderId="0" xfId="0" applyNumberFormat="1" applyFont="1" applyFill="1" applyAlignment="1">
      <alignment horizontal="center" vertical="center" wrapText="1"/>
    </xf>
    <xf numFmtId="170" fontId="60" fillId="15" borderId="3" xfId="0" applyNumberFormat="1" applyFont="1" applyFill="1" applyBorder="1" applyAlignment="1">
      <alignment horizontal="center" vertical="center" wrapText="1"/>
    </xf>
    <xf numFmtId="170" fontId="60" fillId="15" borderId="21" xfId="0" applyNumberFormat="1" applyFont="1" applyFill="1" applyBorder="1" applyAlignment="1">
      <alignment horizontal="center" vertical="center" wrapText="1"/>
    </xf>
    <xf numFmtId="170" fontId="60" fillId="15" borderId="6" xfId="0" applyNumberFormat="1" applyFont="1" applyFill="1" applyBorder="1" applyAlignment="1">
      <alignment horizontal="center" vertical="center"/>
    </xf>
    <xf numFmtId="170" fontId="60" fillId="15" borderId="7" xfId="0" applyNumberFormat="1" applyFont="1" applyFill="1" applyBorder="1" applyAlignment="1">
      <alignment horizontal="center" vertical="center"/>
    </xf>
    <xf numFmtId="170" fontId="60" fillId="15" borderId="8" xfId="0" applyNumberFormat="1" applyFont="1" applyFill="1" applyBorder="1" applyAlignment="1">
      <alignment horizontal="center" vertical="center"/>
    </xf>
    <xf numFmtId="170" fontId="60" fillId="15" borderId="6" xfId="0" applyNumberFormat="1" applyFont="1" applyFill="1" applyBorder="1" applyAlignment="1">
      <alignment horizontal="center" vertical="center" wrapText="1"/>
    </xf>
    <xf numFmtId="170" fontId="60" fillId="15" borderId="7" xfId="0" applyNumberFormat="1" applyFont="1" applyFill="1" applyBorder="1" applyAlignment="1">
      <alignment horizontal="center" vertical="center" wrapText="1"/>
    </xf>
    <xf numFmtId="170" fontId="60" fillId="15" borderId="8" xfId="0" applyNumberFormat="1" applyFont="1" applyFill="1" applyBorder="1" applyAlignment="1">
      <alignment horizontal="center" vertical="center" wrapText="1"/>
    </xf>
    <xf numFmtId="170" fontId="60" fillId="15" borderId="6" xfId="0" applyNumberFormat="1" applyFont="1" applyFill="1" applyBorder="1" applyAlignment="1">
      <alignment horizontal="left" vertical="center" wrapText="1"/>
    </xf>
    <xf numFmtId="170" fontId="60" fillId="15" borderId="8" xfId="0" applyNumberFormat="1" applyFont="1" applyFill="1" applyBorder="1" applyAlignment="1">
      <alignment horizontal="left" vertical="center" wrapText="1"/>
    </xf>
    <xf numFmtId="3" fontId="67" fillId="15" borderId="6" xfId="0" applyNumberFormat="1" applyFont="1" applyFill="1" applyBorder="1" applyAlignment="1">
      <alignment horizontal="center" vertical="center"/>
    </xf>
    <xf numFmtId="3" fontId="67" fillId="15" borderId="8" xfId="0" applyNumberFormat="1" applyFont="1" applyFill="1" applyBorder="1" applyAlignment="1">
      <alignment horizontal="center" vertical="center"/>
    </xf>
    <xf numFmtId="165" fontId="60" fillId="15" borderId="3" xfId="1" applyNumberFormat="1" applyFont="1" applyFill="1" applyBorder="1" applyAlignment="1">
      <alignment horizontal="center" vertical="center" wrapText="1"/>
    </xf>
    <xf numFmtId="165" fontId="60" fillId="15" borderId="21" xfId="1" applyNumberFormat="1" applyFont="1" applyFill="1" applyBorder="1" applyAlignment="1">
      <alignment horizontal="center" vertical="center" wrapText="1"/>
    </xf>
    <xf numFmtId="170" fontId="60" fillId="15" borderId="23" xfId="0" applyNumberFormat="1" applyFont="1" applyFill="1" applyBorder="1" applyAlignment="1">
      <alignment horizontal="center" vertical="center" wrapText="1"/>
    </xf>
    <xf numFmtId="170" fontId="60" fillId="15" borderId="6" xfId="2" applyFont="1" applyFill="1" applyBorder="1" applyAlignment="1">
      <alignment horizontal="center" vertical="center" wrapText="1"/>
    </xf>
    <xf numFmtId="170" fontId="60" fillId="15" borderId="7" xfId="2" applyFont="1" applyFill="1" applyBorder="1" applyAlignment="1">
      <alignment horizontal="center" vertical="center" wrapText="1"/>
    </xf>
    <xf numFmtId="170" fontId="60" fillId="15" borderId="1" xfId="2" applyFont="1" applyFill="1" applyBorder="1" applyAlignment="1">
      <alignment horizontal="center" vertical="center" wrapText="1"/>
    </xf>
    <xf numFmtId="170" fontId="60" fillId="15" borderId="2" xfId="2" applyFont="1" applyFill="1" applyBorder="1" applyAlignment="1">
      <alignment horizontal="center" vertical="center" wrapText="1"/>
    </xf>
    <xf numFmtId="170" fontId="60" fillId="15" borderId="9" xfId="2" applyFont="1" applyFill="1" applyBorder="1" applyAlignment="1">
      <alignment horizontal="center" vertical="center" wrapText="1"/>
    </xf>
    <xf numFmtId="170" fontId="60" fillId="15" borderId="0" xfId="2" applyFont="1" applyFill="1" applyBorder="1" applyAlignment="1">
      <alignment horizontal="center" vertical="center" wrapText="1"/>
    </xf>
    <xf numFmtId="170" fontId="60" fillId="15" borderId="5" xfId="2" applyFont="1" applyFill="1" applyBorder="1" applyAlignment="1">
      <alignment horizontal="center" vertical="center" wrapText="1"/>
    </xf>
    <xf numFmtId="170" fontId="60" fillId="15" borderId="11" xfId="2" applyFont="1" applyFill="1" applyBorder="1" applyAlignment="1">
      <alignment horizontal="center" vertical="center" wrapText="1"/>
    </xf>
    <xf numFmtId="43" fontId="60" fillId="15" borderId="3" xfId="0" applyNumberFormat="1" applyFont="1" applyFill="1" applyBorder="1" applyAlignment="1">
      <alignment horizontal="center" vertical="center" wrapText="1"/>
    </xf>
    <xf numFmtId="43" fontId="60" fillId="15" borderId="21" xfId="0" applyNumberFormat="1" applyFont="1" applyFill="1" applyBorder="1" applyAlignment="1">
      <alignment horizontal="center" vertical="center" wrapText="1"/>
    </xf>
    <xf numFmtId="43" fontId="60" fillId="15" borderId="3" xfId="0" applyNumberFormat="1" applyFont="1" applyFill="1" applyBorder="1" applyAlignment="1">
      <alignment horizontal="center" vertical="center"/>
    </xf>
    <xf numFmtId="43" fontId="60" fillId="15" borderId="21" xfId="0" applyNumberFormat="1" applyFont="1" applyFill="1" applyBorder="1" applyAlignment="1">
      <alignment horizontal="center" vertical="center"/>
    </xf>
    <xf numFmtId="170" fontId="60" fillId="0" borderId="0" xfId="2" applyFont="1" applyFill="1" applyAlignment="1">
      <alignment horizontal="center" vertical="center"/>
    </xf>
  </cellXfs>
  <cellStyles count="92">
    <cellStyle name="Comma" xfId="1" builtinId="3"/>
    <cellStyle name="Comma [0]" xfId="32" builtinId="6"/>
    <cellStyle name="Comma [0] 2" xfId="74"/>
    <cellStyle name="Comma 10" xfId="37"/>
    <cellStyle name="Comma 10 2" xfId="35"/>
    <cellStyle name="Comma 10 3" xfId="75"/>
    <cellStyle name="Comma 11" xfId="86"/>
    <cellStyle name="Comma 12" xfId="87"/>
    <cellStyle name="Comma 13" xfId="89"/>
    <cellStyle name="Comma 14" xfId="91"/>
    <cellStyle name="Comma 2" xfId="4"/>
    <cellStyle name="Comma 2 2" xfId="9"/>
    <cellStyle name="Comma 2 2 2" xfId="17"/>
    <cellStyle name="Comma 2 2 2 10" xfId="34"/>
    <cellStyle name="Comma 2 2 2 2" xfId="62"/>
    <cellStyle name="Comma 2 2 3" xfId="28"/>
    <cellStyle name="Comma 2 2 3 2" xfId="71"/>
    <cellStyle name="Comma 2 2 4" xfId="55"/>
    <cellStyle name="Comma 2 3" xfId="14"/>
    <cellStyle name="Comma 2 3 2" xfId="59"/>
    <cellStyle name="Comma 2 4" xfId="24"/>
    <cellStyle name="Comma 2 4 2" xfId="68"/>
    <cellStyle name="Comma 2 5" xfId="44"/>
    <cellStyle name="Comma 2 6" xfId="52"/>
    <cellStyle name="Comma 3" xfId="42"/>
    <cellStyle name="Comma 3 2" xfId="33"/>
    <cellStyle name="Comma 4" xfId="47"/>
    <cellStyle name="Comma 5" xfId="78"/>
    <cellStyle name="Comma 6" xfId="83"/>
    <cellStyle name="Comma 7" xfId="85"/>
    <cellStyle name="Comma 8" xfId="84"/>
    <cellStyle name="Comma 9" xfId="82"/>
    <cellStyle name="Currency" xfId="20" builtinId="4"/>
    <cellStyle name="Currency 2" xfId="48"/>
    <cellStyle name="Currency 3" xfId="65"/>
    <cellStyle name="Currency 4" xfId="79"/>
    <cellStyle name="Hyperlink" xfId="31" builtinId="8"/>
    <cellStyle name="Ledger 17 x 11 in" xfId="5"/>
    <cellStyle name="Ledger 17 x 11 in 2" xfId="25"/>
    <cellStyle name="Normal" xfId="0" builtinId="0"/>
    <cellStyle name="Normal 10" xfId="90"/>
    <cellStyle name="Normal 11" xfId="10"/>
    <cellStyle name="Normal 11 2" xfId="43"/>
    <cellStyle name="Normal 2" xfId="2"/>
    <cellStyle name="Normal 2 2" xfId="6"/>
    <cellStyle name="Normal 2 2 2" xfId="15"/>
    <cellStyle name="Normal 2 2 2 2" xfId="60"/>
    <cellStyle name="Normal 2 2 3" xfId="26"/>
    <cellStyle name="Normal 2 2 3 2" xfId="69"/>
    <cellStyle name="Normal 2 2 4" xfId="45"/>
    <cellStyle name="Normal 2 2 5" xfId="53"/>
    <cellStyle name="Normal 2 3" xfId="12"/>
    <cellStyle name="Normal 2 3 2" xfId="57"/>
    <cellStyle name="Normal 2 3 2 2 2" xfId="36"/>
    <cellStyle name="Normal 2 4" xfId="22"/>
    <cellStyle name="Normal 2 4 2" xfId="66"/>
    <cellStyle name="Normal 2 5" xfId="41"/>
    <cellStyle name="Normal 2 6" xfId="49"/>
    <cellStyle name="Normal 2 7" xfId="50"/>
    <cellStyle name="Normal 2 8" xfId="80"/>
    <cellStyle name="Normal 3" xfId="18"/>
    <cellStyle name="Normal 3 2" xfId="29"/>
    <cellStyle name="Normal 3 2 2" xfId="72"/>
    <cellStyle name="Normal 3 3" xfId="63"/>
    <cellStyle name="Normal 4" xfId="21"/>
    <cellStyle name="Normal 4 2" xfId="39"/>
    <cellStyle name="Normal 5" xfId="40"/>
    <cellStyle name="Normal 5 2" xfId="76"/>
    <cellStyle name="Normal 6" xfId="3"/>
    <cellStyle name="Normal 6 2" xfId="8"/>
    <cellStyle name="Normal 6 2 2" xfId="16"/>
    <cellStyle name="Normal 6 2 2 2" xfId="61"/>
    <cellStyle name="Normal 6 2 3" xfId="27"/>
    <cellStyle name="Normal 6 2 3 2" xfId="70"/>
    <cellStyle name="Normal 6 2 4" xfId="54"/>
    <cellStyle name="Normal 6 3" xfId="13"/>
    <cellStyle name="Normal 6 3 2" xfId="58"/>
    <cellStyle name="Normal 6 4" xfId="23"/>
    <cellStyle name="Normal 6 4 2" xfId="67"/>
    <cellStyle name="Normal 6 5" xfId="51"/>
    <cellStyle name="Normal 7" xfId="46"/>
    <cellStyle name="Normal 7 2" xfId="81"/>
    <cellStyle name="Normal 7 5 2 2" xfId="11"/>
    <cellStyle name="Normal 7 5 2 2 2" xfId="19"/>
    <cellStyle name="Normal 7 5 2 2 2 2" xfId="64"/>
    <cellStyle name="Normal 7 5 2 2 3" xfId="30"/>
    <cellStyle name="Normal 7 5 2 2 3 2" xfId="73"/>
    <cellStyle name="Normal 7 5 2 2 4" xfId="56"/>
    <cellStyle name="Normal 8" xfId="77"/>
    <cellStyle name="Normal 9" xfId="88"/>
    <cellStyle name="Percent 10 2" xfId="38"/>
    <cellStyle name="Percent 2" xfId="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5</xdr:row>
      <xdr:rowOff>152283</xdr:rowOff>
    </xdr:from>
    <xdr:to>
      <xdr:col>7</xdr:col>
      <xdr:colOff>1546225</xdr:colOff>
      <xdr:row>18</xdr:row>
      <xdr:rowOff>22498</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152408"/>
          <a:ext cx="8972550" cy="2775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514350</xdr:colOff>
      <xdr:row>24</xdr:row>
      <xdr:rowOff>28575</xdr:rowOff>
    </xdr:from>
    <xdr:to>
      <xdr:col>5</xdr:col>
      <xdr:colOff>228600</xdr:colOff>
      <xdr:row>30</xdr:row>
      <xdr:rowOff>9525</xdr:rowOff>
    </xdr:to>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4350" y="4695825"/>
          <a:ext cx="2762250"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30256</xdr:colOff>
      <xdr:row>9</xdr:row>
      <xdr:rowOff>115422</xdr:rowOff>
    </xdr:from>
    <xdr:to>
      <xdr:col>7</xdr:col>
      <xdr:colOff>52667</xdr:colOff>
      <xdr:row>28</xdr:row>
      <xdr:rowOff>81802</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16831" y="1572747"/>
          <a:ext cx="4432486" cy="30429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17369</xdr:colOff>
      <xdr:row>31</xdr:row>
      <xdr:rowOff>161925</xdr:rowOff>
    </xdr:from>
    <xdr:to>
      <xdr:col>5</xdr:col>
      <xdr:colOff>855569</xdr:colOff>
      <xdr:row>36</xdr:row>
      <xdr:rowOff>9621</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8810" y="6056219"/>
          <a:ext cx="3292288" cy="934667"/>
        </a:xfrm>
        <a:prstGeom prst="rect">
          <a:avLst/>
        </a:prstGeom>
      </xdr:spPr>
    </xdr:pic>
    <xdr:clientData/>
  </xdr:twoCellAnchor>
  <xdr:twoCellAnchor editAs="oneCell">
    <xdr:from>
      <xdr:col>1</xdr:col>
      <xdr:colOff>76200</xdr:colOff>
      <xdr:row>0</xdr:row>
      <xdr:rowOff>66675</xdr:rowOff>
    </xdr:from>
    <xdr:to>
      <xdr:col>10</xdr:col>
      <xdr:colOff>389758</xdr:colOff>
      <xdr:row>5</xdr:row>
      <xdr:rowOff>66556</xdr:rowOff>
    </xdr:to>
    <xdr:pic>
      <xdr:nvPicPr>
        <xdr:cNvPr id="7" name="Picture 6">
          <a:extLst>
            <a:ext uri="{FF2B5EF4-FFF2-40B4-BE49-F238E27FC236}">
              <a16:creationId xmlns:a16="http://schemas.microsoft.com/office/drawing/2014/main" id="{00000000-0008-0000-0D00-000007000000}"/>
            </a:ext>
          </a:extLst>
        </xdr:cNvPr>
        <xdr:cNvPicPr>
          <a:picLocks noChangeAspect="1"/>
        </xdr:cNvPicPr>
      </xdr:nvPicPr>
      <xdr:blipFill>
        <a:blip xmlns:r="http://schemas.openxmlformats.org/officeDocument/2006/relationships" r:embed="rId2"/>
        <a:stretch>
          <a:fillRect/>
        </a:stretch>
      </xdr:blipFill>
      <xdr:spPr>
        <a:xfrm>
          <a:off x="1304925" y="66675"/>
          <a:ext cx="6133333" cy="952381"/>
        </a:xfrm>
        <a:prstGeom prst="rect">
          <a:avLst/>
        </a:prstGeom>
      </xdr:spPr>
    </xdr:pic>
    <xdr:clientData/>
  </xdr:twoCellAnchor>
  <xdr:twoCellAnchor editAs="oneCell">
    <xdr:from>
      <xdr:col>1</xdr:col>
      <xdr:colOff>38100</xdr:colOff>
      <xdr:row>5</xdr:row>
      <xdr:rowOff>19050</xdr:rowOff>
    </xdr:from>
    <xdr:to>
      <xdr:col>10</xdr:col>
      <xdr:colOff>313563</xdr:colOff>
      <xdr:row>13</xdr:row>
      <xdr:rowOff>142669</xdr:rowOff>
    </xdr:to>
    <xdr:pic>
      <xdr:nvPicPr>
        <xdr:cNvPr id="8" name="Picture 7">
          <a:extLst>
            <a:ext uri="{FF2B5EF4-FFF2-40B4-BE49-F238E27FC236}">
              <a16:creationId xmlns:a16="http://schemas.microsoft.com/office/drawing/2014/main" id="{00000000-0008-0000-0D00-000008000000}"/>
            </a:ext>
          </a:extLst>
        </xdr:cNvPr>
        <xdr:cNvPicPr>
          <a:picLocks noChangeAspect="1"/>
        </xdr:cNvPicPr>
      </xdr:nvPicPr>
      <xdr:blipFill>
        <a:blip xmlns:r="http://schemas.openxmlformats.org/officeDocument/2006/relationships" r:embed="rId3"/>
        <a:stretch>
          <a:fillRect/>
        </a:stretch>
      </xdr:blipFill>
      <xdr:spPr>
        <a:xfrm>
          <a:off x="1266825" y="971550"/>
          <a:ext cx="6095238" cy="1647619"/>
        </a:xfrm>
        <a:prstGeom prst="rect">
          <a:avLst/>
        </a:prstGeom>
      </xdr:spPr>
    </xdr:pic>
    <xdr:clientData/>
  </xdr:twoCellAnchor>
  <xdr:twoCellAnchor editAs="oneCell">
    <xdr:from>
      <xdr:col>1</xdr:col>
      <xdr:colOff>38100</xdr:colOff>
      <xdr:row>13</xdr:row>
      <xdr:rowOff>180975</xdr:rowOff>
    </xdr:from>
    <xdr:to>
      <xdr:col>13</xdr:col>
      <xdr:colOff>199994</xdr:colOff>
      <xdr:row>29</xdr:row>
      <xdr:rowOff>12887</xdr:rowOff>
    </xdr:to>
    <xdr:pic>
      <xdr:nvPicPr>
        <xdr:cNvPr id="9" name="Picture 8">
          <a:extLst>
            <a:ext uri="{FF2B5EF4-FFF2-40B4-BE49-F238E27FC236}">
              <a16:creationId xmlns:a16="http://schemas.microsoft.com/office/drawing/2014/main" id="{00000000-0008-0000-0D00-000009000000}"/>
            </a:ext>
          </a:extLst>
        </xdr:cNvPr>
        <xdr:cNvPicPr>
          <a:picLocks noChangeAspect="1"/>
        </xdr:cNvPicPr>
      </xdr:nvPicPr>
      <xdr:blipFill>
        <a:blip xmlns:r="http://schemas.openxmlformats.org/officeDocument/2006/relationships" r:embed="rId4"/>
        <a:stretch>
          <a:fillRect/>
        </a:stretch>
      </xdr:blipFill>
      <xdr:spPr>
        <a:xfrm>
          <a:off x="1266825" y="2657475"/>
          <a:ext cx="7839044" cy="28799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uannv26\Downloads\Phu%20luc%20I%20II%20Du%20toan_0507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utools for Excel"/>
      <sheetName val="Tong muc dau tu"/>
      <sheetName val="PL2_Bang 2"/>
      <sheetName val="I.Trang thiết bị "/>
      <sheetName val="II.Qlgs va cac chi phi khac"/>
      <sheetName val="TTB Van phong"/>
      <sheetName val="X. Chi tieu ky thuat"/>
      <sheetName val="PL_Kiem toan"/>
      <sheetName val="Bìa"/>
      <sheetName val="Công trình"/>
      <sheetName val="THKP hạng mục"/>
      <sheetName val="TH chi phí XD"/>
      <sheetName val="Tổng hợp VT"/>
      <sheetName val="HM chung"/>
      <sheetName val="Dự phòng"/>
      <sheetName val="Giá tháng"/>
      <sheetName val="HaoPhiVatTu"/>
      <sheetName val="Cước VC"/>
      <sheetName val="Cước bộ"/>
      <sheetName val="Công trình TL"/>
      <sheetName val="Chiết tính"/>
      <sheetName val="Hệ số"/>
      <sheetName val="Đơn giá TH"/>
      <sheetName val="Dự thầu"/>
      <sheetName val="Phân tích VT"/>
      <sheetName val="HSXL"/>
      <sheetName val="Cấu hình"/>
      <sheetName val="Sheet1"/>
      <sheetName val="Sheet2"/>
      <sheetName val="5.CO SO HA TANG"/>
      <sheetName val="Sheet3"/>
      <sheetName val="Thue do ăng ten"/>
      <sheetName val="NSI"/>
      <sheetName val="PL_chi phi giam sat"/>
      <sheetName val="PL_Quan ly du an"/>
      <sheetName val="xxx"/>
      <sheetName val="Sheet6"/>
      <sheetName val="Sheet4"/>
    </sheetNames>
    <sheetDataSet>
      <sheetData sheetId="0" refreshError="1"/>
      <sheetData sheetId="1">
        <row r="8">
          <cell r="E8">
            <v>202770788.14073268</v>
          </cell>
        </row>
      </sheetData>
      <sheetData sheetId="2" refreshError="1"/>
      <sheetData sheetId="3"/>
      <sheetData sheetId="4">
        <row r="8">
          <cell r="G8" t="str">
            <v>-</v>
          </cell>
        </row>
      </sheetData>
      <sheetData sheetId="5" refreshError="1"/>
      <sheetData sheetId="6" refreshError="1"/>
      <sheetData sheetId="7">
        <row r="18">
          <cell r="E18">
            <v>0.54734017556137493</v>
          </cell>
        </row>
      </sheetData>
      <sheetData sheetId="8" refreshError="1"/>
      <sheetData sheetId="9" refreshError="1"/>
      <sheetData sheetId="10">
        <row r="4">
          <cell r="L4">
            <v>26000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28">
          <cell r="J28">
            <v>4.8937195468810061E-3</v>
          </cell>
        </row>
      </sheetData>
      <sheetData sheetId="34">
        <row r="19">
          <cell r="O19">
            <v>1.8865642227054915E-2</v>
          </cell>
        </row>
      </sheetData>
      <sheetData sheetId="35" refreshError="1"/>
      <sheetData sheetId="36" refreshError="1"/>
      <sheetData sheetId="3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www.pasternack.com/sma-male-sma-male-pe-p141-cable-assembly-pe300-24-p.aspx" TargetMode="External"/><Relationship Id="rId13" Type="http://schemas.openxmlformats.org/officeDocument/2006/relationships/hyperlink" Target="https://www.pasternack.com/sma-male-n-male-pe-p141-cable-assembly-pe354-12-p.aspx" TargetMode="External"/><Relationship Id="rId18" Type="http://schemas.openxmlformats.org/officeDocument/2006/relationships/printerSettings" Target="../printerSettings/printerSettings5.bin"/><Relationship Id="rId3" Type="http://schemas.openxmlformats.org/officeDocument/2006/relationships/hyperlink" Target="https://www.pasternack.com/sma-male-n-male-pe-p141-cable-assembly-pe354-24-p.aspx" TargetMode="External"/><Relationship Id="rId7" Type="http://schemas.openxmlformats.org/officeDocument/2006/relationships/hyperlink" Target="https://www.pasternack.com/sma-male-n-male-pe-p141-cable-assembly-pe354-24-p.aspx" TargetMode="External"/><Relationship Id="rId12" Type="http://schemas.openxmlformats.org/officeDocument/2006/relationships/hyperlink" Target="https://www.pasternack.com/50-watts-n-female-rf-load-up-to-18-ghz-pe6039-p.aspx" TargetMode="External"/><Relationship Id="rId17" Type="http://schemas.openxmlformats.org/officeDocument/2006/relationships/hyperlink" Target="https://www.pasternack.com/sma-male-sma-male-pe-p141-cable-assembly-pe300-24-p.aspx" TargetMode="External"/><Relationship Id="rId2" Type="http://schemas.openxmlformats.org/officeDocument/2006/relationships/hyperlink" Target="https://www.pasternack.com/sma-male-n-male-pe-p141-cable-assembly-pe354-12-p.aspx" TargetMode="External"/><Relationship Id="rId16" Type="http://schemas.openxmlformats.org/officeDocument/2006/relationships/hyperlink" Target="https://www.pasternack.com/bnc-male-sma-male-m17-128-rg400-cable-assembly-pe3m0061-100cm-p.aspx" TargetMode="External"/><Relationship Id="rId1" Type="http://schemas.openxmlformats.org/officeDocument/2006/relationships/hyperlink" Target="https://www.pasternack.com/30db-fixed-n-male-n-female-100-watts-attenuator-pe7213-30-p.aspx" TargetMode="External"/><Relationship Id="rId6" Type="http://schemas.openxmlformats.org/officeDocument/2006/relationships/hyperlink" Target="https://www.pasternack.com/30db-fixed-n-male-n-female-100-watts-attenuator-pe7213-30-p.aspx" TargetMode="External"/><Relationship Id="rId11" Type="http://schemas.openxmlformats.org/officeDocument/2006/relationships/hyperlink" Target="https://www.pasternack.com/3-way-sma-power-divider-8-ghz-pe20dv001-p.aspx" TargetMode="External"/><Relationship Id="rId5" Type="http://schemas.openxmlformats.org/officeDocument/2006/relationships/hyperlink" Target="https://www.pasternack.com/sma-male-n-male-pe-p141-cable-assembly-pe354-12-p.aspx" TargetMode="External"/><Relationship Id="rId15" Type="http://schemas.openxmlformats.org/officeDocument/2006/relationships/hyperlink" Target="https://www.pasternack.com/sma-male-n-male-pe-p141-cable-assembly-pe354-24-p.aspx" TargetMode="External"/><Relationship Id="rId10" Type="http://schemas.openxmlformats.org/officeDocument/2006/relationships/hyperlink" Target="https://www.pasternack.com/3-way-n-wilkinson-power-divider-690-mhz-2.7-ghz-10-watts-pe2093-p.aspx" TargetMode="External"/><Relationship Id="rId4" Type="http://schemas.openxmlformats.org/officeDocument/2006/relationships/hyperlink" Target="https://www.pasternack.com/high-power-circulator-18db-isolation-2-ghz-50-watts-sma-female-pe83cr1000-p.aspx" TargetMode="External"/><Relationship Id="rId9" Type="http://schemas.openxmlformats.org/officeDocument/2006/relationships/hyperlink" Target="https://www.pasternack.com/2-way-n-power-divider-dc-18-ghz-1-watts-pe2066-p.aspx" TargetMode="External"/><Relationship Id="rId14" Type="http://schemas.openxmlformats.org/officeDocument/2006/relationships/hyperlink" Target="https://www.pasternack.com/30db-fixed-n-male-n-female-100-watts-attenuator-pe7213-30-p.aspx"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pasternack.com/sma-male-sma-male-pe-p141-cable-assembly-pe300-24-p.aspx" TargetMode="External"/><Relationship Id="rId13" Type="http://schemas.openxmlformats.org/officeDocument/2006/relationships/hyperlink" Target="https://www.pasternack.com/sma-male-n-male-pe-p141-cable-assembly-pe354-12-p.aspx" TargetMode="External"/><Relationship Id="rId3" Type="http://schemas.openxmlformats.org/officeDocument/2006/relationships/hyperlink" Target="https://www.pasternack.com/sma-male-n-male-pe-p141-cable-assembly-pe354-24-p.aspx" TargetMode="External"/><Relationship Id="rId7" Type="http://schemas.openxmlformats.org/officeDocument/2006/relationships/hyperlink" Target="https://www.pasternack.com/sma-male-n-male-pe-p141-cable-assembly-pe354-24-p.aspx" TargetMode="External"/><Relationship Id="rId12" Type="http://schemas.openxmlformats.org/officeDocument/2006/relationships/hyperlink" Target="https://www.pasternack.com/50-watts-n-female-rf-load-up-to-18-ghz-pe6039-p.aspx" TargetMode="External"/><Relationship Id="rId17" Type="http://schemas.openxmlformats.org/officeDocument/2006/relationships/hyperlink" Target="https://www.pasternack.com/sma-male-sma-male-pe-p141-cable-assembly-pe300-24-p.aspx" TargetMode="External"/><Relationship Id="rId2" Type="http://schemas.openxmlformats.org/officeDocument/2006/relationships/hyperlink" Target="https://www.pasternack.com/sma-male-n-male-pe-p141-cable-assembly-pe354-12-p.aspx" TargetMode="External"/><Relationship Id="rId16" Type="http://schemas.openxmlformats.org/officeDocument/2006/relationships/hyperlink" Target="https://www.pasternack.com/bnc-male-sma-male-m17-128-rg400-cable-assembly-pe3m0061-100cm-p.aspx" TargetMode="External"/><Relationship Id="rId1" Type="http://schemas.openxmlformats.org/officeDocument/2006/relationships/hyperlink" Target="https://www.pasternack.com/30db-fixed-n-male-n-female-100-watts-attenuator-pe7213-30-p.aspx" TargetMode="External"/><Relationship Id="rId6" Type="http://schemas.openxmlformats.org/officeDocument/2006/relationships/hyperlink" Target="https://www.pasternack.com/30db-fixed-n-male-n-female-100-watts-attenuator-pe7213-30-p.aspx" TargetMode="External"/><Relationship Id="rId11" Type="http://schemas.openxmlformats.org/officeDocument/2006/relationships/hyperlink" Target="https://www.pasternack.com/3-way-sma-power-divider-8-ghz-pe20dv001-p.aspx" TargetMode="External"/><Relationship Id="rId5" Type="http://schemas.openxmlformats.org/officeDocument/2006/relationships/hyperlink" Target="https://www.pasternack.com/sma-male-n-male-pe-p141-cable-assembly-pe354-12-p.aspx" TargetMode="External"/><Relationship Id="rId15" Type="http://schemas.openxmlformats.org/officeDocument/2006/relationships/hyperlink" Target="https://www.pasternack.com/sma-male-n-male-pe-p141-cable-assembly-pe354-24-p.aspx" TargetMode="External"/><Relationship Id="rId10" Type="http://schemas.openxmlformats.org/officeDocument/2006/relationships/hyperlink" Target="https://www.pasternack.com/3-way-n-wilkinson-power-divider-690-mhz-2.7-ghz-10-watts-pe2093-p.aspx" TargetMode="External"/><Relationship Id="rId4" Type="http://schemas.openxmlformats.org/officeDocument/2006/relationships/hyperlink" Target="https://www.pasternack.com/high-power-circulator-18db-isolation-2-ghz-50-watts-sma-female-pe83cr1000-p.aspx" TargetMode="External"/><Relationship Id="rId9" Type="http://schemas.openxmlformats.org/officeDocument/2006/relationships/hyperlink" Target="https://www.pasternack.com/2-way-n-power-divider-dc-18-ghz-1-watts-pe2066-p.aspx" TargetMode="External"/><Relationship Id="rId14" Type="http://schemas.openxmlformats.org/officeDocument/2006/relationships/hyperlink" Target="https://www.pasternack.com/30db-fixed-n-male-n-female-100-watts-attenuator-pe7213-30-p.aspx"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1"/>
  <sheetViews>
    <sheetView zoomScale="85" zoomScaleNormal="85" zoomScaleSheetLayoutView="115" workbookViewId="0">
      <selection activeCell="E7" sqref="E7"/>
    </sheetView>
  </sheetViews>
  <sheetFormatPr defaultColWidth="9.140625" defaultRowHeight="12.75"/>
  <cols>
    <col min="1" max="1" width="7.140625" style="483" customWidth="1"/>
    <col min="2" max="2" width="7.42578125" style="420" customWidth="1"/>
    <col min="3" max="3" width="20.5703125" style="421" customWidth="1"/>
    <col min="4" max="4" width="42.5703125" style="421" customWidth="1"/>
    <col min="5" max="5" width="23.42578125" style="421" customWidth="1"/>
    <col min="6" max="6" width="21.28515625" style="421" customWidth="1"/>
    <col min="7" max="7" width="23.5703125" style="429" bestFit="1" customWidth="1"/>
    <col min="8" max="8" width="20.5703125" style="429" customWidth="1"/>
    <col min="9" max="9" width="17.5703125" style="426" bestFit="1" customWidth="1"/>
    <col min="10" max="10" width="16.5703125" style="421" bestFit="1" customWidth="1"/>
    <col min="11" max="11" width="12.7109375" style="460" customWidth="1"/>
    <col min="12" max="12" width="9.42578125" style="421" bestFit="1" customWidth="1"/>
    <col min="13" max="13" width="19.7109375" style="421" customWidth="1"/>
    <col min="14" max="14" width="19.85546875" style="421" customWidth="1"/>
    <col min="15" max="16384" width="9.140625" style="421"/>
  </cols>
  <sheetData>
    <row r="1" spans="1:16" ht="15.75">
      <c r="A1" s="479"/>
      <c r="B1" s="423"/>
      <c r="C1" s="424"/>
      <c r="D1" s="422"/>
      <c r="E1" s="424"/>
      <c r="F1" s="424"/>
      <c r="G1" s="425"/>
      <c r="H1" s="425"/>
      <c r="J1" s="619"/>
      <c r="K1" s="620"/>
    </row>
    <row r="2" spans="1:16" ht="12.75" customHeight="1">
      <c r="A2" s="1011" t="s">
        <v>687</v>
      </c>
      <c r="B2" s="1011"/>
      <c r="C2" s="1011"/>
      <c r="D2" s="1011"/>
      <c r="E2" s="1011"/>
      <c r="F2" s="1011"/>
      <c r="G2" s="1011"/>
      <c r="H2" s="425"/>
      <c r="J2" s="619"/>
      <c r="K2" s="620"/>
    </row>
    <row r="3" spans="1:16" ht="15.75">
      <c r="A3" s="740" t="s">
        <v>835</v>
      </c>
      <c r="B3" s="740"/>
      <c r="C3" s="740"/>
      <c r="D3" s="740"/>
      <c r="E3" s="740"/>
      <c r="F3" s="740"/>
      <c r="G3" s="740"/>
      <c r="H3" s="626"/>
      <c r="J3" s="741"/>
      <c r="K3" s="741"/>
    </row>
    <row r="4" spans="1:16" ht="23.25" customHeight="1">
      <c r="A4" s="740"/>
      <c r="B4" s="740"/>
      <c r="C4" s="740"/>
      <c r="D4" s="740"/>
      <c r="E4" s="740"/>
      <c r="F4" s="740"/>
      <c r="G4" s="740"/>
      <c r="H4" s="626"/>
      <c r="J4" s="619"/>
      <c r="K4" s="621"/>
    </row>
    <row r="5" spans="1:16" ht="15.75">
      <c r="A5" s="742"/>
      <c r="B5" s="742"/>
      <c r="C5" s="742"/>
      <c r="D5" s="742"/>
      <c r="E5" s="422"/>
      <c r="F5" s="422"/>
      <c r="G5" s="422"/>
      <c r="H5" s="638"/>
      <c r="I5" s="636"/>
      <c r="J5" s="619"/>
      <c r="K5" s="621"/>
    </row>
    <row r="6" spans="1:16" ht="15.75">
      <c r="A6" s="480"/>
      <c r="B6" s="422"/>
      <c r="C6" s="419"/>
      <c r="D6" s="419"/>
      <c r="E6" s="419"/>
      <c r="F6" s="743" t="s">
        <v>706</v>
      </c>
      <c r="G6" s="743"/>
      <c r="H6" s="627"/>
      <c r="I6" s="636"/>
      <c r="J6" s="619"/>
      <c r="K6" s="620"/>
    </row>
    <row r="7" spans="1:16" ht="39" customHeight="1">
      <c r="A7" s="613" t="s">
        <v>399</v>
      </c>
      <c r="B7" s="744" t="s">
        <v>688</v>
      </c>
      <c r="C7" s="744"/>
      <c r="D7" s="744"/>
      <c r="E7" s="688" t="s">
        <v>689</v>
      </c>
      <c r="F7" s="688" t="s">
        <v>690</v>
      </c>
      <c r="G7" s="688" t="s">
        <v>691</v>
      </c>
      <c r="H7" s="624"/>
      <c r="I7" s="636"/>
      <c r="J7" s="622"/>
      <c r="K7" s="623"/>
      <c r="L7" s="419"/>
      <c r="M7" s="419"/>
      <c r="N7" s="419"/>
      <c r="O7" s="419"/>
    </row>
    <row r="8" spans="1:16" ht="16.5">
      <c r="A8" s="614">
        <v>1</v>
      </c>
      <c r="B8" s="754" t="s">
        <v>784</v>
      </c>
      <c r="C8" s="754"/>
      <c r="D8" s="754"/>
      <c r="E8" s="720"/>
      <c r="F8" s="720"/>
      <c r="G8" s="720"/>
      <c r="H8" s="625"/>
      <c r="I8" s="639"/>
      <c r="J8" s="629"/>
      <c r="K8" s="623"/>
      <c r="L8" s="419"/>
      <c r="M8" s="419"/>
      <c r="N8" s="419"/>
      <c r="O8" s="419"/>
    </row>
    <row r="9" spans="1:16" ht="16.5">
      <c r="A9" s="484" t="s">
        <v>684</v>
      </c>
      <c r="B9" s="756"/>
      <c r="C9" s="757"/>
      <c r="D9" s="758"/>
      <c r="E9" s="720"/>
      <c r="F9" s="720"/>
      <c r="G9" s="720"/>
      <c r="H9" s="625"/>
      <c r="I9" s="639"/>
      <c r="J9" s="629"/>
      <c r="K9" s="623"/>
      <c r="L9" s="419"/>
      <c r="M9" s="419"/>
      <c r="N9" s="419"/>
      <c r="O9" s="419"/>
    </row>
    <row r="10" spans="1:16" ht="16.5">
      <c r="A10" s="484" t="s">
        <v>685</v>
      </c>
      <c r="B10" s="756"/>
      <c r="C10" s="757"/>
      <c r="D10" s="758"/>
      <c r="E10" s="720"/>
      <c r="F10" s="720"/>
      <c r="G10" s="720"/>
      <c r="H10" s="625"/>
      <c r="I10" s="639"/>
      <c r="J10" s="629"/>
      <c r="K10" s="623"/>
      <c r="L10" s="419"/>
      <c r="M10" s="419"/>
      <c r="N10" s="419"/>
      <c r="O10" s="419"/>
    </row>
    <row r="11" spans="1:16" ht="16.5">
      <c r="A11" s="484" t="s">
        <v>698</v>
      </c>
      <c r="B11" s="756"/>
      <c r="C11" s="757"/>
      <c r="D11" s="758"/>
      <c r="E11" s="720"/>
      <c r="F11" s="720"/>
      <c r="G11" s="720"/>
      <c r="H11" s="625"/>
      <c r="I11" s="643"/>
      <c r="J11" s="629"/>
      <c r="K11" s="623"/>
      <c r="L11" s="419"/>
      <c r="M11" s="419"/>
      <c r="N11" s="419"/>
      <c r="O11" s="419"/>
    </row>
    <row r="12" spans="1:16" ht="16.5">
      <c r="A12" s="484" t="s">
        <v>818</v>
      </c>
      <c r="B12" s="756"/>
      <c r="C12" s="757"/>
      <c r="D12" s="758"/>
      <c r="E12" s="720"/>
      <c r="F12" s="720"/>
      <c r="G12" s="720"/>
      <c r="H12" s="625"/>
      <c r="I12" s="643"/>
      <c r="J12" s="629"/>
      <c r="K12" s="623"/>
      <c r="L12" s="419"/>
      <c r="M12" s="419"/>
      <c r="N12" s="419"/>
      <c r="O12" s="419"/>
    </row>
    <row r="13" spans="1:16" ht="16.5">
      <c r="A13" s="484" t="s">
        <v>819</v>
      </c>
      <c r="B13" s="756"/>
      <c r="C13" s="757"/>
      <c r="D13" s="758"/>
      <c r="E13" s="720"/>
      <c r="F13" s="720"/>
      <c r="G13" s="720"/>
      <c r="H13" s="625"/>
      <c r="I13" s="643"/>
      <c r="J13" s="629"/>
      <c r="K13" s="623"/>
      <c r="L13" s="419"/>
      <c r="M13" s="419"/>
      <c r="N13" s="419"/>
      <c r="O13" s="419"/>
    </row>
    <row r="14" spans="1:16" s="424" customFormat="1" ht="16.5">
      <c r="A14" s="614">
        <v>2</v>
      </c>
      <c r="B14" s="746" t="s">
        <v>692</v>
      </c>
      <c r="C14" s="746"/>
      <c r="D14" s="746"/>
      <c r="E14" s="720"/>
      <c r="F14" s="720"/>
      <c r="G14" s="720"/>
      <c r="H14" s="647"/>
      <c r="I14" s="643"/>
      <c r="J14" s="755"/>
      <c r="K14" s="630"/>
      <c r="L14" s="427"/>
      <c r="M14" s="427"/>
      <c r="N14" s="427"/>
      <c r="O14" s="427"/>
    </row>
    <row r="15" spans="1:16" s="428" customFormat="1" ht="16.5">
      <c r="A15" s="614">
        <v>3</v>
      </c>
      <c r="B15" s="746" t="s">
        <v>693</v>
      </c>
      <c r="C15" s="746"/>
      <c r="D15" s="746"/>
      <c r="E15" s="720"/>
      <c r="F15" s="720"/>
      <c r="G15" s="720"/>
      <c r="H15" s="649"/>
      <c r="I15" s="644"/>
      <c r="J15" s="755"/>
      <c r="K15" s="631"/>
      <c r="L15" s="419"/>
      <c r="M15" s="419"/>
      <c r="N15" s="419"/>
    </row>
    <row r="16" spans="1:16" s="428" customFormat="1" ht="16.5">
      <c r="A16" s="481" t="s">
        <v>686</v>
      </c>
      <c r="B16" s="749" t="str">
        <f>'2.Qlgs va cac chi phi khac'!B9</f>
        <v xml:space="preserve">Chi phí kiểm toán  </v>
      </c>
      <c r="C16" s="749"/>
      <c r="D16" s="749"/>
      <c r="E16" s="720"/>
      <c r="F16" s="720"/>
      <c r="G16" s="720"/>
      <c r="H16" s="650"/>
      <c r="I16" s="644"/>
      <c r="J16" s="755"/>
      <c r="K16" s="631"/>
      <c r="L16" s="419"/>
      <c r="M16" s="419"/>
      <c r="N16" s="419"/>
      <c r="P16" s="428" t="s">
        <v>695</v>
      </c>
    </row>
    <row r="17" spans="1:15" s="428" customFormat="1" ht="16.5">
      <c r="A17" s="481" t="s">
        <v>735</v>
      </c>
      <c r="B17" s="749" t="str">
        <f>'2.Qlgs va cac chi phi khac'!B10</f>
        <v xml:space="preserve">Chi phí thẩm tra quyết toán  </v>
      </c>
      <c r="C17" s="749"/>
      <c r="D17" s="749"/>
      <c r="E17" s="720"/>
      <c r="F17" s="720"/>
      <c r="G17" s="720"/>
      <c r="H17" s="625"/>
      <c r="I17" s="644"/>
      <c r="J17" s="755"/>
      <c r="K17" s="631"/>
      <c r="L17" s="419"/>
      <c r="M17" s="419"/>
      <c r="N17" s="419"/>
    </row>
    <row r="18" spans="1:15" s="428" customFormat="1" ht="16.5">
      <c r="A18" s="484">
        <v>4</v>
      </c>
      <c r="B18" s="750" t="s">
        <v>783</v>
      </c>
      <c r="C18" s="751"/>
      <c r="D18" s="752"/>
      <c r="E18" s="720"/>
      <c r="F18" s="720"/>
      <c r="G18" s="720"/>
      <c r="H18" s="652"/>
      <c r="I18" s="643"/>
      <c r="J18" s="633"/>
      <c r="K18" s="631"/>
      <c r="L18" s="421"/>
      <c r="M18" s="421"/>
      <c r="N18" s="421"/>
    </row>
    <row r="19" spans="1:15" s="428" customFormat="1" ht="16.5">
      <c r="A19" s="482"/>
      <c r="B19" s="746" t="s">
        <v>697</v>
      </c>
      <c r="C19" s="746"/>
      <c r="D19" s="746"/>
      <c r="E19" s="720"/>
      <c r="F19" s="720"/>
      <c r="G19" s="720"/>
      <c r="H19" s="652"/>
      <c r="I19" s="643"/>
      <c r="J19" s="632">
        <v>50</v>
      </c>
      <c r="K19" s="753"/>
      <c r="L19" s="421"/>
      <c r="M19" s="421"/>
      <c r="N19" s="421"/>
      <c r="O19" s="421"/>
    </row>
    <row r="20" spans="1:15" s="428" customFormat="1" ht="33.75" customHeight="1">
      <c r="A20" s="747" t="s">
        <v>833</v>
      </c>
      <c r="B20" s="748"/>
      <c r="C20" s="748"/>
      <c r="D20" s="748"/>
      <c r="E20" s="748"/>
      <c r="F20" s="748"/>
      <c r="G20" s="748"/>
      <c r="H20" s="651"/>
      <c r="I20" s="643"/>
      <c r="J20" s="632">
        <v>100</v>
      </c>
      <c r="K20" s="753"/>
      <c r="L20" s="421"/>
      <c r="M20" s="421"/>
      <c r="N20" s="421"/>
    </row>
    <row r="21" spans="1:15" ht="16.5">
      <c r="A21" s="745" t="s">
        <v>762</v>
      </c>
      <c r="B21" s="745"/>
      <c r="C21" s="745"/>
      <c r="D21" s="745"/>
      <c r="E21" s="745"/>
      <c r="F21" s="745"/>
      <c r="G21" s="745"/>
      <c r="H21" s="648"/>
      <c r="I21" s="636"/>
      <c r="J21" s="634"/>
      <c r="K21" s="635"/>
    </row>
    <row r="22" spans="1:15" ht="16.5">
      <c r="A22" s="745" t="s">
        <v>807</v>
      </c>
      <c r="B22" s="745"/>
      <c r="C22" s="745"/>
      <c r="D22" s="745"/>
      <c r="E22" s="745"/>
      <c r="F22" s="745"/>
      <c r="G22" s="745"/>
      <c r="H22" s="646"/>
      <c r="I22" s="636"/>
      <c r="J22" s="634"/>
      <c r="K22" s="635"/>
    </row>
    <row r="23" spans="1:15" ht="16.5">
      <c r="A23" s="642"/>
      <c r="B23" s="642"/>
      <c r="C23" s="642"/>
      <c r="D23" s="642"/>
      <c r="E23" s="642"/>
      <c r="F23" s="739" t="s">
        <v>834</v>
      </c>
      <c r="G23" s="642"/>
      <c r="H23" s="642"/>
      <c r="I23" s="636"/>
      <c r="J23" s="634"/>
      <c r="K23" s="635"/>
    </row>
    <row r="24" spans="1:15" ht="16.5">
      <c r="A24" s="645"/>
      <c r="B24" s="645"/>
      <c r="C24" s="645"/>
      <c r="D24" s="645"/>
      <c r="E24" s="645"/>
      <c r="F24" s="645"/>
      <c r="G24" s="645"/>
      <c r="H24" s="628"/>
      <c r="I24" s="636"/>
      <c r="J24" s="634"/>
      <c r="K24" s="635"/>
    </row>
    <row r="25" spans="1:15" ht="18.75">
      <c r="E25" s="430"/>
      <c r="H25" s="640"/>
      <c r="I25" s="636"/>
      <c r="J25" s="619"/>
      <c r="K25" s="637"/>
    </row>
    <row r="26" spans="1:15">
      <c r="H26" s="640"/>
      <c r="I26" s="636"/>
      <c r="J26" s="619"/>
      <c r="K26" s="637"/>
    </row>
    <row r="27" spans="1:15">
      <c r="G27" s="612"/>
      <c r="H27" s="641"/>
      <c r="I27" s="636"/>
      <c r="J27" s="619"/>
      <c r="K27" s="637"/>
    </row>
    <row r="28" spans="1:15">
      <c r="H28" s="640"/>
      <c r="I28" s="636"/>
      <c r="J28" s="619"/>
      <c r="K28" s="637"/>
    </row>
    <row r="29" spans="1:15">
      <c r="I29" s="636"/>
      <c r="J29" s="619"/>
      <c r="K29" s="637"/>
    </row>
    <row r="30" spans="1:15">
      <c r="I30" s="636"/>
      <c r="J30" s="619"/>
      <c r="K30" s="620"/>
    </row>
    <row r="31" spans="1:15">
      <c r="I31" s="636"/>
      <c r="J31" s="619"/>
      <c r="K31" s="620"/>
    </row>
  </sheetData>
  <mergeCells count="23">
    <mergeCell ref="A2:G2"/>
    <mergeCell ref="K19:K20"/>
    <mergeCell ref="B8:D8"/>
    <mergeCell ref="B17:D17"/>
    <mergeCell ref="B14:D14"/>
    <mergeCell ref="J14:J17"/>
    <mergeCell ref="B9:D9"/>
    <mergeCell ref="B11:D11"/>
    <mergeCell ref="B13:D13"/>
    <mergeCell ref="B10:D10"/>
    <mergeCell ref="B12:D12"/>
    <mergeCell ref="A21:G21"/>
    <mergeCell ref="A22:G22"/>
    <mergeCell ref="B15:D15"/>
    <mergeCell ref="B19:D19"/>
    <mergeCell ref="A20:G20"/>
    <mergeCell ref="B16:D16"/>
    <mergeCell ref="B18:D18"/>
    <mergeCell ref="A3:G4"/>
    <mergeCell ref="J3:K3"/>
    <mergeCell ref="A5:D5"/>
    <mergeCell ref="F6:G6"/>
    <mergeCell ref="B7:D7"/>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W423"/>
  <sheetViews>
    <sheetView zoomScale="70" zoomScaleNormal="70" zoomScaleSheetLayoutView="80" workbookViewId="0">
      <pane ySplit="5" topLeftCell="A6" activePane="bottomLeft" state="frozen"/>
      <selection pane="bottomLeft" activeCell="A2" sqref="A2:J2"/>
    </sheetView>
  </sheetViews>
  <sheetFormatPr defaultRowHeight="16.5"/>
  <cols>
    <col min="1" max="1" width="7.5703125" style="666" customWidth="1"/>
    <col min="2" max="2" width="24.28515625" style="679" customWidth="1"/>
    <col min="3" max="3" width="59.85546875" style="680" customWidth="1"/>
    <col min="4" max="4" width="11" style="680" customWidth="1"/>
    <col min="5" max="5" width="7.5703125" style="681" customWidth="1"/>
    <col min="6" max="6" width="16.85546875" style="682" customWidth="1"/>
    <col min="7" max="7" width="19.28515625" style="682" customWidth="1"/>
    <col min="8" max="8" width="10.42578125" style="682" customWidth="1"/>
    <col min="9" max="9" width="26.42578125" style="682" customWidth="1"/>
    <col min="10" max="10" width="21.5703125" style="682" customWidth="1"/>
    <col min="11" max="11" width="8" style="682" hidden="1" customWidth="1"/>
    <col min="12" max="12" width="15" style="683" hidden="1" customWidth="1"/>
    <col min="13" max="13" width="7" style="684" hidden="1" customWidth="1"/>
    <col min="14" max="14" width="14.7109375" style="684" hidden="1" customWidth="1"/>
    <col min="15" max="15" width="16.7109375" style="685" hidden="1" customWidth="1"/>
    <col min="16" max="16" width="18.7109375" style="724" hidden="1" customWidth="1"/>
    <col min="17" max="17" width="16.5703125" style="683" hidden="1" customWidth="1"/>
    <col min="18" max="18" width="7.42578125" style="684" hidden="1" customWidth="1"/>
    <col min="19" max="19" width="11.85546875" style="684" hidden="1" customWidth="1"/>
    <col min="20" max="20" width="17" style="685" hidden="1" customWidth="1"/>
    <col min="21" max="21" width="17.5703125" style="685" hidden="1" customWidth="1"/>
    <col min="22" max="22" width="26.5703125" style="685" hidden="1" customWidth="1"/>
    <col min="23" max="23" width="7" style="655" hidden="1" customWidth="1"/>
    <col min="24" max="24" width="17.28515625" style="655" hidden="1" customWidth="1"/>
    <col min="25" max="25" width="18" style="655" hidden="1" customWidth="1"/>
    <col min="26" max="26" width="18.28515625" style="655" hidden="1" customWidth="1"/>
    <col min="27" max="27" width="5.28515625" style="655" hidden="1" customWidth="1"/>
    <col min="28" max="28" width="16.28515625" style="655" hidden="1" customWidth="1"/>
    <col min="29" max="30" width="18.28515625" style="655" hidden="1" customWidth="1"/>
    <col min="31" max="31" width="4.85546875" style="655" hidden="1" customWidth="1"/>
    <col min="32" max="32" width="17.28515625" style="655" hidden="1" customWidth="1"/>
    <col min="33" max="34" width="18.28515625" style="655" hidden="1" customWidth="1"/>
    <col min="35" max="35" width="5.42578125" style="655" hidden="1" customWidth="1"/>
    <col min="36" max="36" width="16.5703125" style="655" hidden="1" customWidth="1"/>
    <col min="37" max="37" width="17.5703125" style="655" hidden="1" customWidth="1"/>
    <col min="38" max="38" width="18.28515625" style="655" hidden="1" customWidth="1"/>
    <col min="39" max="39" width="4.28515625" style="655" hidden="1" customWidth="1"/>
    <col min="40" max="40" width="17.28515625" style="655" hidden="1" customWidth="1"/>
    <col min="41" max="42" width="18.28515625" style="655" hidden="1" customWidth="1"/>
    <col min="43" max="43" width="4.28515625" style="655" hidden="1" customWidth="1"/>
    <col min="44" max="44" width="16" style="655" hidden="1" customWidth="1"/>
    <col min="45" max="45" width="18.28515625" style="655" hidden="1" customWidth="1"/>
    <col min="46" max="46" width="16.7109375" style="655" hidden="1" customWidth="1"/>
    <col min="47" max="47" width="4.28515625" style="655" hidden="1" customWidth="1"/>
    <col min="48" max="48" width="17.28515625" style="655" hidden="1" customWidth="1"/>
    <col min="49" max="49" width="18.28515625" style="655" hidden="1" customWidth="1"/>
    <col min="50" max="16384" width="9.140625" style="655"/>
  </cols>
  <sheetData>
    <row r="1" spans="1:49" s="654" customFormat="1" ht="15.75" customHeight="1">
      <c r="A1" s="773" t="s">
        <v>701</v>
      </c>
      <c r="B1" s="774"/>
      <c r="C1" s="774"/>
      <c r="D1" s="774"/>
      <c r="E1" s="774"/>
      <c r="F1" s="774"/>
      <c r="G1" s="774"/>
      <c r="H1" s="774"/>
      <c r="I1" s="774"/>
      <c r="J1" s="774"/>
      <c r="K1" s="774"/>
      <c r="L1" s="774"/>
      <c r="M1" s="774"/>
      <c r="N1" s="774"/>
      <c r="O1" s="774"/>
      <c r="P1" s="774"/>
      <c r="Q1" s="774"/>
      <c r="R1" s="774"/>
      <c r="S1" s="774"/>
      <c r="T1" s="774"/>
      <c r="U1" s="774"/>
      <c r="V1" s="624"/>
      <c r="W1" s="624"/>
      <c r="X1" s="624"/>
    </row>
    <row r="2" spans="1:49" s="654" customFormat="1" ht="36" customHeight="1">
      <c r="A2" s="773" t="s">
        <v>835</v>
      </c>
      <c r="B2" s="774"/>
      <c r="C2" s="774"/>
      <c r="D2" s="774"/>
      <c r="E2" s="774"/>
      <c r="F2" s="774"/>
      <c r="G2" s="774"/>
      <c r="H2" s="774"/>
      <c r="I2" s="774"/>
      <c r="J2" s="774"/>
      <c r="K2" s="738"/>
      <c r="L2" s="738"/>
      <c r="M2" s="738"/>
      <c r="N2" s="738"/>
      <c r="O2" s="738"/>
      <c r="P2" s="738"/>
      <c r="Q2" s="738"/>
      <c r="R2" s="738"/>
      <c r="S2" s="738"/>
      <c r="T2" s="738"/>
      <c r="U2" s="738"/>
      <c r="V2" s="624"/>
      <c r="W2" s="624"/>
      <c r="X2" s="624"/>
    </row>
    <row r="3" spans="1:49" ht="31.5" customHeight="1">
      <c r="A3" s="762" t="s">
        <v>7</v>
      </c>
      <c r="B3" s="759" t="s">
        <v>403</v>
      </c>
      <c r="C3" s="762" t="s">
        <v>789</v>
      </c>
      <c r="D3" s="762" t="s">
        <v>790</v>
      </c>
      <c r="E3" s="779" t="s">
        <v>8</v>
      </c>
      <c r="F3" s="759" t="s">
        <v>780</v>
      </c>
      <c r="G3" s="759" t="s">
        <v>781</v>
      </c>
      <c r="H3" s="759" t="s">
        <v>680</v>
      </c>
      <c r="I3" s="759" t="s">
        <v>778</v>
      </c>
      <c r="J3" s="759" t="s">
        <v>779</v>
      </c>
      <c r="K3" s="759" t="s">
        <v>404</v>
      </c>
      <c r="L3" s="776" t="s">
        <v>809</v>
      </c>
      <c r="M3" s="777"/>
      <c r="N3" s="777"/>
      <c r="O3" s="777"/>
      <c r="P3" s="778"/>
      <c r="Q3" s="764" t="s">
        <v>810</v>
      </c>
      <c r="R3" s="765"/>
      <c r="S3" s="765"/>
      <c r="T3" s="765"/>
      <c r="U3" s="766"/>
      <c r="V3" s="764" t="s">
        <v>812</v>
      </c>
      <c r="W3" s="765"/>
      <c r="X3" s="765"/>
      <c r="Y3" s="766"/>
      <c r="Z3" s="764" t="s">
        <v>808</v>
      </c>
      <c r="AA3" s="765"/>
      <c r="AB3" s="765"/>
      <c r="AC3" s="766"/>
      <c r="AD3" s="764" t="s">
        <v>811</v>
      </c>
      <c r="AE3" s="765"/>
      <c r="AF3" s="765"/>
      <c r="AG3" s="766"/>
      <c r="AH3" s="764" t="s">
        <v>816</v>
      </c>
      <c r="AI3" s="765"/>
      <c r="AJ3" s="765"/>
      <c r="AK3" s="766"/>
      <c r="AL3" s="764" t="s">
        <v>814</v>
      </c>
      <c r="AM3" s="765"/>
      <c r="AN3" s="765"/>
      <c r="AO3" s="766"/>
      <c r="AP3" s="764" t="s">
        <v>815</v>
      </c>
      <c r="AQ3" s="765"/>
      <c r="AR3" s="765"/>
      <c r="AS3" s="766"/>
      <c r="AT3" s="764" t="s">
        <v>817</v>
      </c>
      <c r="AU3" s="765"/>
      <c r="AV3" s="765"/>
      <c r="AW3" s="766"/>
    </row>
    <row r="4" spans="1:49" ht="32.25" customHeight="1">
      <c r="A4" s="763"/>
      <c r="B4" s="761"/>
      <c r="C4" s="763"/>
      <c r="D4" s="763"/>
      <c r="E4" s="780"/>
      <c r="F4" s="761"/>
      <c r="G4" s="761"/>
      <c r="H4" s="761"/>
      <c r="I4" s="760"/>
      <c r="J4" s="760"/>
      <c r="K4" s="761"/>
      <c r="L4" s="656" t="s">
        <v>403</v>
      </c>
      <c r="M4" s="657" t="s">
        <v>8</v>
      </c>
      <c r="N4" s="657" t="s">
        <v>737</v>
      </c>
      <c r="O4" s="656" t="s">
        <v>346</v>
      </c>
      <c r="P4" s="656" t="s">
        <v>315</v>
      </c>
      <c r="Q4" s="656" t="s">
        <v>403</v>
      </c>
      <c r="R4" s="657" t="s">
        <v>8</v>
      </c>
      <c r="S4" s="657" t="s">
        <v>737</v>
      </c>
      <c r="T4" s="656" t="s">
        <v>705</v>
      </c>
      <c r="U4" s="656" t="s">
        <v>315</v>
      </c>
      <c r="V4" s="656" t="s">
        <v>403</v>
      </c>
      <c r="W4" s="657" t="s">
        <v>8</v>
      </c>
      <c r="X4" s="656" t="s">
        <v>705</v>
      </c>
      <c r="Y4" s="656" t="s">
        <v>315</v>
      </c>
      <c r="Z4" s="656" t="s">
        <v>403</v>
      </c>
      <c r="AA4" s="657" t="s">
        <v>8</v>
      </c>
      <c r="AB4" s="656" t="s">
        <v>705</v>
      </c>
      <c r="AC4" s="656" t="s">
        <v>315</v>
      </c>
      <c r="AD4" s="656" t="s">
        <v>403</v>
      </c>
      <c r="AE4" s="657" t="s">
        <v>8</v>
      </c>
      <c r="AF4" s="656" t="s">
        <v>705</v>
      </c>
      <c r="AG4" s="656" t="s">
        <v>315</v>
      </c>
      <c r="AH4" s="656" t="s">
        <v>403</v>
      </c>
      <c r="AI4" s="657" t="s">
        <v>8</v>
      </c>
      <c r="AJ4" s="656" t="s">
        <v>705</v>
      </c>
      <c r="AK4" s="656" t="s">
        <v>315</v>
      </c>
      <c r="AL4" s="656" t="s">
        <v>403</v>
      </c>
      <c r="AM4" s="657" t="s">
        <v>8</v>
      </c>
      <c r="AN4" s="656" t="s">
        <v>705</v>
      </c>
      <c r="AO4" s="656" t="s">
        <v>315</v>
      </c>
      <c r="AP4" s="656" t="s">
        <v>403</v>
      </c>
      <c r="AQ4" s="657" t="s">
        <v>8</v>
      </c>
      <c r="AR4" s="656" t="s">
        <v>705</v>
      </c>
      <c r="AS4" s="656" t="s">
        <v>315</v>
      </c>
      <c r="AT4" s="656" t="s">
        <v>403</v>
      </c>
      <c r="AU4" s="657" t="s">
        <v>8</v>
      </c>
      <c r="AV4" s="656" t="s">
        <v>705</v>
      </c>
      <c r="AW4" s="656" t="s">
        <v>315</v>
      </c>
    </row>
    <row r="5" spans="1:49" ht="33.75" customHeight="1">
      <c r="A5" s="781" t="s">
        <v>760</v>
      </c>
      <c r="B5" s="782"/>
      <c r="C5" s="657"/>
      <c r="D5" s="657"/>
      <c r="E5" s="658"/>
      <c r="F5" s="659"/>
      <c r="G5" s="659"/>
      <c r="H5" s="659"/>
      <c r="I5" s="659"/>
      <c r="J5" s="659"/>
      <c r="K5" s="656"/>
      <c r="L5" s="656"/>
      <c r="M5" s="657"/>
      <c r="N5" s="657"/>
      <c r="O5" s="656"/>
      <c r="P5" s="728">
        <f>SUM(P6:P10)</f>
        <v>14892362916</v>
      </c>
      <c r="Q5" s="656"/>
      <c r="R5" s="657"/>
      <c r="S5" s="657"/>
      <c r="T5" s="656"/>
      <c r="U5" s="728">
        <f>SUM(U6:U10)</f>
        <v>9462000000</v>
      </c>
      <c r="V5" s="656"/>
      <c r="W5" s="657"/>
      <c r="X5" s="656"/>
      <c r="Y5" s="728">
        <f>SUM(Y6:Y10)</f>
        <v>12907097000</v>
      </c>
      <c r="Z5" s="656"/>
      <c r="AA5" s="656"/>
      <c r="AB5" s="656"/>
      <c r="AC5" s="728">
        <f>SUM(AC6:AC10)</f>
        <v>16254100000</v>
      </c>
      <c r="AD5" s="656"/>
      <c r="AE5" s="656"/>
      <c r="AF5" s="656"/>
      <c r="AG5" s="728">
        <f>SUM(AG6:AG10)</f>
        <v>16851800000</v>
      </c>
      <c r="AH5" s="656"/>
      <c r="AI5" s="656"/>
      <c r="AJ5" s="656"/>
      <c r="AK5" s="728">
        <f>SUM(AK6:AK10)</f>
        <v>13620000000</v>
      </c>
      <c r="AL5" s="656"/>
      <c r="AM5" s="656"/>
      <c r="AN5" s="656"/>
      <c r="AO5" s="728">
        <f>SUM(AO6:AO10)</f>
        <v>13829000000</v>
      </c>
      <c r="AP5" s="656"/>
      <c r="AQ5" s="656"/>
      <c r="AR5" s="656"/>
      <c r="AS5" s="728">
        <f>SUM(AS6:AS10)</f>
        <v>13280000000</v>
      </c>
      <c r="AT5" s="656"/>
      <c r="AU5" s="656"/>
      <c r="AV5" s="656"/>
      <c r="AW5" s="728">
        <f>SUM(AW6:AW10)</f>
        <v>12000000000</v>
      </c>
    </row>
    <row r="6" spans="1:49" s="667" customFormat="1" ht="66">
      <c r="A6" s="735">
        <v>1</v>
      </c>
      <c r="B6" s="687"/>
      <c r="C6" s="661"/>
      <c r="D6" s="662"/>
      <c r="E6" s="665">
        <v>1</v>
      </c>
      <c r="F6" s="659"/>
      <c r="G6" s="659"/>
      <c r="H6" s="659"/>
      <c r="I6" s="659"/>
      <c r="J6" s="659"/>
      <c r="K6" s="664"/>
      <c r="L6" s="660">
        <f>B6</f>
        <v>0</v>
      </c>
      <c r="M6" s="665">
        <v>1</v>
      </c>
      <c r="N6" s="665"/>
      <c r="O6" s="663">
        <f>13994726241+897636675</f>
        <v>14892362916</v>
      </c>
      <c r="P6" s="729">
        <f>M6*O6</f>
        <v>14892362916</v>
      </c>
      <c r="Q6" s="660"/>
      <c r="R6" s="665"/>
      <c r="S6" s="666"/>
      <c r="T6" s="663"/>
      <c r="U6" s="663"/>
      <c r="V6" s="660"/>
      <c r="W6" s="665"/>
      <c r="X6" s="663"/>
      <c r="Y6" s="663">
        <f>W6*X6</f>
        <v>0</v>
      </c>
      <c r="Z6" s="660" t="s">
        <v>805</v>
      </c>
      <c r="AA6" s="663">
        <v>1</v>
      </c>
      <c r="AB6" s="663">
        <v>16254100000</v>
      </c>
      <c r="AC6" s="729">
        <f>AB6</f>
        <v>16254100000</v>
      </c>
      <c r="AD6" s="660" t="s">
        <v>805</v>
      </c>
      <c r="AE6" s="663">
        <v>1</v>
      </c>
      <c r="AF6" s="663">
        <v>16851800000</v>
      </c>
      <c r="AG6" s="729">
        <f>AE6*AF6</f>
        <v>16851800000</v>
      </c>
      <c r="AH6" s="663"/>
      <c r="AI6" s="663"/>
      <c r="AJ6" s="663"/>
      <c r="AK6" s="663"/>
      <c r="AL6" s="663"/>
      <c r="AM6" s="663"/>
      <c r="AN6" s="663"/>
      <c r="AO6" s="663"/>
      <c r="AP6" s="663"/>
      <c r="AQ6" s="663"/>
      <c r="AR6" s="663"/>
      <c r="AS6" s="663"/>
      <c r="AT6" s="663"/>
      <c r="AU6" s="663"/>
      <c r="AV6" s="663"/>
      <c r="AW6" s="663"/>
    </row>
    <row r="7" spans="1:49" s="667" customFormat="1" ht="57.75" customHeight="1">
      <c r="A7" s="770">
        <v>2</v>
      </c>
      <c r="B7" s="767"/>
      <c r="C7" s="661"/>
      <c r="D7" s="662"/>
      <c r="E7" s="665">
        <v>1</v>
      </c>
      <c r="F7" s="659"/>
      <c r="G7" s="659"/>
      <c r="H7" s="659"/>
      <c r="I7" s="659"/>
      <c r="J7" s="659"/>
      <c r="K7" s="664"/>
      <c r="L7" s="660"/>
      <c r="M7" s="665"/>
      <c r="N7" s="665"/>
      <c r="O7" s="663"/>
      <c r="P7" s="729"/>
      <c r="Q7" s="660">
        <f>C7</f>
        <v>0</v>
      </c>
      <c r="R7" s="665">
        <v>1</v>
      </c>
      <c r="S7" s="666"/>
      <c r="T7" s="663">
        <v>6540000000</v>
      </c>
      <c r="U7" s="729">
        <f>T7*R7</f>
        <v>6540000000</v>
      </c>
      <c r="V7" s="660"/>
      <c r="W7" s="665"/>
      <c r="X7" s="663"/>
      <c r="Y7" s="663"/>
      <c r="Z7" s="660"/>
      <c r="AA7" s="663"/>
      <c r="AB7" s="663"/>
      <c r="AC7" s="729"/>
      <c r="AD7" s="660"/>
      <c r="AE7" s="663"/>
      <c r="AF7" s="663"/>
      <c r="AG7" s="663"/>
      <c r="AH7" s="663"/>
      <c r="AI7" s="663"/>
      <c r="AJ7" s="663"/>
      <c r="AK7" s="663"/>
      <c r="AL7" s="663"/>
      <c r="AM7" s="663"/>
      <c r="AN7" s="663"/>
      <c r="AO7" s="663"/>
      <c r="AP7" s="660">
        <f>C7</f>
        <v>0</v>
      </c>
      <c r="AQ7" s="663">
        <v>1</v>
      </c>
      <c r="AR7" s="663">
        <v>8800000000</v>
      </c>
      <c r="AS7" s="729">
        <f>AR7*AQ7</f>
        <v>8800000000</v>
      </c>
      <c r="AT7" s="660">
        <f>C7</f>
        <v>0</v>
      </c>
      <c r="AU7" s="663">
        <v>1</v>
      </c>
      <c r="AV7" s="663">
        <v>7800000000</v>
      </c>
      <c r="AW7" s="729">
        <f>AV7*AU7</f>
        <v>7800000000</v>
      </c>
    </row>
    <row r="8" spans="1:49" s="667" customFormat="1" ht="38.25" customHeight="1">
      <c r="A8" s="771"/>
      <c r="B8" s="768"/>
      <c r="C8" s="661"/>
      <c r="D8" s="662"/>
      <c r="E8" s="665">
        <v>1</v>
      </c>
      <c r="F8" s="659"/>
      <c r="G8" s="659"/>
      <c r="H8" s="659"/>
      <c r="I8" s="659"/>
      <c r="J8" s="659"/>
      <c r="K8" s="664"/>
      <c r="L8" s="660"/>
      <c r="M8" s="665"/>
      <c r="N8" s="665"/>
      <c r="O8" s="663"/>
      <c r="P8" s="729"/>
      <c r="Q8" s="660">
        <f t="shared" ref="Q8:Q9" si="0">C8</f>
        <v>0</v>
      </c>
      <c r="R8" s="665">
        <v>1</v>
      </c>
      <c r="S8" s="666"/>
      <c r="T8" s="663">
        <v>2200000000</v>
      </c>
      <c r="U8" s="729">
        <f>R8*T8</f>
        <v>2200000000</v>
      </c>
      <c r="V8" s="660"/>
      <c r="W8" s="665"/>
      <c r="X8" s="663"/>
      <c r="Y8" s="663"/>
      <c r="Z8" s="660"/>
      <c r="AA8" s="663"/>
      <c r="AB8" s="663"/>
      <c r="AC8" s="729"/>
      <c r="AD8" s="660"/>
      <c r="AE8" s="663"/>
      <c r="AF8" s="663"/>
      <c r="AG8" s="663"/>
      <c r="AH8" s="663"/>
      <c r="AI8" s="663"/>
      <c r="AJ8" s="663"/>
      <c r="AK8" s="663"/>
      <c r="AL8" s="663"/>
      <c r="AM8" s="663"/>
      <c r="AN8" s="663"/>
      <c r="AO8" s="663"/>
      <c r="AP8" s="660">
        <f t="shared" ref="AP8:AP9" si="1">C8</f>
        <v>0</v>
      </c>
      <c r="AQ8" s="663">
        <v>1</v>
      </c>
      <c r="AR8" s="663">
        <v>3600000000</v>
      </c>
      <c r="AS8" s="729">
        <f>AQ8*AR8</f>
        <v>3600000000</v>
      </c>
      <c r="AT8" s="660">
        <f t="shared" ref="AT8:AT9" si="2">C8</f>
        <v>0</v>
      </c>
      <c r="AU8" s="663">
        <v>1</v>
      </c>
      <c r="AV8" s="663">
        <v>3400000000</v>
      </c>
      <c r="AW8" s="729">
        <f>AV8*AU8</f>
        <v>3400000000</v>
      </c>
    </row>
    <row r="9" spans="1:49" ht="32.25" customHeight="1">
      <c r="A9" s="771"/>
      <c r="B9" s="768"/>
      <c r="C9" s="734"/>
      <c r="D9" s="662"/>
      <c r="E9" s="665">
        <v>1</v>
      </c>
      <c r="F9" s="659"/>
      <c r="G9" s="659"/>
      <c r="H9" s="659"/>
      <c r="I9" s="659"/>
      <c r="J9" s="659"/>
      <c r="K9" s="664"/>
      <c r="L9" s="660"/>
      <c r="M9" s="665"/>
      <c r="N9" s="665"/>
      <c r="O9" s="663"/>
      <c r="P9" s="663"/>
      <c r="Q9" s="660">
        <f t="shared" si="0"/>
        <v>0</v>
      </c>
      <c r="R9" s="665">
        <v>1</v>
      </c>
      <c r="S9" s="666"/>
      <c r="T9" s="733">
        <v>722000000</v>
      </c>
      <c r="U9" s="729">
        <f>R9*T9</f>
        <v>722000000</v>
      </c>
      <c r="V9" s="660"/>
      <c r="W9" s="665"/>
      <c r="X9" s="663"/>
      <c r="Y9" s="663"/>
      <c r="Z9" s="660"/>
      <c r="AA9" s="665"/>
      <c r="AB9" s="663"/>
      <c r="AC9" s="729">
        <f>+AA9*AB9</f>
        <v>0</v>
      </c>
      <c r="AD9" s="660"/>
      <c r="AE9" s="665"/>
      <c r="AF9" s="663"/>
      <c r="AG9" s="663"/>
      <c r="AH9" s="687"/>
      <c r="AI9" s="665"/>
      <c r="AJ9" s="663"/>
      <c r="AK9" s="663"/>
      <c r="AL9" s="660"/>
      <c r="AM9" s="665"/>
      <c r="AN9" s="663"/>
      <c r="AO9" s="663"/>
      <c r="AP9" s="660">
        <f t="shared" si="1"/>
        <v>0</v>
      </c>
      <c r="AQ9" s="665">
        <v>1</v>
      </c>
      <c r="AR9" s="663">
        <v>880000000</v>
      </c>
      <c r="AS9" s="729">
        <f>AR9*AQ9</f>
        <v>880000000</v>
      </c>
      <c r="AT9" s="660">
        <f t="shared" si="2"/>
        <v>0</v>
      </c>
      <c r="AU9" s="665">
        <v>1</v>
      </c>
      <c r="AV9" s="663">
        <v>800000000</v>
      </c>
      <c r="AW9" s="729">
        <f>AV9*AU9</f>
        <v>800000000</v>
      </c>
    </row>
    <row r="10" spans="1:49" ht="99">
      <c r="A10" s="772"/>
      <c r="B10" s="769"/>
      <c r="C10" s="734"/>
      <c r="D10" s="662"/>
      <c r="E10" s="665">
        <v>1</v>
      </c>
      <c r="F10" s="659"/>
      <c r="G10" s="659"/>
      <c r="H10" s="659"/>
      <c r="I10" s="659"/>
      <c r="J10" s="659"/>
      <c r="K10" s="668"/>
      <c r="L10" s="660"/>
      <c r="M10" s="665"/>
      <c r="N10" s="665"/>
      <c r="O10" s="663"/>
      <c r="P10" s="663"/>
      <c r="Q10" s="660"/>
      <c r="R10" s="665"/>
      <c r="S10" s="666"/>
      <c r="T10" s="663"/>
      <c r="U10" s="729">
        <f t="shared" ref="U10" si="3">R10*T10</f>
        <v>0</v>
      </c>
      <c r="V10" s="660">
        <f>C10</f>
        <v>0</v>
      </c>
      <c r="W10" s="665">
        <v>1</v>
      </c>
      <c r="X10" s="663">
        <v>12907097000</v>
      </c>
      <c r="Y10" s="729">
        <f>W10*X10</f>
        <v>12907097000</v>
      </c>
      <c r="Z10" s="660"/>
      <c r="AA10" s="665"/>
      <c r="AB10" s="663"/>
      <c r="AC10" s="729">
        <f>+AA10*AB10</f>
        <v>0</v>
      </c>
      <c r="AD10" s="660"/>
      <c r="AE10" s="665"/>
      <c r="AF10" s="663"/>
      <c r="AG10" s="663"/>
      <c r="AH10" s="687" t="s">
        <v>813</v>
      </c>
      <c r="AI10" s="665">
        <v>1</v>
      </c>
      <c r="AJ10" s="663">
        <v>13620000000</v>
      </c>
      <c r="AK10" s="729">
        <f>+AI10*AJ10</f>
        <v>13620000000</v>
      </c>
      <c r="AL10" s="687" t="s">
        <v>813</v>
      </c>
      <c r="AM10" s="665">
        <v>1</v>
      </c>
      <c r="AN10" s="663">
        <v>13829000000</v>
      </c>
      <c r="AO10" s="729">
        <f>+AM10*AN10</f>
        <v>13829000000</v>
      </c>
      <c r="AP10" s="660"/>
      <c r="AQ10" s="665"/>
      <c r="AR10" s="663"/>
      <c r="AS10" s="663"/>
      <c r="AT10" s="660"/>
      <c r="AU10" s="665"/>
      <c r="AV10" s="663"/>
      <c r="AW10" s="663"/>
    </row>
    <row r="11" spans="1:49" s="669" customFormat="1">
      <c r="A11" s="670"/>
      <c r="B11" s="671"/>
      <c r="C11" s="672"/>
      <c r="D11" s="672"/>
      <c r="E11" s="673"/>
      <c r="F11" s="674"/>
      <c r="G11" s="674"/>
      <c r="H11" s="674"/>
      <c r="I11" s="674"/>
      <c r="J11" s="675"/>
      <c r="K11" s="674"/>
      <c r="L11" s="676"/>
      <c r="M11" s="677"/>
      <c r="N11" s="677"/>
      <c r="O11" s="678"/>
      <c r="P11" s="723"/>
      <c r="Q11" s="676"/>
      <c r="R11" s="677"/>
      <c r="S11" s="677"/>
      <c r="T11" s="678"/>
      <c r="U11" s="678"/>
      <c r="V11" s="678"/>
    </row>
    <row r="12" spans="1:49" ht="15" customHeight="1">
      <c r="A12" s="677"/>
      <c r="F12" s="655"/>
      <c r="G12" s="655"/>
      <c r="P12" s="775" t="s">
        <v>702</v>
      </c>
      <c r="Q12" s="775"/>
      <c r="R12" s="775"/>
      <c r="S12" s="775"/>
      <c r="T12" s="775"/>
      <c r="U12" s="775"/>
      <c r="V12" s="719"/>
      <c r="W12" s="719"/>
      <c r="X12" s="719"/>
    </row>
    <row r="13" spans="1:49">
      <c r="A13" s="677"/>
      <c r="F13" s="655"/>
      <c r="G13" s="655"/>
    </row>
    <row r="14" spans="1:49">
      <c r="A14" s="677"/>
      <c r="B14" s="655"/>
      <c r="C14" s="686"/>
      <c r="D14" s="686"/>
      <c r="E14" s="655"/>
      <c r="F14" s="655"/>
      <c r="G14" s="655"/>
      <c r="H14" s="655"/>
      <c r="I14" s="655"/>
      <c r="J14" s="655"/>
      <c r="K14" s="655"/>
      <c r="L14" s="686"/>
      <c r="M14" s="655"/>
      <c r="N14" s="655"/>
      <c r="O14" s="655"/>
      <c r="P14" s="655"/>
      <c r="Q14" s="655"/>
      <c r="R14" s="655"/>
      <c r="S14" s="655"/>
      <c r="T14" s="655"/>
      <c r="U14" s="655"/>
      <c r="V14" s="655"/>
    </row>
    <row r="15" spans="1:49">
      <c r="A15" s="677"/>
      <c r="B15" s="655"/>
      <c r="C15" s="686"/>
      <c r="D15" s="686"/>
      <c r="E15" s="655"/>
      <c r="F15" s="655"/>
      <c r="G15" s="655"/>
      <c r="H15" s="655"/>
      <c r="I15" s="655"/>
      <c r="J15" s="655"/>
      <c r="K15" s="655"/>
      <c r="L15" s="686"/>
      <c r="M15" s="655"/>
      <c r="N15" s="655"/>
      <c r="O15" s="655"/>
      <c r="P15" s="655"/>
      <c r="Q15" s="655"/>
      <c r="R15" s="655"/>
      <c r="S15" s="655"/>
      <c r="T15" s="655"/>
      <c r="U15" s="655"/>
      <c r="V15" s="655"/>
    </row>
    <row r="16" spans="1:49">
      <c r="A16" s="677"/>
      <c r="B16" s="655"/>
      <c r="C16" s="686"/>
      <c r="D16" s="686"/>
      <c r="E16" s="655"/>
      <c r="F16" s="655"/>
      <c r="G16" s="655"/>
      <c r="H16" s="655"/>
      <c r="I16" s="655"/>
      <c r="J16" s="655"/>
      <c r="K16" s="655"/>
      <c r="L16" s="686"/>
      <c r="M16" s="655"/>
      <c r="N16" s="655"/>
      <c r="O16" s="655"/>
      <c r="P16" s="655"/>
      <c r="Q16" s="655"/>
      <c r="R16" s="655"/>
      <c r="S16" s="655"/>
      <c r="T16" s="655"/>
      <c r="U16" s="655"/>
      <c r="V16" s="655"/>
    </row>
    <row r="17" spans="1:22">
      <c r="A17" s="677"/>
      <c r="B17" s="655"/>
      <c r="C17" s="686"/>
      <c r="D17" s="686"/>
      <c r="E17" s="655"/>
      <c r="F17" s="655"/>
      <c r="G17" s="655"/>
      <c r="H17" s="655"/>
      <c r="I17" s="655"/>
      <c r="J17" s="655"/>
      <c r="K17" s="655"/>
      <c r="L17" s="686"/>
      <c r="M17" s="655"/>
      <c r="N17" s="655"/>
      <c r="O17" s="655"/>
      <c r="P17" s="655"/>
      <c r="Q17" s="655"/>
      <c r="R17" s="655"/>
      <c r="S17" s="655"/>
      <c r="T17" s="655"/>
      <c r="U17" s="655"/>
      <c r="V17" s="655"/>
    </row>
    <row r="18" spans="1:22">
      <c r="A18" s="677"/>
      <c r="B18" s="655"/>
      <c r="C18" s="686"/>
      <c r="D18" s="686"/>
      <c r="E18" s="655"/>
      <c r="F18" s="655"/>
      <c r="G18" s="655"/>
      <c r="H18" s="655"/>
      <c r="I18" s="655"/>
      <c r="J18" s="655"/>
      <c r="K18" s="655"/>
      <c r="L18" s="686"/>
      <c r="M18" s="655"/>
      <c r="N18" s="655"/>
      <c r="O18" s="655"/>
      <c r="P18" s="655"/>
      <c r="Q18" s="655"/>
      <c r="R18" s="655"/>
      <c r="S18" s="655"/>
      <c r="T18" s="655"/>
      <c r="U18" s="655"/>
      <c r="V18" s="655"/>
    </row>
    <row r="19" spans="1:22">
      <c r="A19" s="677"/>
      <c r="B19" s="655"/>
      <c r="C19" s="686"/>
      <c r="D19" s="686"/>
      <c r="E19" s="655"/>
      <c r="F19" s="655"/>
      <c r="G19" s="655"/>
      <c r="H19" s="655"/>
      <c r="I19" s="655"/>
      <c r="J19" s="655"/>
      <c r="K19" s="655"/>
      <c r="L19" s="686"/>
      <c r="M19" s="655"/>
      <c r="N19" s="655"/>
      <c r="O19" s="655"/>
      <c r="P19" s="655"/>
      <c r="Q19" s="655"/>
      <c r="R19" s="655"/>
      <c r="S19" s="655"/>
      <c r="T19" s="655"/>
      <c r="U19" s="655"/>
      <c r="V19" s="655"/>
    </row>
    <row r="20" spans="1:22">
      <c r="A20" s="677"/>
      <c r="B20" s="655"/>
      <c r="C20" s="686"/>
      <c r="D20" s="686"/>
      <c r="E20" s="655"/>
      <c r="F20" s="655"/>
      <c r="G20" s="655"/>
      <c r="H20" s="655"/>
      <c r="I20" s="655"/>
      <c r="J20" s="655"/>
      <c r="K20" s="655"/>
      <c r="L20" s="686"/>
      <c r="M20" s="655"/>
      <c r="N20" s="655"/>
      <c r="O20" s="655"/>
      <c r="P20" s="655"/>
      <c r="Q20" s="655"/>
      <c r="R20" s="655"/>
      <c r="S20" s="655"/>
      <c r="T20" s="655"/>
      <c r="U20" s="655"/>
      <c r="V20" s="655"/>
    </row>
    <row r="21" spans="1:22">
      <c r="A21" s="677"/>
      <c r="B21" s="655"/>
      <c r="C21" s="686"/>
      <c r="D21" s="686"/>
      <c r="E21" s="655"/>
      <c r="F21" s="655"/>
      <c r="G21" s="655"/>
      <c r="H21" s="655"/>
      <c r="I21" s="655"/>
      <c r="J21" s="655"/>
      <c r="K21" s="655"/>
      <c r="L21" s="686"/>
      <c r="M21" s="655"/>
      <c r="N21" s="655"/>
      <c r="O21" s="655"/>
      <c r="P21" s="655"/>
      <c r="Q21" s="655"/>
      <c r="R21" s="655"/>
      <c r="S21" s="655"/>
      <c r="T21" s="655"/>
      <c r="U21" s="655"/>
      <c r="V21" s="655"/>
    </row>
    <row r="22" spans="1:22">
      <c r="A22" s="677"/>
      <c r="B22" s="655"/>
      <c r="C22" s="686"/>
      <c r="D22" s="686"/>
      <c r="E22" s="655"/>
      <c r="F22" s="655"/>
      <c r="G22" s="655"/>
      <c r="H22" s="655"/>
      <c r="I22" s="655"/>
      <c r="J22" s="655"/>
      <c r="K22" s="655"/>
      <c r="L22" s="686"/>
      <c r="M22" s="655"/>
      <c r="N22" s="655"/>
      <c r="O22" s="655"/>
      <c r="P22" s="655"/>
      <c r="Q22" s="655"/>
      <c r="R22" s="655"/>
      <c r="S22" s="655"/>
      <c r="T22" s="655"/>
      <c r="U22" s="655"/>
      <c r="V22" s="655"/>
    </row>
    <row r="23" spans="1:22">
      <c r="A23" s="677"/>
      <c r="B23" s="655"/>
      <c r="C23" s="686"/>
      <c r="D23" s="686"/>
      <c r="E23" s="655"/>
      <c r="F23" s="655"/>
      <c r="G23" s="655"/>
      <c r="H23" s="655"/>
      <c r="I23" s="655"/>
      <c r="J23" s="655"/>
      <c r="K23" s="655"/>
      <c r="L23" s="686"/>
      <c r="M23" s="655"/>
      <c r="N23" s="655"/>
      <c r="O23" s="655"/>
      <c r="P23" s="655"/>
      <c r="Q23" s="655"/>
      <c r="R23" s="655"/>
      <c r="S23" s="655"/>
      <c r="T23" s="655"/>
      <c r="U23" s="655"/>
      <c r="V23" s="655"/>
    </row>
    <row r="24" spans="1:22">
      <c r="A24" s="677"/>
      <c r="B24" s="655"/>
      <c r="C24" s="686"/>
      <c r="D24" s="686"/>
      <c r="E24" s="655"/>
      <c r="F24" s="655"/>
      <c r="G24" s="655"/>
      <c r="H24" s="655"/>
      <c r="I24" s="655"/>
      <c r="J24" s="655"/>
      <c r="K24" s="655"/>
      <c r="L24" s="686"/>
      <c r="M24" s="655"/>
      <c r="N24" s="655"/>
      <c r="O24" s="655"/>
      <c r="P24" s="655"/>
      <c r="Q24" s="655"/>
      <c r="R24" s="655"/>
      <c r="S24" s="655"/>
      <c r="T24" s="655"/>
      <c r="U24" s="655"/>
      <c r="V24" s="655"/>
    </row>
    <row r="25" spans="1:22">
      <c r="A25" s="677"/>
      <c r="B25" s="655"/>
      <c r="C25" s="686"/>
      <c r="D25" s="686"/>
      <c r="E25" s="655"/>
      <c r="F25" s="655"/>
      <c r="G25" s="655"/>
      <c r="H25" s="655"/>
      <c r="I25" s="655"/>
      <c r="J25" s="655"/>
      <c r="K25" s="655"/>
      <c r="L25" s="686"/>
      <c r="M25" s="655"/>
      <c r="N25" s="655"/>
      <c r="O25" s="655"/>
      <c r="P25" s="655"/>
      <c r="Q25" s="655"/>
      <c r="R25" s="655"/>
      <c r="S25" s="655"/>
      <c r="T25" s="655"/>
      <c r="U25" s="655"/>
      <c r="V25" s="655"/>
    </row>
    <row r="26" spans="1:22">
      <c r="A26" s="677"/>
      <c r="B26" s="655"/>
      <c r="C26" s="686"/>
      <c r="D26" s="686"/>
      <c r="E26" s="655"/>
      <c r="F26" s="655"/>
      <c r="G26" s="655"/>
      <c r="H26" s="655"/>
      <c r="I26" s="655"/>
      <c r="J26" s="655"/>
      <c r="K26" s="655"/>
      <c r="L26" s="686"/>
      <c r="M26" s="655"/>
      <c r="N26" s="655"/>
      <c r="O26" s="655"/>
      <c r="P26" s="655"/>
      <c r="Q26" s="655"/>
      <c r="R26" s="655"/>
      <c r="S26" s="655"/>
      <c r="T26" s="655"/>
      <c r="U26" s="655"/>
      <c r="V26" s="655"/>
    </row>
    <row r="27" spans="1:22">
      <c r="A27" s="677"/>
      <c r="B27" s="655"/>
      <c r="C27" s="686"/>
      <c r="D27" s="686"/>
      <c r="E27" s="655"/>
      <c r="F27" s="655"/>
      <c r="G27" s="655"/>
      <c r="H27" s="655"/>
      <c r="I27" s="655"/>
      <c r="J27" s="655"/>
      <c r="K27" s="655"/>
      <c r="L27" s="686"/>
      <c r="M27" s="655"/>
      <c r="N27" s="655"/>
      <c r="O27" s="655"/>
      <c r="P27" s="655"/>
      <c r="Q27" s="655"/>
      <c r="R27" s="655"/>
      <c r="S27" s="655"/>
      <c r="T27" s="655"/>
      <c r="U27" s="655"/>
      <c r="V27" s="655"/>
    </row>
    <row r="28" spans="1:22">
      <c r="A28" s="677"/>
      <c r="B28" s="655"/>
      <c r="C28" s="686"/>
      <c r="D28" s="686"/>
      <c r="E28" s="655"/>
      <c r="F28" s="655"/>
      <c r="G28" s="655"/>
      <c r="H28" s="655"/>
      <c r="I28" s="655"/>
      <c r="J28" s="655"/>
      <c r="K28" s="655"/>
      <c r="L28" s="686"/>
      <c r="M28" s="655"/>
      <c r="N28" s="655"/>
      <c r="O28" s="655"/>
      <c r="P28" s="655"/>
      <c r="Q28" s="655"/>
      <c r="R28" s="655"/>
      <c r="S28" s="655"/>
      <c r="T28" s="655"/>
      <c r="U28" s="655"/>
      <c r="V28" s="655"/>
    </row>
    <row r="29" spans="1:22">
      <c r="A29" s="677"/>
      <c r="B29" s="655"/>
      <c r="C29" s="686"/>
      <c r="D29" s="686"/>
      <c r="E29" s="655"/>
      <c r="F29" s="655"/>
      <c r="G29" s="655"/>
      <c r="H29" s="655"/>
      <c r="I29" s="655"/>
      <c r="J29" s="655"/>
      <c r="K29" s="655"/>
      <c r="L29" s="686"/>
      <c r="M29" s="655"/>
      <c r="N29" s="655"/>
      <c r="O29" s="655"/>
      <c r="P29" s="655"/>
      <c r="Q29" s="655"/>
      <c r="R29" s="655"/>
      <c r="S29" s="655"/>
      <c r="T29" s="655"/>
      <c r="U29" s="655"/>
      <c r="V29" s="655"/>
    </row>
    <row r="30" spans="1:22">
      <c r="A30" s="677"/>
      <c r="B30" s="655"/>
      <c r="C30" s="686"/>
      <c r="D30" s="686"/>
      <c r="E30" s="655"/>
      <c r="F30" s="655"/>
      <c r="G30" s="655"/>
      <c r="H30" s="655"/>
      <c r="I30" s="655"/>
      <c r="J30" s="655"/>
      <c r="K30" s="655"/>
      <c r="L30" s="686"/>
      <c r="M30" s="655"/>
      <c r="N30" s="655"/>
      <c r="O30" s="655"/>
      <c r="P30" s="655"/>
      <c r="Q30" s="655"/>
      <c r="R30" s="655"/>
      <c r="S30" s="655"/>
      <c r="T30" s="655"/>
      <c r="U30" s="655"/>
      <c r="V30" s="655"/>
    </row>
    <row r="31" spans="1:22">
      <c r="A31" s="677"/>
      <c r="B31" s="655"/>
      <c r="C31" s="686"/>
      <c r="D31" s="686"/>
      <c r="E31" s="655"/>
      <c r="F31" s="655"/>
      <c r="G31" s="655"/>
      <c r="H31" s="655"/>
      <c r="I31" s="655"/>
      <c r="J31" s="655"/>
      <c r="K31" s="655"/>
      <c r="L31" s="686"/>
      <c r="M31" s="655"/>
      <c r="N31" s="655"/>
      <c r="O31" s="655"/>
      <c r="P31" s="655"/>
      <c r="Q31" s="655"/>
      <c r="R31" s="655"/>
      <c r="S31" s="655"/>
      <c r="T31" s="655"/>
      <c r="U31" s="655"/>
      <c r="V31" s="655"/>
    </row>
    <row r="32" spans="1:22">
      <c r="A32" s="677"/>
      <c r="B32" s="655"/>
      <c r="C32" s="686"/>
      <c r="D32" s="686"/>
      <c r="E32" s="655"/>
      <c r="F32" s="655"/>
      <c r="G32" s="655"/>
      <c r="H32" s="655"/>
      <c r="I32" s="655"/>
      <c r="J32" s="655"/>
      <c r="K32" s="655"/>
      <c r="L32" s="686"/>
      <c r="M32" s="655"/>
      <c r="N32" s="655"/>
      <c r="O32" s="655"/>
      <c r="P32" s="655"/>
      <c r="Q32" s="655"/>
      <c r="R32" s="655"/>
      <c r="S32" s="655"/>
      <c r="T32" s="655"/>
      <c r="U32" s="655"/>
      <c r="V32" s="655"/>
    </row>
    <row r="33" spans="1:22">
      <c r="A33" s="677"/>
      <c r="B33" s="655"/>
      <c r="C33" s="686"/>
      <c r="D33" s="686"/>
      <c r="E33" s="655"/>
      <c r="F33" s="655"/>
      <c r="G33" s="655"/>
      <c r="H33" s="655"/>
      <c r="I33" s="655"/>
      <c r="J33" s="655"/>
      <c r="K33" s="655"/>
      <c r="L33" s="686"/>
      <c r="M33" s="655"/>
      <c r="N33" s="655"/>
      <c r="O33" s="655"/>
      <c r="P33" s="655"/>
      <c r="Q33" s="655"/>
      <c r="R33" s="655"/>
      <c r="S33" s="655"/>
      <c r="T33" s="655"/>
      <c r="U33" s="655"/>
      <c r="V33" s="655"/>
    </row>
    <row r="34" spans="1:22">
      <c r="A34" s="677"/>
      <c r="B34" s="655"/>
      <c r="C34" s="686"/>
      <c r="D34" s="686"/>
      <c r="E34" s="655"/>
      <c r="F34" s="655"/>
      <c r="G34" s="655"/>
      <c r="H34" s="655"/>
      <c r="I34" s="655"/>
      <c r="J34" s="655"/>
      <c r="K34" s="655"/>
      <c r="L34" s="686"/>
      <c r="M34" s="655"/>
      <c r="N34" s="655"/>
      <c r="O34" s="655"/>
      <c r="P34" s="655"/>
      <c r="Q34" s="655"/>
      <c r="R34" s="655"/>
      <c r="S34" s="655"/>
      <c r="T34" s="655"/>
      <c r="U34" s="655"/>
      <c r="V34" s="655"/>
    </row>
    <row r="35" spans="1:22">
      <c r="A35" s="677"/>
      <c r="B35" s="655"/>
      <c r="C35" s="686"/>
      <c r="D35" s="686"/>
      <c r="E35" s="655"/>
      <c r="F35" s="655"/>
      <c r="G35" s="655"/>
      <c r="H35" s="655"/>
      <c r="I35" s="655"/>
      <c r="J35" s="655"/>
      <c r="K35" s="655"/>
      <c r="L35" s="686"/>
      <c r="M35" s="655"/>
      <c r="N35" s="655"/>
      <c r="O35" s="655"/>
      <c r="P35" s="655"/>
      <c r="Q35" s="655"/>
      <c r="R35" s="655"/>
      <c r="S35" s="655"/>
      <c r="T35" s="655"/>
      <c r="U35" s="655"/>
      <c r="V35" s="655"/>
    </row>
    <row r="36" spans="1:22">
      <c r="A36" s="677"/>
      <c r="B36" s="655"/>
      <c r="C36" s="686"/>
      <c r="D36" s="686"/>
      <c r="E36" s="655"/>
      <c r="F36" s="655"/>
      <c r="G36" s="655"/>
      <c r="H36" s="655"/>
      <c r="I36" s="655"/>
      <c r="J36" s="655"/>
      <c r="K36" s="655"/>
      <c r="L36" s="686"/>
      <c r="M36" s="655"/>
      <c r="N36" s="655"/>
      <c r="O36" s="655"/>
      <c r="P36" s="655"/>
      <c r="Q36" s="655"/>
      <c r="R36" s="655"/>
      <c r="S36" s="655"/>
      <c r="T36" s="655"/>
      <c r="U36" s="655"/>
      <c r="V36" s="655"/>
    </row>
    <row r="37" spans="1:22">
      <c r="A37" s="677"/>
      <c r="B37" s="655"/>
      <c r="C37" s="686"/>
      <c r="D37" s="686"/>
      <c r="E37" s="655"/>
      <c r="F37" s="655"/>
      <c r="G37" s="655"/>
      <c r="H37" s="655"/>
      <c r="I37" s="655"/>
      <c r="J37" s="655"/>
      <c r="K37" s="655"/>
      <c r="L37" s="686"/>
      <c r="M37" s="655"/>
      <c r="N37" s="655"/>
      <c r="O37" s="655"/>
      <c r="P37" s="655"/>
      <c r="Q37" s="655"/>
      <c r="R37" s="655"/>
      <c r="S37" s="655"/>
      <c r="T37" s="655"/>
      <c r="U37" s="655"/>
      <c r="V37" s="655"/>
    </row>
    <row r="38" spans="1:22">
      <c r="A38" s="677"/>
      <c r="B38" s="655"/>
      <c r="C38" s="686"/>
      <c r="D38" s="686"/>
      <c r="E38" s="655"/>
      <c r="F38" s="655"/>
      <c r="G38" s="655"/>
      <c r="H38" s="655"/>
      <c r="I38" s="655"/>
      <c r="J38" s="655"/>
      <c r="K38" s="655"/>
      <c r="L38" s="686"/>
      <c r="M38" s="655"/>
      <c r="N38" s="655"/>
      <c r="O38" s="655"/>
      <c r="P38" s="655"/>
      <c r="Q38" s="655"/>
      <c r="R38" s="655"/>
      <c r="S38" s="655"/>
      <c r="T38" s="655"/>
      <c r="U38" s="655"/>
      <c r="V38" s="655"/>
    </row>
    <row r="39" spans="1:22">
      <c r="A39" s="677"/>
      <c r="B39" s="655"/>
      <c r="C39" s="686"/>
      <c r="D39" s="686"/>
      <c r="E39" s="655"/>
      <c r="F39" s="655"/>
      <c r="G39" s="655"/>
      <c r="H39" s="655"/>
      <c r="I39" s="655"/>
      <c r="J39" s="655"/>
      <c r="K39" s="655"/>
      <c r="L39" s="686"/>
      <c r="M39" s="655"/>
      <c r="N39" s="655"/>
      <c r="O39" s="655"/>
      <c r="P39" s="655"/>
      <c r="Q39" s="655"/>
      <c r="R39" s="655"/>
      <c r="S39" s="655"/>
      <c r="T39" s="655"/>
      <c r="U39" s="655"/>
      <c r="V39" s="655"/>
    </row>
    <row r="40" spans="1:22">
      <c r="A40" s="677"/>
      <c r="B40" s="655"/>
      <c r="C40" s="686"/>
      <c r="D40" s="686"/>
      <c r="E40" s="655"/>
      <c r="F40" s="655"/>
      <c r="G40" s="655"/>
      <c r="H40" s="655"/>
      <c r="I40" s="655"/>
      <c r="J40" s="655"/>
      <c r="K40" s="655"/>
      <c r="L40" s="686"/>
      <c r="M40" s="655"/>
      <c r="N40" s="655"/>
      <c r="O40" s="655"/>
      <c r="P40" s="655"/>
      <c r="Q40" s="655"/>
      <c r="R40" s="655"/>
      <c r="S40" s="655"/>
      <c r="T40" s="655"/>
      <c r="U40" s="655"/>
      <c r="V40" s="655"/>
    </row>
    <row r="41" spans="1:22">
      <c r="A41" s="677"/>
      <c r="B41" s="655"/>
      <c r="C41" s="686"/>
      <c r="D41" s="686"/>
      <c r="E41" s="655"/>
      <c r="F41" s="655"/>
      <c r="G41" s="655"/>
      <c r="H41" s="655"/>
      <c r="I41" s="655"/>
      <c r="J41" s="655"/>
      <c r="K41" s="655"/>
      <c r="L41" s="686"/>
      <c r="M41" s="655"/>
      <c r="N41" s="655"/>
      <c r="O41" s="655"/>
      <c r="P41" s="655"/>
      <c r="Q41" s="655"/>
      <c r="R41" s="655"/>
      <c r="S41" s="655"/>
      <c r="T41" s="655"/>
      <c r="U41" s="655"/>
      <c r="V41" s="655"/>
    </row>
    <row r="42" spans="1:22">
      <c r="A42" s="677"/>
      <c r="B42" s="655"/>
      <c r="C42" s="686"/>
      <c r="D42" s="686"/>
      <c r="E42" s="655"/>
      <c r="F42" s="655"/>
      <c r="G42" s="655"/>
      <c r="H42" s="655"/>
      <c r="I42" s="655"/>
      <c r="J42" s="655"/>
      <c r="K42" s="655"/>
      <c r="L42" s="686"/>
      <c r="M42" s="655"/>
      <c r="N42" s="655"/>
      <c r="O42" s="655"/>
      <c r="P42" s="655"/>
      <c r="Q42" s="655"/>
      <c r="R42" s="655"/>
      <c r="S42" s="655"/>
      <c r="T42" s="655"/>
      <c r="U42" s="655"/>
      <c r="V42" s="655"/>
    </row>
    <row r="43" spans="1:22">
      <c r="A43" s="677"/>
      <c r="B43" s="655"/>
      <c r="C43" s="686"/>
      <c r="D43" s="686"/>
      <c r="E43" s="655"/>
      <c r="F43" s="655"/>
      <c r="G43" s="655"/>
      <c r="H43" s="655"/>
      <c r="I43" s="655"/>
      <c r="J43" s="655"/>
      <c r="K43" s="655"/>
      <c r="L43" s="686"/>
      <c r="M43" s="655"/>
      <c r="N43" s="655"/>
      <c r="O43" s="655"/>
      <c r="P43" s="655"/>
      <c r="Q43" s="655"/>
      <c r="R43" s="655"/>
      <c r="S43" s="655"/>
      <c r="T43" s="655"/>
      <c r="U43" s="655"/>
      <c r="V43" s="655"/>
    </row>
    <row r="44" spans="1:22">
      <c r="A44" s="677"/>
      <c r="B44" s="655"/>
      <c r="C44" s="686"/>
      <c r="D44" s="686"/>
      <c r="E44" s="655"/>
      <c r="F44" s="655"/>
      <c r="G44" s="655"/>
      <c r="H44" s="655"/>
      <c r="I44" s="655"/>
      <c r="J44" s="655"/>
      <c r="K44" s="655"/>
      <c r="L44" s="686"/>
      <c r="M44" s="655"/>
      <c r="N44" s="655"/>
      <c r="O44" s="655"/>
      <c r="P44" s="655"/>
      <c r="Q44" s="655"/>
      <c r="R44" s="655"/>
      <c r="S44" s="655"/>
      <c r="T44" s="655"/>
      <c r="U44" s="655"/>
      <c r="V44" s="655"/>
    </row>
    <row r="45" spans="1:22">
      <c r="A45" s="677"/>
      <c r="B45" s="655"/>
      <c r="C45" s="686"/>
      <c r="D45" s="686"/>
      <c r="E45" s="655"/>
      <c r="F45" s="655"/>
      <c r="G45" s="655"/>
      <c r="H45" s="655"/>
      <c r="I45" s="655"/>
      <c r="J45" s="655"/>
      <c r="K45" s="655"/>
      <c r="L45" s="686"/>
      <c r="M45" s="655"/>
      <c r="N45" s="655"/>
      <c r="O45" s="655"/>
      <c r="P45" s="655"/>
      <c r="Q45" s="655"/>
      <c r="R45" s="655"/>
      <c r="S45" s="655"/>
      <c r="T45" s="655"/>
      <c r="U45" s="655"/>
      <c r="V45" s="655"/>
    </row>
    <row r="46" spans="1:22">
      <c r="A46" s="677"/>
      <c r="B46" s="655"/>
      <c r="C46" s="686"/>
      <c r="D46" s="686"/>
      <c r="E46" s="655"/>
      <c r="F46" s="655"/>
      <c r="G46" s="655"/>
      <c r="H46" s="655"/>
      <c r="I46" s="655"/>
      <c r="J46" s="655"/>
      <c r="K46" s="655"/>
      <c r="L46" s="686"/>
      <c r="M46" s="655"/>
      <c r="N46" s="655"/>
      <c r="O46" s="655"/>
      <c r="P46" s="655"/>
      <c r="Q46" s="655"/>
      <c r="R46" s="655"/>
      <c r="S46" s="655"/>
      <c r="T46" s="655"/>
      <c r="U46" s="655"/>
      <c r="V46" s="655"/>
    </row>
    <row r="47" spans="1:22">
      <c r="A47" s="677"/>
      <c r="B47" s="655"/>
      <c r="C47" s="686"/>
      <c r="D47" s="686"/>
      <c r="E47" s="655"/>
      <c r="F47" s="655"/>
      <c r="G47" s="655"/>
      <c r="H47" s="655"/>
      <c r="I47" s="655"/>
      <c r="J47" s="655"/>
      <c r="K47" s="655"/>
      <c r="L47" s="686"/>
      <c r="M47" s="655"/>
      <c r="N47" s="655"/>
      <c r="O47" s="655"/>
      <c r="P47" s="655"/>
      <c r="Q47" s="655"/>
      <c r="R47" s="655"/>
      <c r="S47" s="655"/>
      <c r="T47" s="655"/>
      <c r="U47" s="655"/>
      <c r="V47" s="655"/>
    </row>
    <row r="48" spans="1:22">
      <c r="A48" s="677"/>
      <c r="B48" s="655"/>
      <c r="C48" s="686"/>
      <c r="D48" s="686"/>
      <c r="E48" s="655"/>
      <c r="F48" s="655"/>
      <c r="G48" s="655"/>
      <c r="H48" s="655"/>
      <c r="I48" s="655"/>
      <c r="J48" s="655"/>
      <c r="K48" s="655"/>
      <c r="L48" s="686"/>
      <c r="M48" s="655"/>
      <c r="N48" s="655"/>
      <c r="O48" s="655"/>
      <c r="P48" s="655"/>
      <c r="Q48" s="655"/>
      <c r="R48" s="655"/>
      <c r="S48" s="655"/>
      <c r="T48" s="655"/>
      <c r="U48" s="655"/>
      <c r="V48" s="655"/>
    </row>
    <row r="49" spans="1:22">
      <c r="A49" s="677"/>
      <c r="B49" s="655"/>
      <c r="C49" s="686"/>
      <c r="D49" s="686"/>
      <c r="E49" s="655"/>
      <c r="F49" s="655"/>
      <c r="G49" s="655"/>
      <c r="H49" s="655"/>
      <c r="I49" s="655"/>
      <c r="J49" s="655"/>
      <c r="K49" s="655"/>
      <c r="L49" s="686"/>
      <c r="M49" s="655"/>
      <c r="N49" s="655"/>
      <c r="O49" s="655"/>
      <c r="P49" s="655"/>
      <c r="Q49" s="655"/>
      <c r="R49" s="655"/>
      <c r="S49" s="655"/>
      <c r="T49" s="655"/>
      <c r="U49" s="655"/>
      <c r="V49" s="655"/>
    </row>
    <row r="50" spans="1:22">
      <c r="A50" s="677"/>
      <c r="B50" s="655"/>
      <c r="C50" s="686"/>
      <c r="D50" s="686"/>
      <c r="E50" s="655"/>
      <c r="F50" s="655"/>
      <c r="G50" s="655"/>
      <c r="H50" s="655"/>
      <c r="I50" s="655"/>
      <c r="J50" s="655"/>
      <c r="K50" s="655"/>
      <c r="L50" s="686"/>
      <c r="M50" s="655"/>
      <c r="N50" s="655"/>
      <c r="O50" s="655"/>
      <c r="P50" s="655"/>
      <c r="Q50" s="655"/>
      <c r="R50" s="655"/>
      <c r="S50" s="655"/>
      <c r="T50" s="655"/>
      <c r="U50" s="655"/>
      <c r="V50" s="655"/>
    </row>
    <row r="51" spans="1:22">
      <c r="A51" s="677"/>
      <c r="B51" s="655"/>
      <c r="C51" s="686"/>
      <c r="D51" s="686"/>
      <c r="E51" s="655"/>
      <c r="F51" s="655"/>
      <c r="G51" s="655"/>
      <c r="H51" s="655"/>
      <c r="I51" s="655"/>
      <c r="J51" s="655"/>
      <c r="K51" s="655"/>
      <c r="L51" s="686"/>
      <c r="M51" s="655"/>
      <c r="N51" s="655"/>
      <c r="O51" s="655"/>
      <c r="P51" s="655"/>
      <c r="Q51" s="655"/>
      <c r="R51" s="655"/>
      <c r="S51" s="655"/>
      <c r="T51" s="655"/>
      <c r="U51" s="655"/>
      <c r="V51" s="655"/>
    </row>
    <row r="52" spans="1:22">
      <c r="A52" s="677"/>
      <c r="B52" s="655"/>
      <c r="C52" s="686"/>
      <c r="D52" s="686"/>
      <c r="E52" s="655"/>
      <c r="F52" s="655"/>
      <c r="G52" s="655"/>
      <c r="H52" s="655"/>
      <c r="I52" s="655"/>
      <c r="J52" s="655"/>
      <c r="K52" s="655"/>
      <c r="L52" s="686"/>
      <c r="M52" s="655"/>
      <c r="N52" s="655"/>
      <c r="O52" s="655"/>
      <c r="P52" s="655"/>
      <c r="Q52" s="655"/>
      <c r="R52" s="655"/>
      <c r="S52" s="655"/>
      <c r="T52" s="655"/>
      <c r="U52" s="655"/>
      <c r="V52" s="655"/>
    </row>
    <row r="53" spans="1:22">
      <c r="A53" s="677"/>
      <c r="B53" s="655"/>
      <c r="C53" s="686"/>
      <c r="D53" s="686"/>
      <c r="E53" s="655"/>
      <c r="F53" s="655"/>
      <c r="G53" s="655"/>
      <c r="H53" s="655"/>
      <c r="I53" s="655"/>
      <c r="J53" s="655"/>
      <c r="K53" s="655"/>
      <c r="L53" s="686"/>
      <c r="M53" s="655"/>
      <c r="N53" s="655"/>
      <c r="O53" s="655"/>
      <c r="P53" s="655"/>
      <c r="Q53" s="655"/>
      <c r="R53" s="655"/>
      <c r="S53" s="655"/>
      <c r="T53" s="655"/>
      <c r="U53" s="655"/>
      <c r="V53" s="655"/>
    </row>
    <row r="54" spans="1:22">
      <c r="A54" s="677"/>
      <c r="B54" s="655"/>
      <c r="C54" s="686"/>
      <c r="D54" s="686"/>
      <c r="E54" s="655"/>
      <c r="F54" s="655"/>
      <c r="G54" s="655"/>
      <c r="H54" s="655"/>
      <c r="I54" s="655"/>
      <c r="J54" s="655"/>
      <c r="K54" s="655"/>
      <c r="L54" s="686"/>
      <c r="M54" s="655"/>
      <c r="N54" s="655"/>
      <c r="O54" s="655"/>
      <c r="P54" s="655"/>
      <c r="Q54" s="655"/>
      <c r="R54" s="655"/>
      <c r="S54" s="655"/>
      <c r="T54" s="655"/>
      <c r="U54" s="655"/>
      <c r="V54" s="655"/>
    </row>
    <row r="55" spans="1:22">
      <c r="A55" s="677"/>
      <c r="B55" s="655"/>
      <c r="C55" s="686"/>
      <c r="D55" s="686"/>
      <c r="E55" s="655"/>
      <c r="F55" s="655"/>
      <c r="G55" s="655"/>
      <c r="H55" s="655"/>
      <c r="I55" s="655"/>
      <c r="J55" s="655"/>
      <c r="K55" s="655"/>
      <c r="L55" s="686"/>
      <c r="M55" s="655"/>
      <c r="N55" s="655"/>
      <c r="O55" s="655"/>
      <c r="P55" s="655"/>
      <c r="Q55" s="655"/>
      <c r="R55" s="655"/>
      <c r="S55" s="655"/>
      <c r="T55" s="655"/>
      <c r="U55" s="655"/>
      <c r="V55" s="655"/>
    </row>
    <row r="56" spans="1:22">
      <c r="A56" s="677"/>
      <c r="B56" s="655"/>
      <c r="C56" s="686"/>
      <c r="D56" s="686"/>
      <c r="E56" s="655"/>
      <c r="F56" s="655"/>
      <c r="G56" s="655"/>
      <c r="H56" s="655"/>
      <c r="I56" s="655"/>
      <c r="J56" s="655"/>
      <c r="K56" s="655"/>
      <c r="L56" s="686"/>
      <c r="M56" s="655"/>
      <c r="N56" s="655"/>
      <c r="O56" s="655"/>
      <c r="P56" s="655"/>
      <c r="Q56" s="655"/>
      <c r="R56" s="655"/>
      <c r="S56" s="655"/>
      <c r="T56" s="655"/>
      <c r="U56" s="655"/>
      <c r="V56" s="655"/>
    </row>
    <row r="57" spans="1:22">
      <c r="A57" s="677"/>
      <c r="B57" s="655"/>
      <c r="C57" s="686"/>
      <c r="D57" s="686"/>
      <c r="E57" s="655"/>
      <c r="F57" s="655"/>
      <c r="G57" s="655"/>
      <c r="H57" s="655"/>
      <c r="I57" s="655"/>
      <c r="J57" s="655"/>
      <c r="K57" s="655"/>
      <c r="L57" s="686"/>
      <c r="M57" s="655"/>
      <c r="N57" s="655"/>
      <c r="O57" s="655"/>
      <c r="P57" s="655"/>
      <c r="Q57" s="655"/>
      <c r="R57" s="655"/>
      <c r="S57" s="655"/>
      <c r="T57" s="655"/>
      <c r="U57" s="655"/>
      <c r="V57" s="655"/>
    </row>
    <row r="58" spans="1:22">
      <c r="A58" s="677"/>
      <c r="B58" s="655"/>
      <c r="C58" s="686"/>
      <c r="D58" s="686"/>
      <c r="E58" s="655"/>
      <c r="F58" s="655"/>
      <c r="G58" s="655"/>
      <c r="H58" s="655"/>
      <c r="I58" s="655"/>
      <c r="J58" s="655"/>
      <c r="K58" s="655"/>
      <c r="L58" s="686"/>
      <c r="M58" s="655"/>
      <c r="N58" s="655"/>
      <c r="O58" s="655"/>
      <c r="P58" s="655"/>
      <c r="Q58" s="655"/>
      <c r="R58" s="655"/>
      <c r="S58" s="655"/>
      <c r="T58" s="655"/>
      <c r="U58" s="655"/>
      <c r="V58" s="655"/>
    </row>
    <row r="59" spans="1:22">
      <c r="A59" s="677"/>
      <c r="B59" s="655"/>
      <c r="C59" s="686"/>
      <c r="D59" s="686"/>
      <c r="E59" s="655"/>
      <c r="F59" s="655"/>
      <c r="G59" s="655"/>
      <c r="H59" s="655"/>
      <c r="I59" s="655"/>
      <c r="J59" s="655"/>
      <c r="K59" s="655"/>
      <c r="L59" s="686"/>
      <c r="M59" s="655"/>
      <c r="N59" s="655"/>
      <c r="O59" s="655"/>
      <c r="P59" s="655"/>
      <c r="Q59" s="655"/>
      <c r="R59" s="655"/>
      <c r="S59" s="655"/>
      <c r="T59" s="655"/>
      <c r="U59" s="655"/>
      <c r="V59" s="655"/>
    </row>
    <row r="60" spans="1:22">
      <c r="A60" s="677"/>
      <c r="B60" s="655"/>
      <c r="C60" s="686"/>
      <c r="D60" s="686"/>
      <c r="E60" s="655"/>
      <c r="F60" s="655"/>
      <c r="G60" s="655"/>
      <c r="H60" s="655"/>
      <c r="I60" s="655"/>
      <c r="J60" s="655"/>
      <c r="K60" s="655"/>
      <c r="L60" s="686"/>
      <c r="M60" s="655"/>
      <c r="N60" s="655"/>
      <c r="O60" s="655"/>
      <c r="P60" s="655"/>
      <c r="Q60" s="655"/>
      <c r="R60" s="655"/>
      <c r="S60" s="655"/>
      <c r="T60" s="655"/>
      <c r="U60" s="655"/>
      <c r="V60" s="655"/>
    </row>
    <row r="61" spans="1:22">
      <c r="A61" s="677"/>
      <c r="B61" s="655"/>
      <c r="C61" s="686"/>
      <c r="D61" s="686"/>
      <c r="E61" s="655"/>
      <c r="F61" s="655"/>
      <c r="G61" s="655"/>
      <c r="H61" s="655"/>
      <c r="I61" s="655"/>
      <c r="J61" s="655"/>
      <c r="K61" s="655"/>
      <c r="L61" s="686"/>
      <c r="M61" s="655"/>
      <c r="N61" s="655"/>
      <c r="O61" s="655"/>
      <c r="P61" s="655"/>
      <c r="Q61" s="655"/>
      <c r="R61" s="655"/>
      <c r="S61" s="655"/>
      <c r="T61" s="655"/>
      <c r="U61" s="655"/>
      <c r="V61" s="655"/>
    </row>
    <row r="62" spans="1:22">
      <c r="A62" s="677"/>
      <c r="B62" s="655"/>
      <c r="C62" s="686"/>
      <c r="D62" s="686"/>
      <c r="E62" s="655"/>
      <c r="F62" s="655"/>
      <c r="G62" s="655"/>
      <c r="H62" s="655"/>
      <c r="I62" s="655"/>
      <c r="J62" s="655"/>
      <c r="K62" s="655"/>
      <c r="L62" s="686"/>
      <c r="M62" s="655"/>
      <c r="N62" s="655"/>
      <c r="O62" s="655"/>
      <c r="P62" s="655"/>
      <c r="Q62" s="655"/>
      <c r="R62" s="655"/>
      <c r="S62" s="655"/>
      <c r="T62" s="655"/>
      <c r="U62" s="655"/>
      <c r="V62" s="655"/>
    </row>
    <row r="63" spans="1:22">
      <c r="A63" s="677"/>
      <c r="B63" s="655"/>
      <c r="C63" s="686"/>
      <c r="D63" s="686"/>
      <c r="E63" s="655"/>
      <c r="F63" s="655"/>
      <c r="G63" s="655"/>
      <c r="H63" s="655"/>
      <c r="I63" s="655"/>
      <c r="J63" s="655"/>
      <c r="K63" s="655"/>
      <c r="L63" s="686"/>
      <c r="M63" s="655"/>
      <c r="N63" s="655"/>
      <c r="O63" s="655"/>
      <c r="P63" s="655"/>
      <c r="Q63" s="655"/>
      <c r="R63" s="655"/>
      <c r="S63" s="655"/>
      <c r="T63" s="655"/>
      <c r="U63" s="655"/>
      <c r="V63" s="655"/>
    </row>
    <row r="64" spans="1:22">
      <c r="A64" s="677"/>
      <c r="B64" s="655"/>
      <c r="C64" s="686"/>
      <c r="D64" s="686"/>
      <c r="E64" s="655"/>
      <c r="F64" s="655"/>
      <c r="G64" s="655"/>
      <c r="H64" s="655"/>
      <c r="I64" s="655"/>
      <c r="J64" s="655"/>
      <c r="K64" s="655"/>
      <c r="L64" s="686"/>
      <c r="M64" s="655"/>
      <c r="N64" s="655"/>
      <c r="O64" s="655"/>
      <c r="P64" s="655"/>
      <c r="Q64" s="655"/>
      <c r="R64" s="655"/>
      <c r="S64" s="655"/>
      <c r="T64" s="655"/>
      <c r="U64" s="655"/>
      <c r="V64" s="655"/>
    </row>
    <row r="65" spans="1:22">
      <c r="A65" s="677"/>
      <c r="B65" s="655"/>
      <c r="C65" s="686"/>
      <c r="D65" s="686"/>
      <c r="E65" s="655"/>
      <c r="F65" s="655"/>
      <c r="G65" s="655"/>
      <c r="H65" s="655"/>
      <c r="I65" s="655"/>
      <c r="J65" s="655"/>
      <c r="K65" s="655"/>
      <c r="L65" s="686"/>
      <c r="M65" s="655"/>
      <c r="N65" s="655"/>
      <c r="O65" s="655"/>
      <c r="P65" s="655"/>
      <c r="Q65" s="655"/>
      <c r="R65" s="655"/>
      <c r="S65" s="655"/>
      <c r="T65" s="655"/>
      <c r="U65" s="655"/>
      <c r="V65" s="655"/>
    </row>
    <row r="66" spans="1:22">
      <c r="A66" s="677"/>
      <c r="B66" s="655"/>
      <c r="C66" s="686"/>
      <c r="D66" s="686"/>
      <c r="E66" s="655"/>
      <c r="F66" s="655"/>
      <c r="G66" s="655"/>
      <c r="H66" s="655"/>
      <c r="I66" s="655"/>
      <c r="J66" s="655"/>
      <c r="K66" s="655"/>
      <c r="L66" s="686"/>
      <c r="M66" s="655"/>
      <c r="N66" s="655"/>
      <c r="O66" s="655"/>
      <c r="P66" s="655"/>
      <c r="Q66" s="655"/>
      <c r="R66" s="655"/>
      <c r="S66" s="655"/>
      <c r="T66" s="655"/>
      <c r="U66" s="655"/>
      <c r="V66" s="655"/>
    </row>
    <row r="67" spans="1:22">
      <c r="A67" s="677"/>
      <c r="B67" s="655"/>
      <c r="C67" s="686"/>
      <c r="D67" s="686"/>
      <c r="E67" s="655"/>
      <c r="F67" s="655"/>
      <c r="G67" s="655"/>
      <c r="H67" s="655"/>
      <c r="I67" s="655"/>
      <c r="J67" s="655"/>
      <c r="K67" s="655"/>
      <c r="L67" s="686"/>
      <c r="M67" s="655"/>
      <c r="N67" s="655"/>
      <c r="O67" s="655"/>
      <c r="P67" s="655"/>
      <c r="Q67" s="655"/>
      <c r="R67" s="655"/>
      <c r="S67" s="655"/>
      <c r="T67" s="655"/>
      <c r="U67" s="655"/>
      <c r="V67" s="655"/>
    </row>
    <row r="68" spans="1:22">
      <c r="A68" s="677"/>
      <c r="B68" s="655"/>
      <c r="C68" s="686"/>
      <c r="D68" s="686"/>
      <c r="E68" s="655"/>
      <c r="F68" s="655"/>
      <c r="G68" s="655"/>
      <c r="H68" s="655"/>
      <c r="I68" s="655"/>
      <c r="J68" s="655"/>
      <c r="K68" s="655"/>
      <c r="L68" s="686"/>
      <c r="M68" s="655"/>
      <c r="N68" s="655"/>
      <c r="O68" s="655"/>
      <c r="P68" s="655"/>
      <c r="Q68" s="655"/>
      <c r="R68" s="655"/>
      <c r="S68" s="655"/>
      <c r="T68" s="655"/>
      <c r="U68" s="655"/>
      <c r="V68" s="655"/>
    </row>
    <row r="69" spans="1:22">
      <c r="A69" s="677"/>
      <c r="B69" s="655"/>
      <c r="C69" s="686"/>
      <c r="D69" s="686"/>
      <c r="E69" s="655"/>
      <c r="F69" s="655"/>
      <c r="G69" s="655"/>
      <c r="H69" s="655"/>
      <c r="I69" s="655"/>
      <c r="J69" s="655"/>
      <c r="K69" s="655"/>
      <c r="L69" s="686"/>
      <c r="M69" s="655"/>
      <c r="N69" s="655"/>
      <c r="O69" s="655"/>
      <c r="P69" s="655"/>
      <c r="Q69" s="655"/>
      <c r="R69" s="655"/>
      <c r="S69" s="655"/>
      <c r="T69" s="655"/>
      <c r="U69" s="655"/>
      <c r="V69" s="655"/>
    </row>
    <row r="70" spans="1:22">
      <c r="A70" s="677"/>
      <c r="B70" s="655"/>
      <c r="C70" s="686"/>
      <c r="D70" s="686"/>
      <c r="E70" s="655"/>
      <c r="F70" s="655"/>
      <c r="G70" s="655"/>
      <c r="H70" s="655"/>
      <c r="I70" s="655"/>
      <c r="J70" s="655"/>
      <c r="K70" s="655"/>
      <c r="L70" s="686"/>
      <c r="M70" s="655"/>
      <c r="N70" s="655"/>
      <c r="O70" s="655"/>
      <c r="P70" s="655"/>
      <c r="Q70" s="655"/>
      <c r="R70" s="655"/>
      <c r="S70" s="655"/>
      <c r="T70" s="655"/>
      <c r="U70" s="655"/>
      <c r="V70" s="655"/>
    </row>
    <row r="71" spans="1:22">
      <c r="A71" s="677"/>
      <c r="B71" s="655"/>
      <c r="C71" s="686"/>
      <c r="D71" s="686"/>
      <c r="E71" s="655"/>
      <c r="F71" s="655"/>
      <c r="G71" s="655"/>
      <c r="H71" s="655"/>
      <c r="I71" s="655"/>
      <c r="J71" s="655"/>
      <c r="K71" s="655"/>
      <c r="L71" s="686"/>
      <c r="M71" s="655"/>
      <c r="N71" s="655"/>
      <c r="O71" s="655"/>
      <c r="P71" s="655"/>
      <c r="Q71" s="655"/>
      <c r="R71" s="655"/>
      <c r="S71" s="655"/>
      <c r="T71" s="655"/>
      <c r="U71" s="655"/>
      <c r="V71" s="655"/>
    </row>
    <row r="72" spans="1:22">
      <c r="A72" s="677"/>
      <c r="B72" s="655"/>
      <c r="C72" s="686"/>
      <c r="D72" s="686"/>
      <c r="E72" s="655"/>
      <c r="F72" s="655"/>
      <c r="G72" s="655"/>
      <c r="H72" s="655"/>
      <c r="I72" s="655"/>
      <c r="J72" s="655"/>
      <c r="K72" s="655"/>
      <c r="L72" s="686"/>
      <c r="M72" s="655"/>
      <c r="N72" s="655"/>
      <c r="O72" s="655"/>
      <c r="P72" s="655"/>
      <c r="Q72" s="655"/>
      <c r="R72" s="655"/>
      <c r="S72" s="655"/>
      <c r="T72" s="655"/>
      <c r="U72" s="655"/>
      <c r="V72" s="655"/>
    </row>
    <row r="73" spans="1:22">
      <c r="A73" s="677"/>
      <c r="B73" s="655"/>
      <c r="C73" s="686"/>
      <c r="D73" s="686"/>
      <c r="E73" s="655"/>
      <c r="F73" s="655"/>
      <c r="G73" s="655"/>
      <c r="H73" s="655"/>
      <c r="I73" s="655"/>
      <c r="J73" s="655"/>
      <c r="K73" s="655"/>
      <c r="L73" s="686"/>
      <c r="M73" s="655"/>
      <c r="N73" s="655"/>
      <c r="O73" s="655"/>
      <c r="P73" s="655"/>
      <c r="Q73" s="655"/>
      <c r="R73" s="655"/>
      <c r="S73" s="655"/>
      <c r="T73" s="655"/>
      <c r="U73" s="655"/>
      <c r="V73" s="655"/>
    </row>
    <row r="74" spans="1:22">
      <c r="A74" s="677"/>
      <c r="B74" s="655"/>
      <c r="C74" s="686"/>
      <c r="D74" s="686"/>
      <c r="E74" s="655"/>
      <c r="F74" s="655"/>
      <c r="G74" s="655"/>
      <c r="H74" s="655"/>
      <c r="I74" s="655"/>
      <c r="J74" s="655"/>
      <c r="K74" s="655"/>
      <c r="L74" s="686"/>
      <c r="M74" s="655"/>
      <c r="N74" s="655"/>
      <c r="O74" s="655"/>
      <c r="P74" s="655"/>
      <c r="Q74" s="655"/>
      <c r="R74" s="655"/>
      <c r="S74" s="655"/>
      <c r="T74" s="655"/>
      <c r="U74" s="655"/>
      <c r="V74" s="655"/>
    </row>
    <row r="75" spans="1:22">
      <c r="A75" s="677"/>
      <c r="B75" s="655"/>
      <c r="C75" s="686"/>
      <c r="D75" s="686"/>
      <c r="E75" s="655"/>
      <c r="F75" s="655"/>
      <c r="G75" s="655"/>
      <c r="H75" s="655"/>
      <c r="I75" s="655"/>
      <c r="J75" s="655"/>
      <c r="K75" s="655"/>
      <c r="L75" s="686"/>
      <c r="M75" s="655"/>
      <c r="N75" s="655"/>
      <c r="O75" s="655"/>
      <c r="P75" s="655"/>
      <c r="Q75" s="655"/>
      <c r="R75" s="655"/>
      <c r="S75" s="655"/>
      <c r="T75" s="655"/>
      <c r="U75" s="655"/>
      <c r="V75" s="655"/>
    </row>
    <row r="76" spans="1:22">
      <c r="A76" s="677"/>
      <c r="B76" s="655"/>
      <c r="C76" s="686"/>
      <c r="D76" s="686"/>
      <c r="E76" s="655"/>
      <c r="F76" s="655"/>
      <c r="G76" s="655"/>
      <c r="H76" s="655"/>
      <c r="I76" s="655"/>
      <c r="J76" s="655"/>
      <c r="K76" s="655"/>
      <c r="L76" s="686"/>
      <c r="M76" s="655"/>
      <c r="N76" s="655"/>
      <c r="O76" s="655"/>
      <c r="P76" s="655"/>
      <c r="Q76" s="655"/>
      <c r="R76" s="655"/>
      <c r="S76" s="655"/>
      <c r="T76" s="655"/>
      <c r="U76" s="655"/>
      <c r="V76" s="655"/>
    </row>
    <row r="77" spans="1:22">
      <c r="A77" s="677"/>
      <c r="B77" s="655"/>
      <c r="C77" s="686"/>
      <c r="D77" s="686"/>
      <c r="E77" s="655"/>
      <c r="F77" s="655"/>
      <c r="G77" s="655"/>
      <c r="H77" s="655"/>
      <c r="I77" s="655"/>
      <c r="J77" s="655"/>
      <c r="K77" s="655"/>
      <c r="L77" s="686"/>
      <c r="M77" s="655"/>
      <c r="N77" s="655"/>
      <c r="O77" s="655"/>
      <c r="P77" s="655"/>
      <c r="Q77" s="655"/>
      <c r="R77" s="655"/>
      <c r="S77" s="655"/>
      <c r="T77" s="655"/>
      <c r="U77" s="655"/>
      <c r="V77" s="655"/>
    </row>
    <row r="78" spans="1:22">
      <c r="A78" s="677"/>
      <c r="B78" s="655"/>
      <c r="C78" s="686"/>
      <c r="D78" s="686"/>
      <c r="E78" s="655"/>
      <c r="F78" s="655"/>
      <c r="G78" s="655"/>
      <c r="H78" s="655"/>
      <c r="I78" s="655"/>
      <c r="J78" s="655"/>
      <c r="K78" s="655"/>
      <c r="L78" s="686"/>
      <c r="M78" s="655"/>
      <c r="N78" s="655"/>
      <c r="O78" s="655"/>
      <c r="P78" s="655"/>
      <c r="Q78" s="655"/>
      <c r="R78" s="655"/>
      <c r="S78" s="655"/>
      <c r="T78" s="655"/>
      <c r="U78" s="655"/>
      <c r="V78" s="655"/>
    </row>
    <row r="79" spans="1:22">
      <c r="A79" s="677"/>
      <c r="B79" s="655"/>
      <c r="C79" s="686"/>
      <c r="D79" s="686"/>
      <c r="E79" s="655"/>
      <c r="F79" s="655"/>
      <c r="G79" s="655"/>
      <c r="H79" s="655"/>
      <c r="I79" s="655"/>
      <c r="J79" s="655"/>
      <c r="K79" s="655"/>
      <c r="L79" s="686"/>
      <c r="M79" s="655"/>
      <c r="N79" s="655"/>
      <c r="O79" s="655"/>
      <c r="P79" s="655"/>
      <c r="Q79" s="655"/>
      <c r="R79" s="655"/>
      <c r="S79" s="655"/>
      <c r="T79" s="655"/>
      <c r="U79" s="655"/>
      <c r="V79" s="655"/>
    </row>
    <row r="80" spans="1:22">
      <c r="A80" s="677"/>
      <c r="B80" s="655"/>
      <c r="C80" s="686"/>
      <c r="D80" s="686"/>
      <c r="E80" s="655"/>
      <c r="F80" s="655"/>
      <c r="G80" s="655"/>
      <c r="H80" s="655"/>
      <c r="I80" s="655"/>
      <c r="J80" s="655"/>
      <c r="K80" s="655"/>
      <c r="L80" s="686"/>
      <c r="M80" s="655"/>
      <c r="N80" s="655"/>
      <c r="O80" s="655"/>
      <c r="P80" s="655"/>
      <c r="Q80" s="655"/>
      <c r="R80" s="655"/>
      <c r="S80" s="655"/>
      <c r="T80" s="655"/>
      <c r="U80" s="655"/>
      <c r="V80" s="655"/>
    </row>
    <row r="81" spans="1:22">
      <c r="A81" s="677"/>
      <c r="B81" s="655"/>
      <c r="C81" s="686"/>
      <c r="D81" s="686"/>
      <c r="E81" s="655"/>
      <c r="F81" s="655"/>
      <c r="G81" s="655"/>
      <c r="H81" s="655"/>
      <c r="I81" s="655"/>
      <c r="J81" s="655"/>
      <c r="K81" s="655"/>
      <c r="L81" s="686"/>
      <c r="M81" s="655"/>
      <c r="N81" s="655"/>
      <c r="O81" s="655"/>
      <c r="P81" s="655"/>
      <c r="Q81" s="655"/>
      <c r="R81" s="655"/>
      <c r="S81" s="655"/>
      <c r="T81" s="655"/>
      <c r="U81" s="655"/>
      <c r="V81" s="655"/>
    </row>
    <row r="82" spans="1:22">
      <c r="A82" s="677"/>
      <c r="B82" s="655"/>
      <c r="C82" s="686"/>
      <c r="D82" s="686"/>
      <c r="E82" s="655"/>
      <c r="F82" s="655"/>
      <c r="G82" s="655"/>
      <c r="H82" s="655"/>
      <c r="I82" s="655"/>
      <c r="J82" s="655"/>
      <c r="K82" s="655"/>
      <c r="L82" s="686"/>
      <c r="M82" s="655"/>
      <c r="N82" s="655"/>
      <c r="O82" s="655"/>
      <c r="P82" s="655"/>
      <c r="Q82" s="655"/>
      <c r="R82" s="655"/>
      <c r="S82" s="655"/>
      <c r="T82" s="655"/>
      <c r="U82" s="655"/>
      <c r="V82" s="655"/>
    </row>
    <row r="83" spans="1:22">
      <c r="A83" s="677"/>
      <c r="B83" s="655"/>
      <c r="C83" s="686"/>
      <c r="D83" s="686"/>
      <c r="E83" s="655"/>
      <c r="F83" s="655"/>
      <c r="G83" s="655"/>
      <c r="H83" s="655"/>
      <c r="I83" s="655"/>
      <c r="J83" s="655"/>
      <c r="K83" s="655"/>
      <c r="L83" s="686"/>
      <c r="M83" s="655"/>
      <c r="N83" s="655"/>
      <c r="O83" s="655"/>
      <c r="P83" s="655"/>
      <c r="Q83" s="655"/>
      <c r="R83" s="655"/>
      <c r="S83" s="655"/>
      <c r="T83" s="655"/>
      <c r="U83" s="655"/>
      <c r="V83" s="655"/>
    </row>
    <row r="84" spans="1:22">
      <c r="A84" s="677"/>
      <c r="B84" s="655"/>
      <c r="C84" s="686"/>
      <c r="D84" s="686"/>
      <c r="E84" s="655"/>
      <c r="F84" s="655"/>
      <c r="G84" s="655"/>
      <c r="H84" s="655"/>
      <c r="I84" s="655"/>
      <c r="J84" s="655"/>
      <c r="K84" s="655"/>
      <c r="L84" s="686"/>
      <c r="M84" s="655"/>
      <c r="N84" s="655"/>
      <c r="O84" s="655"/>
      <c r="P84" s="655"/>
      <c r="Q84" s="655"/>
      <c r="R84" s="655"/>
      <c r="S84" s="655"/>
      <c r="T84" s="655"/>
      <c r="U84" s="655"/>
      <c r="V84" s="655"/>
    </row>
    <row r="85" spans="1:22">
      <c r="A85" s="677"/>
      <c r="B85" s="655"/>
      <c r="C85" s="686"/>
      <c r="D85" s="686"/>
      <c r="E85" s="655"/>
      <c r="F85" s="655"/>
      <c r="G85" s="655"/>
      <c r="H85" s="655"/>
      <c r="I85" s="655"/>
      <c r="J85" s="655"/>
      <c r="K85" s="655"/>
      <c r="L85" s="686"/>
      <c r="M85" s="655"/>
      <c r="N85" s="655"/>
      <c r="O85" s="655"/>
      <c r="P85" s="655"/>
      <c r="Q85" s="655"/>
      <c r="R85" s="655"/>
      <c r="S85" s="655"/>
      <c r="T85" s="655"/>
      <c r="U85" s="655"/>
      <c r="V85" s="655"/>
    </row>
    <row r="86" spans="1:22">
      <c r="A86" s="677"/>
      <c r="B86" s="655"/>
      <c r="C86" s="686"/>
      <c r="D86" s="686"/>
      <c r="E86" s="655"/>
      <c r="F86" s="655"/>
      <c r="G86" s="655"/>
      <c r="H86" s="655"/>
      <c r="I86" s="655"/>
      <c r="J86" s="655"/>
      <c r="K86" s="655"/>
      <c r="L86" s="686"/>
      <c r="M86" s="655"/>
      <c r="N86" s="655"/>
      <c r="O86" s="655"/>
      <c r="P86" s="655"/>
      <c r="Q86" s="655"/>
      <c r="R86" s="655"/>
      <c r="S86" s="655"/>
      <c r="T86" s="655"/>
      <c r="U86" s="655"/>
      <c r="V86" s="655"/>
    </row>
    <row r="87" spans="1:22">
      <c r="A87" s="677"/>
      <c r="B87" s="655"/>
      <c r="C87" s="686"/>
      <c r="D87" s="686"/>
      <c r="E87" s="655"/>
      <c r="F87" s="655"/>
      <c r="G87" s="655"/>
      <c r="H87" s="655"/>
      <c r="I87" s="655"/>
      <c r="J87" s="655"/>
      <c r="K87" s="655"/>
      <c r="L87" s="686"/>
      <c r="M87" s="655"/>
      <c r="N87" s="655"/>
      <c r="O87" s="655"/>
      <c r="P87" s="655"/>
      <c r="Q87" s="655"/>
      <c r="R87" s="655"/>
      <c r="S87" s="655"/>
      <c r="T87" s="655"/>
      <c r="U87" s="655"/>
      <c r="V87" s="655"/>
    </row>
    <row r="88" spans="1:22">
      <c r="A88" s="677"/>
      <c r="B88" s="655"/>
      <c r="C88" s="686"/>
      <c r="D88" s="686"/>
      <c r="E88" s="655"/>
      <c r="F88" s="655"/>
      <c r="G88" s="655"/>
      <c r="H88" s="655"/>
      <c r="I88" s="655"/>
      <c r="J88" s="655"/>
      <c r="K88" s="655"/>
      <c r="L88" s="686"/>
      <c r="M88" s="655"/>
      <c r="N88" s="655"/>
      <c r="O88" s="655"/>
      <c r="P88" s="655"/>
      <c r="Q88" s="655"/>
      <c r="R88" s="655"/>
      <c r="S88" s="655"/>
      <c r="T88" s="655"/>
      <c r="U88" s="655"/>
      <c r="V88" s="655"/>
    </row>
    <row r="89" spans="1:22">
      <c r="A89" s="677"/>
      <c r="B89" s="655"/>
      <c r="C89" s="686"/>
      <c r="D89" s="686"/>
      <c r="E89" s="655"/>
      <c r="F89" s="655"/>
      <c r="G89" s="655"/>
      <c r="H89" s="655"/>
      <c r="I89" s="655"/>
      <c r="J89" s="655"/>
      <c r="K89" s="655"/>
      <c r="L89" s="686"/>
      <c r="M89" s="655"/>
      <c r="N89" s="655"/>
      <c r="O89" s="655"/>
      <c r="P89" s="655"/>
      <c r="Q89" s="655"/>
      <c r="R89" s="655"/>
      <c r="S89" s="655"/>
      <c r="T89" s="655"/>
      <c r="U89" s="655"/>
      <c r="V89" s="655"/>
    </row>
    <row r="90" spans="1:22">
      <c r="A90" s="677"/>
      <c r="B90" s="655"/>
      <c r="C90" s="686"/>
      <c r="D90" s="686"/>
      <c r="E90" s="655"/>
      <c r="F90" s="655"/>
      <c r="G90" s="655"/>
      <c r="H90" s="655"/>
      <c r="I90" s="655"/>
      <c r="J90" s="655"/>
      <c r="K90" s="655"/>
      <c r="L90" s="686"/>
      <c r="M90" s="655"/>
      <c r="N90" s="655"/>
      <c r="O90" s="655"/>
      <c r="P90" s="655"/>
      <c r="Q90" s="655"/>
      <c r="R90" s="655"/>
      <c r="S90" s="655"/>
      <c r="T90" s="655"/>
      <c r="U90" s="655"/>
      <c r="V90" s="655"/>
    </row>
    <row r="91" spans="1:22">
      <c r="A91" s="677"/>
      <c r="B91" s="655"/>
      <c r="C91" s="686"/>
      <c r="D91" s="686"/>
      <c r="E91" s="655"/>
      <c r="F91" s="655"/>
      <c r="G91" s="655"/>
      <c r="H91" s="655"/>
      <c r="I91" s="655"/>
      <c r="J91" s="655"/>
      <c r="K91" s="655"/>
      <c r="L91" s="686"/>
      <c r="M91" s="655"/>
      <c r="N91" s="655"/>
      <c r="O91" s="655"/>
      <c r="P91" s="655"/>
      <c r="Q91" s="655"/>
      <c r="R91" s="655"/>
      <c r="S91" s="655"/>
      <c r="T91" s="655"/>
      <c r="U91" s="655"/>
      <c r="V91" s="655"/>
    </row>
    <row r="92" spans="1:22">
      <c r="A92" s="677"/>
      <c r="B92" s="655"/>
      <c r="C92" s="686"/>
      <c r="D92" s="686"/>
      <c r="E92" s="655"/>
      <c r="F92" s="655"/>
      <c r="G92" s="655"/>
      <c r="H92" s="655"/>
      <c r="I92" s="655"/>
      <c r="J92" s="655"/>
      <c r="K92" s="655"/>
      <c r="L92" s="686"/>
      <c r="M92" s="655"/>
      <c r="N92" s="655"/>
      <c r="O92" s="655"/>
      <c r="P92" s="655"/>
      <c r="Q92" s="655"/>
      <c r="R92" s="655"/>
      <c r="S92" s="655"/>
      <c r="T92" s="655"/>
      <c r="U92" s="655"/>
      <c r="V92" s="655"/>
    </row>
    <row r="93" spans="1:22">
      <c r="A93" s="677"/>
      <c r="B93" s="655"/>
      <c r="C93" s="686"/>
      <c r="D93" s="686"/>
      <c r="E93" s="655"/>
      <c r="F93" s="655"/>
      <c r="G93" s="655"/>
      <c r="H93" s="655"/>
      <c r="I93" s="655"/>
      <c r="J93" s="655"/>
      <c r="K93" s="655"/>
      <c r="L93" s="686"/>
      <c r="M93" s="655"/>
      <c r="N93" s="655"/>
      <c r="O93" s="655"/>
      <c r="P93" s="655"/>
      <c r="Q93" s="655"/>
      <c r="R93" s="655"/>
      <c r="S93" s="655"/>
      <c r="T93" s="655"/>
      <c r="U93" s="655"/>
      <c r="V93" s="655"/>
    </row>
    <row r="94" spans="1:22">
      <c r="A94" s="677"/>
      <c r="B94" s="655"/>
      <c r="C94" s="686"/>
      <c r="D94" s="686"/>
      <c r="E94" s="655"/>
      <c r="F94" s="655"/>
      <c r="G94" s="655"/>
      <c r="H94" s="655"/>
      <c r="I94" s="655"/>
      <c r="J94" s="655"/>
      <c r="K94" s="655"/>
      <c r="L94" s="686"/>
      <c r="M94" s="655"/>
      <c r="N94" s="655"/>
      <c r="O94" s="655"/>
      <c r="P94" s="655"/>
      <c r="Q94" s="655"/>
      <c r="R94" s="655"/>
      <c r="S94" s="655"/>
      <c r="T94" s="655"/>
      <c r="U94" s="655"/>
      <c r="V94" s="655"/>
    </row>
    <row r="95" spans="1:22">
      <c r="A95" s="677"/>
      <c r="B95" s="655"/>
      <c r="C95" s="686"/>
      <c r="D95" s="686"/>
      <c r="E95" s="655"/>
      <c r="F95" s="655"/>
      <c r="G95" s="655"/>
      <c r="H95" s="655"/>
      <c r="I95" s="655"/>
      <c r="J95" s="655"/>
      <c r="K95" s="655"/>
      <c r="L95" s="686"/>
      <c r="M95" s="655"/>
      <c r="N95" s="655"/>
      <c r="O95" s="655"/>
      <c r="P95" s="655"/>
      <c r="Q95" s="655"/>
      <c r="R95" s="655"/>
      <c r="S95" s="655"/>
      <c r="T95" s="655"/>
      <c r="U95" s="655"/>
      <c r="V95" s="655"/>
    </row>
    <row r="96" spans="1:22">
      <c r="A96" s="677"/>
      <c r="B96" s="655"/>
      <c r="C96" s="686"/>
      <c r="D96" s="686"/>
      <c r="E96" s="655"/>
      <c r="F96" s="655"/>
      <c r="G96" s="655"/>
      <c r="H96" s="655"/>
      <c r="I96" s="655"/>
      <c r="J96" s="655"/>
      <c r="K96" s="655"/>
      <c r="L96" s="686"/>
      <c r="M96" s="655"/>
      <c r="N96" s="655"/>
      <c r="O96" s="655"/>
      <c r="P96" s="655"/>
      <c r="Q96" s="655"/>
      <c r="R96" s="655"/>
      <c r="S96" s="655"/>
      <c r="T96" s="655"/>
      <c r="U96" s="655"/>
      <c r="V96" s="655"/>
    </row>
    <row r="97" spans="1:22">
      <c r="A97" s="677"/>
      <c r="B97" s="655"/>
      <c r="C97" s="686"/>
      <c r="D97" s="686"/>
      <c r="E97" s="655"/>
      <c r="F97" s="655"/>
      <c r="G97" s="655"/>
      <c r="H97" s="655"/>
      <c r="I97" s="655"/>
      <c r="J97" s="655"/>
      <c r="K97" s="655"/>
      <c r="L97" s="686"/>
      <c r="M97" s="655"/>
      <c r="N97" s="655"/>
      <c r="O97" s="655"/>
      <c r="P97" s="655"/>
      <c r="Q97" s="655"/>
      <c r="R97" s="655"/>
      <c r="S97" s="655"/>
      <c r="T97" s="655"/>
      <c r="U97" s="655"/>
      <c r="V97" s="655"/>
    </row>
    <row r="98" spans="1:22">
      <c r="A98" s="677"/>
      <c r="B98" s="655"/>
      <c r="C98" s="686"/>
      <c r="D98" s="686"/>
      <c r="E98" s="655"/>
      <c r="F98" s="655"/>
      <c r="G98" s="655"/>
      <c r="H98" s="655"/>
      <c r="I98" s="655"/>
      <c r="J98" s="655"/>
      <c r="K98" s="655"/>
      <c r="L98" s="686"/>
      <c r="M98" s="655"/>
      <c r="N98" s="655"/>
      <c r="O98" s="655"/>
      <c r="P98" s="655"/>
      <c r="Q98" s="655"/>
      <c r="R98" s="655"/>
      <c r="S98" s="655"/>
      <c r="T98" s="655"/>
      <c r="U98" s="655"/>
      <c r="V98" s="655"/>
    </row>
    <row r="99" spans="1:22">
      <c r="A99" s="677"/>
      <c r="B99" s="655"/>
      <c r="C99" s="686"/>
      <c r="D99" s="686"/>
      <c r="E99" s="655"/>
      <c r="F99" s="655"/>
      <c r="G99" s="655"/>
      <c r="H99" s="655"/>
      <c r="I99" s="655"/>
      <c r="J99" s="655"/>
      <c r="K99" s="655"/>
      <c r="L99" s="686"/>
      <c r="M99" s="655"/>
      <c r="N99" s="655"/>
      <c r="O99" s="655"/>
      <c r="P99" s="655"/>
      <c r="Q99" s="655"/>
      <c r="R99" s="655"/>
      <c r="S99" s="655"/>
      <c r="T99" s="655"/>
      <c r="U99" s="655"/>
      <c r="V99" s="655"/>
    </row>
    <row r="100" spans="1:22">
      <c r="A100" s="677"/>
      <c r="B100" s="655"/>
      <c r="C100" s="686"/>
      <c r="D100" s="686"/>
      <c r="E100" s="655"/>
      <c r="F100" s="655"/>
      <c r="G100" s="655"/>
      <c r="H100" s="655"/>
      <c r="I100" s="655"/>
      <c r="J100" s="655"/>
      <c r="K100" s="655"/>
      <c r="L100" s="686"/>
      <c r="M100" s="655"/>
      <c r="N100" s="655"/>
      <c r="O100" s="655"/>
      <c r="P100" s="655"/>
      <c r="Q100" s="655"/>
      <c r="R100" s="655"/>
      <c r="S100" s="655"/>
      <c r="T100" s="655"/>
      <c r="U100" s="655"/>
      <c r="V100" s="655"/>
    </row>
    <row r="101" spans="1:22">
      <c r="A101" s="677"/>
      <c r="B101" s="655"/>
      <c r="C101" s="686"/>
      <c r="D101" s="686"/>
      <c r="E101" s="655"/>
      <c r="F101" s="655"/>
      <c r="G101" s="655"/>
      <c r="H101" s="655"/>
      <c r="I101" s="655"/>
      <c r="J101" s="655"/>
      <c r="K101" s="655"/>
      <c r="L101" s="686"/>
      <c r="M101" s="655"/>
      <c r="N101" s="655"/>
      <c r="O101" s="655"/>
      <c r="P101" s="655"/>
      <c r="Q101" s="655"/>
      <c r="R101" s="655"/>
      <c r="S101" s="655"/>
      <c r="T101" s="655"/>
      <c r="U101" s="655"/>
      <c r="V101" s="655"/>
    </row>
    <row r="102" spans="1:22">
      <c r="A102" s="677"/>
      <c r="B102" s="655"/>
      <c r="C102" s="686"/>
      <c r="D102" s="686"/>
      <c r="E102" s="655"/>
      <c r="F102" s="655"/>
      <c r="G102" s="655"/>
      <c r="H102" s="655"/>
      <c r="I102" s="655"/>
      <c r="J102" s="655"/>
      <c r="K102" s="655"/>
      <c r="L102" s="686"/>
      <c r="M102" s="655"/>
      <c r="N102" s="655"/>
      <c r="O102" s="655"/>
      <c r="P102" s="655"/>
      <c r="Q102" s="655"/>
      <c r="R102" s="655"/>
      <c r="S102" s="655"/>
      <c r="T102" s="655"/>
      <c r="U102" s="655"/>
      <c r="V102" s="655"/>
    </row>
    <row r="103" spans="1:22">
      <c r="A103" s="677"/>
      <c r="B103" s="655"/>
      <c r="C103" s="686"/>
      <c r="D103" s="686"/>
      <c r="E103" s="655"/>
      <c r="F103" s="655"/>
      <c r="G103" s="655"/>
      <c r="H103" s="655"/>
      <c r="I103" s="655"/>
      <c r="J103" s="655"/>
      <c r="K103" s="655"/>
      <c r="L103" s="686"/>
      <c r="M103" s="655"/>
      <c r="N103" s="655"/>
      <c r="O103" s="655"/>
      <c r="P103" s="655"/>
      <c r="Q103" s="655"/>
      <c r="R103" s="655"/>
      <c r="S103" s="655"/>
      <c r="T103" s="655"/>
      <c r="U103" s="655"/>
      <c r="V103" s="655"/>
    </row>
    <row r="104" spans="1:22">
      <c r="A104" s="677"/>
      <c r="B104" s="655"/>
      <c r="C104" s="686"/>
      <c r="D104" s="686"/>
      <c r="E104" s="655"/>
      <c r="F104" s="655"/>
      <c r="G104" s="655"/>
      <c r="H104" s="655"/>
      <c r="I104" s="655"/>
      <c r="J104" s="655"/>
      <c r="K104" s="655"/>
      <c r="L104" s="686"/>
      <c r="M104" s="655"/>
      <c r="N104" s="655"/>
      <c r="O104" s="655"/>
      <c r="P104" s="655"/>
      <c r="Q104" s="655"/>
      <c r="R104" s="655"/>
      <c r="S104" s="655"/>
      <c r="T104" s="655"/>
      <c r="U104" s="655"/>
      <c r="V104" s="655"/>
    </row>
    <row r="105" spans="1:22">
      <c r="A105" s="677"/>
      <c r="B105" s="655"/>
      <c r="C105" s="686"/>
      <c r="D105" s="686"/>
      <c r="E105" s="655"/>
      <c r="F105" s="655"/>
      <c r="G105" s="655"/>
      <c r="H105" s="655"/>
      <c r="I105" s="655"/>
      <c r="J105" s="655"/>
      <c r="K105" s="655"/>
      <c r="L105" s="686"/>
      <c r="M105" s="655"/>
      <c r="N105" s="655"/>
      <c r="O105" s="655"/>
      <c r="P105" s="655"/>
      <c r="Q105" s="655"/>
      <c r="R105" s="655"/>
      <c r="S105" s="655"/>
      <c r="T105" s="655"/>
      <c r="U105" s="655"/>
      <c r="V105" s="655"/>
    </row>
    <row r="106" spans="1:22">
      <c r="A106" s="677"/>
      <c r="B106" s="655"/>
      <c r="C106" s="686"/>
      <c r="D106" s="686"/>
      <c r="E106" s="655"/>
      <c r="F106" s="655"/>
      <c r="G106" s="655"/>
      <c r="H106" s="655"/>
      <c r="I106" s="655"/>
      <c r="J106" s="655"/>
      <c r="K106" s="655"/>
      <c r="L106" s="686"/>
      <c r="M106" s="655"/>
      <c r="N106" s="655"/>
      <c r="O106" s="655"/>
      <c r="P106" s="655"/>
      <c r="Q106" s="655"/>
      <c r="R106" s="655"/>
      <c r="S106" s="655"/>
      <c r="T106" s="655"/>
      <c r="U106" s="655"/>
      <c r="V106" s="655"/>
    </row>
    <row r="107" spans="1:22">
      <c r="A107" s="677"/>
      <c r="B107" s="655"/>
      <c r="C107" s="686"/>
      <c r="D107" s="686"/>
      <c r="E107" s="655"/>
      <c r="F107" s="655"/>
      <c r="G107" s="655"/>
      <c r="H107" s="655"/>
      <c r="I107" s="655"/>
      <c r="J107" s="655"/>
      <c r="K107" s="655"/>
      <c r="L107" s="686"/>
      <c r="M107" s="655"/>
      <c r="N107" s="655"/>
      <c r="O107" s="655"/>
      <c r="P107" s="655"/>
      <c r="Q107" s="655"/>
      <c r="R107" s="655"/>
      <c r="S107" s="655"/>
      <c r="T107" s="655"/>
      <c r="U107" s="655"/>
      <c r="V107" s="655"/>
    </row>
    <row r="108" spans="1:22">
      <c r="A108" s="677"/>
      <c r="B108" s="655"/>
      <c r="C108" s="686"/>
      <c r="D108" s="686"/>
      <c r="E108" s="655"/>
      <c r="F108" s="655"/>
      <c r="G108" s="655"/>
      <c r="H108" s="655"/>
      <c r="I108" s="655"/>
      <c r="J108" s="655"/>
      <c r="K108" s="655"/>
      <c r="L108" s="686"/>
      <c r="M108" s="655"/>
      <c r="N108" s="655"/>
      <c r="O108" s="655"/>
      <c r="P108" s="655"/>
      <c r="Q108" s="655"/>
      <c r="R108" s="655"/>
      <c r="S108" s="655"/>
      <c r="T108" s="655"/>
      <c r="U108" s="655"/>
      <c r="V108" s="655"/>
    </row>
    <row r="109" spans="1:22">
      <c r="A109" s="677"/>
      <c r="B109" s="655"/>
      <c r="C109" s="686"/>
      <c r="D109" s="686"/>
      <c r="E109" s="655"/>
      <c r="F109" s="655"/>
      <c r="G109" s="655"/>
      <c r="H109" s="655"/>
      <c r="I109" s="655"/>
      <c r="J109" s="655"/>
      <c r="K109" s="655"/>
      <c r="L109" s="686"/>
      <c r="M109" s="655"/>
      <c r="N109" s="655"/>
      <c r="O109" s="655"/>
      <c r="P109" s="655"/>
      <c r="Q109" s="655"/>
      <c r="R109" s="655"/>
      <c r="S109" s="655"/>
      <c r="T109" s="655"/>
      <c r="U109" s="655"/>
      <c r="V109" s="655"/>
    </row>
    <row r="110" spans="1:22">
      <c r="A110" s="677"/>
      <c r="B110" s="655"/>
      <c r="C110" s="686"/>
      <c r="D110" s="686"/>
      <c r="E110" s="655"/>
      <c r="F110" s="655"/>
      <c r="G110" s="655"/>
      <c r="H110" s="655"/>
      <c r="I110" s="655"/>
      <c r="J110" s="655"/>
      <c r="K110" s="655"/>
      <c r="L110" s="686"/>
      <c r="M110" s="655"/>
      <c r="N110" s="655"/>
      <c r="O110" s="655"/>
      <c r="P110" s="655"/>
      <c r="Q110" s="655"/>
      <c r="R110" s="655"/>
      <c r="S110" s="655"/>
      <c r="T110" s="655"/>
      <c r="U110" s="655"/>
      <c r="V110" s="655"/>
    </row>
    <row r="111" spans="1:22">
      <c r="A111" s="677"/>
      <c r="B111" s="655"/>
      <c r="C111" s="686"/>
      <c r="D111" s="686"/>
      <c r="E111" s="655"/>
      <c r="F111" s="655"/>
      <c r="G111" s="655"/>
      <c r="H111" s="655"/>
      <c r="I111" s="655"/>
      <c r="J111" s="655"/>
      <c r="K111" s="655"/>
      <c r="L111" s="686"/>
      <c r="M111" s="655"/>
      <c r="N111" s="655"/>
      <c r="O111" s="655"/>
      <c r="P111" s="655"/>
      <c r="Q111" s="655"/>
      <c r="R111" s="655"/>
      <c r="S111" s="655"/>
      <c r="T111" s="655"/>
      <c r="U111" s="655"/>
      <c r="V111" s="655"/>
    </row>
    <row r="112" spans="1:22">
      <c r="A112" s="677"/>
      <c r="B112" s="655"/>
      <c r="C112" s="686"/>
      <c r="D112" s="686"/>
      <c r="E112" s="655"/>
      <c r="F112" s="655"/>
      <c r="G112" s="655"/>
      <c r="H112" s="655"/>
      <c r="I112" s="655"/>
      <c r="J112" s="655"/>
      <c r="K112" s="655"/>
      <c r="L112" s="686"/>
      <c r="M112" s="655"/>
      <c r="N112" s="655"/>
      <c r="O112" s="655"/>
      <c r="P112" s="655"/>
      <c r="Q112" s="655"/>
      <c r="R112" s="655"/>
      <c r="S112" s="655"/>
      <c r="T112" s="655"/>
      <c r="U112" s="655"/>
      <c r="V112" s="655"/>
    </row>
    <row r="113" spans="1:22">
      <c r="A113" s="677"/>
      <c r="B113" s="655"/>
      <c r="C113" s="686"/>
      <c r="D113" s="686"/>
      <c r="E113" s="655"/>
      <c r="F113" s="655"/>
      <c r="G113" s="655"/>
      <c r="H113" s="655"/>
      <c r="I113" s="655"/>
      <c r="J113" s="655"/>
      <c r="K113" s="655"/>
      <c r="L113" s="686"/>
      <c r="M113" s="655"/>
      <c r="N113" s="655"/>
      <c r="O113" s="655"/>
      <c r="P113" s="655"/>
      <c r="Q113" s="655"/>
      <c r="R113" s="655"/>
      <c r="S113" s="655"/>
      <c r="T113" s="655"/>
      <c r="U113" s="655"/>
      <c r="V113" s="655"/>
    </row>
    <row r="114" spans="1:22">
      <c r="A114" s="677"/>
      <c r="B114" s="655"/>
      <c r="C114" s="686"/>
      <c r="D114" s="686"/>
      <c r="E114" s="655"/>
      <c r="F114" s="655"/>
      <c r="G114" s="655"/>
      <c r="H114" s="655"/>
      <c r="I114" s="655"/>
      <c r="J114" s="655"/>
      <c r="K114" s="655"/>
      <c r="L114" s="686"/>
      <c r="M114" s="655"/>
      <c r="N114" s="655"/>
      <c r="O114" s="655"/>
      <c r="P114" s="655"/>
      <c r="Q114" s="655"/>
      <c r="R114" s="655"/>
      <c r="S114" s="655"/>
      <c r="T114" s="655"/>
      <c r="U114" s="655"/>
      <c r="V114" s="655"/>
    </row>
    <row r="115" spans="1:22">
      <c r="A115" s="677"/>
      <c r="B115" s="655"/>
      <c r="C115" s="686"/>
      <c r="D115" s="686"/>
      <c r="E115" s="655"/>
      <c r="F115" s="655"/>
      <c r="G115" s="655"/>
      <c r="H115" s="655"/>
      <c r="I115" s="655"/>
      <c r="J115" s="655"/>
      <c r="K115" s="655"/>
      <c r="L115" s="686"/>
      <c r="M115" s="655"/>
      <c r="N115" s="655"/>
      <c r="O115" s="655"/>
      <c r="P115" s="655"/>
      <c r="Q115" s="655"/>
      <c r="R115" s="655"/>
      <c r="S115" s="655"/>
      <c r="T115" s="655"/>
      <c r="U115" s="655"/>
      <c r="V115" s="655"/>
    </row>
    <row r="116" spans="1:22">
      <c r="A116" s="677"/>
      <c r="B116" s="655"/>
      <c r="C116" s="686"/>
      <c r="D116" s="686"/>
      <c r="E116" s="655"/>
      <c r="F116" s="655"/>
      <c r="G116" s="655"/>
      <c r="H116" s="655"/>
      <c r="I116" s="655"/>
      <c r="J116" s="655"/>
      <c r="K116" s="655"/>
      <c r="L116" s="686"/>
      <c r="M116" s="655"/>
      <c r="N116" s="655"/>
      <c r="O116" s="655"/>
      <c r="P116" s="655"/>
      <c r="Q116" s="655"/>
      <c r="R116" s="655"/>
      <c r="S116" s="655"/>
      <c r="T116" s="655"/>
      <c r="U116" s="655"/>
      <c r="V116" s="655"/>
    </row>
    <row r="117" spans="1:22">
      <c r="A117" s="677"/>
      <c r="B117" s="655"/>
      <c r="C117" s="686"/>
      <c r="D117" s="686"/>
      <c r="E117" s="655"/>
      <c r="F117" s="655"/>
      <c r="G117" s="655"/>
      <c r="H117" s="655"/>
      <c r="I117" s="655"/>
      <c r="J117" s="655"/>
      <c r="K117" s="655"/>
      <c r="L117" s="686"/>
      <c r="M117" s="655"/>
      <c r="N117" s="655"/>
      <c r="O117" s="655"/>
      <c r="P117" s="655"/>
      <c r="Q117" s="655"/>
      <c r="R117" s="655"/>
      <c r="S117" s="655"/>
      <c r="T117" s="655"/>
      <c r="U117" s="655"/>
      <c r="V117" s="655"/>
    </row>
    <row r="118" spans="1:22">
      <c r="A118" s="677"/>
      <c r="B118" s="655"/>
      <c r="C118" s="686"/>
      <c r="D118" s="686"/>
      <c r="E118" s="655"/>
      <c r="F118" s="655"/>
      <c r="G118" s="655"/>
      <c r="H118" s="655"/>
      <c r="I118" s="655"/>
      <c r="J118" s="655"/>
      <c r="K118" s="655"/>
      <c r="L118" s="686"/>
      <c r="M118" s="655"/>
      <c r="N118" s="655"/>
      <c r="O118" s="655"/>
      <c r="P118" s="655"/>
      <c r="Q118" s="655"/>
      <c r="R118" s="655"/>
      <c r="S118" s="655"/>
      <c r="T118" s="655"/>
      <c r="U118" s="655"/>
      <c r="V118" s="655"/>
    </row>
    <row r="119" spans="1:22">
      <c r="A119" s="677"/>
      <c r="B119" s="655"/>
      <c r="C119" s="686"/>
      <c r="D119" s="686"/>
      <c r="E119" s="655"/>
      <c r="F119" s="655"/>
      <c r="G119" s="655"/>
      <c r="H119" s="655"/>
      <c r="I119" s="655"/>
      <c r="J119" s="655"/>
      <c r="K119" s="655"/>
      <c r="L119" s="686"/>
      <c r="M119" s="655"/>
      <c r="N119" s="655"/>
      <c r="O119" s="655"/>
      <c r="P119" s="655"/>
      <c r="Q119" s="655"/>
      <c r="R119" s="655"/>
      <c r="S119" s="655"/>
      <c r="T119" s="655"/>
      <c r="U119" s="655"/>
      <c r="V119" s="655"/>
    </row>
    <row r="120" spans="1:22">
      <c r="A120" s="677"/>
      <c r="B120" s="655"/>
      <c r="C120" s="686"/>
      <c r="D120" s="686"/>
      <c r="E120" s="655"/>
      <c r="F120" s="655"/>
      <c r="G120" s="655"/>
      <c r="H120" s="655"/>
      <c r="I120" s="655"/>
      <c r="J120" s="655"/>
      <c r="K120" s="655"/>
      <c r="L120" s="686"/>
      <c r="M120" s="655"/>
      <c r="N120" s="655"/>
      <c r="O120" s="655"/>
      <c r="P120" s="655"/>
      <c r="Q120" s="655"/>
      <c r="R120" s="655"/>
      <c r="S120" s="655"/>
      <c r="T120" s="655"/>
      <c r="U120" s="655"/>
      <c r="V120" s="655"/>
    </row>
    <row r="121" spans="1:22">
      <c r="A121" s="677"/>
      <c r="B121" s="655"/>
      <c r="C121" s="686"/>
      <c r="D121" s="686"/>
      <c r="E121" s="655"/>
      <c r="F121" s="655"/>
      <c r="G121" s="655"/>
      <c r="H121" s="655"/>
      <c r="I121" s="655"/>
      <c r="J121" s="655"/>
      <c r="K121" s="655"/>
      <c r="L121" s="686"/>
      <c r="M121" s="655"/>
      <c r="N121" s="655"/>
      <c r="O121" s="655"/>
      <c r="P121" s="655"/>
      <c r="Q121" s="655"/>
      <c r="R121" s="655"/>
      <c r="S121" s="655"/>
      <c r="T121" s="655"/>
      <c r="U121" s="655"/>
      <c r="V121" s="655"/>
    </row>
    <row r="122" spans="1:22">
      <c r="A122" s="677"/>
      <c r="B122" s="655"/>
      <c r="C122" s="686"/>
      <c r="D122" s="686"/>
      <c r="E122" s="655"/>
      <c r="F122" s="655"/>
      <c r="G122" s="655"/>
      <c r="H122" s="655"/>
      <c r="I122" s="655"/>
      <c r="J122" s="655"/>
      <c r="K122" s="655"/>
      <c r="L122" s="686"/>
      <c r="M122" s="655"/>
      <c r="N122" s="655"/>
      <c r="O122" s="655"/>
      <c r="P122" s="655"/>
      <c r="Q122" s="655"/>
      <c r="R122" s="655"/>
      <c r="S122" s="655"/>
      <c r="T122" s="655"/>
      <c r="U122" s="655"/>
      <c r="V122" s="655"/>
    </row>
    <row r="123" spans="1:22">
      <c r="A123" s="677"/>
      <c r="B123" s="655"/>
      <c r="C123" s="686"/>
      <c r="D123" s="686"/>
      <c r="E123" s="655"/>
      <c r="F123" s="655"/>
      <c r="G123" s="655"/>
      <c r="H123" s="655"/>
      <c r="I123" s="655"/>
      <c r="J123" s="655"/>
      <c r="K123" s="655"/>
      <c r="L123" s="686"/>
      <c r="M123" s="655"/>
      <c r="N123" s="655"/>
      <c r="O123" s="655"/>
      <c r="P123" s="655"/>
      <c r="Q123" s="655"/>
      <c r="R123" s="655"/>
      <c r="S123" s="655"/>
      <c r="T123" s="655"/>
      <c r="U123" s="655"/>
      <c r="V123" s="655"/>
    </row>
    <row r="124" spans="1:22">
      <c r="A124" s="677"/>
      <c r="B124" s="655"/>
      <c r="C124" s="686"/>
      <c r="D124" s="686"/>
      <c r="E124" s="655"/>
      <c r="F124" s="655"/>
      <c r="G124" s="655"/>
      <c r="H124" s="655"/>
      <c r="I124" s="655"/>
      <c r="J124" s="655"/>
      <c r="K124" s="655"/>
      <c r="L124" s="686"/>
      <c r="M124" s="655"/>
      <c r="N124" s="655"/>
      <c r="O124" s="655"/>
      <c r="P124" s="655"/>
      <c r="Q124" s="655"/>
      <c r="R124" s="655"/>
      <c r="S124" s="655"/>
      <c r="T124" s="655"/>
      <c r="U124" s="655"/>
      <c r="V124" s="655"/>
    </row>
    <row r="125" spans="1:22">
      <c r="A125" s="677"/>
      <c r="B125" s="655"/>
      <c r="C125" s="686"/>
      <c r="D125" s="686"/>
      <c r="E125" s="655"/>
      <c r="F125" s="655"/>
      <c r="G125" s="655"/>
      <c r="H125" s="655"/>
      <c r="I125" s="655"/>
      <c r="J125" s="655"/>
      <c r="K125" s="655"/>
      <c r="L125" s="686"/>
      <c r="M125" s="655"/>
      <c r="N125" s="655"/>
      <c r="O125" s="655"/>
      <c r="P125" s="655"/>
      <c r="Q125" s="655"/>
      <c r="R125" s="655"/>
      <c r="S125" s="655"/>
      <c r="T125" s="655"/>
      <c r="U125" s="655"/>
      <c r="V125" s="655"/>
    </row>
    <row r="126" spans="1:22">
      <c r="A126" s="677"/>
      <c r="B126" s="655"/>
      <c r="C126" s="686"/>
      <c r="D126" s="686"/>
      <c r="E126" s="655"/>
      <c r="F126" s="655"/>
      <c r="G126" s="655"/>
      <c r="H126" s="655"/>
      <c r="I126" s="655"/>
      <c r="J126" s="655"/>
      <c r="K126" s="655"/>
      <c r="L126" s="686"/>
      <c r="M126" s="655"/>
      <c r="N126" s="655"/>
      <c r="O126" s="655"/>
      <c r="P126" s="655"/>
      <c r="Q126" s="655"/>
      <c r="R126" s="655"/>
      <c r="S126" s="655"/>
      <c r="T126" s="655"/>
      <c r="U126" s="655"/>
      <c r="V126" s="655"/>
    </row>
    <row r="127" spans="1:22">
      <c r="A127" s="677"/>
      <c r="B127" s="655"/>
      <c r="C127" s="686"/>
      <c r="D127" s="686"/>
      <c r="E127" s="655"/>
      <c r="F127" s="655"/>
      <c r="G127" s="655"/>
      <c r="H127" s="655"/>
      <c r="I127" s="655"/>
      <c r="J127" s="655"/>
      <c r="K127" s="655"/>
      <c r="L127" s="686"/>
      <c r="M127" s="655"/>
      <c r="N127" s="655"/>
      <c r="O127" s="655"/>
      <c r="P127" s="655"/>
      <c r="Q127" s="655"/>
      <c r="R127" s="655"/>
      <c r="S127" s="655"/>
      <c r="T127" s="655"/>
      <c r="U127" s="655"/>
      <c r="V127" s="655"/>
    </row>
    <row r="128" spans="1:22">
      <c r="A128" s="677"/>
      <c r="B128" s="655"/>
      <c r="C128" s="686"/>
      <c r="D128" s="686"/>
      <c r="E128" s="655"/>
      <c r="F128" s="655"/>
      <c r="G128" s="655"/>
      <c r="H128" s="655"/>
      <c r="I128" s="655"/>
      <c r="J128" s="655"/>
      <c r="K128" s="655"/>
      <c r="L128" s="686"/>
      <c r="M128" s="655"/>
      <c r="N128" s="655"/>
      <c r="O128" s="655"/>
      <c r="P128" s="655"/>
      <c r="Q128" s="655"/>
      <c r="R128" s="655"/>
      <c r="S128" s="655"/>
      <c r="T128" s="655"/>
      <c r="U128" s="655"/>
      <c r="V128" s="655"/>
    </row>
    <row r="129" spans="1:22">
      <c r="A129" s="677"/>
      <c r="B129" s="655"/>
      <c r="C129" s="686"/>
      <c r="D129" s="686"/>
      <c r="E129" s="655"/>
      <c r="F129" s="655"/>
      <c r="G129" s="655"/>
      <c r="H129" s="655"/>
      <c r="I129" s="655"/>
      <c r="J129" s="655"/>
      <c r="K129" s="655"/>
      <c r="L129" s="686"/>
      <c r="M129" s="655"/>
      <c r="N129" s="655"/>
      <c r="O129" s="655"/>
      <c r="P129" s="655"/>
      <c r="Q129" s="655"/>
      <c r="R129" s="655"/>
      <c r="S129" s="655"/>
      <c r="T129" s="655"/>
      <c r="U129" s="655"/>
      <c r="V129" s="655"/>
    </row>
    <row r="130" spans="1:22">
      <c r="A130" s="677"/>
      <c r="B130" s="655"/>
      <c r="C130" s="686"/>
      <c r="D130" s="686"/>
      <c r="E130" s="655"/>
      <c r="F130" s="655"/>
      <c r="G130" s="655"/>
      <c r="H130" s="655"/>
      <c r="I130" s="655"/>
      <c r="J130" s="655"/>
      <c r="K130" s="655"/>
      <c r="L130" s="686"/>
      <c r="M130" s="655"/>
      <c r="N130" s="655"/>
      <c r="O130" s="655"/>
      <c r="P130" s="655"/>
      <c r="Q130" s="655"/>
      <c r="R130" s="655"/>
      <c r="S130" s="655"/>
      <c r="T130" s="655"/>
      <c r="U130" s="655"/>
      <c r="V130" s="655"/>
    </row>
    <row r="131" spans="1:22">
      <c r="A131" s="677"/>
      <c r="B131" s="655"/>
      <c r="C131" s="686"/>
      <c r="D131" s="686"/>
      <c r="E131" s="655"/>
      <c r="F131" s="655"/>
      <c r="G131" s="655"/>
      <c r="H131" s="655"/>
      <c r="I131" s="655"/>
      <c r="J131" s="655"/>
      <c r="K131" s="655"/>
      <c r="L131" s="686"/>
      <c r="M131" s="655"/>
      <c r="N131" s="655"/>
      <c r="O131" s="655"/>
      <c r="P131" s="655"/>
      <c r="Q131" s="655"/>
      <c r="R131" s="655"/>
      <c r="S131" s="655"/>
      <c r="T131" s="655"/>
      <c r="U131" s="655"/>
      <c r="V131" s="655"/>
    </row>
    <row r="132" spans="1:22">
      <c r="A132" s="677"/>
      <c r="B132" s="655"/>
      <c r="C132" s="686"/>
      <c r="D132" s="686"/>
      <c r="E132" s="655"/>
      <c r="F132" s="655"/>
      <c r="G132" s="655"/>
      <c r="H132" s="655"/>
      <c r="I132" s="655"/>
      <c r="J132" s="655"/>
      <c r="K132" s="655"/>
      <c r="L132" s="686"/>
      <c r="M132" s="655"/>
      <c r="N132" s="655"/>
      <c r="O132" s="655"/>
      <c r="P132" s="655"/>
      <c r="Q132" s="655"/>
      <c r="R132" s="655"/>
      <c r="S132" s="655"/>
      <c r="T132" s="655"/>
      <c r="U132" s="655"/>
      <c r="V132" s="655"/>
    </row>
    <row r="133" spans="1:22">
      <c r="A133" s="677"/>
      <c r="B133" s="655"/>
      <c r="C133" s="686"/>
      <c r="D133" s="686"/>
      <c r="E133" s="655"/>
      <c r="F133" s="655"/>
      <c r="G133" s="655"/>
      <c r="H133" s="655"/>
      <c r="I133" s="655"/>
      <c r="J133" s="655"/>
      <c r="K133" s="655"/>
      <c r="L133" s="686"/>
      <c r="M133" s="655"/>
      <c r="N133" s="655"/>
      <c r="O133" s="655"/>
      <c r="P133" s="655"/>
      <c r="Q133" s="655"/>
      <c r="R133" s="655"/>
      <c r="S133" s="655"/>
      <c r="T133" s="655"/>
      <c r="U133" s="655"/>
      <c r="V133" s="655"/>
    </row>
    <row r="134" spans="1:22">
      <c r="A134" s="677"/>
      <c r="B134" s="655"/>
      <c r="C134" s="686"/>
      <c r="D134" s="686"/>
      <c r="E134" s="655"/>
      <c r="F134" s="655"/>
      <c r="G134" s="655"/>
      <c r="H134" s="655"/>
      <c r="I134" s="655"/>
      <c r="J134" s="655"/>
      <c r="K134" s="655"/>
      <c r="L134" s="686"/>
      <c r="M134" s="655"/>
      <c r="N134" s="655"/>
      <c r="O134" s="655"/>
      <c r="P134" s="655"/>
      <c r="Q134" s="655"/>
      <c r="R134" s="655"/>
      <c r="S134" s="655"/>
      <c r="T134" s="655"/>
      <c r="U134" s="655"/>
      <c r="V134" s="655"/>
    </row>
    <row r="135" spans="1:22">
      <c r="A135" s="677"/>
      <c r="B135" s="655"/>
      <c r="C135" s="686"/>
      <c r="D135" s="686"/>
      <c r="E135" s="655"/>
      <c r="F135" s="655"/>
      <c r="G135" s="655"/>
      <c r="H135" s="655"/>
      <c r="I135" s="655"/>
      <c r="J135" s="655"/>
      <c r="K135" s="655"/>
      <c r="L135" s="686"/>
      <c r="M135" s="655"/>
      <c r="N135" s="655"/>
      <c r="O135" s="655"/>
      <c r="P135" s="655"/>
      <c r="Q135" s="655"/>
      <c r="R135" s="655"/>
      <c r="S135" s="655"/>
      <c r="T135" s="655"/>
      <c r="U135" s="655"/>
      <c r="V135" s="655"/>
    </row>
    <row r="136" spans="1:22">
      <c r="A136" s="677"/>
      <c r="B136" s="655"/>
      <c r="C136" s="686"/>
      <c r="D136" s="686"/>
      <c r="E136" s="655"/>
      <c r="F136" s="655"/>
      <c r="G136" s="655"/>
      <c r="H136" s="655"/>
      <c r="I136" s="655"/>
      <c r="J136" s="655"/>
      <c r="K136" s="655"/>
      <c r="L136" s="686"/>
      <c r="M136" s="655"/>
      <c r="N136" s="655"/>
      <c r="O136" s="655"/>
      <c r="P136" s="655"/>
      <c r="Q136" s="655"/>
      <c r="R136" s="655"/>
      <c r="S136" s="655"/>
      <c r="T136" s="655"/>
      <c r="U136" s="655"/>
      <c r="V136" s="655"/>
    </row>
    <row r="137" spans="1:22">
      <c r="A137" s="677"/>
      <c r="B137" s="655"/>
      <c r="C137" s="686"/>
      <c r="D137" s="686"/>
      <c r="E137" s="655"/>
      <c r="F137" s="655"/>
      <c r="G137" s="655"/>
      <c r="H137" s="655"/>
      <c r="I137" s="655"/>
      <c r="J137" s="655"/>
      <c r="K137" s="655"/>
      <c r="L137" s="686"/>
      <c r="M137" s="655"/>
      <c r="N137" s="655"/>
      <c r="O137" s="655"/>
      <c r="P137" s="655"/>
      <c r="Q137" s="655"/>
      <c r="R137" s="655"/>
      <c r="S137" s="655"/>
      <c r="T137" s="655"/>
      <c r="U137" s="655"/>
      <c r="V137" s="655"/>
    </row>
    <row r="138" spans="1:22">
      <c r="A138" s="677"/>
      <c r="B138" s="655"/>
      <c r="C138" s="686"/>
      <c r="D138" s="686"/>
      <c r="E138" s="655"/>
      <c r="F138" s="655"/>
      <c r="G138" s="655"/>
      <c r="H138" s="655"/>
      <c r="I138" s="655"/>
      <c r="J138" s="655"/>
      <c r="K138" s="655"/>
      <c r="L138" s="686"/>
      <c r="M138" s="655"/>
      <c r="N138" s="655"/>
      <c r="O138" s="655"/>
      <c r="P138" s="655"/>
      <c r="Q138" s="655"/>
      <c r="R138" s="655"/>
      <c r="S138" s="655"/>
      <c r="T138" s="655"/>
      <c r="U138" s="655"/>
      <c r="V138" s="655"/>
    </row>
    <row r="139" spans="1:22">
      <c r="A139" s="677"/>
      <c r="B139" s="655"/>
      <c r="C139" s="686"/>
      <c r="D139" s="686"/>
      <c r="E139" s="655"/>
      <c r="F139" s="655"/>
      <c r="G139" s="655"/>
      <c r="H139" s="655"/>
      <c r="I139" s="655"/>
      <c r="J139" s="655"/>
      <c r="K139" s="655"/>
      <c r="L139" s="686"/>
      <c r="M139" s="655"/>
      <c r="N139" s="655"/>
      <c r="O139" s="655"/>
      <c r="P139" s="655"/>
      <c r="Q139" s="655"/>
      <c r="R139" s="655"/>
      <c r="S139" s="655"/>
      <c r="T139" s="655"/>
      <c r="U139" s="655"/>
      <c r="V139" s="655"/>
    </row>
    <row r="140" spans="1:22">
      <c r="A140" s="677"/>
      <c r="B140" s="655"/>
      <c r="C140" s="686"/>
      <c r="D140" s="686"/>
      <c r="E140" s="655"/>
      <c r="F140" s="655"/>
      <c r="G140" s="655"/>
      <c r="H140" s="655"/>
      <c r="I140" s="655"/>
      <c r="J140" s="655"/>
      <c r="K140" s="655"/>
      <c r="L140" s="686"/>
      <c r="M140" s="655"/>
      <c r="N140" s="655"/>
      <c r="O140" s="655"/>
      <c r="P140" s="655"/>
      <c r="Q140" s="655"/>
      <c r="R140" s="655"/>
      <c r="S140" s="655"/>
      <c r="T140" s="655"/>
      <c r="U140" s="655"/>
      <c r="V140" s="655"/>
    </row>
    <row r="141" spans="1:22">
      <c r="A141" s="677"/>
      <c r="B141" s="655"/>
      <c r="C141" s="686"/>
      <c r="D141" s="686"/>
      <c r="E141" s="655"/>
      <c r="F141" s="655"/>
      <c r="G141" s="655"/>
      <c r="H141" s="655"/>
      <c r="I141" s="655"/>
      <c r="J141" s="655"/>
      <c r="K141" s="655"/>
      <c r="L141" s="686"/>
      <c r="M141" s="655"/>
      <c r="N141" s="655"/>
      <c r="O141" s="655"/>
      <c r="P141" s="655"/>
      <c r="Q141" s="655"/>
      <c r="R141" s="655"/>
      <c r="S141" s="655"/>
      <c r="T141" s="655"/>
      <c r="U141" s="655"/>
      <c r="V141" s="655"/>
    </row>
    <row r="142" spans="1:22">
      <c r="A142" s="677"/>
      <c r="B142" s="655"/>
      <c r="C142" s="686"/>
      <c r="D142" s="686"/>
      <c r="E142" s="655"/>
      <c r="F142" s="655"/>
      <c r="G142" s="655"/>
      <c r="H142" s="655"/>
      <c r="I142" s="655"/>
      <c r="J142" s="655"/>
      <c r="K142" s="655"/>
      <c r="L142" s="686"/>
      <c r="M142" s="655"/>
      <c r="N142" s="655"/>
      <c r="O142" s="655"/>
      <c r="P142" s="655"/>
      <c r="Q142" s="655"/>
      <c r="R142" s="655"/>
      <c r="S142" s="655"/>
      <c r="T142" s="655"/>
      <c r="U142" s="655"/>
      <c r="V142" s="655"/>
    </row>
    <row r="143" spans="1:22">
      <c r="A143" s="677"/>
      <c r="B143" s="655"/>
      <c r="C143" s="686"/>
      <c r="D143" s="686"/>
      <c r="E143" s="655"/>
      <c r="F143" s="655"/>
      <c r="G143" s="655"/>
      <c r="H143" s="655"/>
      <c r="I143" s="655"/>
      <c r="J143" s="655"/>
      <c r="K143" s="655"/>
      <c r="L143" s="686"/>
      <c r="M143" s="655"/>
      <c r="N143" s="655"/>
      <c r="O143" s="655"/>
      <c r="P143" s="655"/>
      <c r="Q143" s="655"/>
      <c r="R143" s="655"/>
      <c r="S143" s="655"/>
      <c r="T143" s="655"/>
      <c r="U143" s="655"/>
      <c r="V143" s="655"/>
    </row>
    <row r="144" spans="1:22">
      <c r="A144" s="677"/>
      <c r="B144" s="655"/>
      <c r="C144" s="686"/>
      <c r="D144" s="686"/>
      <c r="E144" s="655"/>
      <c r="F144" s="655"/>
      <c r="G144" s="655"/>
      <c r="H144" s="655"/>
      <c r="I144" s="655"/>
      <c r="J144" s="655"/>
      <c r="K144" s="655"/>
      <c r="L144" s="686"/>
      <c r="M144" s="655"/>
      <c r="N144" s="655"/>
      <c r="O144" s="655"/>
      <c r="P144" s="655"/>
      <c r="Q144" s="655"/>
      <c r="R144" s="655"/>
      <c r="S144" s="655"/>
      <c r="T144" s="655"/>
      <c r="U144" s="655"/>
      <c r="V144" s="655"/>
    </row>
    <row r="145" spans="1:22">
      <c r="A145" s="677"/>
      <c r="B145" s="655"/>
      <c r="C145" s="686"/>
      <c r="D145" s="686"/>
      <c r="E145" s="655"/>
      <c r="F145" s="655"/>
      <c r="G145" s="655"/>
      <c r="H145" s="655"/>
      <c r="I145" s="655"/>
      <c r="J145" s="655"/>
      <c r="K145" s="655"/>
      <c r="L145" s="686"/>
      <c r="M145" s="655"/>
      <c r="N145" s="655"/>
      <c r="O145" s="655"/>
      <c r="P145" s="655"/>
      <c r="Q145" s="655"/>
      <c r="R145" s="655"/>
      <c r="S145" s="655"/>
      <c r="T145" s="655"/>
      <c r="U145" s="655"/>
      <c r="V145" s="655"/>
    </row>
    <row r="146" spans="1:22">
      <c r="A146" s="677"/>
      <c r="B146" s="655"/>
      <c r="C146" s="686"/>
      <c r="D146" s="686"/>
      <c r="E146" s="655"/>
      <c r="F146" s="655"/>
      <c r="G146" s="655"/>
      <c r="H146" s="655"/>
      <c r="I146" s="655"/>
      <c r="J146" s="655"/>
      <c r="K146" s="655"/>
      <c r="L146" s="686"/>
      <c r="M146" s="655"/>
      <c r="N146" s="655"/>
      <c r="O146" s="655"/>
      <c r="P146" s="655"/>
      <c r="Q146" s="655"/>
      <c r="R146" s="655"/>
      <c r="S146" s="655"/>
      <c r="T146" s="655"/>
      <c r="U146" s="655"/>
      <c r="V146" s="655"/>
    </row>
    <row r="147" spans="1:22">
      <c r="A147" s="677"/>
      <c r="B147" s="655"/>
      <c r="C147" s="686"/>
      <c r="D147" s="686"/>
      <c r="E147" s="655"/>
      <c r="F147" s="655"/>
      <c r="G147" s="655"/>
      <c r="H147" s="655"/>
      <c r="I147" s="655"/>
      <c r="J147" s="655"/>
      <c r="K147" s="655"/>
      <c r="L147" s="686"/>
      <c r="M147" s="655"/>
      <c r="N147" s="655"/>
      <c r="O147" s="655"/>
      <c r="P147" s="655"/>
      <c r="Q147" s="655"/>
      <c r="R147" s="655"/>
      <c r="S147" s="655"/>
      <c r="T147" s="655"/>
      <c r="U147" s="655"/>
      <c r="V147" s="655"/>
    </row>
    <row r="148" spans="1:22">
      <c r="A148" s="677"/>
      <c r="B148" s="655"/>
      <c r="C148" s="686"/>
      <c r="D148" s="686"/>
      <c r="E148" s="655"/>
      <c r="F148" s="655"/>
      <c r="G148" s="655"/>
      <c r="H148" s="655"/>
      <c r="I148" s="655"/>
      <c r="J148" s="655"/>
      <c r="K148" s="655"/>
      <c r="L148" s="686"/>
      <c r="M148" s="655"/>
      <c r="N148" s="655"/>
      <c r="O148" s="655"/>
      <c r="P148" s="655"/>
      <c r="Q148" s="655"/>
      <c r="R148" s="655"/>
      <c r="S148" s="655"/>
      <c r="T148" s="655"/>
      <c r="U148" s="655"/>
      <c r="V148" s="655"/>
    </row>
    <row r="149" spans="1:22">
      <c r="A149" s="677"/>
      <c r="B149" s="655"/>
      <c r="C149" s="686"/>
      <c r="D149" s="686"/>
      <c r="E149" s="655"/>
      <c r="F149" s="655"/>
      <c r="G149" s="655"/>
      <c r="H149" s="655"/>
      <c r="I149" s="655"/>
      <c r="J149" s="655"/>
      <c r="K149" s="655"/>
      <c r="L149" s="686"/>
      <c r="M149" s="655"/>
      <c r="N149" s="655"/>
      <c r="O149" s="655"/>
      <c r="P149" s="655"/>
      <c r="Q149" s="655"/>
      <c r="R149" s="655"/>
      <c r="S149" s="655"/>
      <c r="T149" s="655"/>
      <c r="U149" s="655"/>
      <c r="V149" s="655"/>
    </row>
    <row r="150" spans="1:22">
      <c r="A150" s="677"/>
      <c r="B150" s="655"/>
      <c r="C150" s="686"/>
      <c r="D150" s="686"/>
      <c r="E150" s="655"/>
      <c r="F150" s="655"/>
      <c r="G150" s="655"/>
      <c r="H150" s="655"/>
      <c r="I150" s="655"/>
      <c r="J150" s="655"/>
      <c r="K150" s="655"/>
      <c r="L150" s="686"/>
      <c r="M150" s="655"/>
      <c r="N150" s="655"/>
      <c r="O150" s="655"/>
      <c r="P150" s="655"/>
      <c r="Q150" s="655"/>
      <c r="R150" s="655"/>
      <c r="S150" s="655"/>
      <c r="T150" s="655"/>
      <c r="U150" s="655"/>
      <c r="V150" s="655"/>
    </row>
    <row r="151" spans="1:22">
      <c r="A151" s="677"/>
      <c r="B151" s="655"/>
      <c r="C151" s="686"/>
      <c r="D151" s="686"/>
      <c r="E151" s="655"/>
      <c r="F151" s="655"/>
      <c r="G151" s="655"/>
      <c r="H151" s="655"/>
      <c r="I151" s="655"/>
      <c r="J151" s="655"/>
      <c r="K151" s="655"/>
      <c r="L151" s="686"/>
      <c r="M151" s="655"/>
      <c r="N151" s="655"/>
      <c r="O151" s="655"/>
      <c r="P151" s="655"/>
      <c r="Q151" s="655"/>
      <c r="R151" s="655"/>
      <c r="S151" s="655"/>
      <c r="T151" s="655"/>
      <c r="U151" s="655"/>
      <c r="V151" s="655"/>
    </row>
    <row r="152" spans="1:22">
      <c r="A152" s="677"/>
      <c r="B152" s="655"/>
      <c r="C152" s="686"/>
      <c r="D152" s="686"/>
      <c r="E152" s="655"/>
      <c r="F152" s="655"/>
      <c r="G152" s="655"/>
      <c r="H152" s="655"/>
      <c r="I152" s="655"/>
      <c r="J152" s="655"/>
      <c r="K152" s="655"/>
      <c r="L152" s="686"/>
      <c r="M152" s="655"/>
      <c r="N152" s="655"/>
      <c r="O152" s="655"/>
      <c r="P152" s="655"/>
      <c r="Q152" s="655"/>
      <c r="R152" s="655"/>
      <c r="S152" s="655"/>
      <c r="T152" s="655"/>
      <c r="U152" s="655"/>
      <c r="V152" s="655"/>
    </row>
    <row r="153" spans="1:22">
      <c r="A153" s="677"/>
      <c r="B153" s="655"/>
      <c r="C153" s="686"/>
      <c r="D153" s="686"/>
      <c r="E153" s="655"/>
      <c r="F153" s="655"/>
      <c r="G153" s="655"/>
      <c r="H153" s="655"/>
      <c r="I153" s="655"/>
      <c r="J153" s="655"/>
      <c r="K153" s="655"/>
      <c r="L153" s="686"/>
      <c r="M153" s="655"/>
      <c r="N153" s="655"/>
      <c r="O153" s="655"/>
      <c r="P153" s="655"/>
      <c r="Q153" s="655"/>
      <c r="R153" s="655"/>
      <c r="S153" s="655"/>
      <c r="T153" s="655"/>
      <c r="U153" s="655"/>
      <c r="V153" s="655"/>
    </row>
    <row r="154" spans="1:22">
      <c r="A154" s="677"/>
      <c r="B154" s="655"/>
      <c r="C154" s="686"/>
      <c r="D154" s="686"/>
      <c r="E154" s="655"/>
      <c r="F154" s="655"/>
      <c r="G154" s="655"/>
      <c r="H154" s="655"/>
      <c r="I154" s="655"/>
      <c r="J154" s="655"/>
      <c r="K154" s="655"/>
      <c r="L154" s="686"/>
      <c r="M154" s="655"/>
      <c r="N154" s="655"/>
      <c r="O154" s="655"/>
      <c r="P154" s="655"/>
      <c r="Q154" s="655"/>
      <c r="R154" s="655"/>
      <c r="S154" s="655"/>
      <c r="T154" s="655"/>
      <c r="U154" s="655"/>
      <c r="V154" s="655"/>
    </row>
    <row r="155" spans="1:22">
      <c r="A155" s="677"/>
      <c r="B155" s="655"/>
      <c r="C155" s="686"/>
      <c r="D155" s="686"/>
      <c r="E155" s="655"/>
      <c r="F155" s="655"/>
      <c r="G155" s="655"/>
      <c r="H155" s="655"/>
      <c r="I155" s="655"/>
      <c r="J155" s="655"/>
      <c r="K155" s="655"/>
      <c r="L155" s="686"/>
      <c r="M155" s="655"/>
      <c r="N155" s="655"/>
      <c r="O155" s="655"/>
      <c r="P155" s="655"/>
      <c r="Q155" s="655"/>
      <c r="R155" s="655"/>
      <c r="S155" s="655"/>
      <c r="T155" s="655"/>
      <c r="U155" s="655"/>
      <c r="V155" s="655"/>
    </row>
    <row r="156" spans="1:22">
      <c r="A156" s="677"/>
      <c r="B156" s="655"/>
      <c r="C156" s="686"/>
      <c r="D156" s="686"/>
      <c r="E156" s="655"/>
      <c r="F156" s="655"/>
      <c r="G156" s="655"/>
      <c r="H156" s="655"/>
      <c r="I156" s="655"/>
      <c r="J156" s="655"/>
      <c r="K156" s="655"/>
      <c r="L156" s="686"/>
      <c r="M156" s="655"/>
      <c r="N156" s="655"/>
      <c r="O156" s="655"/>
      <c r="P156" s="655"/>
      <c r="Q156" s="655"/>
      <c r="R156" s="655"/>
      <c r="S156" s="655"/>
      <c r="T156" s="655"/>
      <c r="U156" s="655"/>
      <c r="V156" s="655"/>
    </row>
    <row r="157" spans="1:22">
      <c r="A157" s="677"/>
      <c r="B157" s="655"/>
      <c r="C157" s="686"/>
      <c r="D157" s="686"/>
      <c r="E157" s="655"/>
      <c r="F157" s="655"/>
      <c r="G157" s="655"/>
      <c r="H157" s="655"/>
      <c r="I157" s="655"/>
      <c r="J157" s="655"/>
      <c r="K157" s="655"/>
      <c r="L157" s="686"/>
      <c r="M157" s="655"/>
      <c r="N157" s="655"/>
      <c r="O157" s="655"/>
      <c r="P157" s="655"/>
      <c r="Q157" s="655"/>
      <c r="R157" s="655"/>
      <c r="S157" s="655"/>
      <c r="T157" s="655"/>
      <c r="U157" s="655"/>
      <c r="V157" s="655"/>
    </row>
    <row r="158" spans="1:22">
      <c r="A158" s="677"/>
      <c r="B158" s="655"/>
      <c r="C158" s="686"/>
      <c r="D158" s="686"/>
      <c r="E158" s="655"/>
      <c r="F158" s="655"/>
      <c r="G158" s="655"/>
      <c r="H158" s="655"/>
      <c r="I158" s="655"/>
      <c r="J158" s="655"/>
      <c r="K158" s="655"/>
      <c r="L158" s="686"/>
      <c r="M158" s="655"/>
      <c r="N158" s="655"/>
      <c r="O158" s="655"/>
      <c r="P158" s="655"/>
      <c r="Q158" s="655"/>
      <c r="R158" s="655"/>
      <c r="S158" s="655"/>
      <c r="T158" s="655"/>
      <c r="U158" s="655"/>
      <c r="V158" s="655"/>
    </row>
    <row r="159" spans="1:22">
      <c r="A159" s="677"/>
      <c r="B159" s="655"/>
      <c r="C159" s="686"/>
      <c r="D159" s="686"/>
      <c r="E159" s="655"/>
      <c r="F159" s="655"/>
      <c r="G159" s="655"/>
      <c r="H159" s="655"/>
      <c r="I159" s="655"/>
      <c r="J159" s="655"/>
      <c r="K159" s="655"/>
      <c r="L159" s="686"/>
      <c r="M159" s="655"/>
      <c r="N159" s="655"/>
      <c r="O159" s="655"/>
      <c r="P159" s="655"/>
      <c r="Q159" s="655"/>
      <c r="R159" s="655"/>
      <c r="S159" s="655"/>
      <c r="T159" s="655"/>
      <c r="U159" s="655"/>
      <c r="V159" s="655"/>
    </row>
    <row r="160" spans="1:22">
      <c r="A160" s="677"/>
      <c r="B160" s="655"/>
      <c r="C160" s="686"/>
      <c r="D160" s="686"/>
      <c r="E160" s="655"/>
      <c r="F160" s="655"/>
      <c r="G160" s="655"/>
      <c r="H160" s="655"/>
      <c r="I160" s="655"/>
      <c r="J160" s="655"/>
      <c r="K160" s="655"/>
      <c r="L160" s="686"/>
      <c r="M160" s="655"/>
      <c r="N160" s="655"/>
      <c r="O160" s="655"/>
      <c r="P160" s="655"/>
      <c r="Q160" s="655"/>
      <c r="R160" s="655"/>
      <c r="S160" s="655"/>
      <c r="T160" s="655"/>
      <c r="U160" s="655"/>
      <c r="V160" s="655"/>
    </row>
    <row r="161" spans="1:22">
      <c r="A161" s="677"/>
      <c r="B161" s="655"/>
      <c r="C161" s="686"/>
      <c r="D161" s="686"/>
      <c r="E161" s="655"/>
      <c r="F161" s="655"/>
      <c r="G161" s="655"/>
      <c r="H161" s="655"/>
      <c r="I161" s="655"/>
      <c r="J161" s="655"/>
      <c r="K161" s="655"/>
      <c r="L161" s="686"/>
      <c r="M161" s="655"/>
      <c r="N161" s="655"/>
      <c r="O161" s="655"/>
      <c r="P161" s="655"/>
      <c r="Q161" s="655"/>
      <c r="R161" s="655"/>
      <c r="S161" s="655"/>
      <c r="T161" s="655"/>
      <c r="U161" s="655"/>
      <c r="V161" s="655"/>
    </row>
    <row r="162" spans="1:22">
      <c r="A162" s="677"/>
      <c r="B162" s="655"/>
      <c r="C162" s="686"/>
      <c r="D162" s="686"/>
      <c r="E162" s="655"/>
      <c r="F162" s="655"/>
      <c r="G162" s="655"/>
      <c r="H162" s="655"/>
      <c r="I162" s="655"/>
      <c r="J162" s="655"/>
      <c r="K162" s="655"/>
      <c r="L162" s="686"/>
      <c r="M162" s="655"/>
      <c r="N162" s="655"/>
      <c r="O162" s="655"/>
      <c r="P162" s="655"/>
      <c r="Q162" s="655"/>
      <c r="R162" s="655"/>
      <c r="S162" s="655"/>
      <c r="T162" s="655"/>
      <c r="U162" s="655"/>
      <c r="V162" s="655"/>
    </row>
    <row r="163" spans="1:22">
      <c r="A163" s="677"/>
      <c r="B163" s="655"/>
      <c r="C163" s="686"/>
      <c r="D163" s="686"/>
      <c r="E163" s="655"/>
      <c r="F163" s="655"/>
      <c r="G163" s="655"/>
      <c r="H163" s="655"/>
      <c r="I163" s="655"/>
      <c r="J163" s="655"/>
      <c r="K163" s="655"/>
      <c r="L163" s="686"/>
      <c r="M163" s="655"/>
      <c r="N163" s="655"/>
      <c r="O163" s="655"/>
      <c r="P163" s="655"/>
      <c r="Q163" s="655"/>
      <c r="R163" s="655"/>
      <c r="S163" s="655"/>
      <c r="T163" s="655"/>
      <c r="U163" s="655"/>
      <c r="V163" s="655"/>
    </row>
    <row r="164" spans="1:22">
      <c r="A164" s="677"/>
      <c r="B164" s="655"/>
      <c r="C164" s="686"/>
      <c r="D164" s="686"/>
      <c r="E164" s="655"/>
      <c r="F164" s="655"/>
      <c r="G164" s="655"/>
      <c r="H164" s="655"/>
      <c r="I164" s="655"/>
      <c r="J164" s="655"/>
      <c r="K164" s="655"/>
      <c r="L164" s="686"/>
      <c r="M164" s="655"/>
      <c r="N164" s="655"/>
      <c r="O164" s="655"/>
      <c r="P164" s="655"/>
      <c r="Q164" s="655"/>
      <c r="R164" s="655"/>
      <c r="S164" s="655"/>
      <c r="T164" s="655"/>
      <c r="U164" s="655"/>
      <c r="V164" s="655"/>
    </row>
    <row r="165" spans="1:22">
      <c r="A165" s="677"/>
      <c r="B165" s="655"/>
      <c r="C165" s="686"/>
      <c r="D165" s="686"/>
      <c r="E165" s="655"/>
      <c r="F165" s="655"/>
      <c r="G165" s="655"/>
      <c r="H165" s="655"/>
      <c r="I165" s="655"/>
      <c r="J165" s="655"/>
      <c r="K165" s="655"/>
      <c r="L165" s="686"/>
      <c r="M165" s="655"/>
      <c r="N165" s="655"/>
      <c r="O165" s="655"/>
      <c r="P165" s="655"/>
      <c r="Q165" s="655"/>
      <c r="R165" s="655"/>
      <c r="S165" s="655"/>
      <c r="T165" s="655"/>
      <c r="U165" s="655"/>
      <c r="V165" s="655"/>
    </row>
    <row r="166" spans="1:22">
      <c r="A166" s="677"/>
      <c r="B166" s="655"/>
      <c r="C166" s="686"/>
      <c r="D166" s="686"/>
      <c r="E166" s="655"/>
      <c r="F166" s="655"/>
      <c r="G166" s="655"/>
      <c r="H166" s="655"/>
      <c r="I166" s="655"/>
      <c r="J166" s="655"/>
      <c r="K166" s="655"/>
      <c r="L166" s="686"/>
      <c r="M166" s="655"/>
      <c r="N166" s="655"/>
      <c r="O166" s="655"/>
      <c r="P166" s="655"/>
      <c r="Q166" s="655"/>
      <c r="R166" s="655"/>
      <c r="S166" s="655"/>
      <c r="T166" s="655"/>
      <c r="U166" s="655"/>
      <c r="V166" s="655"/>
    </row>
    <row r="167" spans="1:22">
      <c r="A167" s="677"/>
      <c r="B167" s="655"/>
      <c r="C167" s="686"/>
      <c r="D167" s="686"/>
      <c r="E167" s="655"/>
      <c r="F167" s="655"/>
      <c r="G167" s="655"/>
      <c r="H167" s="655"/>
      <c r="I167" s="655"/>
      <c r="J167" s="655"/>
      <c r="K167" s="655"/>
      <c r="L167" s="686"/>
      <c r="M167" s="655"/>
      <c r="N167" s="655"/>
      <c r="O167" s="655"/>
      <c r="P167" s="655"/>
      <c r="Q167" s="655"/>
      <c r="R167" s="655"/>
      <c r="S167" s="655"/>
      <c r="T167" s="655"/>
      <c r="U167" s="655"/>
      <c r="V167" s="655"/>
    </row>
    <row r="168" spans="1:22">
      <c r="A168" s="677"/>
      <c r="B168" s="655"/>
      <c r="C168" s="686"/>
      <c r="D168" s="686"/>
      <c r="E168" s="655"/>
      <c r="F168" s="655"/>
      <c r="G168" s="655"/>
      <c r="H168" s="655"/>
      <c r="I168" s="655"/>
      <c r="J168" s="655"/>
      <c r="K168" s="655"/>
      <c r="L168" s="686"/>
      <c r="M168" s="655"/>
      <c r="N168" s="655"/>
      <c r="O168" s="655"/>
      <c r="P168" s="655"/>
      <c r="Q168" s="655"/>
      <c r="R168" s="655"/>
      <c r="S168" s="655"/>
      <c r="T168" s="655"/>
      <c r="U168" s="655"/>
      <c r="V168" s="655"/>
    </row>
    <row r="169" spans="1:22">
      <c r="A169" s="677"/>
      <c r="B169" s="655"/>
      <c r="C169" s="686"/>
      <c r="D169" s="686"/>
      <c r="E169" s="655"/>
      <c r="F169" s="655"/>
      <c r="G169" s="655"/>
      <c r="H169" s="655"/>
      <c r="I169" s="655"/>
      <c r="J169" s="655"/>
      <c r="K169" s="655"/>
      <c r="L169" s="686"/>
      <c r="M169" s="655"/>
      <c r="N169" s="655"/>
      <c r="O169" s="655"/>
      <c r="P169" s="655"/>
      <c r="Q169" s="655"/>
      <c r="R169" s="655"/>
      <c r="S169" s="655"/>
      <c r="T169" s="655"/>
      <c r="U169" s="655"/>
      <c r="V169" s="655"/>
    </row>
    <row r="170" spans="1:22">
      <c r="A170" s="677"/>
      <c r="B170" s="655"/>
      <c r="C170" s="686"/>
      <c r="D170" s="686"/>
      <c r="E170" s="655"/>
      <c r="F170" s="655"/>
      <c r="G170" s="655"/>
      <c r="H170" s="655"/>
      <c r="I170" s="655"/>
      <c r="J170" s="655"/>
      <c r="K170" s="655"/>
      <c r="L170" s="686"/>
      <c r="M170" s="655"/>
      <c r="N170" s="655"/>
      <c r="O170" s="655"/>
      <c r="P170" s="655"/>
      <c r="Q170" s="655"/>
      <c r="R170" s="655"/>
      <c r="S170" s="655"/>
      <c r="T170" s="655"/>
      <c r="U170" s="655"/>
      <c r="V170" s="655"/>
    </row>
    <row r="171" spans="1:22">
      <c r="A171" s="677"/>
      <c r="B171" s="655"/>
      <c r="C171" s="686"/>
      <c r="D171" s="686"/>
      <c r="E171" s="655"/>
      <c r="F171" s="655"/>
      <c r="G171" s="655"/>
      <c r="H171" s="655"/>
      <c r="I171" s="655"/>
      <c r="J171" s="655"/>
      <c r="K171" s="655"/>
      <c r="L171" s="686"/>
      <c r="M171" s="655"/>
      <c r="N171" s="655"/>
      <c r="O171" s="655"/>
      <c r="P171" s="655"/>
      <c r="Q171" s="655"/>
      <c r="R171" s="655"/>
      <c r="S171" s="655"/>
      <c r="T171" s="655"/>
      <c r="U171" s="655"/>
      <c r="V171" s="655"/>
    </row>
    <row r="172" spans="1:22">
      <c r="A172" s="677"/>
      <c r="B172" s="655"/>
      <c r="C172" s="686"/>
      <c r="D172" s="686"/>
      <c r="E172" s="655"/>
      <c r="F172" s="655"/>
      <c r="G172" s="655"/>
      <c r="H172" s="655"/>
      <c r="I172" s="655"/>
      <c r="J172" s="655"/>
      <c r="K172" s="655"/>
      <c r="L172" s="686"/>
      <c r="M172" s="655"/>
      <c r="N172" s="655"/>
      <c r="O172" s="655"/>
      <c r="P172" s="655"/>
      <c r="Q172" s="655"/>
      <c r="R172" s="655"/>
      <c r="S172" s="655"/>
      <c r="T172" s="655"/>
      <c r="U172" s="655"/>
      <c r="V172" s="655"/>
    </row>
    <row r="173" spans="1:22">
      <c r="A173" s="677"/>
      <c r="B173" s="655"/>
      <c r="C173" s="686"/>
      <c r="D173" s="686"/>
      <c r="E173" s="655"/>
      <c r="F173" s="655"/>
      <c r="G173" s="655"/>
      <c r="H173" s="655"/>
      <c r="I173" s="655"/>
      <c r="J173" s="655"/>
      <c r="K173" s="655"/>
      <c r="L173" s="686"/>
      <c r="M173" s="655"/>
      <c r="N173" s="655"/>
      <c r="O173" s="655"/>
      <c r="P173" s="655"/>
      <c r="Q173" s="655"/>
      <c r="R173" s="655"/>
      <c r="S173" s="655"/>
      <c r="T173" s="655"/>
      <c r="U173" s="655"/>
      <c r="V173" s="655"/>
    </row>
    <row r="174" spans="1:22">
      <c r="A174" s="677"/>
      <c r="B174" s="655"/>
      <c r="C174" s="686"/>
      <c r="D174" s="686"/>
      <c r="E174" s="655"/>
      <c r="F174" s="655"/>
      <c r="G174" s="655"/>
      <c r="H174" s="655"/>
      <c r="I174" s="655"/>
      <c r="J174" s="655"/>
      <c r="K174" s="655"/>
      <c r="L174" s="686"/>
      <c r="M174" s="655"/>
      <c r="N174" s="655"/>
      <c r="O174" s="655"/>
      <c r="P174" s="655"/>
      <c r="Q174" s="655"/>
      <c r="R174" s="655"/>
      <c r="S174" s="655"/>
      <c r="T174" s="655"/>
      <c r="U174" s="655"/>
      <c r="V174" s="655"/>
    </row>
    <row r="175" spans="1:22">
      <c r="A175" s="677"/>
      <c r="B175" s="655"/>
      <c r="C175" s="686"/>
      <c r="D175" s="686"/>
      <c r="E175" s="655"/>
      <c r="F175" s="655"/>
      <c r="G175" s="655"/>
      <c r="H175" s="655"/>
      <c r="I175" s="655"/>
      <c r="J175" s="655"/>
      <c r="K175" s="655"/>
      <c r="L175" s="686"/>
      <c r="M175" s="655"/>
      <c r="N175" s="655"/>
      <c r="O175" s="655"/>
      <c r="P175" s="655"/>
      <c r="Q175" s="655"/>
      <c r="R175" s="655"/>
      <c r="S175" s="655"/>
      <c r="T175" s="655"/>
      <c r="U175" s="655"/>
      <c r="V175" s="655"/>
    </row>
    <row r="176" spans="1:22">
      <c r="A176" s="677"/>
      <c r="B176" s="655"/>
      <c r="C176" s="686"/>
      <c r="D176" s="686"/>
      <c r="E176" s="655"/>
      <c r="F176" s="655"/>
      <c r="G176" s="655"/>
      <c r="H176" s="655"/>
      <c r="I176" s="655"/>
      <c r="J176" s="655"/>
      <c r="K176" s="655"/>
      <c r="L176" s="686"/>
      <c r="M176" s="655"/>
      <c r="N176" s="655"/>
      <c r="O176" s="655"/>
      <c r="P176" s="655"/>
      <c r="Q176" s="655"/>
      <c r="R176" s="655"/>
      <c r="S176" s="655"/>
      <c r="T176" s="655"/>
      <c r="U176" s="655"/>
      <c r="V176" s="655"/>
    </row>
    <row r="177" spans="1:22">
      <c r="A177" s="677"/>
      <c r="B177" s="655"/>
      <c r="C177" s="686"/>
      <c r="D177" s="686"/>
      <c r="E177" s="655"/>
      <c r="F177" s="655"/>
      <c r="G177" s="655"/>
      <c r="H177" s="655"/>
      <c r="I177" s="655"/>
      <c r="J177" s="655"/>
      <c r="K177" s="655"/>
      <c r="L177" s="686"/>
      <c r="M177" s="655"/>
      <c r="N177" s="655"/>
      <c r="O177" s="655"/>
      <c r="P177" s="655"/>
      <c r="Q177" s="655"/>
      <c r="R177" s="655"/>
      <c r="S177" s="655"/>
      <c r="T177" s="655"/>
      <c r="U177" s="655"/>
      <c r="V177" s="655"/>
    </row>
    <row r="178" spans="1:22">
      <c r="A178" s="677"/>
      <c r="B178" s="655"/>
      <c r="C178" s="686"/>
      <c r="D178" s="686"/>
      <c r="E178" s="655"/>
      <c r="F178" s="655"/>
      <c r="G178" s="655"/>
      <c r="H178" s="655"/>
      <c r="I178" s="655"/>
      <c r="J178" s="655"/>
      <c r="K178" s="655"/>
      <c r="L178" s="686"/>
      <c r="M178" s="655"/>
      <c r="N178" s="655"/>
      <c r="O178" s="655"/>
      <c r="P178" s="655"/>
      <c r="Q178" s="655"/>
      <c r="R178" s="655"/>
      <c r="S178" s="655"/>
      <c r="T178" s="655"/>
      <c r="U178" s="655"/>
      <c r="V178" s="655"/>
    </row>
    <row r="179" spans="1:22">
      <c r="A179" s="677"/>
      <c r="B179" s="655"/>
      <c r="C179" s="686"/>
      <c r="D179" s="686"/>
      <c r="E179" s="655"/>
      <c r="F179" s="655"/>
      <c r="G179" s="655"/>
      <c r="H179" s="655"/>
      <c r="I179" s="655"/>
      <c r="J179" s="655"/>
      <c r="K179" s="655"/>
      <c r="L179" s="686"/>
      <c r="M179" s="655"/>
      <c r="N179" s="655"/>
      <c r="O179" s="655"/>
      <c r="P179" s="655"/>
      <c r="Q179" s="655"/>
      <c r="R179" s="655"/>
      <c r="S179" s="655"/>
      <c r="T179" s="655"/>
      <c r="U179" s="655"/>
      <c r="V179" s="655"/>
    </row>
    <row r="180" spans="1:22">
      <c r="A180" s="677"/>
      <c r="B180" s="655"/>
      <c r="C180" s="686"/>
      <c r="D180" s="686"/>
      <c r="E180" s="655"/>
      <c r="F180" s="655"/>
      <c r="G180" s="655"/>
      <c r="H180" s="655"/>
      <c r="I180" s="655"/>
      <c r="J180" s="655"/>
      <c r="K180" s="655"/>
      <c r="L180" s="686"/>
      <c r="M180" s="655"/>
      <c r="N180" s="655"/>
      <c r="O180" s="655"/>
      <c r="P180" s="655"/>
      <c r="Q180" s="655"/>
      <c r="R180" s="655"/>
      <c r="S180" s="655"/>
      <c r="T180" s="655"/>
      <c r="U180" s="655"/>
      <c r="V180" s="655"/>
    </row>
    <row r="181" spans="1:22">
      <c r="A181" s="677"/>
      <c r="B181" s="655"/>
      <c r="C181" s="686"/>
      <c r="D181" s="686"/>
      <c r="E181" s="655"/>
      <c r="F181" s="655"/>
      <c r="G181" s="655"/>
      <c r="H181" s="655"/>
      <c r="I181" s="655"/>
      <c r="J181" s="655"/>
      <c r="K181" s="655"/>
      <c r="L181" s="686"/>
      <c r="M181" s="655"/>
      <c r="N181" s="655"/>
      <c r="O181" s="655"/>
      <c r="P181" s="655"/>
      <c r="Q181" s="655"/>
      <c r="R181" s="655"/>
      <c r="S181" s="655"/>
      <c r="T181" s="655"/>
      <c r="U181" s="655"/>
      <c r="V181" s="655"/>
    </row>
    <row r="182" spans="1:22">
      <c r="A182" s="677"/>
      <c r="B182" s="655"/>
      <c r="C182" s="686"/>
      <c r="D182" s="686"/>
      <c r="E182" s="655"/>
      <c r="F182" s="655"/>
      <c r="G182" s="655"/>
      <c r="H182" s="655"/>
      <c r="I182" s="655"/>
      <c r="J182" s="655"/>
      <c r="K182" s="655"/>
      <c r="L182" s="686"/>
      <c r="M182" s="655"/>
      <c r="N182" s="655"/>
      <c r="O182" s="655"/>
      <c r="P182" s="655"/>
      <c r="Q182" s="655"/>
      <c r="R182" s="655"/>
      <c r="S182" s="655"/>
      <c r="T182" s="655"/>
      <c r="U182" s="655"/>
      <c r="V182" s="655"/>
    </row>
    <row r="183" spans="1:22">
      <c r="A183" s="677"/>
      <c r="B183" s="655"/>
      <c r="C183" s="686"/>
      <c r="D183" s="686"/>
      <c r="E183" s="655"/>
      <c r="F183" s="655"/>
      <c r="G183" s="655"/>
      <c r="H183" s="655"/>
      <c r="I183" s="655"/>
      <c r="J183" s="655"/>
      <c r="K183" s="655"/>
      <c r="L183" s="686"/>
      <c r="M183" s="655"/>
      <c r="N183" s="655"/>
      <c r="O183" s="655"/>
      <c r="P183" s="655"/>
      <c r="Q183" s="655"/>
      <c r="R183" s="655"/>
      <c r="S183" s="655"/>
      <c r="T183" s="655"/>
      <c r="U183" s="655"/>
      <c r="V183" s="655"/>
    </row>
    <row r="184" spans="1:22">
      <c r="A184" s="677"/>
      <c r="B184" s="655"/>
      <c r="C184" s="686"/>
      <c r="D184" s="686"/>
      <c r="E184" s="655"/>
      <c r="F184" s="655"/>
      <c r="G184" s="655"/>
      <c r="H184" s="655"/>
      <c r="I184" s="655"/>
      <c r="J184" s="655"/>
      <c r="K184" s="655"/>
      <c r="L184" s="686"/>
      <c r="M184" s="655"/>
      <c r="N184" s="655"/>
      <c r="O184" s="655"/>
      <c r="P184" s="655"/>
      <c r="Q184" s="655"/>
      <c r="R184" s="655"/>
      <c r="S184" s="655"/>
      <c r="T184" s="655"/>
      <c r="U184" s="655"/>
      <c r="V184" s="655"/>
    </row>
    <row r="185" spans="1:22">
      <c r="A185" s="677"/>
      <c r="B185" s="655"/>
      <c r="C185" s="686"/>
      <c r="D185" s="686"/>
      <c r="E185" s="655"/>
      <c r="F185" s="655"/>
      <c r="G185" s="655"/>
      <c r="H185" s="655"/>
      <c r="I185" s="655"/>
      <c r="J185" s="655"/>
      <c r="K185" s="655"/>
      <c r="L185" s="686"/>
      <c r="M185" s="655"/>
      <c r="N185" s="655"/>
      <c r="O185" s="655"/>
      <c r="P185" s="655"/>
      <c r="Q185" s="655"/>
      <c r="R185" s="655"/>
      <c r="S185" s="655"/>
      <c r="T185" s="655"/>
      <c r="U185" s="655"/>
      <c r="V185" s="655"/>
    </row>
    <row r="186" spans="1:22">
      <c r="A186" s="677"/>
      <c r="B186" s="655"/>
      <c r="C186" s="686"/>
      <c r="D186" s="686"/>
      <c r="E186" s="655"/>
      <c r="F186" s="655"/>
      <c r="G186" s="655"/>
      <c r="H186" s="655"/>
      <c r="I186" s="655"/>
      <c r="J186" s="655"/>
      <c r="K186" s="655"/>
      <c r="L186" s="686"/>
      <c r="M186" s="655"/>
      <c r="N186" s="655"/>
      <c r="O186" s="655"/>
      <c r="P186" s="655"/>
      <c r="Q186" s="655"/>
      <c r="R186" s="655"/>
      <c r="S186" s="655"/>
      <c r="T186" s="655"/>
      <c r="U186" s="655"/>
      <c r="V186" s="655"/>
    </row>
    <row r="187" spans="1:22">
      <c r="A187" s="677"/>
      <c r="B187" s="655"/>
      <c r="C187" s="686"/>
      <c r="D187" s="686"/>
      <c r="E187" s="655"/>
      <c r="F187" s="655"/>
      <c r="G187" s="655"/>
      <c r="H187" s="655"/>
      <c r="I187" s="655"/>
      <c r="J187" s="655"/>
      <c r="K187" s="655"/>
      <c r="L187" s="686"/>
      <c r="M187" s="655"/>
      <c r="N187" s="655"/>
      <c r="O187" s="655"/>
      <c r="P187" s="655"/>
      <c r="Q187" s="655"/>
      <c r="R187" s="655"/>
      <c r="S187" s="655"/>
      <c r="T187" s="655"/>
      <c r="U187" s="655"/>
      <c r="V187" s="655"/>
    </row>
    <row r="188" spans="1:22">
      <c r="A188" s="677"/>
      <c r="B188" s="655"/>
      <c r="C188" s="686"/>
      <c r="D188" s="686"/>
      <c r="E188" s="655"/>
      <c r="F188" s="655"/>
      <c r="G188" s="655"/>
      <c r="H188" s="655"/>
      <c r="I188" s="655"/>
      <c r="J188" s="655"/>
      <c r="K188" s="655"/>
      <c r="L188" s="686"/>
      <c r="M188" s="655"/>
      <c r="N188" s="655"/>
      <c r="O188" s="655"/>
      <c r="P188" s="655"/>
      <c r="Q188" s="655"/>
      <c r="R188" s="655"/>
      <c r="S188" s="655"/>
      <c r="T188" s="655"/>
      <c r="U188" s="655"/>
      <c r="V188" s="655"/>
    </row>
    <row r="189" spans="1:22">
      <c r="A189" s="677"/>
      <c r="B189" s="655"/>
      <c r="C189" s="686"/>
      <c r="D189" s="686"/>
      <c r="E189" s="655"/>
      <c r="F189" s="655"/>
      <c r="G189" s="655"/>
      <c r="H189" s="655"/>
      <c r="I189" s="655"/>
      <c r="J189" s="655"/>
      <c r="K189" s="655"/>
      <c r="L189" s="686"/>
      <c r="M189" s="655"/>
      <c r="N189" s="655"/>
      <c r="O189" s="655"/>
      <c r="P189" s="655"/>
      <c r="Q189" s="655"/>
      <c r="R189" s="655"/>
      <c r="S189" s="655"/>
      <c r="T189" s="655"/>
      <c r="U189" s="655"/>
      <c r="V189" s="655"/>
    </row>
    <row r="190" spans="1:22">
      <c r="A190" s="677"/>
      <c r="B190" s="655"/>
      <c r="C190" s="686"/>
      <c r="D190" s="686"/>
      <c r="E190" s="655"/>
      <c r="F190" s="655"/>
      <c r="G190" s="655"/>
      <c r="H190" s="655"/>
      <c r="I190" s="655"/>
      <c r="J190" s="655"/>
      <c r="K190" s="655"/>
      <c r="L190" s="686"/>
      <c r="M190" s="655"/>
      <c r="N190" s="655"/>
      <c r="O190" s="655"/>
      <c r="P190" s="655"/>
      <c r="Q190" s="655"/>
      <c r="R190" s="655"/>
      <c r="S190" s="655"/>
      <c r="T190" s="655"/>
      <c r="U190" s="655"/>
      <c r="V190" s="655"/>
    </row>
    <row r="191" spans="1:22">
      <c r="A191" s="677"/>
      <c r="B191" s="655"/>
      <c r="C191" s="686"/>
      <c r="D191" s="686"/>
      <c r="E191" s="655"/>
      <c r="F191" s="655"/>
      <c r="G191" s="655"/>
      <c r="H191" s="655"/>
      <c r="I191" s="655"/>
      <c r="J191" s="655"/>
      <c r="K191" s="655"/>
      <c r="L191" s="686"/>
      <c r="M191" s="655"/>
      <c r="N191" s="655"/>
      <c r="O191" s="655"/>
      <c r="P191" s="655"/>
      <c r="Q191" s="655"/>
      <c r="R191" s="655"/>
      <c r="S191" s="655"/>
      <c r="T191" s="655"/>
      <c r="U191" s="655"/>
      <c r="V191" s="655"/>
    </row>
    <row r="192" spans="1:22">
      <c r="A192" s="677"/>
      <c r="B192" s="655"/>
      <c r="C192" s="686"/>
      <c r="D192" s="686"/>
      <c r="E192" s="655"/>
      <c r="F192" s="655"/>
      <c r="G192" s="655"/>
      <c r="H192" s="655"/>
      <c r="I192" s="655"/>
      <c r="J192" s="655"/>
      <c r="K192" s="655"/>
      <c r="L192" s="686"/>
      <c r="M192" s="655"/>
      <c r="N192" s="655"/>
      <c r="O192" s="655"/>
      <c r="P192" s="655"/>
      <c r="Q192" s="655"/>
      <c r="R192" s="655"/>
      <c r="S192" s="655"/>
      <c r="T192" s="655"/>
      <c r="U192" s="655"/>
      <c r="V192" s="655"/>
    </row>
    <row r="193" spans="1:22">
      <c r="A193" s="677"/>
      <c r="B193" s="655"/>
      <c r="C193" s="686"/>
      <c r="D193" s="686"/>
      <c r="E193" s="655"/>
      <c r="F193" s="655"/>
      <c r="G193" s="655"/>
      <c r="H193" s="655"/>
      <c r="I193" s="655"/>
      <c r="J193" s="655"/>
      <c r="K193" s="655"/>
      <c r="L193" s="686"/>
      <c r="M193" s="655"/>
      <c r="N193" s="655"/>
      <c r="O193" s="655"/>
      <c r="P193" s="655"/>
      <c r="Q193" s="655"/>
      <c r="R193" s="655"/>
      <c r="S193" s="655"/>
      <c r="T193" s="655"/>
      <c r="U193" s="655"/>
      <c r="V193" s="655"/>
    </row>
    <row r="194" spans="1:22">
      <c r="A194" s="677"/>
      <c r="B194" s="655"/>
      <c r="C194" s="686"/>
      <c r="D194" s="686"/>
      <c r="E194" s="655"/>
      <c r="F194" s="655"/>
      <c r="G194" s="655"/>
      <c r="H194" s="655"/>
      <c r="I194" s="655"/>
      <c r="J194" s="655"/>
      <c r="K194" s="655"/>
      <c r="L194" s="686"/>
      <c r="M194" s="655"/>
      <c r="N194" s="655"/>
      <c r="O194" s="655"/>
      <c r="P194" s="655"/>
      <c r="Q194" s="655"/>
      <c r="R194" s="655"/>
      <c r="S194" s="655"/>
      <c r="T194" s="655"/>
      <c r="U194" s="655"/>
      <c r="V194" s="655"/>
    </row>
    <row r="195" spans="1:22">
      <c r="A195" s="677"/>
      <c r="B195" s="655"/>
      <c r="C195" s="686"/>
      <c r="D195" s="686"/>
      <c r="E195" s="655"/>
      <c r="F195" s="655"/>
      <c r="G195" s="655"/>
      <c r="H195" s="655"/>
      <c r="I195" s="655"/>
      <c r="J195" s="655"/>
      <c r="K195" s="655"/>
      <c r="L195" s="686"/>
      <c r="M195" s="655"/>
      <c r="N195" s="655"/>
      <c r="O195" s="655"/>
      <c r="P195" s="655"/>
      <c r="Q195" s="655"/>
      <c r="R195" s="655"/>
      <c r="S195" s="655"/>
      <c r="T195" s="655"/>
      <c r="U195" s="655"/>
      <c r="V195" s="655"/>
    </row>
    <row r="196" spans="1:22">
      <c r="A196" s="677"/>
      <c r="B196" s="655"/>
      <c r="C196" s="686"/>
      <c r="D196" s="686"/>
      <c r="E196" s="655"/>
      <c r="F196" s="655"/>
      <c r="G196" s="655"/>
      <c r="H196" s="655"/>
      <c r="I196" s="655"/>
      <c r="J196" s="655"/>
      <c r="K196" s="655"/>
      <c r="L196" s="686"/>
      <c r="M196" s="655"/>
      <c r="N196" s="655"/>
      <c r="O196" s="655"/>
      <c r="P196" s="655"/>
      <c r="Q196" s="655"/>
      <c r="R196" s="655"/>
      <c r="S196" s="655"/>
      <c r="T196" s="655"/>
      <c r="U196" s="655"/>
      <c r="V196" s="655"/>
    </row>
    <row r="197" spans="1:22">
      <c r="A197" s="677"/>
      <c r="B197" s="655"/>
      <c r="C197" s="686"/>
      <c r="D197" s="686"/>
      <c r="E197" s="655"/>
      <c r="F197" s="655"/>
      <c r="G197" s="655"/>
      <c r="H197" s="655"/>
      <c r="I197" s="655"/>
      <c r="J197" s="655"/>
      <c r="K197" s="655"/>
      <c r="L197" s="686"/>
      <c r="M197" s="655"/>
      <c r="N197" s="655"/>
      <c r="O197" s="655"/>
      <c r="P197" s="655"/>
      <c r="Q197" s="655"/>
      <c r="R197" s="655"/>
      <c r="S197" s="655"/>
      <c r="T197" s="655"/>
      <c r="U197" s="655"/>
      <c r="V197" s="655"/>
    </row>
    <row r="198" spans="1:22">
      <c r="A198" s="677"/>
      <c r="B198" s="655"/>
      <c r="C198" s="686"/>
      <c r="D198" s="686"/>
      <c r="E198" s="655"/>
      <c r="F198" s="655"/>
      <c r="G198" s="655"/>
      <c r="H198" s="655"/>
      <c r="I198" s="655"/>
      <c r="J198" s="655"/>
      <c r="K198" s="655"/>
      <c r="L198" s="686"/>
      <c r="M198" s="655"/>
      <c r="N198" s="655"/>
      <c r="O198" s="655"/>
      <c r="P198" s="655"/>
      <c r="Q198" s="655"/>
      <c r="R198" s="655"/>
      <c r="S198" s="655"/>
      <c r="T198" s="655"/>
      <c r="U198" s="655"/>
      <c r="V198" s="655"/>
    </row>
    <row r="199" spans="1:22">
      <c r="A199" s="677"/>
      <c r="B199" s="655"/>
      <c r="C199" s="686"/>
      <c r="D199" s="686"/>
      <c r="E199" s="655"/>
      <c r="F199" s="655"/>
      <c r="G199" s="655"/>
      <c r="H199" s="655"/>
      <c r="I199" s="655"/>
      <c r="J199" s="655"/>
      <c r="K199" s="655"/>
      <c r="L199" s="686"/>
      <c r="M199" s="655"/>
      <c r="N199" s="655"/>
      <c r="O199" s="655"/>
      <c r="P199" s="655"/>
      <c r="Q199" s="655"/>
      <c r="R199" s="655"/>
      <c r="S199" s="655"/>
      <c r="T199" s="655"/>
      <c r="U199" s="655"/>
      <c r="V199" s="655"/>
    </row>
    <row r="200" spans="1:22">
      <c r="A200" s="677"/>
      <c r="B200" s="655"/>
      <c r="C200" s="686"/>
      <c r="D200" s="686"/>
      <c r="E200" s="655"/>
      <c r="F200" s="655"/>
      <c r="G200" s="655"/>
      <c r="H200" s="655"/>
      <c r="I200" s="655"/>
      <c r="J200" s="655"/>
      <c r="K200" s="655"/>
      <c r="L200" s="686"/>
      <c r="M200" s="655"/>
      <c r="N200" s="655"/>
      <c r="O200" s="655"/>
      <c r="P200" s="655"/>
      <c r="Q200" s="655"/>
      <c r="R200" s="655"/>
      <c r="S200" s="655"/>
      <c r="T200" s="655"/>
      <c r="U200" s="655"/>
      <c r="V200" s="655"/>
    </row>
    <row r="201" spans="1:22">
      <c r="A201" s="677"/>
      <c r="B201" s="655"/>
      <c r="C201" s="686"/>
      <c r="D201" s="686"/>
      <c r="E201" s="655"/>
      <c r="F201" s="655"/>
      <c r="G201" s="655"/>
      <c r="H201" s="655"/>
      <c r="I201" s="655"/>
      <c r="J201" s="655"/>
      <c r="K201" s="655"/>
      <c r="L201" s="686"/>
      <c r="M201" s="655"/>
      <c r="N201" s="655"/>
      <c r="O201" s="655"/>
      <c r="P201" s="655"/>
      <c r="Q201" s="655"/>
      <c r="R201" s="655"/>
      <c r="S201" s="655"/>
      <c r="T201" s="655"/>
      <c r="U201" s="655"/>
      <c r="V201" s="655"/>
    </row>
    <row r="202" spans="1:22">
      <c r="A202" s="677"/>
      <c r="B202" s="655"/>
      <c r="C202" s="686"/>
      <c r="D202" s="686"/>
      <c r="E202" s="655"/>
      <c r="F202" s="655"/>
      <c r="G202" s="655"/>
      <c r="H202" s="655"/>
      <c r="I202" s="655"/>
      <c r="J202" s="655"/>
      <c r="K202" s="655"/>
      <c r="L202" s="686"/>
      <c r="M202" s="655"/>
      <c r="N202" s="655"/>
      <c r="O202" s="655"/>
      <c r="P202" s="655"/>
      <c r="Q202" s="655"/>
      <c r="R202" s="655"/>
      <c r="S202" s="655"/>
      <c r="T202" s="655"/>
      <c r="U202" s="655"/>
      <c r="V202" s="655"/>
    </row>
    <row r="203" spans="1:22">
      <c r="A203" s="677"/>
      <c r="B203" s="655"/>
      <c r="C203" s="686"/>
      <c r="D203" s="686"/>
      <c r="E203" s="655"/>
      <c r="F203" s="655"/>
      <c r="G203" s="655"/>
      <c r="H203" s="655"/>
      <c r="I203" s="655"/>
      <c r="J203" s="655"/>
      <c r="K203" s="655"/>
      <c r="L203" s="686"/>
      <c r="M203" s="655"/>
      <c r="N203" s="655"/>
      <c r="O203" s="655"/>
      <c r="P203" s="655"/>
      <c r="Q203" s="655"/>
      <c r="R203" s="655"/>
      <c r="S203" s="655"/>
      <c r="T203" s="655"/>
      <c r="U203" s="655"/>
      <c r="V203" s="655"/>
    </row>
    <row r="204" spans="1:22">
      <c r="A204" s="677"/>
      <c r="B204" s="655"/>
      <c r="C204" s="686"/>
      <c r="D204" s="686"/>
      <c r="E204" s="655"/>
      <c r="F204" s="655"/>
      <c r="G204" s="655"/>
      <c r="H204" s="655"/>
      <c r="I204" s="655"/>
      <c r="J204" s="655"/>
      <c r="K204" s="655"/>
      <c r="L204" s="686"/>
      <c r="M204" s="655"/>
      <c r="N204" s="655"/>
      <c r="O204" s="655"/>
      <c r="P204" s="655"/>
      <c r="Q204" s="655"/>
      <c r="R204" s="655"/>
      <c r="S204" s="655"/>
      <c r="T204" s="655"/>
      <c r="U204" s="655"/>
      <c r="V204" s="655"/>
    </row>
    <row r="205" spans="1:22">
      <c r="A205" s="677"/>
      <c r="B205" s="655"/>
      <c r="C205" s="686"/>
      <c r="D205" s="686"/>
      <c r="E205" s="655"/>
      <c r="F205" s="655"/>
      <c r="G205" s="655"/>
      <c r="H205" s="655"/>
      <c r="I205" s="655"/>
      <c r="J205" s="655"/>
      <c r="K205" s="655"/>
      <c r="L205" s="686"/>
      <c r="M205" s="655"/>
      <c r="N205" s="655"/>
      <c r="O205" s="655"/>
      <c r="P205" s="655"/>
      <c r="Q205" s="655"/>
      <c r="R205" s="655"/>
      <c r="S205" s="655"/>
      <c r="T205" s="655"/>
      <c r="U205" s="655"/>
      <c r="V205" s="655"/>
    </row>
    <row r="206" spans="1:22">
      <c r="A206" s="677"/>
      <c r="B206" s="655"/>
      <c r="C206" s="686"/>
      <c r="D206" s="686"/>
      <c r="E206" s="655"/>
      <c r="F206" s="655"/>
      <c r="G206" s="655"/>
      <c r="H206" s="655"/>
      <c r="I206" s="655"/>
      <c r="J206" s="655"/>
      <c r="K206" s="655"/>
      <c r="L206" s="686"/>
      <c r="M206" s="655"/>
      <c r="N206" s="655"/>
      <c r="O206" s="655"/>
      <c r="P206" s="655"/>
      <c r="Q206" s="655"/>
      <c r="R206" s="655"/>
      <c r="S206" s="655"/>
      <c r="T206" s="655"/>
      <c r="U206" s="655"/>
      <c r="V206" s="655"/>
    </row>
    <row r="207" spans="1:22">
      <c r="A207" s="677"/>
      <c r="B207" s="655"/>
      <c r="C207" s="686"/>
      <c r="D207" s="686"/>
      <c r="E207" s="655"/>
      <c r="F207" s="655"/>
      <c r="G207" s="655"/>
      <c r="H207" s="655"/>
      <c r="I207" s="655"/>
      <c r="J207" s="655"/>
      <c r="K207" s="655"/>
      <c r="L207" s="686"/>
      <c r="M207" s="655"/>
      <c r="N207" s="655"/>
      <c r="O207" s="655"/>
      <c r="P207" s="655"/>
      <c r="Q207" s="655"/>
      <c r="R207" s="655"/>
      <c r="S207" s="655"/>
      <c r="T207" s="655"/>
      <c r="U207" s="655"/>
      <c r="V207" s="655"/>
    </row>
    <row r="208" spans="1:22">
      <c r="A208" s="677"/>
      <c r="B208" s="655"/>
      <c r="C208" s="686"/>
      <c r="D208" s="686"/>
      <c r="E208" s="655"/>
      <c r="F208" s="655"/>
      <c r="G208" s="655"/>
      <c r="H208" s="655"/>
      <c r="I208" s="655"/>
      <c r="J208" s="655"/>
      <c r="K208" s="655"/>
      <c r="L208" s="686"/>
      <c r="M208" s="655"/>
      <c r="N208" s="655"/>
      <c r="O208" s="655"/>
      <c r="P208" s="655"/>
      <c r="Q208" s="655"/>
      <c r="R208" s="655"/>
      <c r="S208" s="655"/>
      <c r="T208" s="655"/>
      <c r="U208" s="655"/>
      <c r="V208" s="655"/>
    </row>
    <row r="209" spans="1:22">
      <c r="A209" s="677"/>
      <c r="B209" s="655"/>
      <c r="C209" s="686"/>
      <c r="D209" s="686"/>
      <c r="E209" s="655"/>
      <c r="F209" s="655"/>
      <c r="G209" s="655"/>
      <c r="H209" s="655"/>
      <c r="I209" s="655"/>
      <c r="J209" s="655"/>
      <c r="K209" s="655"/>
      <c r="L209" s="686"/>
      <c r="M209" s="655"/>
      <c r="N209" s="655"/>
      <c r="O209" s="655"/>
      <c r="P209" s="655"/>
      <c r="Q209" s="655"/>
      <c r="R209" s="655"/>
      <c r="S209" s="655"/>
      <c r="T209" s="655"/>
      <c r="U209" s="655"/>
      <c r="V209" s="655"/>
    </row>
    <row r="210" spans="1:22">
      <c r="A210" s="677"/>
      <c r="B210" s="655"/>
      <c r="C210" s="686"/>
      <c r="D210" s="686"/>
      <c r="E210" s="655"/>
      <c r="F210" s="655"/>
      <c r="G210" s="655"/>
      <c r="H210" s="655"/>
      <c r="I210" s="655"/>
      <c r="J210" s="655"/>
      <c r="K210" s="655"/>
      <c r="L210" s="686"/>
      <c r="M210" s="655"/>
      <c r="N210" s="655"/>
      <c r="O210" s="655"/>
      <c r="P210" s="655"/>
      <c r="Q210" s="655"/>
      <c r="R210" s="655"/>
      <c r="S210" s="655"/>
      <c r="T210" s="655"/>
      <c r="U210" s="655"/>
      <c r="V210" s="655"/>
    </row>
    <row r="211" spans="1:22">
      <c r="A211" s="677"/>
      <c r="B211" s="655"/>
      <c r="C211" s="686"/>
      <c r="D211" s="686"/>
      <c r="E211" s="655"/>
      <c r="F211" s="655"/>
      <c r="G211" s="655"/>
      <c r="H211" s="655"/>
      <c r="I211" s="655"/>
      <c r="J211" s="655"/>
      <c r="K211" s="655"/>
      <c r="L211" s="686"/>
      <c r="M211" s="655"/>
      <c r="N211" s="655"/>
      <c r="O211" s="655"/>
      <c r="P211" s="655"/>
      <c r="Q211" s="655"/>
      <c r="R211" s="655"/>
      <c r="S211" s="655"/>
      <c r="T211" s="655"/>
      <c r="U211" s="655"/>
      <c r="V211" s="655"/>
    </row>
    <row r="212" spans="1:22">
      <c r="A212" s="677"/>
      <c r="B212" s="655"/>
      <c r="C212" s="686"/>
      <c r="D212" s="686"/>
      <c r="E212" s="655"/>
      <c r="F212" s="655"/>
      <c r="G212" s="655"/>
      <c r="H212" s="655"/>
      <c r="I212" s="655"/>
      <c r="J212" s="655"/>
      <c r="K212" s="655"/>
      <c r="L212" s="686"/>
      <c r="M212" s="655"/>
      <c r="N212" s="655"/>
      <c r="O212" s="655"/>
      <c r="P212" s="655"/>
      <c r="Q212" s="655"/>
      <c r="R212" s="655"/>
      <c r="S212" s="655"/>
      <c r="T212" s="655"/>
      <c r="U212" s="655"/>
      <c r="V212" s="655"/>
    </row>
    <row r="213" spans="1:22">
      <c r="A213" s="677"/>
      <c r="B213" s="655"/>
      <c r="C213" s="686"/>
      <c r="D213" s="686"/>
      <c r="E213" s="655"/>
      <c r="F213" s="655"/>
      <c r="G213" s="655"/>
      <c r="H213" s="655"/>
      <c r="I213" s="655"/>
      <c r="J213" s="655"/>
      <c r="K213" s="655"/>
      <c r="L213" s="686"/>
      <c r="M213" s="655"/>
      <c r="N213" s="655"/>
      <c r="O213" s="655"/>
      <c r="P213" s="655"/>
      <c r="Q213" s="655"/>
      <c r="R213" s="655"/>
      <c r="S213" s="655"/>
      <c r="T213" s="655"/>
      <c r="U213" s="655"/>
      <c r="V213" s="655"/>
    </row>
    <row r="214" spans="1:22">
      <c r="A214" s="677"/>
      <c r="B214" s="655"/>
      <c r="C214" s="686"/>
      <c r="D214" s="686"/>
      <c r="E214" s="655"/>
      <c r="F214" s="655"/>
      <c r="G214" s="655"/>
      <c r="H214" s="655"/>
      <c r="I214" s="655"/>
      <c r="J214" s="655"/>
      <c r="K214" s="655"/>
      <c r="L214" s="686"/>
      <c r="M214" s="655"/>
      <c r="N214" s="655"/>
      <c r="O214" s="655"/>
      <c r="P214" s="655"/>
      <c r="Q214" s="655"/>
      <c r="R214" s="655"/>
      <c r="S214" s="655"/>
      <c r="T214" s="655"/>
      <c r="U214" s="655"/>
      <c r="V214" s="655"/>
    </row>
    <row r="215" spans="1:22">
      <c r="A215" s="677"/>
      <c r="B215" s="655"/>
      <c r="C215" s="686"/>
      <c r="D215" s="686"/>
      <c r="E215" s="655"/>
      <c r="F215" s="655"/>
      <c r="G215" s="655"/>
      <c r="H215" s="655"/>
      <c r="I215" s="655"/>
      <c r="J215" s="655"/>
      <c r="K215" s="655"/>
      <c r="L215" s="686"/>
      <c r="M215" s="655"/>
      <c r="N215" s="655"/>
      <c r="O215" s="655"/>
      <c r="P215" s="655"/>
      <c r="Q215" s="655"/>
      <c r="R215" s="655"/>
      <c r="S215" s="655"/>
      <c r="T215" s="655"/>
      <c r="U215" s="655"/>
      <c r="V215" s="655"/>
    </row>
    <row r="216" spans="1:22">
      <c r="A216" s="677"/>
      <c r="B216" s="655"/>
      <c r="C216" s="686"/>
      <c r="D216" s="686"/>
      <c r="E216" s="655"/>
      <c r="F216" s="655"/>
      <c r="G216" s="655"/>
      <c r="H216" s="655"/>
      <c r="I216" s="655"/>
      <c r="J216" s="655"/>
      <c r="K216" s="655"/>
      <c r="L216" s="686"/>
      <c r="M216" s="655"/>
      <c r="N216" s="655"/>
      <c r="O216" s="655"/>
      <c r="P216" s="655"/>
      <c r="Q216" s="655"/>
      <c r="R216" s="655"/>
      <c r="S216" s="655"/>
      <c r="T216" s="655"/>
      <c r="U216" s="655"/>
      <c r="V216" s="655"/>
    </row>
    <row r="217" spans="1:22">
      <c r="A217" s="677"/>
      <c r="B217" s="655"/>
      <c r="C217" s="686"/>
      <c r="D217" s="686"/>
      <c r="E217" s="655"/>
      <c r="F217" s="655"/>
      <c r="G217" s="655"/>
      <c r="H217" s="655"/>
      <c r="I217" s="655"/>
      <c r="J217" s="655"/>
      <c r="K217" s="655"/>
      <c r="L217" s="686"/>
      <c r="M217" s="655"/>
      <c r="N217" s="655"/>
      <c r="O217" s="655"/>
      <c r="P217" s="655"/>
      <c r="Q217" s="655"/>
      <c r="R217" s="655"/>
      <c r="S217" s="655"/>
      <c r="T217" s="655"/>
      <c r="U217" s="655"/>
      <c r="V217" s="655"/>
    </row>
    <row r="218" spans="1:22">
      <c r="A218" s="677"/>
      <c r="B218" s="655"/>
      <c r="C218" s="686"/>
      <c r="D218" s="686"/>
      <c r="E218" s="655"/>
      <c r="F218" s="655"/>
      <c r="G218" s="655"/>
      <c r="H218" s="655"/>
      <c r="I218" s="655"/>
      <c r="J218" s="655"/>
      <c r="K218" s="655"/>
      <c r="L218" s="686"/>
      <c r="M218" s="655"/>
      <c r="N218" s="655"/>
      <c r="O218" s="655"/>
      <c r="P218" s="655"/>
      <c r="Q218" s="655"/>
      <c r="R218" s="655"/>
      <c r="S218" s="655"/>
      <c r="T218" s="655"/>
      <c r="U218" s="655"/>
      <c r="V218" s="655"/>
    </row>
    <row r="219" spans="1:22">
      <c r="A219" s="677"/>
      <c r="B219" s="655"/>
      <c r="C219" s="686"/>
      <c r="D219" s="686"/>
      <c r="E219" s="655"/>
      <c r="F219" s="655"/>
      <c r="G219" s="655"/>
      <c r="H219" s="655"/>
      <c r="I219" s="655"/>
      <c r="J219" s="655"/>
      <c r="K219" s="655"/>
      <c r="L219" s="686"/>
      <c r="M219" s="655"/>
      <c r="N219" s="655"/>
      <c r="O219" s="655"/>
      <c r="P219" s="655"/>
      <c r="Q219" s="655"/>
      <c r="R219" s="655"/>
      <c r="S219" s="655"/>
      <c r="T219" s="655"/>
      <c r="U219" s="655"/>
      <c r="V219" s="655"/>
    </row>
    <row r="220" spans="1:22">
      <c r="A220" s="677"/>
      <c r="B220" s="655"/>
      <c r="C220" s="686"/>
      <c r="D220" s="686"/>
      <c r="E220" s="655"/>
      <c r="F220" s="655"/>
      <c r="G220" s="655"/>
      <c r="H220" s="655"/>
      <c r="I220" s="655"/>
      <c r="J220" s="655"/>
      <c r="K220" s="655"/>
      <c r="L220" s="686"/>
      <c r="M220" s="655"/>
      <c r="N220" s="655"/>
      <c r="O220" s="655"/>
      <c r="P220" s="655"/>
      <c r="Q220" s="655"/>
      <c r="R220" s="655"/>
      <c r="S220" s="655"/>
      <c r="T220" s="655"/>
      <c r="U220" s="655"/>
      <c r="V220" s="655"/>
    </row>
    <row r="221" spans="1:22">
      <c r="A221" s="677"/>
      <c r="B221" s="655"/>
      <c r="C221" s="686"/>
      <c r="D221" s="686"/>
      <c r="E221" s="655"/>
      <c r="F221" s="655"/>
      <c r="G221" s="655"/>
      <c r="H221" s="655"/>
      <c r="I221" s="655"/>
      <c r="J221" s="655"/>
      <c r="K221" s="655"/>
      <c r="L221" s="686"/>
      <c r="M221" s="655"/>
      <c r="N221" s="655"/>
      <c r="O221" s="655"/>
      <c r="P221" s="655"/>
      <c r="Q221" s="655"/>
      <c r="R221" s="655"/>
      <c r="S221" s="655"/>
      <c r="T221" s="655"/>
      <c r="U221" s="655"/>
      <c r="V221" s="655"/>
    </row>
    <row r="222" spans="1:22">
      <c r="A222" s="677"/>
      <c r="B222" s="655"/>
      <c r="C222" s="686"/>
      <c r="D222" s="686"/>
      <c r="E222" s="655"/>
      <c r="F222" s="655"/>
      <c r="G222" s="655"/>
      <c r="H222" s="655"/>
      <c r="I222" s="655"/>
      <c r="J222" s="655"/>
      <c r="K222" s="655"/>
      <c r="L222" s="686"/>
      <c r="M222" s="655"/>
      <c r="N222" s="655"/>
      <c r="O222" s="655"/>
      <c r="P222" s="655"/>
      <c r="Q222" s="655"/>
      <c r="R222" s="655"/>
      <c r="S222" s="655"/>
      <c r="T222" s="655"/>
      <c r="U222" s="655"/>
      <c r="V222" s="655"/>
    </row>
    <row r="223" spans="1:22">
      <c r="A223" s="677"/>
      <c r="B223" s="655"/>
      <c r="C223" s="686"/>
      <c r="D223" s="686"/>
      <c r="E223" s="655"/>
      <c r="F223" s="655"/>
      <c r="G223" s="655"/>
      <c r="H223" s="655"/>
      <c r="I223" s="655"/>
      <c r="J223" s="655"/>
      <c r="K223" s="655"/>
      <c r="L223" s="686"/>
      <c r="M223" s="655"/>
      <c r="N223" s="655"/>
      <c r="O223" s="655"/>
      <c r="P223" s="655"/>
      <c r="Q223" s="655"/>
      <c r="R223" s="655"/>
      <c r="S223" s="655"/>
      <c r="T223" s="655"/>
      <c r="U223" s="655"/>
      <c r="V223" s="655"/>
    </row>
    <row r="224" spans="1:22">
      <c r="A224" s="677"/>
      <c r="B224" s="655"/>
      <c r="C224" s="686"/>
      <c r="D224" s="686"/>
      <c r="E224" s="655"/>
      <c r="F224" s="655"/>
      <c r="G224" s="655"/>
      <c r="H224" s="655"/>
      <c r="I224" s="655"/>
      <c r="J224" s="655"/>
      <c r="K224" s="655"/>
      <c r="L224" s="686"/>
      <c r="M224" s="655"/>
      <c r="N224" s="655"/>
      <c r="O224" s="655"/>
      <c r="P224" s="655"/>
      <c r="Q224" s="655"/>
      <c r="R224" s="655"/>
      <c r="S224" s="655"/>
      <c r="T224" s="655"/>
      <c r="U224" s="655"/>
      <c r="V224" s="655"/>
    </row>
    <row r="225" spans="1:22">
      <c r="A225" s="677"/>
      <c r="B225" s="655"/>
      <c r="C225" s="686"/>
      <c r="D225" s="686"/>
      <c r="E225" s="655"/>
      <c r="F225" s="655"/>
      <c r="G225" s="655"/>
      <c r="H225" s="655"/>
      <c r="I225" s="655"/>
      <c r="J225" s="655"/>
      <c r="K225" s="655"/>
      <c r="L225" s="686"/>
      <c r="M225" s="655"/>
      <c r="N225" s="655"/>
      <c r="O225" s="655"/>
      <c r="P225" s="655"/>
      <c r="Q225" s="655"/>
      <c r="R225" s="655"/>
      <c r="S225" s="655"/>
      <c r="T225" s="655"/>
      <c r="U225" s="655"/>
      <c r="V225" s="655"/>
    </row>
    <row r="226" spans="1:22">
      <c r="A226" s="677"/>
      <c r="B226" s="655"/>
      <c r="C226" s="686"/>
      <c r="D226" s="686"/>
      <c r="E226" s="655"/>
      <c r="F226" s="655"/>
      <c r="G226" s="655"/>
      <c r="H226" s="655"/>
      <c r="I226" s="655"/>
      <c r="J226" s="655"/>
      <c r="K226" s="655"/>
      <c r="L226" s="686"/>
      <c r="M226" s="655"/>
      <c r="N226" s="655"/>
      <c r="O226" s="655"/>
      <c r="P226" s="655"/>
      <c r="Q226" s="655"/>
      <c r="R226" s="655"/>
      <c r="S226" s="655"/>
      <c r="T226" s="655"/>
      <c r="U226" s="655"/>
      <c r="V226" s="655"/>
    </row>
    <row r="227" spans="1:22">
      <c r="A227" s="677"/>
      <c r="B227" s="655"/>
      <c r="C227" s="686"/>
      <c r="D227" s="686"/>
      <c r="E227" s="655"/>
      <c r="F227" s="655"/>
      <c r="G227" s="655"/>
      <c r="H227" s="655"/>
      <c r="I227" s="655"/>
      <c r="J227" s="655"/>
      <c r="K227" s="655"/>
      <c r="L227" s="686"/>
      <c r="M227" s="655"/>
      <c r="N227" s="655"/>
      <c r="O227" s="655"/>
      <c r="P227" s="655"/>
      <c r="Q227" s="655"/>
      <c r="R227" s="655"/>
      <c r="S227" s="655"/>
      <c r="T227" s="655"/>
      <c r="U227" s="655"/>
      <c r="V227" s="655"/>
    </row>
    <row r="228" spans="1:22">
      <c r="A228" s="677"/>
      <c r="B228" s="655"/>
      <c r="C228" s="686"/>
      <c r="D228" s="686"/>
      <c r="E228" s="655"/>
      <c r="F228" s="655"/>
      <c r="G228" s="655"/>
      <c r="H228" s="655"/>
      <c r="I228" s="655"/>
      <c r="J228" s="655"/>
      <c r="K228" s="655"/>
      <c r="L228" s="686"/>
      <c r="M228" s="655"/>
      <c r="N228" s="655"/>
      <c r="O228" s="655"/>
      <c r="P228" s="655"/>
      <c r="Q228" s="655"/>
      <c r="R228" s="655"/>
      <c r="S228" s="655"/>
      <c r="T228" s="655"/>
      <c r="U228" s="655"/>
      <c r="V228" s="655"/>
    </row>
    <row r="229" spans="1:22">
      <c r="A229" s="677"/>
      <c r="B229" s="655"/>
      <c r="C229" s="686"/>
      <c r="D229" s="686"/>
      <c r="E229" s="655"/>
      <c r="F229" s="655"/>
      <c r="G229" s="655"/>
      <c r="H229" s="655"/>
      <c r="I229" s="655"/>
      <c r="J229" s="655"/>
      <c r="K229" s="655"/>
      <c r="L229" s="686"/>
      <c r="M229" s="655"/>
      <c r="N229" s="655"/>
      <c r="O229" s="655"/>
      <c r="P229" s="655"/>
      <c r="Q229" s="655"/>
      <c r="R229" s="655"/>
      <c r="S229" s="655"/>
      <c r="T229" s="655"/>
      <c r="U229" s="655"/>
      <c r="V229" s="655"/>
    </row>
    <row r="230" spans="1:22">
      <c r="A230" s="677"/>
      <c r="B230" s="655"/>
      <c r="C230" s="686"/>
      <c r="D230" s="686"/>
      <c r="E230" s="655"/>
      <c r="F230" s="655"/>
      <c r="G230" s="655"/>
      <c r="H230" s="655"/>
      <c r="I230" s="655"/>
      <c r="J230" s="655"/>
      <c r="K230" s="655"/>
      <c r="L230" s="686"/>
      <c r="M230" s="655"/>
      <c r="N230" s="655"/>
      <c r="O230" s="655"/>
      <c r="P230" s="655"/>
      <c r="Q230" s="655"/>
      <c r="R230" s="655"/>
      <c r="S230" s="655"/>
      <c r="T230" s="655"/>
      <c r="U230" s="655"/>
      <c r="V230" s="655"/>
    </row>
    <row r="231" spans="1:22">
      <c r="A231" s="677"/>
      <c r="B231" s="655"/>
      <c r="C231" s="686"/>
      <c r="D231" s="686"/>
      <c r="E231" s="655"/>
      <c r="F231" s="655"/>
      <c r="G231" s="655"/>
      <c r="H231" s="655"/>
      <c r="I231" s="655"/>
      <c r="J231" s="655"/>
      <c r="K231" s="655"/>
      <c r="L231" s="686"/>
      <c r="M231" s="655"/>
      <c r="N231" s="655"/>
      <c r="O231" s="655"/>
      <c r="P231" s="655"/>
      <c r="Q231" s="655"/>
      <c r="R231" s="655"/>
      <c r="S231" s="655"/>
      <c r="T231" s="655"/>
      <c r="U231" s="655"/>
      <c r="V231" s="655"/>
    </row>
    <row r="232" spans="1:22">
      <c r="A232" s="677"/>
      <c r="B232" s="655"/>
      <c r="C232" s="686"/>
      <c r="D232" s="686"/>
      <c r="E232" s="655"/>
      <c r="F232" s="655"/>
      <c r="G232" s="655"/>
      <c r="H232" s="655"/>
      <c r="I232" s="655"/>
      <c r="J232" s="655"/>
      <c r="K232" s="655"/>
      <c r="L232" s="686"/>
      <c r="M232" s="655"/>
      <c r="N232" s="655"/>
      <c r="O232" s="655"/>
      <c r="P232" s="655"/>
      <c r="Q232" s="655"/>
      <c r="R232" s="655"/>
      <c r="S232" s="655"/>
      <c r="T232" s="655"/>
      <c r="U232" s="655"/>
      <c r="V232" s="655"/>
    </row>
    <row r="233" spans="1:22">
      <c r="A233" s="677"/>
      <c r="B233" s="655"/>
      <c r="C233" s="686"/>
      <c r="D233" s="686"/>
      <c r="E233" s="655"/>
      <c r="F233" s="655"/>
      <c r="G233" s="655"/>
      <c r="H233" s="655"/>
      <c r="I233" s="655"/>
      <c r="J233" s="655"/>
      <c r="K233" s="655"/>
      <c r="L233" s="686"/>
      <c r="M233" s="655"/>
      <c r="N233" s="655"/>
      <c r="O233" s="655"/>
      <c r="P233" s="655"/>
      <c r="Q233" s="655"/>
      <c r="R233" s="655"/>
      <c r="S233" s="655"/>
      <c r="T233" s="655"/>
      <c r="U233" s="655"/>
      <c r="V233" s="655"/>
    </row>
    <row r="234" spans="1:22">
      <c r="A234" s="677"/>
      <c r="B234" s="655"/>
      <c r="C234" s="686"/>
      <c r="D234" s="686"/>
      <c r="E234" s="655"/>
      <c r="F234" s="655"/>
      <c r="G234" s="655"/>
      <c r="H234" s="655"/>
      <c r="I234" s="655"/>
      <c r="J234" s="655"/>
      <c r="K234" s="655"/>
      <c r="L234" s="686"/>
      <c r="M234" s="655"/>
      <c r="N234" s="655"/>
      <c r="O234" s="655"/>
      <c r="P234" s="655"/>
      <c r="Q234" s="655"/>
      <c r="R234" s="655"/>
      <c r="S234" s="655"/>
      <c r="T234" s="655"/>
      <c r="U234" s="655"/>
      <c r="V234" s="655"/>
    </row>
    <row r="235" spans="1:22">
      <c r="A235" s="677"/>
      <c r="B235" s="655"/>
      <c r="C235" s="686"/>
      <c r="D235" s="686"/>
      <c r="E235" s="655"/>
      <c r="F235" s="655"/>
      <c r="G235" s="655"/>
      <c r="H235" s="655"/>
      <c r="I235" s="655"/>
      <c r="J235" s="655"/>
      <c r="K235" s="655"/>
      <c r="L235" s="686"/>
      <c r="M235" s="655"/>
      <c r="N235" s="655"/>
      <c r="O235" s="655"/>
      <c r="P235" s="655"/>
      <c r="Q235" s="655"/>
      <c r="R235" s="655"/>
      <c r="S235" s="655"/>
      <c r="T235" s="655"/>
      <c r="U235" s="655"/>
      <c r="V235" s="655"/>
    </row>
    <row r="236" spans="1:22">
      <c r="A236" s="677"/>
      <c r="B236" s="655"/>
      <c r="C236" s="686"/>
      <c r="D236" s="686"/>
      <c r="E236" s="655"/>
      <c r="F236" s="655"/>
      <c r="G236" s="655"/>
      <c r="H236" s="655"/>
      <c r="I236" s="655"/>
      <c r="J236" s="655"/>
      <c r="K236" s="655"/>
      <c r="L236" s="686"/>
      <c r="M236" s="655"/>
      <c r="N236" s="655"/>
      <c r="O236" s="655"/>
      <c r="P236" s="655"/>
      <c r="Q236" s="655"/>
      <c r="R236" s="655"/>
      <c r="S236" s="655"/>
      <c r="T236" s="655"/>
      <c r="U236" s="655"/>
      <c r="V236" s="655"/>
    </row>
    <row r="237" spans="1:22">
      <c r="A237" s="677"/>
      <c r="B237" s="655"/>
      <c r="C237" s="686"/>
      <c r="D237" s="686"/>
      <c r="E237" s="655"/>
      <c r="F237" s="655"/>
      <c r="G237" s="655"/>
      <c r="H237" s="655"/>
      <c r="I237" s="655"/>
      <c r="J237" s="655"/>
      <c r="K237" s="655"/>
      <c r="L237" s="686"/>
      <c r="M237" s="655"/>
      <c r="N237" s="655"/>
      <c r="O237" s="655"/>
      <c r="P237" s="655"/>
      <c r="Q237" s="655"/>
      <c r="R237" s="655"/>
      <c r="S237" s="655"/>
      <c r="T237" s="655"/>
      <c r="U237" s="655"/>
      <c r="V237" s="655"/>
    </row>
    <row r="238" spans="1:22">
      <c r="A238" s="677"/>
      <c r="B238" s="655"/>
      <c r="C238" s="686"/>
      <c r="D238" s="686"/>
      <c r="E238" s="655"/>
      <c r="F238" s="655"/>
      <c r="G238" s="655"/>
      <c r="H238" s="655"/>
      <c r="I238" s="655"/>
      <c r="J238" s="655"/>
      <c r="K238" s="655"/>
      <c r="L238" s="686"/>
      <c r="M238" s="655"/>
      <c r="N238" s="655"/>
      <c r="O238" s="655"/>
      <c r="P238" s="655"/>
      <c r="Q238" s="655"/>
      <c r="R238" s="655"/>
      <c r="S238" s="655"/>
      <c r="T238" s="655"/>
      <c r="U238" s="655"/>
      <c r="V238" s="655"/>
    </row>
    <row r="239" spans="1:22">
      <c r="A239" s="677"/>
      <c r="B239" s="655"/>
      <c r="C239" s="686"/>
      <c r="D239" s="686"/>
      <c r="E239" s="655"/>
      <c r="F239" s="655"/>
      <c r="G239" s="655"/>
      <c r="H239" s="655"/>
      <c r="I239" s="655"/>
      <c r="J239" s="655"/>
      <c r="K239" s="655"/>
      <c r="L239" s="686"/>
      <c r="M239" s="655"/>
      <c r="N239" s="655"/>
      <c r="O239" s="655"/>
      <c r="P239" s="655"/>
      <c r="Q239" s="655"/>
      <c r="R239" s="655"/>
      <c r="S239" s="655"/>
      <c r="T239" s="655"/>
      <c r="U239" s="655"/>
      <c r="V239" s="655"/>
    </row>
    <row r="240" spans="1:22">
      <c r="A240" s="677"/>
      <c r="B240" s="655"/>
      <c r="C240" s="686"/>
      <c r="D240" s="686"/>
      <c r="E240" s="655"/>
      <c r="F240" s="655"/>
      <c r="G240" s="655"/>
      <c r="H240" s="655"/>
      <c r="I240" s="655"/>
      <c r="J240" s="655"/>
      <c r="K240" s="655"/>
      <c r="L240" s="686"/>
      <c r="M240" s="655"/>
      <c r="N240" s="655"/>
      <c r="O240" s="655"/>
      <c r="P240" s="655"/>
      <c r="Q240" s="655"/>
      <c r="R240" s="655"/>
      <c r="S240" s="655"/>
      <c r="T240" s="655"/>
      <c r="U240" s="655"/>
      <c r="V240" s="655"/>
    </row>
    <row r="241" spans="1:22">
      <c r="A241" s="677"/>
      <c r="B241" s="655"/>
      <c r="C241" s="686"/>
      <c r="D241" s="686"/>
      <c r="E241" s="655"/>
      <c r="F241" s="655"/>
      <c r="G241" s="655"/>
      <c r="H241" s="655"/>
      <c r="I241" s="655"/>
      <c r="J241" s="655"/>
      <c r="K241" s="655"/>
      <c r="L241" s="686"/>
      <c r="M241" s="655"/>
      <c r="N241" s="655"/>
      <c r="O241" s="655"/>
      <c r="P241" s="655"/>
      <c r="Q241" s="655"/>
      <c r="R241" s="655"/>
      <c r="S241" s="655"/>
      <c r="T241" s="655"/>
      <c r="U241" s="655"/>
      <c r="V241" s="655"/>
    </row>
    <row r="242" spans="1:22">
      <c r="A242" s="677"/>
      <c r="B242" s="655"/>
      <c r="C242" s="686"/>
      <c r="D242" s="686"/>
      <c r="E242" s="655"/>
      <c r="F242" s="655"/>
      <c r="G242" s="655"/>
      <c r="H242" s="655"/>
      <c r="I242" s="655"/>
      <c r="J242" s="655"/>
      <c r="K242" s="655"/>
      <c r="L242" s="686"/>
      <c r="M242" s="655"/>
      <c r="N242" s="655"/>
      <c r="O242" s="655"/>
      <c r="P242" s="655"/>
      <c r="Q242" s="655"/>
      <c r="R242" s="655"/>
      <c r="S242" s="655"/>
      <c r="T242" s="655"/>
      <c r="U242" s="655"/>
      <c r="V242" s="655"/>
    </row>
    <row r="243" spans="1:22">
      <c r="A243" s="677"/>
      <c r="B243" s="655"/>
      <c r="C243" s="686"/>
      <c r="D243" s="686"/>
      <c r="E243" s="655"/>
      <c r="F243" s="655"/>
      <c r="G243" s="655"/>
      <c r="H243" s="655"/>
      <c r="I243" s="655"/>
      <c r="J243" s="655"/>
      <c r="K243" s="655"/>
      <c r="L243" s="686"/>
      <c r="M243" s="655"/>
      <c r="N243" s="655"/>
      <c r="O243" s="655"/>
      <c r="P243" s="655"/>
      <c r="Q243" s="655"/>
      <c r="R243" s="655"/>
      <c r="S243" s="655"/>
      <c r="T243" s="655"/>
      <c r="U243" s="655"/>
      <c r="V243" s="655"/>
    </row>
    <row r="244" spans="1:22">
      <c r="A244" s="677"/>
      <c r="B244" s="655"/>
      <c r="C244" s="686"/>
      <c r="D244" s="686"/>
      <c r="E244" s="655"/>
      <c r="F244" s="655"/>
      <c r="G244" s="655"/>
      <c r="H244" s="655"/>
      <c r="I244" s="655"/>
      <c r="J244" s="655"/>
      <c r="K244" s="655"/>
      <c r="L244" s="686"/>
      <c r="M244" s="655"/>
      <c r="N244" s="655"/>
      <c r="O244" s="655"/>
      <c r="P244" s="655"/>
      <c r="Q244" s="655"/>
      <c r="R244" s="655"/>
      <c r="S244" s="655"/>
      <c r="T244" s="655"/>
      <c r="U244" s="655"/>
      <c r="V244" s="655"/>
    </row>
    <row r="245" spans="1:22">
      <c r="A245" s="677"/>
      <c r="B245" s="655"/>
      <c r="C245" s="686"/>
      <c r="D245" s="686"/>
      <c r="E245" s="655"/>
      <c r="F245" s="655"/>
      <c r="G245" s="655"/>
      <c r="H245" s="655"/>
      <c r="I245" s="655"/>
      <c r="J245" s="655"/>
      <c r="K245" s="655"/>
      <c r="L245" s="686"/>
      <c r="M245" s="655"/>
      <c r="N245" s="655"/>
      <c r="O245" s="655"/>
      <c r="P245" s="655"/>
      <c r="Q245" s="655"/>
      <c r="R245" s="655"/>
      <c r="S245" s="655"/>
      <c r="T245" s="655"/>
      <c r="U245" s="655"/>
      <c r="V245" s="655"/>
    </row>
    <row r="246" spans="1:22">
      <c r="A246" s="677"/>
      <c r="B246" s="655"/>
      <c r="C246" s="686"/>
      <c r="D246" s="686"/>
      <c r="E246" s="655"/>
      <c r="F246" s="655"/>
      <c r="G246" s="655"/>
      <c r="H246" s="655"/>
      <c r="I246" s="655"/>
      <c r="J246" s="655"/>
      <c r="K246" s="655"/>
      <c r="L246" s="686"/>
      <c r="M246" s="655"/>
      <c r="N246" s="655"/>
      <c r="O246" s="655"/>
      <c r="P246" s="655"/>
      <c r="Q246" s="655"/>
      <c r="R246" s="655"/>
      <c r="S246" s="655"/>
      <c r="T246" s="655"/>
      <c r="U246" s="655"/>
      <c r="V246" s="655"/>
    </row>
    <row r="247" spans="1:22">
      <c r="A247" s="677"/>
      <c r="B247" s="655"/>
      <c r="C247" s="686"/>
      <c r="D247" s="686"/>
      <c r="E247" s="655"/>
      <c r="F247" s="655"/>
      <c r="G247" s="655"/>
      <c r="H247" s="655"/>
      <c r="I247" s="655"/>
      <c r="J247" s="655"/>
      <c r="K247" s="655"/>
      <c r="L247" s="686"/>
      <c r="M247" s="655"/>
      <c r="N247" s="655"/>
      <c r="O247" s="655"/>
      <c r="P247" s="655"/>
      <c r="Q247" s="655"/>
      <c r="R247" s="655"/>
      <c r="S247" s="655"/>
      <c r="T247" s="655"/>
      <c r="U247" s="655"/>
      <c r="V247" s="655"/>
    </row>
    <row r="248" spans="1:22">
      <c r="A248" s="677"/>
      <c r="B248" s="655"/>
      <c r="C248" s="686"/>
      <c r="D248" s="686"/>
      <c r="E248" s="655"/>
      <c r="F248" s="655"/>
      <c r="G248" s="655"/>
      <c r="H248" s="655"/>
      <c r="I248" s="655"/>
      <c r="J248" s="655"/>
      <c r="K248" s="655"/>
      <c r="L248" s="686"/>
      <c r="M248" s="655"/>
      <c r="N248" s="655"/>
      <c r="O248" s="655"/>
      <c r="P248" s="655"/>
      <c r="Q248" s="655"/>
      <c r="R248" s="655"/>
      <c r="S248" s="655"/>
      <c r="T248" s="655"/>
      <c r="U248" s="655"/>
      <c r="V248" s="655"/>
    </row>
    <row r="249" spans="1:22">
      <c r="A249" s="677"/>
      <c r="B249" s="655"/>
      <c r="C249" s="686"/>
      <c r="D249" s="686"/>
      <c r="E249" s="655"/>
      <c r="F249" s="655"/>
      <c r="G249" s="655"/>
      <c r="H249" s="655"/>
      <c r="I249" s="655"/>
      <c r="J249" s="655"/>
      <c r="K249" s="655"/>
      <c r="L249" s="686"/>
      <c r="M249" s="655"/>
      <c r="N249" s="655"/>
      <c r="O249" s="655"/>
      <c r="P249" s="655"/>
      <c r="Q249" s="655"/>
      <c r="R249" s="655"/>
      <c r="S249" s="655"/>
      <c r="T249" s="655"/>
      <c r="U249" s="655"/>
      <c r="V249" s="655"/>
    </row>
    <row r="250" spans="1:22">
      <c r="A250" s="677"/>
      <c r="B250" s="655"/>
      <c r="C250" s="686"/>
      <c r="D250" s="686"/>
      <c r="E250" s="655"/>
      <c r="F250" s="655"/>
      <c r="G250" s="655"/>
      <c r="H250" s="655"/>
      <c r="I250" s="655"/>
      <c r="J250" s="655"/>
      <c r="K250" s="655"/>
      <c r="L250" s="686"/>
      <c r="M250" s="655"/>
      <c r="N250" s="655"/>
      <c r="O250" s="655"/>
      <c r="P250" s="655"/>
      <c r="Q250" s="655"/>
      <c r="R250" s="655"/>
      <c r="S250" s="655"/>
      <c r="T250" s="655"/>
      <c r="U250" s="655"/>
      <c r="V250" s="655"/>
    </row>
    <row r="251" spans="1:22">
      <c r="A251" s="677"/>
      <c r="B251" s="655"/>
      <c r="C251" s="686"/>
      <c r="D251" s="686"/>
      <c r="E251" s="655"/>
      <c r="F251" s="655"/>
      <c r="G251" s="655"/>
      <c r="H251" s="655"/>
      <c r="I251" s="655"/>
      <c r="J251" s="655"/>
      <c r="K251" s="655"/>
      <c r="L251" s="686"/>
      <c r="M251" s="655"/>
      <c r="N251" s="655"/>
      <c r="O251" s="655"/>
      <c r="P251" s="655"/>
      <c r="Q251" s="655"/>
      <c r="R251" s="655"/>
      <c r="S251" s="655"/>
      <c r="T251" s="655"/>
      <c r="U251" s="655"/>
      <c r="V251" s="655"/>
    </row>
    <row r="252" spans="1:22">
      <c r="A252" s="677"/>
      <c r="B252" s="655"/>
      <c r="C252" s="686"/>
      <c r="D252" s="686"/>
      <c r="E252" s="655"/>
      <c r="F252" s="655"/>
      <c r="G252" s="655"/>
      <c r="H252" s="655"/>
      <c r="I252" s="655"/>
      <c r="J252" s="655"/>
      <c r="K252" s="655"/>
      <c r="L252" s="686"/>
      <c r="M252" s="655"/>
      <c r="N252" s="655"/>
      <c r="O252" s="655"/>
      <c r="P252" s="655"/>
      <c r="Q252" s="655"/>
      <c r="R252" s="655"/>
      <c r="S252" s="655"/>
      <c r="T252" s="655"/>
      <c r="U252" s="655"/>
      <c r="V252" s="655"/>
    </row>
    <row r="253" spans="1:22">
      <c r="A253" s="677"/>
      <c r="B253" s="655"/>
      <c r="C253" s="686"/>
      <c r="D253" s="686"/>
      <c r="E253" s="655"/>
      <c r="F253" s="655"/>
      <c r="G253" s="655"/>
      <c r="H253" s="655"/>
      <c r="I253" s="655"/>
      <c r="J253" s="655"/>
      <c r="K253" s="655"/>
      <c r="L253" s="686"/>
      <c r="M253" s="655"/>
      <c r="N253" s="655"/>
      <c r="O253" s="655"/>
      <c r="P253" s="655"/>
      <c r="Q253" s="655"/>
      <c r="R253" s="655"/>
      <c r="S253" s="655"/>
      <c r="T253" s="655"/>
      <c r="U253" s="655"/>
      <c r="V253" s="655"/>
    </row>
    <row r="254" spans="1:22">
      <c r="A254" s="677"/>
      <c r="B254" s="655"/>
      <c r="C254" s="686"/>
      <c r="D254" s="686"/>
      <c r="E254" s="655"/>
      <c r="F254" s="655"/>
      <c r="G254" s="655"/>
      <c r="H254" s="655"/>
      <c r="I254" s="655"/>
      <c r="J254" s="655"/>
      <c r="K254" s="655"/>
      <c r="L254" s="686"/>
      <c r="M254" s="655"/>
      <c r="N254" s="655"/>
      <c r="O254" s="655"/>
      <c r="P254" s="655"/>
      <c r="Q254" s="655"/>
      <c r="R254" s="655"/>
      <c r="S254" s="655"/>
      <c r="T254" s="655"/>
      <c r="U254" s="655"/>
      <c r="V254" s="655"/>
    </row>
    <row r="255" spans="1:22">
      <c r="A255" s="677"/>
      <c r="B255" s="655"/>
      <c r="C255" s="686"/>
      <c r="D255" s="686"/>
      <c r="E255" s="655"/>
      <c r="F255" s="655"/>
      <c r="G255" s="655"/>
      <c r="H255" s="655"/>
      <c r="I255" s="655"/>
      <c r="J255" s="655"/>
      <c r="K255" s="655"/>
      <c r="L255" s="686"/>
      <c r="M255" s="655"/>
      <c r="N255" s="655"/>
      <c r="O255" s="655"/>
      <c r="P255" s="655"/>
      <c r="Q255" s="655"/>
      <c r="R255" s="655"/>
      <c r="S255" s="655"/>
      <c r="T255" s="655"/>
      <c r="U255" s="655"/>
      <c r="V255" s="655"/>
    </row>
    <row r="256" spans="1:22">
      <c r="A256" s="677"/>
      <c r="B256" s="655"/>
      <c r="C256" s="686"/>
      <c r="D256" s="686"/>
      <c r="E256" s="655"/>
      <c r="F256" s="655"/>
      <c r="G256" s="655"/>
      <c r="H256" s="655"/>
      <c r="I256" s="655"/>
      <c r="J256" s="655"/>
      <c r="K256" s="655"/>
      <c r="L256" s="686"/>
      <c r="M256" s="655"/>
      <c r="N256" s="655"/>
      <c r="O256" s="655"/>
      <c r="P256" s="655"/>
      <c r="Q256" s="655"/>
      <c r="R256" s="655"/>
      <c r="S256" s="655"/>
      <c r="T256" s="655"/>
      <c r="U256" s="655"/>
      <c r="V256" s="655"/>
    </row>
    <row r="257" spans="1:22">
      <c r="A257" s="677"/>
      <c r="B257" s="655"/>
      <c r="C257" s="686"/>
      <c r="D257" s="686"/>
      <c r="E257" s="655"/>
      <c r="F257" s="655"/>
      <c r="G257" s="655"/>
      <c r="H257" s="655"/>
      <c r="I257" s="655"/>
      <c r="J257" s="655"/>
      <c r="K257" s="655"/>
      <c r="L257" s="686"/>
      <c r="M257" s="655"/>
      <c r="N257" s="655"/>
      <c r="O257" s="655"/>
      <c r="P257" s="655"/>
      <c r="Q257" s="655"/>
      <c r="R257" s="655"/>
      <c r="S257" s="655"/>
      <c r="T257" s="655"/>
      <c r="U257" s="655"/>
      <c r="V257" s="655"/>
    </row>
    <row r="258" spans="1:22">
      <c r="A258" s="677"/>
      <c r="B258" s="655"/>
      <c r="C258" s="686"/>
      <c r="D258" s="686"/>
      <c r="E258" s="655"/>
      <c r="F258" s="655"/>
      <c r="G258" s="655"/>
      <c r="H258" s="655"/>
      <c r="I258" s="655"/>
      <c r="J258" s="655"/>
      <c r="K258" s="655"/>
      <c r="L258" s="686"/>
      <c r="M258" s="655"/>
      <c r="N258" s="655"/>
      <c r="O258" s="655"/>
      <c r="P258" s="655"/>
      <c r="Q258" s="655"/>
      <c r="R258" s="655"/>
      <c r="S258" s="655"/>
      <c r="T258" s="655"/>
      <c r="U258" s="655"/>
      <c r="V258" s="655"/>
    </row>
    <row r="259" spans="1:22">
      <c r="A259" s="677"/>
      <c r="B259" s="655"/>
      <c r="C259" s="686"/>
      <c r="D259" s="686"/>
      <c r="E259" s="655"/>
      <c r="F259" s="655"/>
      <c r="G259" s="655"/>
      <c r="H259" s="655"/>
      <c r="I259" s="655"/>
      <c r="J259" s="655"/>
      <c r="K259" s="655"/>
      <c r="L259" s="686"/>
      <c r="M259" s="655"/>
      <c r="N259" s="655"/>
      <c r="O259" s="655"/>
      <c r="P259" s="655"/>
      <c r="Q259" s="655"/>
      <c r="R259" s="655"/>
      <c r="S259" s="655"/>
      <c r="T259" s="655"/>
      <c r="U259" s="655"/>
      <c r="V259" s="655"/>
    </row>
    <row r="260" spans="1:22">
      <c r="A260" s="677"/>
      <c r="B260" s="655"/>
      <c r="C260" s="686"/>
      <c r="D260" s="686"/>
      <c r="E260" s="655"/>
      <c r="F260" s="655"/>
      <c r="G260" s="655"/>
      <c r="H260" s="655"/>
      <c r="I260" s="655"/>
      <c r="J260" s="655"/>
      <c r="K260" s="655"/>
      <c r="L260" s="686"/>
      <c r="M260" s="655"/>
      <c r="N260" s="655"/>
      <c r="O260" s="655"/>
      <c r="P260" s="655"/>
      <c r="Q260" s="655"/>
      <c r="R260" s="655"/>
      <c r="S260" s="655"/>
      <c r="T260" s="655"/>
      <c r="U260" s="655"/>
      <c r="V260" s="655"/>
    </row>
    <row r="261" spans="1:22">
      <c r="A261" s="677"/>
      <c r="B261" s="655"/>
      <c r="C261" s="686"/>
      <c r="D261" s="686"/>
      <c r="E261" s="655"/>
      <c r="F261" s="655"/>
      <c r="G261" s="655"/>
      <c r="H261" s="655"/>
      <c r="I261" s="655"/>
      <c r="J261" s="655"/>
      <c r="K261" s="655"/>
      <c r="L261" s="686"/>
      <c r="M261" s="655"/>
      <c r="N261" s="655"/>
      <c r="O261" s="655"/>
      <c r="P261" s="655"/>
      <c r="Q261" s="655"/>
      <c r="R261" s="655"/>
      <c r="S261" s="655"/>
      <c r="T261" s="655"/>
      <c r="U261" s="655"/>
      <c r="V261" s="655"/>
    </row>
    <row r="262" spans="1:22">
      <c r="A262" s="677"/>
      <c r="B262" s="655"/>
      <c r="C262" s="686"/>
      <c r="D262" s="686"/>
      <c r="E262" s="655"/>
      <c r="F262" s="655"/>
      <c r="G262" s="655"/>
      <c r="H262" s="655"/>
      <c r="I262" s="655"/>
      <c r="J262" s="655"/>
      <c r="K262" s="655"/>
      <c r="L262" s="686"/>
      <c r="M262" s="655"/>
      <c r="N262" s="655"/>
      <c r="O262" s="655"/>
      <c r="P262" s="655"/>
      <c r="Q262" s="655"/>
      <c r="R262" s="655"/>
      <c r="S262" s="655"/>
      <c r="T262" s="655"/>
      <c r="U262" s="655"/>
      <c r="V262" s="655"/>
    </row>
    <row r="263" spans="1:22">
      <c r="A263" s="677"/>
      <c r="B263" s="655"/>
      <c r="C263" s="686"/>
      <c r="D263" s="686"/>
      <c r="E263" s="655"/>
      <c r="F263" s="655"/>
      <c r="G263" s="655"/>
      <c r="H263" s="655"/>
      <c r="I263" s="655"/>
      <c r="J263" s="655"/>
      <c r="K263" s="655"/>
      <c r="L263" s="686"/>
      <c r="M263" s="655"/>
      <c r="N263" s="655"/>
      <c r="O263" s="655"/>
      <c r="P263" s="655"/>
      <c r="Q263" s="655"/>
      <c r="R263" s="655"/>
      <c r="S263" s="655"/>
      <c r="T263" s="655"/>
      <c r="U263" s="655"/>
      <c r="V263" s="655"/>
    </row>
    <row r="264" spans="1:22">
      <c r="A264" s="677"/>
      <c r="B264" s="655"/>
      <c r="C264" s="686"/>
      <c r="D264" s="686"/>
      <c r="E264" s="655"/>
      <c r="F264" s="655"/>
      <c r="G264" s="655"/>
      <c r="H264" s="655"/>
      <c r="I264" s="655"/>
      <c r="J264" s="655"/>
      <c r="K264" s="655"/>
      <c r="L264" s="686"/>
      <c r="M264" s="655"/>
      <c r="N264" s="655"/>
      <c r="O264" s="655"/>
      <c r="P264" s="655"/>
      <c r="Q264" s="655"/>
      <c r="R264" s="655"/>
      <c r="S264" s="655"/>
      <c r="T264" s="655"/>
      <c r="U264" s="655"/>
      <c r="V264" s="655"/>
    </row>
    <row r="265" spans="1:22">
      <c r="A265" s="677"/>
      <c r="B265" s="655"/>
      <c r="C265" s="686"/>
      <c r="D265" s="686"/>
      <c r="E265" s="655"/>
      <c r="F265" s="655"/>
      <c r="G265" s="655"/>
      <c r="H265" s="655"/>
      <c r="I265" s="655"/>
      <c r="J265" s="655"/>
      <c r="K265" s="655"/>
      <c r="L265" s="686"/>
      <c r="M265" s="655"/>
      <c r="N265" s="655"/>
      <c r="O265" s="655"/>
      <c r="P265" s="655"/>
      <c r="Q265" s="655"/>
      <c r="R265" s="655"/>
      <c r="S265" s="655"/>
      <c r="T265" s="655"/>
      <c r="U265" s="655"/>
      <c r="V265" s="655"/>
    </row>
    <row r="266" spans="1:22">
      <c r="A266" s="677"/>
      <c r="B266" s="655"/>
      <c r="C266" s="686"/>
      <c r="D266" s="686"/>
      <c r="E266" s="655"/>
      <c r="F266" s="655"/>
      <c r="G266" s="655"/>
      <c r="H266" s="655"/>
      <c r="I266" s="655"/>
      <c r="J266" s="655"/>
      <c r="K266" s="655"/>
      <c r="L266" s="686"/>
      <c r="M266" s="655"/>
      <c r="N266" s="655"/>
      <c r="O266" s="655"/>
      <c r="P266" s="655"/>
      <c r="Q266" s="655"/>
      <c r="R266" s="655"/>
      <c r="S266" s="655"/>
      <c r="T266" s="655"/>
      <c r="U266" s="655"/>
      <c r="V266" s="655"/>
    </row>
    <row r="267" spans="1:22">
      <c r="A267" s="677"/>
      <c r="B267" s="655"/>
      <c r="C267" s="686"/>
      <c r="D267" s="686"/>
      <c r="E267" s="655"/>
      <c r="F267" s="655"/>
      <c r="G267" s="655"/>
      <c r="H267" s="655"/>
      <c r="I267" s="655"/>
      <c r="J267" s="655"/>
      <c r="K267" s="655"/>
      <c r="L267" s="686"/>
      <c r="M267" s="655"/>
      <c r="N267" s="655"/>
      <c r="O267" s="655"/>
      <c r="P267" s="655"/>
      <c r="Q267" s="655"/>
      <c r="R267" s="655"/>
      <c r="S267" s="655"/>
      <c r="T267" s="655"/>
      <c r="U267" s="655"/>
      <c r="V267" s="655"/>
    </row>
    <row r="268" spans="1:22">
      <c r="A268" s="677"/>
      <c r="B268" s="655"/>
      <c r="C268" s="686"/>
      <c r="D268" s="686"/>
      <c r="E268" s="655"/>
      <c r="F268" s="655"/>
      <c r="G268" s="655"/>
      <c r="H268" s="655"/>
      <c r="I268" s="655"/>
      <c r="J268" s="655"/>
      <c r="K268" s="655"/>
      <c r="L268" s="686"/>
      <c r="M268" s="655"/>
      <c r="N268" s="655"/>
      <c r="O268" s="655"/>
      <c r="P268" s="655"/>
      <c r="Q268" s="655"/>
      <c r="R268" s="655"/>
      <c r="S268" s="655"/>
      <c r="T268" s="655"/>
      <c r="U268" s="655"/>
      <c r="V268" s="655"/>
    </row>
    <row r="269" spans="1:22">
      <c r="A269" s="677"/>
      <c r="B269" s="655"/>
      <c r="C269" s="686"/>
      <c r="D269" s="686"/>
      <c r="E269" s="655"/>
      <c r="F269" s="655"/>
      <c r="G269" s="655"/>
      <c r="H269" s="655"/>
      <c r="I269" s="655"/>
      <c r="J269" s="655"/>
      <c r="K269" s="655"/>
      <c r="L269" s="686"/>
      <c r="M269" s="655"/>
      <c r="N269" s="655"/>
      <c r="O269" s="655"/>
      <c r="P269" s="655"/>
      <c r="Q269" s="655"/>
      <c r="R269" s="655"/>
      <c r="S269" s="655"/>
      <c r="T269" s="655"/>
      <c r="U269" s="655"/>
      <c r="V269" s="655"/>
    </row>
    <row r="270" spans="1:22">
      <c r="A270" s="677"/>
      <c r="B270" s="655"/>
      <c r="C270" s="686"/>
      <c r="D270" s="686"/>
      <c r="E270" s="655"/>
      <c r="F270" s="655"/>
      <c r="G270" s="655"/>
      <c r="H270" s="655"/>
      <c r="I270" s="655"/>
      <c r="J270" s="655"/>
      <c r="K270" s="655"/>
      <c r="L270" s="686"/>
      <c r="M270" s="655"/>
      <c r="N270" s="655"/>
      <c r="O270" s="655"/>
      <c r="P270" s="655"/>
      <c r="Q270" s="655"/>
      <c r="R270" s="655"/>
      <c r="S270" s="655"/>
      <c r="T270" s="655"/>
      <c r="U270" s="655"/>
      <c r="V270" s="655"/>
    </row>
    <row r="271" spans="1:22">
      <c r="A271" s="677"/>
      <c r="B271" s="655"/>
      <c r="C271" s="686"/>
      <c r="D271" s="686"/>
      <c r="E271" s="655"/>
      <c r="F271" s="655"/>
      <c r="G271" s="655"/>
      <c r="H271" s="655"/>
      <c r="I271" s="655"/>
      <c r="J271" s="655"/>
      <c r="K271" s="655"/>
      <c r="L271" s="686"/>
      <c r="M271" s="655"/>
      <c r="N271" s="655"/>
      <c r="O271" s="655"/>
      <c r="P271" s="655"/>
      <c r="Q271" s="655"/>
      <c r="R271" s="655"/>
      <c r="S271" s="655"/>
      <c r="T271" s="655"/>
      <c r="U271" s="655"/>
      <c r="V271" s="655"/>
    </row>
    <row r="272" spans="1:22">
      <c r="A272" s="677"/>
      <c r="B272" s="655"/>
      <c r="C272" s="686"/>
      <c r="D272" s="686"/>
      <c r="E272" s="655"/>
      <c r="F272" s="655"/>
      <c r="G272" s="655"/>
      <c r="H272" s="655"/>
      <c r="I272" s="655"/>
      <c r="J272" s="655"/>
      <c r="K272" s="655"/>
      <c r="L272" s="686"/>
      <c r="M272" s="655"/>
      <c r="N272" s="655"/>
      <c r="O272" s="655"/>
      <c r="P272" s="655"/>
      <c r="Q272" s="655"/>
      <c r="R272" s="655"/>
      <c r="S272" s="655"/>
      <c r="T272" s="655"/>
      <c r="U272" s="655"/>
      <c r="V272" s="655"/>
    </row>
    <row r="273" spans="1:22">
      <c r="A273" s="677"/>
      <c r="B273" s="655"/>
      <c r="C273" s="686"/>
      <c r="D273" s="686"/>
      <c r="E273" s="655"/>
      <c r="F273" s="655"/>
      <c r="G273" s="655"/>
      <c r="H273" s="655"/>
      <c r="I273" s="655"/>
      <c r="J273" s="655"/>
      <c r="K273" s="655"/>
      <c r="L273" s="686"/>
      <c r="M273" s="655"/>
      <c r="N273" s="655"/>
      <c r="O273" s="655"/>
      <c r="P273" s="655"/>
      <c r="Q273" s="655"/>
      <c r="R273" s="655"/>
      <c r="S273" s="655"/>
      <c r="T273" s="655"/>
      <c r="U273" s="655"/>
      <c r="V273" s="655"/>
    </row>
    <row r="274" spans="1:22">
      <c r="A274" s="677"/>
      <c r="B274" s="655"/>
      <c r="C274" s="686"/>
      <c r="D274" s="686"/>
      <c r="E274" s="655"/>
      <c r="F274" s="655"/>
      <c r="G274" s="655"/>
      <c r="H274" s="655"/>
      <c r="I274" s="655"/>
      <c r="J274" s="655"/>
      <c r="K274" s="655"/>
      <c r="L274" s="686"/>
      <c r="M274" s="655"/>
      <c r="N274" s="655"/>
      <c r="O274" s="655"/>
      <c r="P274" s="655"/>
      <c r="Q274" s="655"/>
      <c r="R274" s="655"/>
      <c r="S274" s="655"/>
      <c r="T274" s="655"/>
      <c r="U274" s="655"/>
      <c r="V274" s="655"/>
    </row>
    <row r="275" spans="1:22">
      <c r="A275" s="677"/>
      <c r="B275" s="655"/>
      <c r="C275" s="686"/>
      <c r="D275" s="686"/>
      <c r="E275" s="655"/>
      <c r="F275" s="655"/>
      <c r="G275" s="655"/>
      <c r="H275" s="655"/>
      <c r="I275" s="655"/>
      <c r="J275" s="655"/>
      <c r="K275" s="655"/>
      <c r="L275" s="686"/>
      <c r="M275" s="655"/>
      <c r="N275" s="655"/>
      <c r="O275" s="655"/>
      <c r="P275" s="655"/>
      <c r="Q275" s="655"/>
      <c r="R275" s="655"/>
      <c r="S275" s="655"/>
      <c r="T275" s="655"/>
      <c r="U275" s="655"/>
      <c r="V275" s="655"/>
    </row>
    <row r="276" spans="1:22">
      <c r="A276" s="677"/>
      <c r="B276" s="655"/>
      <c r="C276" s="686"/>
      <c r="D276" s="686"/>
      <c r="E276" s="655"/>
      <c r="F276" s="655"/>
      <c r="G276" s="655"/>
      <c r="H276" s="655"/>
      <c r="I276" s="655"/>
      <c r="J276" s="655"/>
      <c r="K276" s="655"/>
      <c r="L276" s="686"/>
      <c r="M276" s="655"/>
      <c r="N276" s="655"/>
      <c r="O276" s="655"/>
      <c r="P276" s="655"/>
      <c r="Q276" s="655"/>
      <c r="R276" s="655"/>
      <c r="S276" s="655"/>
      <c r="T276" s="655"/>
      <c r="U276" s="655"/>
      <c r="V276" s="655"/>
    </row>
    <row r="277" spans="1:22">
      <c r="A277" s="677"/>
      <c r="B277" s="655"/>
      <c r="C277" s="686"/>
      <c r="D277" s="686"/>
      <c r="E277" s="655"/>
      <c r="F277" s="655"/>
      <c r="G277" s="655"/>
      <c r="H277" s="655"/>
      <c r="I277" s="655"/>
      <c r="J277" s="655"/>
      <c r="K277" s="655"/>
      <c r="L277" s="686"/>
      <c r="M277" s="655"/>
      <c r="N277" s="655"/>
      <c r="O277" s="655"/>
      <c r="P277" s="655"/>
      <c r="Q277" s="655"/>
      <c r="R277" s="655"/>
      <c r="S277" s="655"/>
      <c r="T277" s="655"/>
      <c r="U277" s="655"/>
      <c r="V277" s="655"/>
    </row>
    <row r="278" spans="1:22">
      <c r="A278" s="677"/>
      <c r="B278" s="655"/>
      <c r="C278" s="686"/>
      <c r="D278" s="686"/>
      <c r="E278" s="655"/>
      <c r="F278" s="655"/>
      <c r="G278" s="655"/>
      <c r="H278" s="655"/>
      <c r="I278" s="655"/>
      <c r="J278" s="655"/>
      <c r="K278" s="655"/>
      <c r="L278" s="686"/>
      <c r="M278" s="655"/>
      <c r="N278" s="655"/>
      <c r="O278" s="655"/>
      <c r="P278" s="655"/>
      <c r="Q278" s="655"/>
      <c r="R278" s="655"/>
      <c r="S278" s="655"/>
      <c r="T278" s="655"/>
      <c r="U278" s="655"/>
      <c r="V278" s="655"/>
    </row>
    <row r="279" spans="1:22">
      <c r="A279" s="677"/>
      <c r="B279" s="655"/>
      <c r="C279" s="686"/>
      <c r="D279" s="686"/>
      <c r="E279" s="655"/>
      <c r="F279" s="655"/>
      <c r="G279" s="655"/>
      <c r="H279" s="655"/>
      <c r="I279" s="655"/>
      <c r="J279" s="655"/>
      <c r="K279" s="655"/>
      <c r="L279" s="686"/>
      <c r="M279" s="655"/>
      <c r="N279" s="655"/>
      <c r="O279" s="655"/>
      <c r="P279" s="655"/>
      <c r="Q279" s="655"/>
      <c r="R279" s="655"/>
      <c r="S279" s="655"/>
      <c r="T279" s="655"/>
      <c r="U279" s="655"/>
      <c r="V279" s="655"/>
    </row>
    <row r="280" spans="1:22">
      <c r="A280" s="677"/>
      <c r="B280" s="655"/>
      <c r="C280" s="686"/>
      <c r="D280" s="686"/>
      <c r="E280" s="655"/>
      <c r="F280" s="655"/>
      <c r="G280" s="655"/>
      <c r="H280" s="655"/>
      <c r="I280" s="655"/>
      <c r="J280" s="655"/>
      <c r="K280" s="655"/>
      <c r="L280" s="686"/>
      <c r="M280" s="655"/>
      <c r="N280" s="655"/>
      <c r="O280" s="655"/>
      <c r="P280" s="655"/>
      <c r="Q280" s="655"/>
      <c r="R280" s="655"/>
      <c r="S280" s="655"/>
      <c r="T280" s="655"/>
      <c r="U280" s="655"/>
      <c r="V280" s="655"/>
    </row>
    <row r="281" spans="1:22">
      <c r="A281" s="677"/>
      <c r="B281" s="655"/>
      <c r="C281" s="686"/>
      <c r="D281" s="686"/>
      <c r="E281" s="655"/>
      <c r="F281" s="655"/>
      <c r="G281" s="655"/>
      <c r="H281" s="655"/>
      <c r="I281" s="655"/>
      <c r="J281" s="655"/>
      <c r="K281" s="655"/>
      <c r="L281" s="686"/>
      <c r="M281" s="655"/>
      <c r="N281" s="655"/>
      <c r="O281" s="655"/>
      <c r="P281" s="655"/>
      <c r="Q281" s="655"/>
      <c r="R281" s="655"/>
      <c r="S281" s="655"/>
      <c r="T281" s="655"/>
      <c r="U281" s="655"/>
      <c r="V281" s="655"/>
    </row>
    <row r="282" spans="1:22">
      <c r="A282" s="677"/>
      <c r="B282" s="655"/>
      <c r="C282" s="686"/>
      <c r="D282" s="686"/>
      <c r="E282" s="655"/>
      <c r="F282" s="655"/>
      <c r="G282" s="655"/>
      <c r="H282" s="655"/>
      <c r="I282" s="655"/>
      <c r="J282" s="655"/>
      <c r="K282" s="655"/>
      <c r="L282" s="686"/>
      <c r="M282" s="655"/>
      <c r="N282" s="655"/>
      <c r="O282" s="655"/>
      <c r="P282" s="655"/>
      <c r="Q282" s="655"/>
      <c r="R282" s="655"/>
      <c r="S282" s="655"/>
      <c r="T282" s="655"/>
      <c r="U282" s="655"/>
      <c r="V282" s="655"/>
    </row>
    <row r="283" spans="1:22">
      <c r="A283" s="677"/>
      <c r="B283" s="655"/>
      <c r="C283" s="686"/>
      <c r="D283" s="686"/>
      <c r="E283" s="655"/>
      <c r="F283" s="655"/>
      <c r="G283" s="655"/>
      <c r="H283" s="655"/>
      <c r="I283" s="655"/>
      <c r="J283" s="655"/>
      <c r="K283" s="655"/>
      <c r="L283" s="686"/>
      <c r="M283" s="655"/>
      <c r="N283" s="655"/>
      <c r="O283" s="655"/>
      <c r="P283" s="655"/>
      <c r="Q283" s="655"/>
      <c r="R283" s="655"/>
      <c r="S283" s="655"/>
      <c r="T283" s="655"/>
      <c r="U283" s="655"/>
      <c r="V283" s="655"/>
    </row>
    <row r="284" spans="1:22">
      <c r="A284" s="677"/>
      <c r="B284" s="655"/>
      <c r="C284" s="686"/>
      <c r="D284" s="686"/>
      <c r="E284" s="655"/>
      <c r="F284" s="655"/>
      <c r="G284" s="655"/>
      <c r="H284" s="655"/>
      <c r="I284" s="655"/>
      <c r="J284" s="655"/>
      <c r="K284" s="655"/>
      <c r="L284" s="686"/>
      <c r="M284" s="655"/>
      <c r="N284" s="655"/>
      <c r="O284" s="655"/>
      <c r="P284" s="655"/>
      <c r="Q284" s="655"/>
      <c r="R284" s="655"/>
      <c r="S284" s="655"/>
      <c r="T284" s="655"/>
      <c r="U284" s="655"/>
      <c r="V284" s="655"/>
    </row>
    <row r="285" spans="1:22">
      <c r="A285" s="677"/>
      <c r="B285" s="655"/>
      <c r="C285" s="686"/>
      <c r="D285" s="686"/>
      <c r="E285" s="655"/>
      <c r="F285" s="655"/>
      <c r="G285" s="655"/>
      <c r="H285" s="655"/>
      <c r="I285" s="655"/>
      <c r="J285" s="655"/>
      <c r="K285" s="655"/>
      <c r="L285" s="686"/>
      <c r="M285" s="655"/>
      <c r="N285" s="655"/>
      <c r="O285" s="655"/>
      <c r="P285" s="655"/>
      <c r="Q285" s="655"/>
      <c r="R285" s="655"/>
      <c r="S285" s="655"/>
      <c r="T285" s="655"/>
      <c r="U285" s="655"/>
      <c r="V285" s="655"/>
    </row>
    <row r="286" spans="1:22">
      <c r="A286" s="677"/>
      <c r="B286" s="655"/>
      <c r="C286" s="686"/>
      <c r="D286" s="686"/>
      <c r="E286" s="655"/>
      <c r="F286" s="655"/>
      <c r="G286" s="655"/>
      <c r="H286" s="655"/>
      <c r="I286" s="655"/>
      <c r="J286" s="655"/>
      <c r="K286" s="655"/>
      <c r="L286" s="686"/>
      <c r="M286" s="655"/>
      <c r="N286" s="655"/>
      <c r="O286" s="655"/>
      <c r="P286" s="655"/>
      <c r="Q286" s="655"/>
      <c r="R286" s="655"/>
      <c r="S286" s="655"/>
      <c r="T286" s="655"/>
      <c r="U286" s="655"/>
      <c r="V286" s="655"/>
    </row>
    <row r="287" spans="1:22">
      <c r="A287" s="677"/>
      <c r="B287" s="655"/>
      <c r="C287" s="686"/>
      <c r="D287" s="686"/>
      <c r="E287" s="655"/>
      <c r="F287" s="655"/>
      <c r="G287" s="655"/>
      <c r="H287" s="655"/>
      <c r="I287" s="655"/>
      <c r="J287" s="655"/>
      <c r="K287" s="655"/>
      <c r="L287" s="686"/>
      <c r="M287" s="655"/>
      <c r="N287" s="655"/>
      <c r="O287" s="655"/>
      <c r="P287" s="655"/>
      <c r="Q287" s="655"/>
      <c r="R287" s="655"/>
      <c r="S287" s="655"/>
      <c r="T287" s="655"/>
      <c r="U287" s="655"/>
      <c r="V287" s="655"/>
    </row>
    <row r="288" spans="1:22">
      <c r="A288" s="677"/>
      <c r="B288" s="655"/>
      <c r="C288" s="686"/>
      <c r="D288" s="686"/>
      <c r="E288" s="655"/>
      <c r="F288" s="655"/>
      <c r="G288" s="655"/>
      <c r="H288" s="655"/>
      <c r="I288" s="655"/>
      <c r="J288" s="655"/>
      <c r="K288" s="655"/>
      <c r="L288" s="686"/>
      <c r="M288" s="655"/>
      <c r="N288" s="655"/>
      <c r="O288" s="655"/>
      <c r="P288" s="655"/>
      <c r="Q288" s="655"/>
      <c r="R288" s="655"/>
      <c r="S288" s="655"/>
      <c r="T288" s="655"/>
      <c r="U288" s="655"/>
      <c r="V288" s="655"/>
    </row>
    <row r="289" spans="1:22">
      <c r="A289" s="677"/>
      <c r="B289" s="655"/>
      <c r="C289" s="686"/>
      <c r="D289" s="686"/>
      <c r="E289" s="655"/>
      <c r="F289" s="655"/>
      <c r="G289" s="655"/>
      <c r="H289" s="655"/>
      <c r="I289" s="655"/>
      <c r="J289" s="655"/>
      <c r="K289" s="655"/>
      <c r="L289" s="686"/>
      <c r="M289" s="655"/>
      <c r="N289" s="655"/>
      <c r="O289" s="655"/>
      <c r="P289" s="655"/>
      <c r="Q289" s="655"/>
      <c r="R289" s="655"/>
      <c r="S289" s="655"/>
      <c r="T289" s="655"/>
      <c r="U289" s="655"/>
      <c r="V289" s="655"/>
    </row>
    <row r="290" spans="1:22">
      <c r="A290" s="677"/>
      <c r="B290" s="655"/>
      <c r="C290" s="686"/>
      <c r="D290" s="686"/>
      <c r="E290" s="655"/>
      <c r="F290" s="655"/>
      <c r="G290" s="655"/>
      <c r="H290" s="655"/>
      <c r="I290" s="655"/>
      <c r="J290" s="655"/>
      <c r="K290" s="655"/>
      <c r="L290" s="686"/>
      <c r="M290" s="655"/>
      <c r="N290" s="655"/>
      <c r="O290" s="655"/>
      <c r="P290" s="655"/>
      <c r="Q290" s="655"/>
      <c r="R290" s="655"/>
      <c r="S290" s="655"/>
      <c r="T290" s="655"/>
      <c r="U290" s="655"/>
      <c r="V290" s="655"/>
    </row>
    <row r="291" spans="1:22">
      <c r="A291" s="677"/>
      <c r="B291" s="655"/>
      <c r="C291" s="686"/>
      <c r="D291" s="686"/>
      <c r="E291" s="655"/>
      <c r="F291" s="655"/>
      <c r="G291" s="655"/>
      <c r="H291" s="655"/>
      <c r="I291" s="655"/>
      <c r="J291" s="655"/>
      <c r="K291" s="655"/>
      <c r="L291" s="686"/>
      <c r="M291" s="655"/>
      <c r="N291" s="655"/>
      <c r="O291" s="655"/>
      <c r="P291" s="655"/>
      <c r="Q291" s="655"/>
      <c r="R291" s="655"/>
      <c r="S291" s="655"/>
      <c r="T291" s="655"/>
      <c r="U291" s="655"/>
      <c r="V291" s="655"/>
    </row>
    <row r="292" spans="1:22">
      <c r="A292" s="677"/>
      <c r="B292" s="655"/>
      <c r="C292" s="686"/>
      <c r="D292" s="686"/>
      <c r="E292" s="655"/>
      <c r="F292" s="655"/>
      <c r="G292" s="655"/>
      <c r="H292" s="655"/>
      <c r="I292" s="655"/>
      <c r="J292" s="655"/>
      <c r="K292" s="655"/>
      <c r="L292" s="686"/>
      <c r="M292" s="655"/>
      <c r="N292" s="655"/>
      <c r="O292" s="655"/>
      <c r="P292" s="655"/>
      <c r="Q292" s="655"/>
      <c r="R292" s="655"/>
      <c r="S292" s="655"/>
      <c r="T292" s="655"/>
      <c r="U292" s="655"/>
      <c r="V292" s="655"/>
    </row>
    <row r="293" spans="1:22">
      <c r="A293" s="677"/>
      <c r="B293" s="655"/>
      <c r="C293" s="686"/>
      <c r="D293" s="686"/>
      <c r="E293" s="655"/>
      <c r="F293" s="655"/>
      <c r="G293" s="655"/>
      <c r="H293" s="655"/>
      <c r="I293" s="655"/>
      <c r="J293" s="655"/>
      <c r="K293" s="655"/>
      <c r="L293" s="686"/>
      <c r="M293" s="655"/>
      <c r="N293" s="655"/>
      <c r="O293" s="655"/>
      <c r="P293" s="655"/>
      <c r="Q293" s="655"/>
      <c r="R293" s="655"/>
      <c r="S293" s="655"/>
      <c r="T293" s="655"/>
      <c r="U293" s="655"/>
      <c r="V293" s="655"/>
    </row>
    <row r="294" spans="1:22">
      <c r="A294" s="677"/>
      <c r="B294" s="655"/>
      <c r="C294" s="686"/>
      <c r="D294" s="686"/>
      <c r="E294" s="655"/>
      <c r="F294" s="655"/>
      <c r="G294" s="655"/>
      <c r="H294" s="655"/>
      <c r="I294" s="655"/>
      <c r="J294" s="655"/>
      <c r="K294" s="655"/>
      <c r="L294" s="686"/>
      <c r="M294" s="655"/>
      <c r="N294" s="655"/>
      <c r="O294" s="655"/>
      <c r="P294" s="655"/>
      <c r="Q294" s="655"/>
      <c r="R294" s="655"/>
      <c r="S294" s="655"/>
      <c r="T294" s="655"/>
      <c r="U294" s="655"/>
      <c r="V294" s="655"/>
    </row>
    <row r="295" spans="1:22">
      <c r="A295" s="677"/>
      <c r="B295" s="655"/>
      <c r="C295" s="686"/>
      <c r="D295" s="686"/>
      <c r="E295" s="655"/>
      <c r="F295" s="655"/>
      <c r="G295" s="655"/>
      <c r="H295" s="655"/>
      <c r="I295" s="655"/>
      <c r="J295" s="655"/>
      <c r="K295" s="655"/>
      <c r="L295" s="686"/>
      <c r="M295" s="655"/>
      <c r="N295" s="655"/>
      <c r="O295" s="655"/>
      <c r="P295" s="655"/>
      <c r="Q295" s="655"/>
      <c r="R295" s="655"/>
      <c r="S295" s="655"/>
      <c r="T295" s="655"/>
      <c r="U295" s="655"/>
      <c r="V295" s="655"/>
    </row>
    <row r="296" spans="1:22">
      <c r="A296" s="677"/>
      <c r="B296" s="655"/>
      <c r="C296" s="686"/>
      <c r="D296" s="686"/>
      <c r="E296" s="655"/>
      <c r="F296" s="655"/>
      <c r="G296" s="655"/>
      <c r="H296" s="655"/>
      <c r="I296" s="655"/>
      <c r="J296" s="655"/>
      <c r="K296" s="655"/>
      <c r="L296" s="686"/>
      <c r="M296" s="655"/>
      <c r="N296" s="655"/>
      <c r="O296" s="655"/>
      <c r="P296" s="655"/>
      <c r="Q296" s="655"/>
      <c r="R296" s="655"/>
      <c r="S296" s="655"/>
      <c r="T296" s="655"/>
      <c r="U296" s="655"/>
      <c r="V296" s="655"/>
    </row>
    <row r="297" spans="1:22">
      <c r="A297" s="677"/>
      <c r="B297" s="655"/>
      <c r="C297" s="686"/>
      <c r="D297" s="686"/>
      <c r="E297" s="655"/>
      <c r="F297" s="655"/>
      <c r="G297" s="655"/>
      <c r="H297" s="655"/>
      <c r="I297" s="655"/>
      <c r="J297" s="655"/>
      <c r="K297" s="655"/>
      <c r="L297" s="686"/>
      <c r="M297" s="655"/>
      <c r="N297" s="655"/>
      <c r="O297" s="655"/>
      <c r="P297" s="655"/>
      <c r="Q297" s="655"/>
      <c r="R297" s="655"/>
      <c r="S297" s="655"/>
      <c r="T297" s="655"/>
      <c r="U297" s="655"/>
      <c r="V297" s="655"/>
    </row>
    <row r="298" spans="1:22">
      <c r="A298" s="677"/>
      <c r="B298" s="655"/>
      <c r="C298" s="686"/>
      <c r="D298" s="686"/>
      <c r="E298" s="655"/>
      <c r="F298" s="655"/>
      <c r="G298" s="655"/>
      <c r="H298" s="655"/>
      <c r="I298" s="655"/>
      <c r="J298" s="655"/>
      <c r="K298" s="655"/>
      <c r="L298" s="686"/>
      <c r="M298" s="655"/>
      <c r="N298" s="655"/>
      <c r="O298" s="655"/>
      <c r="P298" s="655"/>
      <c r="Q298" s="655"/>
      <c r="R298" s="655"/>
      <c r="S298" s="655"/>
      <c r="T298" s="655"/>
      <c r="U298" s="655"/>
      <c r="V298" s="655"/>
    </row>
    <row r="299" spans="1:22">
      <c r="A299" s="677"/>
      <c r="B299" s="655"/>
      <c r="C299" s="686"/>
      <c r="D299" s="686"/>
      <c r="E299" s="655"/>
      <c r="F299" s="655"/>
      <c r="G299" s="655"/>
      <c r="H299" s="655"/>
      <c r="I299" s="655"/>
      <c r="J299" s="655"/>
      <c r="K299" s="655"/>
      <c r="L299" s="686"/>
      <c r="M299" s="655"/>
      <c r="N299" s="655"/>
      <c r="O299" s="655"/>
      <c r="P299" s="655"/>
      <c r="Q299" s="655"/>
      <c r="R299" s="655"/>
      <c r="S299" s="655"/>
      <c r="T299" s="655"/>
      <c r="U299" s="655"/>
      <c r="V299" s="655"/>
    </row>
    <row r="300" spans="1:22">
      <c r="A300" s="677"/>
      <c r="B300" s="655"/>
      <c r="C300" s="686"/>
      <c r="D300" s="686"/>
      <c r="E300" s="655"/>
      <c r="F300" s="655"/>
      <c r="G300" s="655"/>
      <c r="H300" s="655"/>
      <c r="I300" s="655"/>
      <c r="J300" s="655"/>
      <c r="K300" s="655"/>
      <c r="L300" s="686"/>
      <c r="M300" s="655"/>
      <c r="N300" s="655"/>
      <c r="O300" s="655"/>
      <c r="P300" s="655"/>
      <c r="Q300" s="655"/>
      <c r="R300" s="655"/>
      <c r="S300" s="655"/>
      <c r="T300" s="655"/>
      <c r="U300" s="655"/>
      <c r="V300" s="655"/>
    </row>
    <row r="301" spans="1:22">
      <c r="A301" s="677"/>
      <c r="B301" s="655"/>
      <c r="C301" s="686"/>
      <c r="D301" s="686"/>
      <c r="E301" s="655"/>
      <c r="F301" s="655"/>
      <c r="G301" s="655"/>
      <c r="H301" s="655"/>
      <c r="I301" s="655"/>
      <c r="J301" s="655"/>
      <c r="K301" s="655"/>
      <c r="L301" s="686"/>
      <c r="M301" s="655"/>
      <c r="N301" s="655"/>
      <c r="O301" s="655"/>
      <c r="P301" s="655"/>
      <c r="Q301" s="655"/>
      <c r="R301" s="655"/>
      <c r="S301" s="655"/>
      <c r="T301" s="655"/>
      <c r="U301" s="655"/>
      <c r="V301" s="655"/>
    </row>
    <row r="302" spans="1:22">
      <c r="A302" s="677"/>
      <c r="B302" s="655"/>
      <c r="C302" s="686"/>
      <c r="D302" s="686"/>
      <c r="E302" s="655"/>
      <c r="F302" s="655"/>
      <c r="G302" s="655"/>
      <c r="H302" s="655"/>
      <c r="I302" s="655"/>
      <c r="J302" s="655"/>
      <c r="K302" s="655"/>
      <c r="L302" s="686"/>
      <c r="M302" s="655"/>
      <c r="N302" s="655"/>
      <c r="O302" s="655"/>
      <c r="P302" s="655"/>
      <c r="Q302" s="655"/>
      <c r="R302" s="655"/>
      <c r="S302" s="655"/>
      <c r="T302" s="655"/>
      <c r="U302" s="655"/>
      <c r="V302" s="655"/>
    </row>
    <row r="303" spans="1:22">
      <c r="A303" s="677"/>
      <c r="B303" s="655"/>
      <c r="C303" s="686"/>
      <c r="D303" s="686"/>
      <c r="E303" s="655"/>
      <c r="F303" s="655"/>
      <c r="G303" s="655"/>
      <c r="H303" s="655"/>
      <c r="I303" s="655"/>
      <c r="J303" s="655"/>
      <c r="K303" s="655"/>
      <c r="L303" s="686"/>
      <c r="M303" s="655"/>
      <c r="N303" s="655"/>
      <c r="O303" s="655"/>
      <c r="P303" s="655"/>
      <c r="Q303" s="655"/>
      <c r="R303" s="655"/>
      <c r="S303" s="655"/>
      <c r="T303" s="655"/>
      <c r="U303" s="655"/>
      <c r="V303" s="655"/>
    </row>
    <row r="304" spans="1:22">
      <c r="A304" s="677"/>
      <c r="B304" s="655"/>
      <c r="C304" s="686"/>
      <c r="D304" s="686"/>
      <c r="E304" s="655"/>
      <c r="F304" s="655"/>
      <c r="G304" s="655"/>
      <c r="H304" s="655"/>
      <c r="I304" s="655"/>
      <c r="J304" s="655"/>
      <c r="K304" s="655"/>
      <c r="L304" s="686"/>
      <c r="M304" s="655"/>
      <c r="N304" s="655"/>
      <c r="O304" s="655"/>
      <c r="P304" s="655"/>
      <c r="Q304" s="655"/>
      <c r="R304" s="655"/>
      <c r="S304" s="655"/>
      <c r="T304" s="655"/>
      <c r="U304" s="655"/>
      <c r="V304" s="655"/>
    </row>
    <row r="305" spans="1:22">
      <c r="A305" s="677"/>
      <c r="B305" s="655"/>
      <c r="C305" s="686"/>
      <c r="D305" s="686"/>
      <c r="E305" s="655"/>
      <c r="F305" s="655"/>
      <c r="G305" s="655"/>
      <c r="H305" s="655"/>
      <c r="I305" s="655"/>
      <c r="J305" s="655"/>
      <c r="K305" s="655"/>
      <c r="L305" s="686"/>
      <c r="M305" s="655"/>
      <c r="N305" s="655"/>
      <c r="O305" s="655"/>
      <c r="P305" s="655"/>
      <c r="Q305" s="655"/>
      <c r="R305" s="655"/>
      <c r="S305" s="655"/>
      <c r="T305" s="655"/>
      <c r="U305" s="655"/>
      <c r="V305" s="655"/>
    </row>
    <row r="306" spans="1:22">
      <c r="A306" s="677"/>
      <c r="B306" s="655"/>
      <c r="C306" s="686"/>
      <c r="D306" s="686"/>
      <c r="E306" s="655"/>
      <c r="F306" s="655"/>
      <c r="G306" s="655"/>
      <c r="H306" s="655"/>
      <c r="I306" s="655"/>
      <c r="J306" s="655"/>
      <c r="K306" s="655"/>
      <c r="L306" s="686"/>
      <c r="M306" s="655"/>
      <c r="N306" s="655"/>
      <c r="O306" s="655"/>
      <c r="P306" s="655"/>
      <c r="Q306" s="655"/>
      <c r="R306" s="655"/>
      <c r="S306" s="655"/>
      <c r="T306" s="655"/>
      <c r="U306" s="655"/>
      <c r="V306" s="655"/>
    </row>
    <row r="307" spans="1:22">
      <c r="A307" s="677"/>
      <c r="B307" s="655"/>
      <c r="C307" s="686"/>
      <c r="D307" s="686"/>
      <c r="E307" s="655"/>
      <c r="F307" s="655"/>
      <c r="G307" s="655"/>
      <c r="H307" s="655"/>
      <c r="I307" s="655"/>
      <c r="J307" s="655"/>
      <c r="K307" s="655"/>
      <c r="L307" s="686"/>
      <c r="M307" s="655"/>
      <c r="N307" s="655"/>
      <c r="O307" s="655"/>
      <c r="P307" s="655"/>
      <c r="Q307" s="655"/>
      <c r="R307" s="655"/>
      <c r="S307" s="655"/>
      <c r="T307" s="655"/>
      <c r="U307" s="655"/>
      <c r="V307" s="655"/>
    </row>
    <row r="308" spans="1:22">
      <c r="A308" s="677"/>
      <c r="B308" s="655"/>
      <c r="C308" s="686"/>
      <c r="D308" s="686"/>
      <c r="E308" s="655"/>
      <c r="F308" s="655"/>
      <c r="G308" s="655"/>
      <c r="H308" s="655"/>
      <c r="I308" s="655"/>
      <c r="J308" s="655"/>
      <c r="K308" s="655"/>
      <c r="L308" s="686"/>
      <c r="M308" s="655"/>
      <c r="N308" s="655"/>
      <c r="O308" s="655"/>
      <c r="P308" s="655"/>
      <c r="Q308" s="655"/>
      <c r="R308" s="655"/>
      <c r="S308" s="655"/>
      <c r="T308" s="655"/>
      <c r="U308" s="655"/>
      <c r="V308" s="655"/>
    </row>
    <row r="309" spans="1:22">
      <c r="A309" s="677"/>
      <c r="B309" s="655"/>
      <c r="C309" s="686"/>
      <c r="D309" s="686"/>
      <c r="E309" s="655"/>
      <c r="F309" s="655"/>
      <c r="G309" s="655"/>
      <c r="H309" s="655"/>
      <c r="I309" s="655"/>
      <c r="J309" s="655"/>
      <c r="K309" s="655"/>
      <c r="L309" s="686"/>
      <c r="M309" s="655"/>
      <c r="N309" s="655"/>
      <c r="O309" s="655"/>
      <c r="P309" s="655"/>
      <c r="Q309" s="655"/>
      <c r="R309" s="655"/>
      <c r="S309" s="655"/>
      <c r="T309" s="655"/>
      <c r="U309" s="655"/>
      <c r="V309" s="655"/>
    </row>
    <row r="310" spans="1:22">
      <c r="A310" s="677"/>
      <c r="B310" s="655"/>
      <c r="C310" s="686"/>
      <c r="D310" s="686"/>
      <c r="E310" s="655"/>
      <c r="F310" s="655"/>
      <c r="G310" s="655"/>
      <c r="H310" s="655"/>
      <c r="I310" s="655"/>
      <c r="J310" s="655"/>
      <c r="K310" s="655"/>
      <c r="L310" s="686"/>
      <c r="M310" s="655"/>
      <c r="N310" s="655"/>
      <c r="O310" s="655"/>
      <c r="P310" s="655"/>
      <c r="Q310" s="655"/>
      <c r="R310" s="655"/>
      <c r="S310" s="655"/>
      <c r="T310" s="655"/>
      <c r="U310" s="655"/>
      <c r="V310" s="655"/>
    </row>
    <row r="311" spans="1:22">
      <c r="A311" s="677"/>
      <c r="B311" s="655"/>
      <c r="C311" s="686"/>
      <c r="D311" s="686"/>
      <c r="E311" s="655"/>
      <c r="F311" s="655"/>
      <c r="G311" s="655"/>
      <c r="H311" s="655"/>
      <c r="I311" s="655"/>
      <c r="J311" s="655"/>
      <c r="K311" s="655"/>
      <c r="L311" s="686"/>
      <c r="M311" s="655"/>
      <c r="N311" s="655"/>
      <c r="O311" s="655"/>
      <c r="P311" s="655"/>
      <c r="Q311" s="655"/>
      <c r="R311" s="655"/>
      <c r="S311" s="655"/>
      <c r="T311" s="655"/>
      <c r="U311" s="655"/>
      <c r="V311" s="655"/>
    </row>
    <row r="312" spans="1:22">
      <c r="A312" s="677"/>
      <c r="B312" s="655"/>
      <c r="C312" s="686"/>
      <c r="D312" s="686"/>
      <c r="E312" s="655"/>
      <c r="F312" s="655"/>
      <c r="G312" s="655"/>
      <c r="H312" s="655"/>
      <c r="I312" s="655"/>
      <c r="J312" s="655"/>
      <c r="K312" s="655"/>
      <c r="L312" s="686"/>
      <c r="M312" s="655"/>
      <c r="N312" s="655"/>
      <c r="O312" s="655"/>
      <c r="P312" s="655"/>
      <c r="Q312" s="655"/>
      <c r="R312" s="655"/>
      <c r="S312" s="655"/>
      <c r="T312" s="655"/>
      <c r="U312" s="655"/>
      <c r="V312" s="655"/>
    </row>
    <row r="313" spans="1:22">
      <c r="A313" s="677"/>
      <c r="B313" s="655"/>
      <c r="C313" s="686"/>
      <c r="D313" s="686"/>
      <c r="E313" s="655"/>
      <c r="F313" s="655"/>
      <c r="G313" s="655"/>
      <c r="H313" s="655"/>
      <c r="I313" s="655"/>
      <c r="J313" s="655"/>
      <c r="K313" s="655"/>
      <c r="L313" s="686"/>
      <c r="M313" s="655"/>
      <c r="N313" s="655"/>
      <c r="O313" s="655"/>
      <c r="P313" s="655"/>
      <c r="Q313" s="655"/>
      <c r="R313" s="655"/>
      <c r="S313" s="655"/>
      <c r="T313" s="655"/>
      <c r="U313" s="655"/>
      <c r="V313" s="655"/>
    </row>
    <row r="314" spans="1:22">
      <c r="A314" s="677"/>
      <c r="B314" s="655"/>
      <c r="C314" s="686"/>
      <c r="D314" s="686"/>
      <c r="E314" s="655"/>
      <c r="F314" s="655"/>
      <c r="G314" s="655"/>
      <c r="H314" s="655"/>
      <c r="I314" s="655"/>
      <c r="J314" s="655"/>
      <c r="K314" s="655"/>
      <c r="L314" s="686"/>
      <c r="M314" s="655"/>
      <c r="N314" s="655"/>
      <c r="O314" s="655"/>
      <c r="P314" s="655"/>
      <c r="Q314" s="655"/>
      <c r="R314" s="655"/>
      <c r="S314" s="655"/>
      <c r="T314" s="655"/>
      <c r="U314" s="655"/>
      <c r="V314" s="655"/>
    </row>
    <row r="315" spans="1:22">
      <c r="A315" s="677"/>
      <c r="B315" s="655"/>
      <c r="C315" s="686"/>
      <c r="D315" s="686"/>
      <c r="E315" s="655"/>
      <c r="F315" s="655"/>
      <c r="G315" s="655"/>
      <c r="H315" s="655"/>
      <c r="I315" s="655"/>
      <c r="J315" s="655"/>
      <c r="K315" s="655"/>
      <c r="L315" s="686"/>
      <c r="M315" s="655"/>
      <c r="N315" s="655"/>
      <c r="O315" s="655"/>
      <c r="P315" s="655"/>
      <c r="Q315" s="655"/>
      <c r="R315" s="655"/>
      <c r="S315" s="655"/>
      <c r="T315" s="655"/>
      <c r="U315" s="655"/>
      <c r="V315" s="655"/>
    </row>
    <row r="316" spans="1:22">
      <c r="A316" s="677"/>
      <c r="B316" s="655"/>
      <c r="C316" s="686"/>
      <c r="D316" s="686"/>
      <c r="E316" s="655"/>
      <c r="F316" s="655"/>
      <c r="G316" s="655"/>
      <c r="H316" s="655"/>
      <c r="I316" s="655"/>
      <c r="J316" s="655"/>
      <c r="K316" s="655"/>
      <c r="L316" s="686"/>
      <c r="M316" s="655"/>
      <c r="N316" s="655"/>
      <c r="O316" s="655"/>
      <c r="P316" s="655"/>
      <c r="Q316" s="655"/>
      <c r="R316" s="655"/>
      <c r="S316" s="655"/>
      <c r="T316" s="655"/>
      <c r="U316" s="655"/>
      <c r="V316" s="655"/>
    </row>
    <row r="317" spans="1:22">
      <c r="A317" s="677"/>
      <c r="B317" s="655"/>
      <c r="C317" s="686"/>
      <c r="D317" s="686"/>
      <c r="E317" s="655"/>
      <c r="F317" s="655"/>
      <c r="G317" s="655"/>
      <c r="H317" s="655"/>
      <c r="I317" s="655"/>
      <c r="J317" s="655"/>
      <c r="K317" s="655"/>
      <c r="L317" s="686"/>
      <c r="M317" s="655"/>
      <c r="N317" s="655"/>
      <c r="O317" s="655"/>
      <c r="P317" s="655"/>
      <c r="Q317" s="655"/>
      <c r="R317" s="655"/>
      <c r="S317" s="655"/>
      <c r="T317" s="655"/>
      <c r="U317" s="655"/>
      <c r="V317" s="655"/>
    </row>
    <row r="318" spans="1:22">
      <c r="A318" s="677"/>
      <c r="B318" s="655"/>
      <c r="C318" s="686"/>
      <c r="D318" s="686"/>
      <c r="E318" s="655"/>
      <c r="F318" s="655"/>
      <c r="G318" s="655"/>
      <c r="H318" s="655"/>
      <c r="I318" s="655"/>
      <c r="J318" s="655"/>
      <c r="K318" s="655"/>
      <c r="L318" s="686"/>
      <c r="M318" s="655"/>
      <c r="N318" s="655"/>
      <c r="O318" s="655"/>
      <c r="P318" s="655"/>
      <c r="Q318" s="655"/>
      <c r="R318" s="655"/>
      <c r="S318" s="655"/>
      <c r="T318" s="655"/>
      <c r="U318" s="655"/>
      <c r="V318" s="655"/>
    </row>
    <row r="319" spans="1:22">
      <c r="A319" s="677"/>
      <c r="B319" s="655"/>
      <c r="C319" s="686"/>
      <c r="D319" s="686"/>
      <c r="E319" s="655"/>
      <c r="F319" s="655"/>
      <c r="G319" s="655"/>
      <c r="H319" s="655"/>
      <c r="I319" s="655"/>
      <c r="J319" s="655"/>
      <c r="K319" s="655"/>
      <c r="L319" s="686"/>
      <c r="M319" s="655"/>
      <c r="N319" s="655"/>
      <c r="O319" s="655"/>
      <c r="P319" s="655"/>
      <c r="Q319" s="655"/>
      <c r="R319" s="655"/>
      <c r="S319" s="655"/>
      <c r="T319" s="655"/>
      <c r="U319" s="655"/>
      <c r="V319" s="655"/>
    </row>
    <row r="320" spans="1:22">
      <c r="A320" s="677"/>
      <c r="B320" s="655"/>
      <c r="C320" s="686"/>
      <c r="D320" s="686"/>
      <c r="E320" s="655"/>
      <c r="F320" s="655"/>
      <c r="G320" s="655"/>
      <c r="H320" s="655"/>
      <c r="I320" s="655"/>
      <c r="J320" s="655"/>
      <c r="K320" s="655"/>
      <c r="L320" s="686"/>
      <c r="M320" s="655"/>
      <c r="N320" s="655"/>
      <c r="O320" s="655"/>
      <c r="P320" s="655"/>
      <c r="Q320" s="655"/>
      <c r="R320" s="655"/>
      <c r="S320" s="655"/>
      <c r="T320" s="655"/>
      <c r="U320" s="655"/>
      <c r="V320" s="655"/>
    </row>
    <row r="321" spans="1:22">
      <c r="A321" s="677"/>
      <c r="B321" s="655"/>
      <c r="C321" s="686"/>
      <c r="D321" s="686"/>
      <c r="E321" s="655"/>
      <c r="F321" s="655"/>
      <c r="G321" s="655"/>
      <c r="H321" s="655"/>
      <c r="I321" s="655"/>
      <c r="J321" s="655"/>
      <c r="K321" s="655"/>
      <c r="L321" s="686"/>
      <c r="M321" s="655"/>
      <c r="N321" s="655"/>
      <c r="O321" s="655"/>
      <c r="P321" s="655"/>
      <c r="Q321" s="655"/>
      <c r="R321" s="655"/>
      <c r="S321" s="655"/>
      <c r="T321" s="655"/>
      <c r="U321" s="655"/>
      <c r="V321" s="655"/>
    </row>
    <row r="322" spans="1:22">
      <c r="A322" s="677"/>
      <c r="B322" s="655"/>
      <c r="C322" s="686"/>
      <c r="D322" s="686"/>
      <c r="E322" s="655"/>
      <c r="F322" s="655"/>
      <c r="G322" s="655"/>
      <c r="H322" s="655"/>
      <c r="I322" s="655"/>
      <c r="J322" s="655"/>
      <c r="K322" s="655"/>
      <c r="L322" s="686"/>
      <c r="M322" s="655"/>
      <c r="N322" s="655"/>
      <c r="O322" s="655"/>
      <c r="P322" s="655"/>
      <c r="Q322" s="655"/>
      <c r="R322" s="655"/>
      <c r="S322" s="655"/>
      <c r="T322" s="655"/>
      <c r="U322" s="655"/>
      <c r="V322" s="655"/>
    </row>
    <row r="323" spans="1:22">
      <c r="A323" s="677"/>
      <c r="B323" s="655"/>
      <c r="C323" s="686"/>
      <c r="D323" s="686"/>
      <c r="E323" s="655"/>
      <c r="F323" s="655"/>
      <c r="G323" s="655"/>
      <c r="H323" s="655"/>
      <c r="I323" s="655"/>
      <c r="J323" s="655"/>
      <c r="K323" s="655"/>
      <c r="L323" s="686"/>
      <c r="M323" s="655"/>
      <c r="N323" s="655"/>
      <c r="O323" s="655"/>
      <c r="P323" s="655"/>
      <c r="Q323" s="655"/>
      <c r="R323" s="655"/>
      <c r="S323" s="655"/>
      <c r="T323" s="655"/>
      <c r="U323" s="655"/>
      <c r="V323" s="655"/>
    </row>
    <row r="324" spans="1:22">
      <c r="A324" s="677"/>
      <c r="B324" s="655"/>
      <c r="C324" s="686"/>
      <c r="D324" s="686"/>
      <c r="E324" s="655"/>
      <c r="F324" s="655"/>
      <c r="G324" s="655"/>
      <c r="H324" s="655"/>
      <c r="I324" s="655"/>
      <c r="J324" s="655"/>
      <c r="K324" s="655"/>
      <c r="L324" s="686"/>
      <c r="M324" s="655"/>
      <c r="N324" s="655"/>
      <c r="O324" s="655"/>
      <c r="P324" s="655"/>
      <c r="Q324" s="655"/>
      <c r="R324" s="655"/>
      <c r="S324" s="655"/>
      <c r="T324" s="655"/>
      <c r="U324" s="655"/>
      <c r="V324" s="655"/>
    </row>
    <row r="325" spans="1:22">
      <c r="A325" s="677"/>
      <c r="B325" s="655"/>
      <c r="C325" s="686"/>
      <c r="D325" s="686"/>
      <c r="E325" s="655"/>
      <c r="F325" s="655"/>
      <c r="G325" s="655"/>
      <c r="H325" s="655"/>
      <c r="I325" s="655"/>
      <c r="J325" s="655"/>
      <c r="K325" s="655"/>
      <c r="L325" s="686"/>
      <c r="M325" s="655"/>
      <c r="N325" s="655"/>
      <c r="O325" s="655"/>
      <c r="P325" s="655"/>
      <c r="Q325" s="655"/>
      <c r="R325" s="655"/>
      <c r="S325" s="655"/>
      <c r="T325" s="655"/>
      <c r="U325" s="655"/>
      <c r="V325" s="655"/>
    </row>
    <row r="326" spans="1:22">
      <c r="A326" s="677"/>
      <c r="B326" s="655"/>
      <c r="C326" s="686"/>
      <c r="D326" s="686"/>
      <c r="E326" s="655"/>
      <c r="F326" s="655"/>
      <c r="G326" s="655"/>
      <c r="H326" s="655"/>
      <c r="I326" s="655"/>
      <c r="J326" s="655"/>
      <c r="K326" s="655"/>
      <c r="L326" s="686"/>
      <c r="M326" s="655"/>
      <c r="N326" s="655"/>
      <c r="O326" s="655"/>
      <c r="P326" s="655"/>
      <c r="Q326" s="655"/>
      <c r="R326" s="655"/>
      <c r="S326" s="655"/>
      <c r="T326" s="655"/>
      <c r="U326" s="655"/>
      <c r="V326" s="655"/>
    </row>
    <row r="327" spans="1:22">
      <c r="A327" s="677"/>
      <c r="B327" s="655"/>
      <c r="C327" s="686"/>
      <c r="D327" s="686"/>
      <c r="E327" s="655"/>
      <c r="F327" s="655"/>
      <c r="G327" s="655"/>
      <c r="H327" s="655"/>
      <c r="I327" s="655"/>
      <c r="J327" s="655"/>
      <c r="K327" s="655"/>
      <c r="L327" s="686"/>
      <c r="M327" s="655"/>
      <c r="N327" s="655"/>
      <c r="O327" s="655"/>
      <c r="P327" s="655"/>
      <c r="Q327" s="655"/>
      <c r="R327" s="655"/>
      <c r="S327" s="655"/>
      <c r="T327" s="655"/>
      <c r="U327" s="655"/>
      <c r="V327" s="655"/>
    </row>
    <row r="328" spans="1:22">
      <c r="A328" s="677"/>
      <c r="B328" s="655"/>
      <c r="C328" s="686"/>
      <c r="D328" s="686"/>
      <c r="E328" s="655"/>
      <c r="F328" s="655"/>
      <c r="G328" s="655"/>
      <c r="H328" s="655"/>
      <c r="I328" s="655"/>
      <c r="J328" s="655"/>
      <c r="K328" s="655"/>
      <c r="L328" s="686"/>
      <c r="M328" s="655"/>
      <c r="N328" s="655"/>
      <c r="O328" s="655"/>
      <c r="P328" s="655"/>
      <c r="Q328" s="655"/>
      <c r="R328" s="655"/>
      <c r="S328" s="655"/>
      <c r="T328" s="655"/>
      <c r="U328" s="655"/>
      <c r="V328" s="655"/>
    </row>
    <row r="329" spans="1:22">
      <c r="A329" s="677"/>
      <c r="B329" s="655"/>
      <c r="C329" s="686"/>
      <c r="D329" s="686"/>
      <c r="E329" s="655"/>
      <c r="F329" s="655"/>
      <c r="G329" s="655"/>
      <c r="H329" s="655"/>
      <c r="I329" s="655"/>
      <c r="J329" s="655"/>
      <c r="K329" s="655"/>
      <c r="L329" s="686"/>
      <c r="M329" s="655"/>
      <c r="N329" s="655"/>
      <c r="O329" s="655"/>
      <c r="P329" s="655"/>
      <c r="Q329" s="655"/>
      <c r="R329" s="655"/>
      <c r="S329" s="655"/>
      <c r="T329" s="655"/>
      <c r="U329" s="655"/>
      <c r="V329" s="655"/>
    </row>
    <row r="330" spans="1:22">
      <c r="A330" s="677"/>
      <c r="B330" s="655"/>
      <c r="C330" s="686"/>
      <c r="D330" s="686"/>
      <c r="E330" s="655"/>
      <c r="F330" s="655"/>
      <c r="G330" s="655"/>
      <c r="H330" s="655"/>
      <c r="I330" s="655"/>
      <c r="J330" s="655"/>
      <c r="K330" s="655"/>
      <c r="L330" s="686"/>
      <c r="M330" s="655"/>
      <c r="N330" s="655"/>
      <c r="O330" s="655"/>
      <c r="P330" s="655"/>
      <c r="Q330" s="655"/>
      <c r="R330" s="655"/>
      <c r="S330" s="655"/>
      <c r="T330" s="655"/>
      <c r="U330" s="655"/>
      <c r="V330" s="655"/>
    </row>
    <row r="331" spans="1:22">
      <c r="A331" s="677"/>
      <c r="B331" s="655"/>
      <c r="C331" s="686"/>
      <c r="D331" s="686"/>
      <c r="E331" s="655"/>
      <c r="F331" s="655"/>
      <c r="G331" s="655"/>
      <c r="H331" s="655"/>
      <c r="I331" s="655"/>
      <c r="J331" s="655"/>
      <c r="K331" s="655"/>
      <c r="L331" s="686"/>
      <c r="M331" s="655"/>
      <c r="N331" s="655"/>
      <c r="O331" s="655"/>
      <c r="P331" s="655"/>
      <c r="Q331" s="655"/>
      <c r="R331" s="655"/>
      <c r="S331" s="655"/>
      <c r="T331" s="655"/>
      <c r="U331" s="655"/>
      <c r="V331" s="655"/>
    </row>
    <row r="332" spans="1:22">
      <c r="A332" s="677"/>
      <c r="B332" s="655"/>
      <c r="C332" s="686"/>
      <c r="D332" s="686"/>
      <c r="E332" s="655"/>
      <c r="F332" s="655"/>
      <c r="G332" s="655"/>
      <c r="H332" s="655"/>
      <c r="I332" s="655"/>
      <c r="J332" s="655"/>
      <c r="K332" s="655"/>
      <c r="L332" s="686"/>
      <c r="M332" s="655"/>
      <c r="N332" s="655"/>
      <c r="O332" s="655"/>
      <c r="P332" s="655"/>
      <c r="Q332" s="655"/>
      <c r="R332" s="655"/>
      <c r="S332" s="655"/>
      <c r="T332" s="655"/>
      <c r="U332" s="655"/>
      <c r="V332" s="655"/>
    </row>
    <row r="333" spans="1:22">
      <c r="A333" s="677"/>
      <c r="B333" s="655"/>
      <c r="C333" s="686"/>
      <c r="D333" s="686"/>
      <c r="E333" s="655"/>
      <c r="F333" s="655"/>
      <c r="G333" s="655"/>
      <c r="H333" s="655"/>
      <c r="I333" s="655"/>
      <c r="J333" s="655"/>
      <c r="K333" s="655"/>
      <c r="L333" s="686"/>
      <c r="M333" s="655"/>
      <c r="N333" s="655"/>
      <c r="O333" s="655"/>
      <c r="P333" s="655"/>
      <c r="Q333" s="655"/>
      <c r="R333" s="655"/>
      <c r="S333" s="655"/>
      <c r="T333" s="655"/>
      <c r="U333" s="655"/>
      <c r="V333" s="655"/>
    </row>
    <row r="334" spans="1:22">
      <c r="A334" s="677"/>
      <c r="B334" s="655"/>
      <c r="C334" s="686"/>
      <c r="D334" s="686"/>
      <c r="E334" s="655"/>
      <c r="F334" s="655"/>
      <c r="G334" s="655"/>
      <c r="H334" s="655"/>
      <c r="I334" s="655"/>
      <c r="J334" s="655"/>
      <c r="K334" s="655"/>
      <c r="L334" s="686"/>
      <c r="M334" s="655"/>
      <c r="N334" s="655"/>
      <c r="O334" s="655"/>
      <c r="P334" s="655"/>
      <c r="Q334" s="655"/>
      <c r="R334" s="655"/>
      <c r="S334" s="655"/>
      <c r="T334" s="655"/>
      <c r="U334" s="655"/>
      <c r="V334" s="655"/>
    </row>
    <row r="335" spans="1:22">
      <c r="A335" s="677"/>
      <c r="B335" s="655"/>
      <c r="C335" s="686"/>
      <c r="D335" s="686"/>
      <c r="E335" s="655"/>
      <c r="F335" s="655"/>
      <c r="G335" s="655"/>
      <c r="H335" s="655"/>
      <c r="I335" s="655"/>
      <c r="J335" s="655"/>
      <c r="K335" s="655"/>
      <c r="L335" s="686"/>
      <c r="M335" s="655"/>
      <c r="N335" s="655"/>
      <c r="O335" s="655"/>
      <c r="P335" s="655"/>
      <c r="Q335" s="655"/>
      <c r="R335" s="655"/>
      <c r="S335" s="655"/>
      <c r="T335" s="655"/>
      <c r="U335" s="655"/>
      <c r="V335" s="655"/>
    </row>
    <row r="336" spans="1:22">
      <c r="A336" s="677"/>
      <c r="B336" s="655"/>
      <c r="C336" s="686"/>
      <c r="D336" s="686"/>
      <c r="E336" s="655"/>
      <c r="F336" s="655"/>
      <c r="G336" s="655"/>
      <c r="H336" s="655"/>
      <c r="I336" s="655"/>
      <c r="J336" s="655"/>
      <c r="K336" s="655"/>
      <c r="L336" s="686"/>
      <c r="M336" s="655"/>
      <c r="N336" s="655"/>
      <c r="O336" s="655"/>
      <c r="P336" s="655"/>
      <c r="Q336" s="655"/>
      <c r="R336" s="655"/>
      <c r="S336" s="655"/>
      <c r="T336" s="655"/>
      <c r="U336" s="655"/>
      <c r="V336" s="655"/>
    </row>
    <row r="337" spans="1:22">
      <c r="A337" s="677"/>
      <c r="B337" s="655"/>
      <c r="C337" s="686"/>
      <c r="D337" s="686"/>
      <c r="E337" s="655"/>
      <c r="F337" s="655"/>
      <c r="G337" s="655"/>
      <c r="H337" s="655"/>
      <c r="I337" s="655"/>
      <c r="J337" s="655"/>
      <c r="K337" s="655"/>
      <c r="L337" s="686"/>
      <c r="M337" s="655"/>
      <c r="N337" s="655"/>
      <c r="O337" s="655"/>
      <c r="P337" s="655"/>
      <c r="Q337" s="655"/>
      <c r="R337" s="655"/>
      <c r="S337" s="655"/>
      <c r="T337" s="655"/>
      <c r="U337" s="655"/>
      <c r="V337" s="655"/>
    </row>
    <row r="338" spans="1:22">
      <c r="A338" s="677"/>
      <c r="B338" s="655"/>
      <c r="C338" s="686"/>
      <c r="D338" s="686"/>
      <c r="E338" s="655"/>
      <c r="F338" s="655"/>
      <c r="G338" s="655"/>
      <c r="H338" s="655"/>
      <c r="I338" s="655"/>
      <c r="J338" s="655"/>
      <c r="K338" s="655"/>
      <c r="L338" s="686"/>
      <c r="M338" s="655"/>
      <c r="N338" s="655"/>
      <c r="O338" s="655"/>
      <c r="P338" s="655"/>
      <c r="Q338" s="655"/>
      <c r="R338" s="655"/>
      <c r="S338" s="655"/>
      <c r="T338" s="655"/>
      <c r="U338" s="655"/>
      <c r="V338" s="655"/>
    </row>
    <row r="339" spans="1:22">
      <c r="A339" s="677"/>
      <c r="B339" s="655"/>
      <c r="C339" s="686"/>
      <c r="D339" s="686"/>
      <c r="E339" s="655"/>
      <c r="F339" s="655"/>
      <c r="G339" s="655"/>
      <c r="H339" s="655"/>
      <c r="I339" s="655"/>
      <c r="J339" s="655"/>
      <c r="K339" s="655"/>
      <c r="L339" s="686"/>
      <c r="M339" s="655"/>
      <c r="N339" s="655"/>
      <c r="O339" s="655"/>
      <c r="P339" s="655"/>
      <c r="Q339" s="655"/>
      <c r="R339" s="655"/>
      <c r="S339" s="655"/>
      <c r="T339" s="655"/>
      <c r="U339" s="655"/>
      <c r="V339" s="655"/>
    </row>
    <row r="340" spans="1:22">
      <c r="A340" s="677"/>
      <c r="B340" s="655"/>
      <c r="C340" s="686"/>
      <c r="D340" s="686"/>
      <c r="E340" s="655"/>
      <c r="F340" s="655"/>
      <c r="G340" s="655"/>
      <c r="H340" s="655"/>
      <c r="I340" s="655"/>
      <c r="J340" s="655"/>
      <c r="K340" s="655"/>
      <c r="L340" s="686"/>
      <c r="M340" s="655"/>
      <c r="N340" s="655"/>
      <c r="O340" s="655"/>
      <c r="P340" s="655"/>
      <c r="Q340" s="655"/>
      <c r="R340" s="655"/>
      <c r="S340" s="655"/>
      <c r="T340" s="655"/>
      <c r="U340" s="655"/>
      <c r="V340" s="655"/>
    </row>
    <row r="341" spans="1:22">
      <c r="A341" s="677"/>
      <c r="B341" s="655"/>
      <c r="C341" s="686"/>
      <c r="D341" s="686"/>
      <c r="E341" s="655"/>
      <c r="F341" s="655"/>
      <c r="G341" s="655"/>
      <c r="H341" s="655"/>
      <c r="I341" s="655"/>
      <c r="J341" s="655"/>
      <c r="K341" s="655"/>
      <c r="L341" s="686"/>
      <c r="M341" s="655"/>
      <c r="N341" s="655"/>
      <c r="O341" s="655"/>
      <c r="P341" s="655"/>
      <c r="Q341" s="655"/>
      <c r="R341" s="655"/>
      <c r="S341" s="655"/>
      <c r="T341" s="655"/>
      <c r="U341" s="655"/>
      <c r="V341" s="655"/>
    </row>
    <row r="342" spans="1:22">
      <c r="A342" s="677"/>
      <c r="B342" s="655"/>
      <c r="C342" s="686"/>
      <c r="D342" s="686"/>
      <c r="E342" s="655"/>
      <c r="F342" s="655"/>
      <c r="G342" s="655"/>
      <c r="H342" s="655"/>
      <c r="I342" s="655"/>
      <c r="J342" s="655"/>
      <c r="K342" s="655"/>
      <c r="L342" s="686"/>
      <c r="M342" s="655"/>
      <c r="N342" s="655"/>
      <c r="O342" s="655"/>
      <c r="P342" s="655"/>
      <c r="Q342" s="655"/>
      <c r="R342" s="655"/>
      <c r="S342" s="655"/>
      <c r="T342" s="655"/>
      <c r="U342" s="655"/>
      <c r="V342" s="655"/>
    </row>
    <row r="343" spans="1:22">
      <c r="A343" s="677"/>
      <c r="B343" s="655"/>
      <c r="C343" s="686"/>
      <c r="D343" s="686"/>
      <c r="E343" s="655"/>
      <c r="F343" s="655"/>
      <c r="G343" s="655"/>
      <c r="H343" s="655"/>
      <c r="I343" s="655"/>
      <c r="J343" s="655"/>
      <c r="K343" s="655"/>
      <c r="L343" s="686"/>
      <c r="M343" s="655"/>
      <c r="N343" s="655"/>
      <c r="O343" s="655"/>
      <c r="P343" s="655"/>
      <c r="Q343" s="655"/>
      <c r="R343" s="655"/>
      <c r="S343" s="655"/>
      <c r="T343" s="655"/>
      <c r="U343" s="655"/>
      <c r="V343" s="655"/>
    </row>
    <row r="344" spans="1:22">
      <c r="A344" s="677"/>
      <c r="B344" s="655"/>
      <c r="C344" s="686"/>
      <c r="D344" s="686"/>
      <c r="E344" s="655"/>
      <c r="F344" s="655"/>
      <c r="G344" s="655"/>
      <c r="H344" s="655"/>
      <c r="I344" s="655"/>
      <c r="J344" s="655"/>
      <c r="K344" s="655"/>
      <c r="L344" s="686"/>
      <c r="M344" s="655"/>
      <c r="N344" s="655"/>
      <c r="O344" s="655"/>
      <c r="P344" s="655"/>
      <c r="Q344" s="655"/>
      <c r="R344" s="655"/>
      <c r="S344" s="655"/>
      <c r="T344" s="655"/>
      <c r="U344" s="655"/>
      <c r="V344" s="655"/>
    </row>
    <row r="345" spans="1:22">
      <c r="A345" s="677"/>
      <c r="B345" s="655"/>
      <c r="C345" s="686"/>
      <c r="D345" s="686"/>
      <c r="E345" s="655"/>
      <c r="F345" s="655"/>
      <c r="G345" s="655"/>
      <c r="H345" s="655"/>
      <c r="I345" s="655"/>
      <c r="J345" s="655"/>
      <c r="K345" s="655"/>
      <c r="L345" s="686"/>
      <c r="M345" s="655"/>
      <c r="N345" s="655"/>
      <c r="O345" s="655"/>
      <c r="P345" s="655"/>
      <c r="Q345" s="655"/>
      <c r="R345" s="655"/>
      <c r="S345" s="655"/>
      <c r="T345" s="655"/>
      <c r="U345" s="655"/>
      <c r="V345" s="655"/>
    </row>
    <row r="346" spans="1:22">
      <c r="A346" s="677"/>
      <c r="B346" s="655"/>
      <c r="C346" s="686"/>
      <c r="D346" s="686"/>
      <c r="E346" s="655"/>
      <c r="F346" s="655"/>
      <c r="G346" s="655"/>
      <c r="H346" s="655"/>
      <c r="I346" s="655"/>
      <c r="J346" s="655"/>
      <c r="K346" s="655"/>
      <c r="L346" s="686"/>
      <c r="M346" s="655"/>
      <c r="N346" s="655"/>
      <c r="O346" s="655"/>
      <c r="P346" s="655"/>
      <c r="Q346" s="655"/>
      <c r="R346" s="655"/>
      <c r="S346" s="655"/>
      <c r="T346" s="655"/>
      <c r="U346" s="655"/>
      <c r="V346" s="655"/>
    </row>
    <row r="347" spans="1:22">
      <c r="A347" s="677"/>
      <c r="B347" s="655"/>
      <c r="C347" s="686"/>
      <c r="D347" s="686"/>
      <c r="E347" s="655"/>
      <c r="F347" s="655"/>
      <c r="G347" s="655"/>
      <c r="H347" s="655"/>
      <c r="I347" s="655"/>
      <c r="J347" s="655"/>
      <c r="K347" s="655"/>
      <c r="L347" s="686"/>
      <c r="M347" s="655"/>
      <c r="N347" s="655"/>
      <c r="O347" s="655"/>
      <c r="P347" s="655"/>
      <c r="Q347" s="655"/>
      <c r="R347" s="655"/>
      <c r="S347" s="655"/>
      <c r="T347" s="655"/>
      <c r="U347" s="655"/>
      <c r="V347" s="655"/>
    </row>
    <row r="348" spans="1:22">
      <c r="A348" s="677"/>
      <c r="B348" s="655"/>
      <c r="C348" s="686"/>
      <c r="D348" s="686"/>
      <c r="E348" s="655"/>
      <c r="F348" s="655"/>
      <c r="G348" s="655"/>
      <c r="H348" s="655"/>
      <c r="I348" s="655"/>
      <c r="J348" s="655"/>
      <c r="K348" s="655"/>
      <c r="L348" s="686"/>
      <c r="M348" s="655"/>
      <c r="N348" s="655"/>
      <c r="O348" s="655"/>
      <c r="P348" s="655"/>
      <c r="Q348" s="655"/>
      <c r="R348" s="655"/>
      <c r="S348" s="655"/>
      <c r="T348" s="655"/>
      <c r="U348" s="655"/>
      <c r="V348" s="655"/>
    </row>
    <row r="349" spans="1:22">
      <c r="A349" s="677"/>
      <c r="B349" s="655"/>
      <c r="C349" s="686"/>
      <c r="D349" s="686"/>
      <c r="E349" s="655"/>
      <c r="F349" s="655"/>
      <c r="G349" s="655"/>
      <c r="H349" s="655"/>
      <c r="I349" s="655"/>
      <c r="J349" s="655"/>
      <c r="K349" s="655"/>
      <c r="L349" s="686"/>
      <c r="M349" s="655"/>
      <c r="N349" s="655"/>
      <c r="O349" s="655"/>
      <c r="P349" s="655"/>
      <c r="Q349" s="655"/>
      <c r="R349" s="655"/>
      <c r="S349" s="655"/>
      <c r="T349" s="655"/>
      <c r="U349" s="655"/>
      <c r="V349" s="655"/>
    </row>
    <row r="350" spans="1:22">
      <c r="A350" s="677"/>
      <c r="B350" s="655"/>
      <c r="C350" s="686"/>
      <c r="D350" s="686"/>
      <c r="E350" s="655"/>
      <c r="F350" s="655"/>
      <c r="G350" s="655"/>
      <c r="H350" s="655"/>
      <c r="I350" s="655"/>
      <c r="J350" s="655"/>
      <c r="K350" s="655"/>
      <c r="L350" s="686"/>
      <c r="M350" s="655"/>
      <c r="N350" s="655"/>
      <c r="O350" s="655"/>
      <c r="P350" s="655"/>
      <c r="Q350" s="655"/>
      <c r="R350" s="655"/>
      <c r="S350" s="655"/>
      <c r="T350" s="655"/>
      <c r="U350" s="655"/>
      <c r="V350" s="655"/>
    </row>
    <row r="351" spans="1:22">
      <c r="A351" s="677"/>
      <c r="B351" s="655"/>
      <c r="C351" s="686"/>
      <c r="D351" s="686"/>
      <c r="E351" s="655"/>
      <c r="F351" s="655"/>
      <c r="G351" s="655"/>
      <c r="H351" s="655"/>
      <c r="I351" s="655"/>
      <c r="J351" s="655"/>
      <c r="K351" s="655"/>
      <c r="L351" s="686"/>
      <c r="M351" s="655"/>
      <c r="N351" s="655"/>
      <c r="O351" s="655"/>
      <c r="P351" s="655"/>
      <c r="Q351" s="655"/>
      <c r="R351" s="655"/>
      <c r="S351" s="655"/>
      <c r="T351" s="655"/>
      <c r="U351" s="655"/>
      <c r="V351" s="655"/>
    </row>
    <row r="352" spans="1:22">
      <c r="A352" s="677"/>
      <c r="B352" s="655"/>
      <c r="C352" s="686"/>
      <c r="D352" s="686"/>
      <c r="E352" s="655"/>
      <c r="F352" s="655"/>
      <c r="G352" s="655"/>
      <c r="H352" s="655"/>
      <c r="I352" s="655"/>
      <c r="J352" s="655"/>
      <c r="K352" s="655"/>
      <c r="L352" s="686"/>
      <c r="M352" s="655"/>
      <c r="N352" s="655"/>
      <c r="O352" s="655"/>
      <c r="P352" s="655"/>
      <c r="Q352" s="655"/>
      <c r="R352" s="655"/>
      <c r="S352" s="655"/>
      <c r="T352" s="655"/>
      <c r="U352" s="655"/>
      <c r="V352" s="655"/>
    </row>
    <row r="353" spans="1:22">
      <c r="A353" s="677"/>
      <c r="B353" s="655"/>
      <c r="C353" s="686"/>
      <c r="D353" s="686"/>
      <c r="E353" s="655"/>
      <c r="F353" s="655"/>
      <c r="G353" s="655"/>
      <c r="H353" s="655"/>
      <c r="I353" s="655"/>
      <c r="J353" s="655"/>
      <c r="K353" s="655"/>
      <c r="L353" s="686"/>
      <c r="M353" s="655"/>
      <c r="N353" s="655"/>
      <c r="O353" s="655"/>
      <c r="P353" s="655"/>
      <c r="Q353" s="655"/>
      <c r="R353" s="655"/>
      <c r="S353" s="655"/>
      <c r="T353" s="655"/>
      <c r="U353" s="655"/>
      <c r="V353" s="655"/>
    </row>
    <row r="354" spans="1:22">
      <c r="A354" s="677"/>
      <c r="B354" s="655"/>
      <c r="C354" s="686"/>
      <c r="D354" s="686"/>
      <c r="E354" s="655"/>
      <c r="F354" s="655"/>
      <c r="G354" s="655"/>
      <c r="H354" s="655"/>
      <c r="I354" s="655"/>
      <c r="J354" s="655"/>
      <c r="K354" s="655"/>
      <c r="L354" s="686"/>
      <c r="M354" s="655"/>
      <c r="N354" s="655"/>
      <c r="O354" s="655"/>
      <c r="P354" s="655"/>
      <c r="Q354" s="655"/>
      <c r="R354" s="655"/>
      <c r="S354" s="655"/>
      <c r="T354" s="655"/>
      <c r="U354" s="655"/>
      <c r="V354" s="655"/>
    </row>
    <row r="355" spans="1:22">
      <c r="A355" s="677"/>
      <c r="B355" s="655"/>
      <c r="C355" s="686"/>
      <c r="D355" s="686"/>
      <c r="E355" s="655"/>
      <c r="F355" s="655"/>
      <c r="G355" s="655"/>
      <c r="H355" s="655"/>
      <c r="I355" s="655"/>
      <c r="J355" s="655"/>
      <c r="K355" s="655"/>
      <c r="L355" s="686"/>
      <c r="M355" s="655"/>
      <c r="N355" s="655"/>
      <c r="O355" s="655"/>
      <c r="P355" s="655"/>
      <c r="Q355" s="655"/>
      <c r="R355" s="655"/>
      <c r="S355" s="655"/>
      <c r="T355" s="655"/>
      <c r="U355" s="655"/>
      <c r="V355" s="655"/>
    </row>
    <row r="356" spans="1:22">
      <c r="A356" s="677"/>
      <c r="B356" s="655"/>
      <c r="C356" s="686"/>
      <c r="D356" s="686"/>
      <c r="E356" s="655"/>
      <c r="F356" s="655"/>
      <c r="G356" s="655"/>
      <c r="H356" s="655"/>
      <c r="I356" s="655"/>
      <c r="J356" s="655"/>
      <c r="K356" s="655"/>
      <c r="L356" s="686"/>
      <c r="M356" s="655"/>
      <c r="N356" s="655"/>
      <c r="O356" s="655"/>
      <c r="P356" s="655"/>
      <c r="Q356" s="655"/>
      <c r="R356" s="655"/>
      <c r="S356" s="655"/>
      <c r="T356" s="655"/>
      <c r="U356" s="655"/>
      <c r="V356" s="655"/>
    </row>
    <row r="357" spans="1:22">
      <c r="A357" s="677"/>
      <c r="B357" s="655"/>
      <c r="C357" s="686"/>
      <c r="D357" s="686"/>
      <c r="E357" s="655"/>
      <c r="F357" s="655"/>
      <c r="G357" s="655"/>
      <c r="H357" s="655"/>
      <c r="I357" s="655"/>
      <c r="J357" s="655"/>
      <c r="K357" s="655"/>
      <c r="L357" s="686"/>
      <c r="M357" s="655"/>
      <c r="N357" s="655"/>
      <c r="O357" s="655"/>
      <c r="P357" s="655"/>
      <c r="Q357" s="655"/>
      <c r="R357" s="655"/>
      <c r="S357" s="655"/>
      <c r="T357" s="655"/>
      <c r="U357" s="655"/>
      <c r="V357" s="655"/>
    </row>
    <row r="358" spans="1:22">
      <c r="A358" s="677"/>
      <c r="B358" s="655"/>
      <c r="C358" s="686"/>
      <c r="D358" s="686"/>
      <c r="E358" s="655"/>
      <c r="F358" s="655"/>
      <c r="G358" s="655"/>
      <c r="H358" s="655"/>
      <c r="I358" s="655"/>
      <c r="J358" s="655"/>
      <c r="K358" s="655"/>
      <c r="L358" s="686"/>
      <c r="M358" s="655"/>
      <c r="N358" s="655"/>
      <c r="O358" s="655"/>
      <c r="P358" s="655"/>
      <c r="Q358" s="655"/>
      <c r="R358" s="655"/>
      <c r="S358" s="655"/>
      <c r="T358" s="655"/>
      <c r="U358" s="655"/>
      <c r="V358" s="655"/>
    </row>
    <row r="359" spans="1:22">
      <c r="A359" s="677"/>
      <c r="B359" s="655"/>
      <c r="C359" s="686"/>
      <c r="D359" s="686"/>
      <c r="E359" s="655"/>
      <c r="F359" s="655"/>
      <c r="G359" s="655"/>
      <c r="H359" s="655"/>
      <c r="I359" s="655"/>
      <c r="J359" s="655"/>
      <c r="K359" s="655"/>
      <c r="L359" s="686"/>
      <c r="M359" s="655"/>
      <c r="N359" s="655"/>
      <c r="O359" s="655"/>
      <c r="P359" s="655"/>
      <c r="Q359" s="655"/>
      <c r="R359" s="655"/>
      <c r="S359" s="655"/>
      <c r="T359" s="655"/>
      <c r="U359" s="655"/>
      <c r="V359" s="655"/>
    </row>
    <row r="360" spans="1:22">
      <c r="A360" s="677"/>
      <c r="B360" s="655"/>
      <c r="C360" s="686"/>
      <c r="D360" s="686"/>
      <c r="E360" s="655"/>
      <c r="F360" s="655"/>
      <c r="G360" s="655"/>
      <c r="H360" s="655"/>
      <c r="I360" s="655"/>
      <c r="J360" s="655"/>
      <c r="K360" s="655"/>
      <c r="L360" s="686"/>
      <c r="M360" s="655"/>
      <c r="N360" s="655"/>
      <c r="O360" s="655"/>
      <c r="P360" s="655"/>
      <c r="Q360" s="655"/>
      <c r="R360" s="655"/>
      <c r="S360" s="655"/>
      <c r="T360" s="655"/>
      <c r="U360" s="655"/>
      <c r="V360" s="655"/>
    </row>
    <row r="361" spans="1:22">
      <c r="A361" s="677"/>
      <c r="B361" s="655"/>
      <c r="C361" s="686"/>
      <c r="D361" s="686"/>
      <c r="E361" s="655"/>
      <c r="F361" s="655"/>
      <c r="G361" s="655"/>
      <c r="H361" s="655"/>
      <c r="I361" s="655"/>
      <c r="J361" s="655"/>
      <c r="K361" s="655"/>
      <c r="L361" s="686"/>
      <c r="M361" s="655"/>
      <c r="N361" s="655"/>
      <c r="O361" s="655"/>
      <c r="P361" s="655"/>
      <c r="Q361" s="655"/>
      <c r="R361" s="655"/>
      <c r="S361" s="655"/>
      <c r="T361" s="655"/>
      <c r="U361" s="655"/>
      <c r="V361" s="655"/>
    </row>
    <row r="362" spans="1:22">
      <c r="A362" s="677"/>
      <c r="B362" s="655"/>
      <c r="C362" s="686"/>
      <c r="D362" s="686"/>
      <c r="E362" s="655"/>
      <c r="F362" s="655"/>
      <c r="G362" s="655"/>
      <c r="H362" s="655"/>
      <c r="I362" s="655"/>
      <c r="J362" s="655"/>
      <c r="K362" s="655"/>
      <c r="L362" s="686"/>
      <c r="M362" s="655"/>
      <c r="N362" s="655"/>
      <c r="O362" s="655"/>
      <c r="P362" s="655"/>
      <c r="Q362" s="655"/>
      <c r="R362" s="655"/>
      <c r="S362" s="655"/>
      <c r="T362" s="655"/>
      <c r="U362" s="655"/>
      <c r="V362" s="655"/>
    </row>
    <row r="363" spans="1:22">
      <c r="A363" s="677"/>
      <c r="B363" s="655"/>
      <c r="C363" s="686"/>
      <c r="D363" s="686"/>
      <c r="E363" s="655"/>
      <c r="F363" s="655"/>
      <c r="G363" s="655"/>
      <c r="H363" s="655"/>
      <c r="I363" s="655"/>
      <c r="J363" s="655"/>
      <c r="K363" s="655"/>
      <c r="L363" s="686"/>
      <c r="M363" s="655"/>
      <c r="N363" s="655"/>
      <c r="O363" s="655"/>
      <c r="P363" s="655"/>
      <c r="Q363" s="655"/>
      <c r="R363" s="655"/>
      <c r="S363" s="655"/>
      <c r="T363" s="655"/>
      <c r="U363" s="655"/>
      <c r="V363" s="655"/>
    </row>
    <row r="364" spans="1:22">
      <c r="A364" s="677"/>
      <c r="B364" s="655"/>
      <c r="C364" s="686"/>
      <c r="D364" s="686"/>
      <c r="E364" s="655"/>
      <c r="F364" s="655"/>
      <c r="G364" s="655"/>
      <c r="H364" s="655"/>
      <c r="I364" s="655"/>
      <c r="J364" s="655"/>
      <c r="K364" s="655"/>
      <c r="L364" s="686"/>
      <c r="M364" s="655"/>
      <c r="N364" s="655"/>
      <c r="O364" s="655"/>
      <c r="P364" s="655"/>
      <c r="Q364" s="655"/>
      <c r="R364" s="655"/>
      <c r="S364" s="655"/>
      <c r="T364" s="655"/>
      <c r="U364" s="655"/>
      <c r="V364" s="655"/>
    </row>
    <row r="365" spans="1:22">
      <c r="A365" s="677"/>
      <c r="B365" s="655"/>
      <c r="C365" s="686"/>
      <c r="D365" s="686"/>
      <c r="E365" s="655"/>
      <c r="F365" s="655"/>
      <c r="G365" s="655"/>
      <c r="H365" s="655"/>
      <c r="I365" s="655"/>
      <c r="J365" s="655"/>
      <c r="K365" s="655"/>
      <c r="L365" s="686"/>
      <c r="M365" s="655"/>
      <c r="N365" s="655"/>
      <c r="O365" s="655"/>
      <c r="P365" s="655"/>
      <c r="Q365" s="655"/>
      <c r="R365" s="655"/>
      <c r="S365" s="655"/>
      <c r="T365" s="655"/>
      <c r="U365" s="655"/>
      <c r="V365" s="655"/>
    </row>
    <row r="366" spans="1:22">
      <c r="A366" s="677"/>
      <c r="B366" s="655"/>
      <c r="C366" s="686"/>
      <c r="D366" s="686"/>
      <c r="E366" s="655"/>
      <c r="F366" s="655"/>
      <c r="G366" s="655"/>
      <c r="H366" s="655"/>
      <c r="I366" s="655"/>
      <c r="J366" s="655"/>
      <c r="K366" s="655"/>
      <c r="L366" s="686"/>
      <c r="M366" s="655"/>
      <c r="N366" s="655"/>
      <c r="O366" s="655"/>
      <c r="P366" s="655"/>
      <c r="Q366" s="655"/>
      <c r="R366" s="655"/>
      <c r="S366" s="655"/>
      <c r="T366" s="655"/>
      <c r="U366" s="655"/>
      <c r="V366" s="655"/>
    </row>
    <row r="367" spans="1:22">
      <c r="A367" s="677"/>
      <c r="B367" s="655"/>
      <c r="C367" s="686"/>
      <c r="D367" s="686"/>
      <c r="E367" s="655"/>
      <c r="F367" s="655"/>
      <c r="G367" s="655"/>
      <c r="H367" s="655"/>
      <c r="I367" s="655"/>
      <c r="J367" s="655"/>
      <c r="K367" s="655"/>
      <c r="L367" s="686"/>
      <c r="M367" s="655"/>
      <c r="N367" s="655"/>
      <c r="O367" s="655"/>
      <c r="P367" s="655"/>
      <c r="Q367" s="655"/>
      <c r="R367" s="655"/>
      <c r="S367" s="655"/>
      <c r="T367" s="655"/>
      <c r="U367" s="655"/>
      <c r="V367" s="655"/>
    </row>
    <row r="368" spans="1:22">
      <c r="A368" s="677"/>
      <c r="B368" s="655"/>
      <c r="C368" s="686"/>
      <c r="D368" s="686"/>
      <c r="E368" s="655"/>
      <c r="F368" s="655"/>
      <c r="G368" s="655"/>
      <c r="H368" s="655"/>
      <c r="I368" s="655"/>
      <c r="J368" s="655"/>
      <c r="K368" s="655"/>
      <c r="L368" s="686"/>
      <c r="M368" s="655"/>
      <c r="N368" s="655"/>
      <c r="O368" s="655"/>
      <c r="P368" s="655"/>
      <c r="Q368" s="655"/>
      <c r="R368" s="655"/>
      <c r="S368" s="655"/>
      <c r="T368" s="655"/>
      <c r="U368" s="655"/>
      <c r="V368" s="655"/>
    </row>
    <row r="369" spans="1:22">
      <c r="A369" s="677"/>
      <c r="B369" s="655"/>
      <c r="C369" s="686"/>
      <c r="D369" s="686"/>
      <c r="E369" s="655"/>
      <c r="F369" s="655"/>
      <c r="G369" s="655"/>
      <c r="H369" s="655"/>
      <c r="I369" s="655"/>
      <c r="J369" s="655"/>
      <c r="K369" s="655"/>
      <c r="L369" s="686"/>
      <c r="M369" s="655"/>
      <c r="N369" s="655"/>
      <c r="O369" s="655"/>
      <c r="P369" s="655"/>
      <c r="Q369" s="655"/>
      <c r="R369" s="655"/>
      <c r="S369" s="655"/>
      <c r="T369" s="655"/>
      <c r="U369" s="655"/>
      <c r="V369" s="655"/>
    </row>
    <row r="370" spans="1:22">
      <c r="A370" s="677"/>
      <c r="B370" s="655"/>
      <c r="C370" s="686"/>
      <c r="D370" s="686"/>
      <c r="E370" s="655"/>
      <c r="F370" s="655"/>
      <c r="G370" s="655"/>
      <c r="H370" s="655"/>
      <c r="I370" s="655"/>
      <c r="J370" s="655"/>
      <c r="K370" s="655"/>
      <c r="L370" s="686"/>
      <c r="M370" s="655"/>
      <c r="N370" s="655"/>
      <c r="O370" s="655"/>
      <c r="P370" s="655"/>
      <c r="Q370" s="655"/>
      <c r="R370" s="655"/>
      <c r="S370" s="655"/>
      <c r="T370" s="655"/>
      <c r="U370" s="655"/>
      <c r="V370" s="655"/>
    </row>
    <row r="371" spans="1:22">
      <c r="A371" s="677"/>
      <c r="B371" s="655"/>
      <c r="C371" s="686"/>
      <c r="D371" s="686"/>
      <c r="E371" s="655"/>
      <c r="F371" s="655"/>
      <c r="G371" s="655"/>
      <c r="H371" s="655"/>
      <c r="I371" s="655"/>
      <c r="J371" s="655"/>
      <c r="K371" s="655"/>
      <c r="L371" s="686"/>
      <c r="M371" s="655"/>
      <c r="N371" s="655"/>
      <c r="O371" s="655"/>
      <c r="P371" s="655"/>
      <c r="Q371" s="655"/>
      <c r="R371" s="655"/>
      <c r="S371" s="655"/>
      <c r="T371" s="655"/>
      <c r="U371" s="655"/>
      <c r="V371" s="655"/>
    </row>
    <row r="372" spans="1:22">
      <c r="A372" s="677"/>
      <c r="B372" s="655"/>
      <c r="C372" s="686"/>
      <c r="D372" s="686"/>
      <c r="E372" s="655"/>
      <c r="F372" s="655"/>
      <c r="G372" s="655"/>
      <c r="H372" s="655"/>
      <c r="I372" s="655"/>
      <c r="J372" s="655"/>
      <c r="K372" s="655"/>
      <c r="L372" s="686"/>
      <c r="M372" s="655"/>
      <c r="N372" s="655"/>
      <c r="O372" s="655"/>
      <c r="P372" s="655"/>
      <c r="Q372" s="655"/>
      <c r="R372" s="655"/>
      <c r="S372" s="655"/>
      <c r="T372" s="655"/>
      <c r="U372" s="655"/>
      <c r="V372" s="655"/>
    </row>
    <row r="373" spans="1:22">
      <c r="A373" s="677"/>
      <c r="B373" s="655"/>
      <c r="C373" s="686"/>
      <c r="D373" s="686"/>
      <c r="E373" s="655"/>
      <c r="F373" s="655"/>
      <c r="G373" s="655"/>
      <c r="H373" s="655"/>
      <c r="I373" s="655"/>
      <c r="J373" s="655"/>
      <c r="K373" s="655"/>
      <c r="L373" s="686"/>
      <c r="M373" s="655"/>
      <c r="N373" s="655"/>
      <c r="O373" s="655"/>
      <c r="P373" s="655"/>
      <c r="Q373" s="655"/>
      <c r="R373" s="655"/>
      <c r="S373" s="655"/>
      <c r="T373" s="655"/>
      <c r="U373" s="655"/>
      <c r="V373" s="655"/>
    </row>
    <row r="374" spans="1:22">
      <c r="A374" s="677"/>
      <c r="B374" s="655"/>
      <c r="C374" s="686"/>
      <c r="D374" s="686"/>
      <c r="E374" s="655"/>
      <c r="F374" s="655"/>
      <c r="G374" s="655"/>
      <c r="H374" s="655"/>
      <c r="I374" s="655"/>
      <c r="J374" s="655"/>
      <c r="K374" s="655"/>
      <c r="L374" s="686"/>
      <c r="M374" s="655"/>
      <c r="N374" s="655"/>
      <c r="O374" s="655"/>
      <c r="P374" s="655"/>
      <c r="Q374" s="655"/>
      <c r="R374" s="655"/>
      <c r="S374" s="655"/>
      <c r="T374" s="655"/>
      <c r="U374" s="655"/>
      <c r="V374" s="655"/>
    </row>
    <row r="375" spans="1:22">
      <c r="A375" s="677"/>
      <c r="B375" s="655"/>
      <c r="C375" s="686"/>
      <c r="D375" s="686"/>
      <c r="E375" s="655"/>
      <c r="F375" s="655"/>
      <c r="G375" s="655"/>
      <c r="H375" s="655"/>
      <c r="I375" s="655"/>
      <c r="J375" s="655"/>
      <c r="K375" s="655"/>
      <c r="L375" s="686"/>
      <c r="M375" s="655"/>
      <c r="N375" s="655"/>
      <c r="O375" s="655"/>
      <c r="P375" s="655"/>
      <c r="Q375" s="655"/>
      <c r="R375" s="655"/>
      <c r="S375" s="655"/>
      <c r="T375" s="655"/>
      <c r="U375" s="655"/>
      <c r="V375" s="655"/>
    </row>
    <row r="376" spans="1:22">
      <c r="A376" s="677"/>
      <c r="B376" s="655"/>
      <c r="C376" s="686"/>
      <c r="D376" s="686"/>
      <c r="E376" s="655"/>
      <c r="F376" s="655"/>
      <c r="G376" s="655"/>
      <c r="H376" s="655"/>
      <c r="I376" s="655"/>
      <c r="J376" s="655"/>
      <c r="K376" s="655"/>
      <c r="L376" s="686"/>
      <c r="M376" s="655"/>
      <c r="N376" s="655"/>
      <c r="O376" s="655"/>
      <c r="P376" s="655"/>
      <c r="Q376" s="655"/>
      <c r="R376" s="655"/>
      <c r="S376" s="655"/>
      <c r="T376" s="655"/>
      <c r="U376" s="655"/>
      <c r="V376" s="655"/>
    </row>
    <row r="377" spans="1:22">
      <c r="A377" s="677"/>
      <c r="B377" s="655"/>
      <c r="C377" s="686"/>
      <c r="D377" s="686"/>
      <c r="E377" s="655"/>
      <c r="F377" s="655"/>
      <c r="G377" s="655"/>
      <c r="H377" s="655"/>
      <c r="I377" s="655"/>
      <c r="J377" s="655"/>
      <c r="K377" s="655"/>
      <c r="L377" s="686"/>
      <c r="M377" s="655"/>
      <c r="N377" s="655"/>
      <c r="O377" s="655"/>
      <c r="P377" s="655"/>
      <c r="Q377" s="655"/>
      <c r="R377" s="655"/>
      <c r="S377" s="655"/>
      <c r="T377" s="655"/>
      <c r="U377" s="655"/>
      <c r="V377" s="655"/>
    </row>
    <row r="378" spans="1:22">
      <c r="A378" s="677"/>
      <c r="B378" s="655"/>
      <c r="C378" s="686"/>
      <c r="D378" s="686"/>
      <c r="E378" s="655"/>
      <c r="F378" s="655"/>
      <c r="G378" s="655"/>
      <c r="H378" s="655"/>
      <c r="I378" s="655"/>
      <c r="J378" s="655"/>
      <c r="K378" s="655"/>
      <c r="L378" s="686"/>
      <c r="M378" s="655"/>
      <c r="N378" s="655"/>
      <c r="O378" s="655"/>
      <c r="P378" s="655"/>
      <c r="Q378" s="655"/>
      <c r="R378" s="655"/>
      <c r="S378" s="655"/>
      <c r="T378" s="655"/>
      <c r="U378" s="655"/>
      <c r="V378" s="655"/>
    </row>
    <row r="379" spans="1:22">
      <c r="A379" s="677"/>
      <c r="B379" s="655"/>
      <c r="C379" s="686"/>
      <c r="D379" s="686"/>
      <c r="E379" s="655"/>
      <c r="F379" s="655"/>
      <c r="G379" s="655"/>
      <c r="H379" s="655"/>
      <c r="I379" s="655"/>
      <c r="J379" s="655"/>
      <c r="K379" s="655"/>
      <c r="L379" s="686"/>
      <c r="M379" s="655"/>
      <c r="N379" s="655"/>
      <c r="O379" s="655"/>
      <c r="P379" s="655"/>
      <c r="Q379" s="655"/>
      <c r="R379" s="655"/>
      <c r="S379" s="655"/>
      <c r="T379" s="655"/>
      <c r="U379" s="655"/>
      <c r="V379" s="655"/>
    </row>
    <row r="380" spans="1:22">
      <c r="A380" s="677"/>
      <c r="B380" s="655"/>
      <c r="C380" s="686"/>
      <c r="D380" s="686"/>
      <c r="E380" s="655"/>
      <c r="F380" s="655"/>
      <c r="G380" s="655"/>
      <c r="H380" s="655"/>
      <c r="I380" s="655"/>
      <c r="J380" s="655"/>
      <c r="K380" s="655"/>
      <c r="L380" s="686"/>
      <c r="M380" s="655"/>
      <c r="N380" s="655"/>
      <c r="O380" s="655"/>
      <c r="P380" s="655"/>
      <c r="Q380" s="655"/>
      <c r="R380" s="655"/>
      <c r="S380" s="655"/>
      <c r="T380" s="655"/>
      <c r="U380" s="655"/>
      <c r="V380" s="655"/>
    </row>
    <row r="381" spans="1:22">
      <c r="A381" s="677"/>
      <c r="B381" s="655"/>
      <c r="C381" s="686"/>
      <c r="D381" s="686"/>
      <c r="E381" s="655"/>
      <c r="F381" s="655"/>
      <c r="G381" s="655"/>
      <c r="H381" s="655"/>
      <c r="I381" s="655"/>
      <c r="J381" s="655"/>
      <c r="K381" s="655"/>
      <c r="L381" s="686"/>
      <c r="M381" s="655"/>
      <c r="N381" s="655"/>
      <c r="O381" s="655"/>
      <c r="P381" s="655"/>
      <c r="Q381" s="655"/>
      <c r="R381" s="655"/>
      <c r="S381" s="655"/>
      <c r="T381" s="655"/>
      <c r="U381" s="655"/>
      <c r="V381" s="655"/>
    </row>
    <row r="382" spans="1:22">
      <c r="A382" s="677"/>
      <c r="B382" s="655"/>
      <c r="C382" s="686"/>
      <c r="D382" s="686"/>
      <c r="E382" s="655"/>
      <c r="F382" s="655"/>
      <c r="G382" s="655"/>
      <c r="H382" s="655"/>
      <c r="I382" s="655"/>
      <c r="J382" s="655"/>
      <c r="K382" s="655"/>
      <c r="L382" s="686"/>
      <c r="M382" s="655"/>
      <c r="N382" s="655"/>
      <c r="O382" s="655"/>
      <c r="P382" s="655"/>
      <c r="Q382" s="655"/>
      <c r="R382" s="655"/>
      <c r="S382" s="655"/>
      <c r="T382" s="655"/>
      <c r="U382" s="655"/>
      <c r="V382" s="655"/>
    </row>
    <row r="383" spans="1:22">
      <c r="A383" s="677"/>
      <c r="B383" s="655"/>
      <c r="C383" s="686"/>
      <c r="D383" s="686"/>
      <c r="E383" s="655"/>
      <c r="F383" s="655"/>
      <c r="G383" s="655"/>
      <c r="H383" s="655"/>
      <c r="I383" s="655"/>
      <c r="J383" s="655"/>
      <c r="K383" s="655"/>
      <c r="L383" s="686"/>
      <c r="M383" s="655"/>
      <c r="N383" s="655"/>
      <c r="O383" s="655"/>
      <c r="P383" s="655"/>
      <c r="Q383" s="655"/>
      <c r="R383" s="655"/>
      <c r="S383" s="655"/>
      <c r="T383" s="655"/>
      <c r="U383" s="655"/>
      <c r="V383" s="655"/>
    </row>
    <row r="384" spans="1:22">
      <c r="A384" s="677"/>
      <c r="B384" s="655"/>
      <c r="C384" s="686"/>
      <c r="D384" s="686"/>
      <c r="E384" s="655"/>
      <c r="F384" s="655"/>
      <c r="G384" s="655"/>
      <c r="H384" s="655"/>
      <c r="I384" s="655"/>
      <c r="J384" s="655"/>
      <c r="K384" s="655"/>
      <c r="L384" s="686"/>
      <c r="M384" s="655"/>
      <c r="N384" s="655"/>
      <c r="O384" s="655"/>
      <c r="P384" s="655"/>
      <c r="Q384" s="655"/>
      <c r="R384" s="655"/>
      <c r="S384" s="655"/>
      <c r="T384" s="655"/>
      <c r="U384" s="655"/>
      <c r="V384" s="655"/>
    </row>
    <row r="385" spans="1:22">
      <c r="A385" s="677"/>
      <c r="B385" s="655"/>
      <c r="C385" s="686"/>
      <c r="D385" s="686"/>
      <c r="E385" s="655"/>
      <c r="F385" s="655"/>
      <c r="G385" s="655"/>
      <c r="H385" s="655"/>
      <c r="I385" s="655"/>
      <c r="J385" s="655"/>
      <c r="K385" s="655"/>
      <c r="L385" s="686"/>
      <c r="M385" s="655"/>
      <c r="N385" s="655"/>
      <c r="O385" s="655"/>
      <c r="P385" s="655"/>
      <c r="Q385" s="655"/>
      <c r="R385" s="655"/>
      <c r="S385" s="655"/>
      <c r="T385" s="655"/>
      <c r="U385" s="655"/>
      <c r="V385" s="655"/>
    </row>
    <row r="386" spans="1:22">
      <c r="A386" s="677"/>
      <c r="B386" s="655"/>
      <c r="C386" s="686"/>
      <c r="D386" s="686"/>
      <c r="E386" s="655"/>
      <c r="F386" s="655"/>
      <c r="G386" s="655"/>
      <c r="H386" s="655"/>
      <c r="I386" s="655"/>
      <c r="J386" s="655"/>
      <c r="K386" s="655"/>
      <c r="L386" s="686"/>
      <c r="M386" s="655"/>
      <c r="N386" s="655"/>
      <c r="O386" s="655"/>
      <c r="P386" s="655"/>
      <c r="Q386" s="655"/>
      <c r="R386" s="655"/>
      <c r="S386" s="655"/>
      <c r="T386" s="655"/>
      <c r="U386" s="655"/>
      <c r="V386" s="655"/>
    </row>
    <row r="387" spans="1:22">
      <c r="A387" s="677"/>
      <c r="B387" s="655"/>
      <c r="C387" s="686"/>
      <c r="D387" s="686"/>
      <c r="E387" s="655"/>
      <c r="F387" s="655"/>
      <c r="G387" s="655"/>
      <c r="H387" s="655"/>
      <c r="I387" s="655"/>
      <c r="J387" s="655"/>
      <c r="K387" s="655"/>
      <c r="L387" s="686"/>
      <c r="M387" s="655"/>
      <c r="N387" s="655"/>
      <c r="O387" s="655"/>
      <c r="P387" s="655"/>
      <c r="Q387" s="655"/>
      <c r="R387" s="655"/>
      <c r="S387" s="655"/>
      <c r="T387" s="655"/>
      <c r="U387" s="655"/>
      <c r="V387" s="655"/>
    </row>
    <row r="388" spans="1:22">
      <c r="A388" s="677"/>
      <c r="B388" s="655"/>
      <c r="C388" s="686"/>
      <c r="D388" s="686"/>
      <c r="E388" s="655"/>
      <c r="F388" s="655"/>
      <c r="G388" s="655"/>
      <c r="H388" s="655"/>
      <c r="I388" s="655"/>
      <c r="J388" s="655"/>
      <c r="K388" s="655"/>
      <c r="L388" s="686"/>
      <c r="M388" s="655"/>
      <c r="N388" s="655"/>
      <c r="O388" s="655"/>
      <c r="P388" s="655"/>
      <c r="Q388" s="655"/>
      <c r="R388" s="655"/>
      <c r="S388" s="655"/>
      <c r="T388" s="655"/>
      <c r="U388" s="655"/>
      <c r="V388" s="655"/>
    </row>
    <row r="389" spans="1:22">
      <c r="A389" s="677"/>
      <c r="B389" s="655"/>
      <c r="C389" s="686"/>
      <c r="D389" s="686"/>
      <c r="E389" s="655"/>
      <c r="F389" s="655"/>
      <c r="G389" s="655"/>
      <c r="H389" s="655"/>
      <c r="I389" s="655"/>
      <c r="J389" s="655"/>
      <c r="K389" s="655"/>
      <c r="L389" s="686"/>
      <c r="M389" s="655"/>
      <c r="N389" s="655"/>
      <c r="O389" s="655"/>
      <c r="P389" s="655"/>
      <c r="Q389" s="655"/>
      <c r="R389" s="655"/>
      <c r="S389" s="655"/>
      <c r="T389" s="655"/>
      <c r="U389" s="655"/>
      <c r="V389" s="655"/>
    </row>
    <row r="390" spans="1:22">
      <c r="A390" s="677"/>
      <c r="B390" s="655"/>
      <c r="C390" s="686"/>
      <c r="D390" s="686"/>
      <c r="E390" s="655"/>
      <c r="F390" s="655"/>
      <c r="G390" s="655"/>
      <c r="H390" s="655"/>
      <c r="I390" s="655"/>
      <c r="J390" s="655"/>
      <c r="K390" s="655"/>
      <c r="L390" s="686"/>
      <c r="M390" s="655"/>
      <c r="N390" s="655"/>
      <c r="O390" s="655"/>
      <c r="P390" s="655"/>
      <c r="Q390" s="655"/>
      <c r="R390" s="655"/>
      <c r="S390" s="655"/>
      <c r="T390" s="655"/>
      <c r="U390" s="655"/>
      <c r="V390" s="655"/>
    </row>
    <row r="391" spans="1:22">
      <c r="A391" s="677"/>
      <c r="B391" s="655"/>
      <c r="C391" s="686"/>
      <c r="D391" s="686"/>
      <c r="E391" s="655"/>
      <c r="F391" s="655"/>
      <c r="G391" s="655"/>
      <c r="H391" s="655"/>
      <c r="I391" s="655"/>
      <c r="J391" s="655"/>
      <c r="K391" s="655"/>
      <c r="L391" s="686"/>
      <c r="M391" s="655"/>
      <c r="N391" s="655"/>
      <c r="O391" s="655"/>
      <c r="P391" s="655"/>
      <c r="Q391" s="655"/>
      <c r="R391" s="655"/>
      <c r="S391" s="655"/>
      <c r="T391" s="655"/>
      <c r="U391" s="655"/>
      <c r="V391" s="655"/>
    </row>
    <row r="392" spans="1:22">
      <c r="A392" s="677"/>
      <c r="B392" s="655"/>
      <c r="C392" s="686"/>
      <c r="D392" s="686"/>
      <c r="E392" s="655"/>
      <c r="F392" s="655"/>
      <c r="G392" s="655"/>
      <c r="H392" s="655"/>
      <c r="I392" s="655"/>
      <c r="J392" s="655"/>
      <c r="K392" s="655"/>
      <c r="L392" s="686"/>
      <c r="M392" s="655"/>
      <c r="N392" s="655"/>
      <c r="O392" s="655"/>
      <c r="P392" s="655"/>
      <c r="Q392" s="655"/>
      <c r="R392" s="655"/>
      <c r="S392" s="655"/>
      <c r="T392" s="655"/>
      <c r="U392" s="655"/>
      <c r="V392" s="655"/>
    </row>
    <row r="393" spans="1:22">
      <c r="A393" s="677"/>
      <c r="B393" s="655"/>
      <c r="C393" s="686"/>
      <c r="D393" s="686"/>
      <c r="E393" s="655"/>
      <c r="F393" s="655"/>
      <c r="G393" s="655"/>
      <c r="H393" s="655"/>
      <c r="I393" s="655"/>
      <c r="J393" s="655"/>
      <c r="K393" s="655"/>
      <c r="L393" s="686"/>
      <c r="M393" s="655"/>
      <c r="N393" s="655"/>
      <c r="O393" s="655"/>
      <c r="P393" s="655"/>
      <c r="Q393" s="655"/>
      <c r="R393" s="655"/>
      <c r="S393" s="655"/>
      <c r="T393" s="655"/>
      <c r="U393" s="655"/>
      <c r="V393" s="655"/>
    </row>
    <row r="394" spans="1:22">
      <c r="A394" s="677"/>
      <c r="B394" s="655"/>
      <c r="C394" s="686"/>
      <c r="D394" s="686"/>
      <c r="E394" s="655"/>
      <c r="F394" s="655"/>
      <c r="G394" s="655"/>
      <c r="H394" s="655"/>
      <c r="I394" s="655"/>
      <c r="J394" s="655"/>
      <c r="K394" s="655"/>
      <c r="L394" s="686"/>
      <c r="M394" s="655"/>
      <c r="N394" s="655"/>
      <c r="O394" s="655"/>
      <c r="P394" s="655"/>
      <c r="Q394" s="655"/>
      <c r="R394" s="655"/>
      <c r="S394" s="655"/>
      <c r="T394" s="655"/>
      <c r="U394" s="655"/>
      <c r="V394" s="655"/>
    </row>
    <row r="395" spans="1:22">
      <c r="A395" s="677"/>
      <c r="B395" s="655"/>
      <c r="C395" s="686"/>
      <c r="D395" s="686"/>
      <c r="E395" s="655"/>
      <c r="F395" s="655"/>
      <c r="G395" s="655"/>
      <c r="H395" s="655"/>
      <c r="I395" s="655"/>
      <c r="J395" s="655"/>
      <c r="K395" s="655"/>
      <c r="L395" s="686"/>
      <c r="M395" s="655"/>
      <c r="N395" s="655"/>
      <c r="O395" s="655"/>
      <c r="P395" s="655"/>
      <c r="Q395" s="655"/>
      <c r="R395" s="655"/>
      <c r="S395" s="655"/>
      <c r="T395" s="655"/>
      <c r="U395" s="655"/>
      <c r="V395" s="655"/>
    </row>
    <row r="396" spans="1:22">
      <c r="A396" s="677"/>
      <c r="B396" s="655"/>
      <c r="C396" s="686"/>
      <c r="D396" s="686"/>
      <c r="E396" s="655"/>
      <c r="F396" s="655"/>
      <c r="G396" s="655"/>
      <c r="H396" s="655"/>
      <c r="I396" s="655"/>
      <c r="J396" s="655"/>
      <c r="K396" s="655"/>
      <c r="L396" s="686"/>
      <c r="M396" s="655"/>
      <c r="N396" s="655"/>
      <c r="O396" s="655"/>
      <c r="P396" s="655"/>
      <c r="Q396" s="655"/>
      <c r="R396" s="655"/>
      <c r="S396" s="655"/>
      <c r="T396" s="655"/>
      <c r="U396" s="655"/>
      <c r="V396" s="655"/>
    </row>
    <row r="397" spans="1:22">
      <c r="A397" s="677"/>
      <c r="B397" s="655"/>
      <c r="C397" s="686"/>
      <c r="D397" s="686"/>
      <c r="E397" s="655"/>
      <c r="F397" s="655"/>
      <c r="G397" s="655"/>
      <c r="H397" s="655"/>
      <c r="I397" s="655"/>
      <c r="J397" s="655"/>
      <c r="K397" s="655"/>
      <c r="L397" s="686"/>
      <c r="M397" s="655"/>
      <c r="N397" s="655"/>
      <c r="O397" s="655"/>
      <c r="P397" s="655"/>
      <c r="Q397" s="655"/>
      <c r="R397" s="655"/>
      <c r="S397" s="655"/>
      <c r="T397" s="655"/>
      <c r="U397" s="655"/>
      <c r="V397" s="655"/>
    </row>
    <row r="398" spans="1:22">
      <c r="A398" s="677"/>
      <c r="B398" s="655"/>
      <c r="C398" s="686"/>
      <c r="D398" s="686"/>
      <c r="E398" s="655"/>
      <c r="F398" s="655"/>
      <c r="G398" s="655"/>
      <c r="H398" s="655"/>
      <c r="I398" s="655"/>
      <c r="J398" s="655"/>
      <c r="K398" s="655"/>
      <c r="L398" s="686"/>
      <c r="M398" s="655"/>
      <c r="N398" s="655"/>
      <c r="O398" s="655"/>
      <c r="P398" s="655"/>
      <c r="Q398" s="655"/>
      <c r="R398" s="655"/>
      <c r="S398" s="655"/>
      <c r="T398" s="655"/>
      <c r="U398" s="655"/>
      <c r="V398" s="655"/>
    </row>
    <row r="399" spans="1:22">
      <c r="A399" s="677"/>
      <c r="B399" s="655"/>
      <c r="C399" s="686"/>
      <c r="D399" s="686"/>
      <c r="E399" s="655"/>
      <c r="F399" s="655"/>
      <c r="G399" s="655"/>
      <c r="H399" s="655"/>
      <c r="I399" s="655"/>
      <c r="J399" s="655"/>
      <c r="K399" s="655"/>
      <c r="L399" s="686"/>
      <c r="M399" s="655"/>
      <c r="N399" s="655"/>
      <c r="O399" s="655"/>
      <c r="P399" s="655"/>
      <c r="Q399" s="655"/>
      <c r="R399" s="655"/>
      <c r="S399" s="655"/>
      <c r="T399" s="655"/>
      <c r="U399" s="655"/>
      <c r="V399" s="655"/>
    </row>
    <row r="400" spans="1:22">
      <c r="A400" s="677"/>
      <c r="B400" s="655"/>
      <c r="C400" s="686"/>
      <c r="D400" s="686"/>
      <c r="E400" s="655"/>
      <c r="F400" s="655"/>
      <c r="G400" s="655"/>
      <c r="H400" s="655"/>
      <c r="I400" s="655"/>
      <c r="J400" s="655"/>
      <c r="K400" s="655"/>
      <c r="L400" s="686"/>
      <c r="M400" s="655"/>
      <c r="N400" s="655"/>
      <c r="O400" s="655"/>
      <c r="P400" s="655"/>
      <c r="Q400" s="655"/>
      <c r="R400" s="655"/>
      <c r="S400" s="655"/>
      <c r="T400" s="655"/>
      <c r="U400" s="655"/>
      <c r="V400" s="655"/>
    </row>
    <row r="401" spans="1:22">
      <c r="A401" s="677"/>
      <c r="B401" s="655"/>
      <c r="C401" s="686"/>
      <c r="D401" s="686"/>
      <c r="E401" s="655"/>
      <c r="F401" s="655"/>
      <c r="G401" s="655"/>
      <c r="H401" s="655"/>
      <c r="I401" s="655"/>
      <c r="J401" s="655"/>
      <c r="K401" s="655"/>
      <c r="L401" s="686"/>
      <c r="M401" s="655"/>
      <c r="N401" s="655"/>
      <c r="O401" s="655"/>
      <c r="P401" s="655"/>
      <c r="Q401" s="655"/>
      <c r="R401" s="655"/>
      <c r="S401" s="655"/>
      <c r="T401" s="655"/>
      <c r="U401" s="655"/>
      <c r="V401" s="655"/>
    </row>
    <row r="402" spans="1:22">
      <c r="A402" s="677"/>
      <c r="B402" s="655"/>
      <c r="C402" s="686"/>
      <c r="D402" s="686"/>
      <c r="E402" s="655"/>
      <c r="F402" s="655"/>
      <c r="G402" s="655"/>
      <c r="H402" s="655"/>
      <c r="I402" s="655"/>
      <c r="J402" s="655"/>
      <c r="K402" s="655"/>
      <c r="L402" s="686"/>
      <c r="M402" s="655"/>
      <c r="N402" s="655"/>
      <c r="O402" s="655"/>
      <c r="P402" s="655"/>
      <c r="Q402" s="655"/>
      <c r="R402" s="655"/>
      <c r="S402" s="655"/>
      <c r="T402" s="655"/>
      <c r="U402" s="655"/>
      <c r="V402" s="655"/>
    </row>
    <row r="403" spans="1:22">
      <c r="A403" s="677"/>
      <c r="B403" s="655"/>
      <c r="C403" s="686"/>
      <c r="D403" s="686"/>
      <c r="E403" s="655"/>
      <c r="F403" s="655"/>
      <c r="G403" s="655"/>
      <c r="H403" s="655"/>
      <c r="I403" s="655"/>
      <c r="J403" s="655"/>
      <c r="K403" s="655"/>
      <c r="L403" s="686"/>
      <c r="M403" s="655"/>
      <c r="N403" s="655"/>
      <c r="O403" s="655"/>
      <c r="P403" s="655"/>
      <c r="Q403" s="655"/>
      <c r="R403" s="655"/>
      <c r="S403" s="655"/>
      <c r="T403" s="655"/>
      <c r="U403" s="655"/>
      <c r="V403" s="655"/>
    </row>
    <row r="404" spans="1:22">
      <c r="A404" s="677"/>
      <c r="B404" s="655"/>
      <c r="C404" s="686"/>
      <c r="D404" s="686"/>
      <c r="E404" s="655"/>
      <c r="F404" s="655"/>
      <c r="G404" s="655"/>
      <c r="H404" s="655"/>
      <c r="I404" s="655"/>
      <c r="J404" s="655"/>
      <c r="K404" s="655"/>
      <c r="L404" s="686"/>
      <c r="M404" s="655"/>
      <c r="N404" s="655"/>
      <c r="O404" s="655"/>
      <c r="P404" s="655"/>
      <c r="Q404" s="655"/>
      <c r="R404" s="655"/>
      <c r="S404" s="655"/>
      <c r="T404" s="655"/>
      <c r="U404" s="655"/>
      <c r="V404" s="655"/>
    </row>
    <row r="405" spans="1:22">
      <c r="A405" s="677"/>
      <c r="B405" s="655"/>
      <c r="C405" s="686"/>
      <c r="D405" s="686"/>
      <c r="E405" s="655"/>
      <c r="F405" s="655"/>
      <c r="G405" s="655"/>
      <c r="H405" s="655"/>
      <c r="I405" s="655"/>
      <c r="J405" s="655"/>
      <c r="K405" s="655"/>
      <c r="L405" s="686"/>
      <c r="M405" s="655"/>
      <c r="N405" s="655"/>
      <c r="O405" s="655"/>
      <c r="P405" s="655"/>
      <c r="Q405" s="655"/>
      <c r="R405" s="655"/>
      <c r="S405" s="655"/>
      <c r="T405" s="655"/>
      <c r="U405" s="655"/>
      <c r="V405" s="655"/>
    </row>
    <row r="406" spans="1:22">
      <c r="A406" s="677"/>
      <c r="B406" s="655"/>
      <c r="C406" s="686"/>
      <c r="D406" s="686"/>
      <c r="E406" s="655"/>
      <c r="F406" s="655"/>
      <c r="G406" s="655"/>
      <c r="H406" s="655"/>
      <c r="I406" s="655"/>
      <c r="J406" s="655"/>
      <c r="K406" s="655"/>
      <c r="L406" s="686"/>
      <c r="M406" s="655"/>
      <c r="N406" s="655"/>
      <c r="O406" s="655"/>
      <c r="P406" s="655"/>
      <c r="Q406" s="655"/>
      <c r="R406" s="655"/>
      <c r="S406" s="655"/>
      <c r="T406" s="655"/>
      <c r="U406" s="655"/>
      <c r="V406" s="655"/>
    </row>
    <row r="407" spans="1:22">
      <c r="A407" s="677"/>
      <c r="B407" s="655"/>
      <c r="C407" s="686"/>
      <c r="D407" s="686"/>
      <c r="E407" s="655"/>
      <c r="F407" s="655"/>
      <c r="G407" s="655"/>
      <c r="H407" s="655"/>
      <c r="I407" s="655"/>
      <c r="J407" s="655"/>
      <c r="K407" s="655"/>
      <c r="L407" s="686"/>
      <c r="M407" s="655"/>
      <c r="N407" s="655"/>
      <c r="O407" s="655"/>
      <c r="P407" s="655"/>
      <c r="Q407" s="655"/>
      <c r="R407" s="655"/>
      <c r="S407" s="655"/>
      <c r="T407" s="655"/>
      <c r="U407" s="655"/>
      <c r="V407" s="655"/>
    </row>
    <row r="408" spans="1:22">
      <c r="A408" s="677"/>
      <c r="B408" s="655"/>
      <c r="C408" s="686"/>
      <c r="D408" s="686"/>
      <c r="E408" s="655"/>
      <c r="F408" s="655"/>
      <c r="G408" s="655"/>
      <c r="H408" s="655"/>
      <c r="I408" s="655"/>
      <c r="J408" s="655"/>
      <c r="K408" s="655"/>
      <c r="L408" s="686"/>
      <c r="M408" s="655"/>
      <c r="N408" s="655"/>
      <c r="O408" s="655"/>
      <c r="P408" s="655"/>
      <c r="Q408" s="655"/>
      <c r="R408" s="655"/>
      <c r="S408" s="655"/>
      <c r="T408" s="655"/>
      <c r="U408" s="655"/>
      <c r="V408" s="655"/>
    </row>
    <row r="409" spans="1:22">
      <c r="A409" s="677"/>
      <c r="B409" s="655"/>
      <c r="C409" s="686"/>
      <c r="D409" s="686"/>
      <c r="E409" s="655"/>
      <c r="F409" s="655"/>
      <c r="G409" s="655"/>
      <c r="H409" s="655"/>
      <c r="I409" s="655"/>
      <c r="J409" s="655"/>
      <c r="K409" s="655"/>
      <c r="L409" s="686"/>
      <c r="M409" s="655"/>
      <c r="N409" s="655"/>
      <c r="O409" s="655"/>
      <c r="P409" s="655"/>
      <c r="Q409" s="655"/>
      <c r="R409" s="655"/>
      <c r="S409" s="655"/>
      <c r="T409" s="655"/>
      <c r="U409" s="655"/>
      <c r="V409" s="655"/>
    </row>
    <row r="410" spans="1:22">
      <c r="A410" s="677"/>
      <c r="B410" s="655"/>
      <c r="C410" s="686"/>
      <c r="D410" s="686"/>
      <c r="E410" s="655"/>
      <c r="F410" s="655"/>
      <c r="G410" s="655"/>
      <c r="H410" s="655"/>
      <c r="I410" s="655"/>
      <c r="J410" s="655"/>
      <c r="K410" s="655"/>
      <c r="L410" s="686"/>
      <c r="M410" s="655"/>
      <c r="N410" s="655"/>
      <c r="O410" s="655"/>
      <c r="P410" s="655"/>
      <c r="Q410" s="655"/>
      <c r="R410" s="655"/>
      <c r="S410" s="655"/>
      <c r="T410" s="655"/>
      <c r="U410" s="655"/>
      <c r="V410" s="655"/>
    </row>
    <row r="411" spans="1:22">
      <c r="A411" s="677"/>
      <c r="B411" s="655"/>
      <c r="C411" s="686"/>
      <c r="D411" s="686"/>
      <c r="E411" s="655"/>
      <c r="F411" s="655"/>
      <c r="G411" s="655"/>
      <c r="H411" s="655"/>
      <c r="I411" s="655"/>
      <c r="J411" s="655"/>
      <c r="K411" s="655"/>
      <c r="L411" s="686"/>
      <c r="M411" s="655"/>
      <c r="N411" s="655"/>
      <c r="O411" s="655"/>
      <c r="P411" s="655"/>
      <c r="Q411" s="655"/>
      <c r="R411" s="655"/>
      <c r="S411" s="655"/>
      <c r="T411" s="655"/>
      <c r="U411" s="655"/>
      <c r="V411" s="655"/>
    </row>
    <row r="412" spans="1:22">
      <c r="A412" s="677"/>
      <c r="B412" s="655"/>
      <c r="C412" s="686"/>
      <c r="D412" s="686"/>
      <c r="E412" s="655"/>
      <c r="F412" s="655"/>
      <c r="G412" s="655"/>
      <c r="H412" s="655"/>
      <c r="I412" s="655"/>
      <c r="J412" s="655"/>
      <c r="K412" s="655"/>
      <c r="L412" s="686"/>
      <c r="M412" s="655"/>
      <c r="N412" s="655"/>
      <c r="O412" s="655"/>
      <c r="P412" s="655"/>
      <c r="Q412" s="655"/>
      <c r="R412" s="655"/>
      <c r="S412" s="655"/>
      <c r="T412" s="655"/>
      <c r="U412" s="655"/>
      <c r="V412" s="655"/>
    </row>
    <row r="413" spans="1:22">
      <c r="A413" s="677"/>
      <c r="B413" s="655"/>
      <c r="C413" s="686"/>
      <c r="D413" s="686"/>
      <c r="E413" s="655"/>
      <c r="F413" s="655"/>
      <c r="G413" s="655"/>
      <c r="H413" s="655"/>
      <c r="I413" s="655"/>
      <c r="J413" s="655"/>
      <c r="K413" s="655"/>
      <c r="L413" s="686"/>
      <c r="M413" s="655"/>
      <c r="N413" s="655"/>
      <c r="O413" s="655"/>
      <c r="P413" s="655"/>
      <c r="Q413" s="655"/>
      <c r="R413" s="655"/>
      <c r="S413" s="655"/>
      <c r="T413" s="655"/>
      <c r="U413" s="655"/>
      <c r="V413" s="655"/>
    </row>
    <row r="414" spans="1:22">
      <c r="A414" s="677"/>
      <c r="B414" s="655"/>
      <c r="C414" s="686"/>
      <c r="D414" s="686"/>
      <c r="E414" s="655"/>
      <c r="F414" s="655"/>
      <c r="G414" s="655"/>
      <c r="H414" s="655"/>
      <c r="I414" s="655"/>
      <c r="J414" s="655"/>
      <c r="K414" s="655"/>
      <c r="L414" s="686"/>
      <c r="M414" s="655"/>
      <c r="N414" s="655"/>
      <c r="O414" s="655"/>
      <c r="P414" s="655"/>
      <c r="Q414" s="655"/>
      <c r="R414" s="655"/>
      <c r="S414" s="655"/>
      <c r="T414" s="655"/>
      <c r="U414" s="655"/>
      <c r="V414" s="655"/>
    </row>
    <row r="415" spans="1:22">
      <c r="A415" s="677"/>
      <c r="B415" s="655"/>
      <c r="C415" s="686"/>
      <c r="D415" s="686"/>
      <c r="E415" s="655"/>
      <c r="F415" s="655"/>
      <c r="G415" s="655"/>
      <c r="H415" s="655"/>
      <c r="I415" s="655"/>
      <c r="J415" s="655"/>
      <c r="K415" s="655"/>
      <c r="L415" s="686"/>
      <c r="M415" s="655"/>
      <c r="N415" s="655"/>
      <c r="O415" s="655"/>
      <c r="P415" s="655"/>
      <c r="Q415" s="655"/>
      <c r="R415" s="655"/>
      <c r="S415" s="655"/>
      <c r="T415" s="655"/>
      <c r="U415" s="655"/>
      <c r="V415" s="655"/>
    </row>
    <row r="416" spans="1:22">
      <c r="A416" s="677"/>
      <c r="B416" s="655"/>
      <c r="C416" s="686"/>
      <c r="D416" s="686"/>
      <c r="E416" s="655"/>
      <c r="F416" s="655"/>
      <c r="G416" s="655"/>
      <c r="H416" s="655"/>
      <c r="I416" s="655"/>
      <c r="J416" s="655"/>
      <c r="K416" s="655"/>
      <c r="L416" s="686"/>
      <c r="M416" s="655"/>
      <c r="N416" s="655"/>
      <c r="O416" s="655"/>
      <c r="P416" s="655"/>
      <c r="Q416" s="655"/>
      <c r="R416" s="655"/>
      <c r="S416" s="655"/>
      <c r="T416" s="655"/>
      <c r="U416" s="655"/>
      <c r="V416" s="655"/>
    </row>
    <row r="417" spans="1:22">
      <c r="A417" s="677"/>
      <c r="B417" s="655"/>
      <c r="C417" s="686"/>
      <c r="D417" s="686"/>
      <c r="E417" s="655"/>
      <c r="F417" s="655"/>
      <c r="G417" s="655"/>
      <c r="H417" s="655"/>
      <c r="I417" s="655"/>
      <c r="J417" s="655"/>
      <c r="K417" s="655"/>
      <c r="L417" s="686"/>
      <c r="M417" s="655"/>
      <c r="N417" s="655"/>
      <c r="O417" s="655"/>
      <c r="P417" s="655"/>
      <c r="Q417" s="655"/>
      <c r="R417" s="655"/>
      <c r="S417" s="655"/>
      <c r="T417" s="655"/>
      <c r="U417" s="655"/>
      <c r="V417" s="655"/>
    </row>
    <row r="418" spans="1:22">
      <c r="A418" s="677"/>
      <c r="B418" s="655"/>
      <c r="C418" s="686"/>
      <c r="D418" s="686"/>
      <c r="E418" s="655"/>
      <c r="F418" s="655"/>
      <c r="G418" s="655"/>
      <c r="H418" s="655"/>
      <c r="I418" s="655"/>
      <c r="J418" s="655"/>
      <c r="K418" s="655"/>
      <c r="L418" s="686"/>
      <c r="M418" s="655"/>
      <c r="N418" s="655"/>
      <c r="O418" s="655"/>
      <c r="P418" s="655"/>
      <c r="Q418" s="655"/>
      <c r="R418" s="655"/>
      <c r="S418" s="655"/>
      <c r="T418" s="655"/>
      <c r="U418" s="655"/>
      <c r="V418" s="655"/>
    </row>
    <row r="419" spans="1:22">
      <c r="A419" s="677"/>
      <c r="B419" s="655"/>
      <c r="C419" s="686"/>
      <c r="D419" s="686"/>
      <c r="E419" s="655"/>
      <c r="F419" s="655"/>
      <c r="G419" s="655"/>
      <c r="H419" s="655"/>
      <c r="I419" s="655"/>
      <c r="J419" s="655"/>
      <c r="K419" s="655"/>
      <c r="L419" s="686"/>
      <c r="M419" s="655"/>
      <c r="N419" s="655"/>
      <c r="O419" s="655"/>
      <c r="P419" s="655"/>
      <c r="Q419" s="655"/>
      <c r="R419" s="655"/>
      <c r="S419" s="655"/>
      <c r="T419" s="655"/>
      <c r="U419" s="655"/>
      <c r="V419" s="655"/>
    </row>
    <row r="420" spans="1:22">
      <c r="A420" s="677"/>
      <c r="B420" s="655"/>
      <c r="C420" s="686"/>
      <c r="D420" s="686"/>
      <c r="E420" s="655"/>
      <c r="F420" s="655"/>
      <c r="G420" s="655"/>
      <c r="H420" s="655"/>
      <c r="I420" s="655"/>
      <c r="J420" s="655"/>
      <c r="K420" s="655"/>
      <c r="L420" s="686"/>
      <c r="M420" s="655"/>
      <c r="N420" s="655"/>
      <c r="O420" s="655"/>
      <c r="P420" s="655"/>
      <c r="Q420" s="655"/>
      <c r="R420" s="655"/>
      <c r="S420" s="655"/>
      <c r="T420" s="655"/>
      <c r="U420" s="655"/>
      <c r="V420" s="655"/>
    </row>
    <row r="421" spans="1:22">
      <c r="A421" s="677"/>
      <c r="B421" s="655"/>
      <c r="C421" s="686"/>
      <c r="D421" s="686"/>
      <c r="E421" s="655"/>
      <c r="F421" s="655"/>
      <c r="G421" s="655"/>
      <c r="H421" s="655"/>
      <c r="I421" s="655"/>
      <c r="J421" s="655"/>
      <c r="K421" s="655"/>
      <c r="L421" s="686"/>
      <c r="M421" s="655"/>
      <c r="N421" s="655"/>
      <c r="O421" s="655"/>
      <c r="P421" s="655"/>
      <c r="Q421" s="655"/>
      <c r="R421" s="655"/>
      <c r="S421" s="655"/>
      <c r="T421" s="655"/>
      <c r="U421" s="655"/>
      <c r="V421" s="655"/>
    </row>
    <row r="422" spans="1:22">
      <c r="A422" s="677"/>
      <c r="B422" s="655"/>
      <c r="C422" s="686"/>
      <c r="D422" s="686"/>
      <c r="E422" s="655"/>
      <c r="F422" s="655"/>
      <c r="G422" s="655"/>
      <c r="H422" s="655"/>
      <c r="I422" s="655"/>
      <c r="J422" s="655"/>
      <c r="K422" s="655"/>
      <c r="L422" s="686"/>
      <c r="M422" s="655"/>
      <c r="N422" s="655"/>
      <c r="O422" s="655"/>
      <c r="P422" s="655"/>
      <c r="Q422" s="655"/>
      <c r="R422" s="655"/>
      <c r="S422" s="655"/>
      <c r="T422" s="655"/>
      <c r="U422" s="655"/>
      <c r="V422" s="655"/>
    </row>
    <row r="423" spans="1:22">
      <c r="A423" s="677"/>
      <c r="B423" s="655"/>
      <c r="C423" s="686"/>
      <c r="D423" s="686"/>
      <c r="E423" s="655"/>
      <c r="F423" s="655"/>
      <c r="G423" s="655"/>
      <c r="H423" s="655"/>
      <c r="I423" s="655"/>
      <c r="J423" s="655"/>
      <c r="K423" s="655"/>
      <c r="L423" s="686"/>
      <c r="M423" s="655"/>
      <c r="N423" s="655"/>
      <c r="O423" s="655"/>
      <c r="P423" s="655"/>
      <c r="Q423" s="655"/>
      <c r="R423" s="655"/>
      <c r="S423" s="655"/>
      <c r="T423" s="655"/>
      <c r="U423" s="655"/>
      <c r="V423" s="655"/>
    </row>
  </sheetData>
  <mergeCells count="26">
    <mergeCell ref="B7:B10"/>
    <mergeCell ref="A7:A10"/>
    <mergeCell ref="A1:U1"/>
    <mergeCell ref="P12:U12"/>
    <mergeCell ref="L3:P3"/>
    <mergeCell ref="Q3:U3"/>
    <mergeCell ref="A3:A4"/>
    <mergeCell ref="B3:B4"/>
    <mergeCell ref="C3:C4"/>
    <mergeCell ref="E3:E4"/>
    <mergeCell ref="F3:F4"/>
    <mergeCell ref="G3:G4"/>
    <mergeCell ref="K3:K4"/>
    <mergeCell ref="A5:B5"/>
    <mergeCell ref="I3:I4"/>
    <mergeCell ref="A2:J2"/>
    <mergeCell ref="J3:J4"/>
    <mergeCell ref="H3:H4"/>
    <mergeCell ref="D3:D4"/>
    <mergeCell ref="AT3:AW3"/>
    <mergeCell ref="AD3:AG3"/>
    <mergeCell ref="AH3:AK3"/>
    <mergeCell ref="AL3:AO3"/>
    <mergeCell ref="AP3:AS3"/>
    <mergeCell ref="Z3:AC3"/>
    <mergeCell ref="V3:Y3"/>
  </mergeCells>
  <pageMargins left="0.7" right="0.7" top="0.75" bottom="0.75" header="0.3" footer="0.3"/>
  <pageSetup scale="38" orientation="landscape" r:id="rId1"/>
  <rowBreaks count="1" manualBreakCount="1">
    <brk id="1" max="27" man="1"/>
  </rowBreaks>
  <colBreaks count="1" manualBreakCount="1">
    <brk id="22" max="27"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G517"/>
  <sheetViews>
    <sheetView zoomScale="85" zoomScaleNormal="85" zoomScaleSheetLayoutView="85" workbookViewId="0">
      <pane ySplit="4" topLeftCell="A5" activePane="bottomLeft" state="frozen"/>
      <selection pane="bottomLeft" activeCell="W7" sqref="W7"/>
    </sheetView>
  </sheetViews>
  <sheetFormatPr defaultRowHeight="15"/>
  <cols>
    <col min="1" max="1" width="9.140625" style="112"/>
    <col min="2" max="2" width="5.7109375" style="159" customWidth="1"/>
    <col min="3" max="3" width="23.42578125" style="161" customWidth="1"/>
    <col min="4" max="4" width="5" style="142" customWidth="1"/>
    <col min="5" max="5" width="6.28515625" style="143" customWidth="1"/>
    <col min="6" max="6" width="4.5703125" style="143" customWidth="1"/>
    <col min="7" max="7" width="5.42578125" style="143" customWidth="1"/>
    <col min="8" max="8" width="5.85546875" style="143" customWidth="1"/>
    <col min="9" max="9" width="9.42578125" style="143" customWidth="1"/>
    <col min="10" max="10" width="12.85546875" style="113" customWidth="1"/>
    <col min="11" max="11" width="8.7109375" style="113" customWidth="1"/>
    <col min="12" max="12" width="7" style="147" customWidth="1"/>
    <col min="13" max="13" width="11.42578125" style="114" hidden="1" customWidth="1"/>
    <col min="14" max="14" width="14" style="113" customWidth="1"/>
    <col min="15" max="15" width="15.85546875" style="113" customWidth="1"/>
    <col min="16" max="16" width="76.42578125" style="113" hidden="1" customWidth="1"/>
    <col min="17" max="17" width="11" style="183" customWidth="1"/>
    <col min="18" max="18" width="6.42578125" style="113" customWidth="1"/>
    <col min="19" max="19" width="6.28515625" style="147" customWidth="1"/>
    <col min="20" max="20" width="15.7109375" style="114" hidden="1" customWidth="1"/>
    <col min="21" max="21" width="15.28515625" style="115" customWidth="1"/>
    <col min="22" max="22" width="63.5703125" style="112" hidden="1" customWidth="1"/>
    <col min="23" max="23" width="10.140625" style="183" customWidth="1"/>
    <col min="24" max="24" width="8.42578125" style="113" customWidth="1"/>
    <col min="25" max="25" width="6.5703125" style="147" customWidth="1"/>
    <col min="26" max="26" width="14" style="113" hidden="1" customWidth="1"/>
    <col min="27" max="27" width="15.85546875" style="114" customWidth="1"/>
    <col min="28" max="28" width="14" style="114" customWidth="1"/>
    <col min="29" max="29" width="17.42578125" style="114" customWidth="1"/>
    <col min="30" max="30" width="44" style="112" customWidth="1"/>
    <col min="31" max="31" width="17.28515625" style="112" customWidth="1"/>
    <col min="32" max="32" width="9.140625" style="112" customWidth="1"/>
    <col min="33" max="33" width="18" style="112" customWidth="1"/>
    <col min="34" max="16384" width="9.140625" style="112"/>
  </cols>
  <sheetData>
    <row r="1" spans="2:33">
      <c r="B1" s="156"/>
    </row>
    <row r="2" spans="2:33" ht="19.5" customHeight="1">
      <c r="B2" s="783" t="s">
        <v>7</v>
      </c>
      <c r="C2" s="798" t="s">
        <v>245</v>
      </c>
      <c r="D2" s="799" t="s">
        <v>246</v>
      </c>
      <c r="E2" s="799"/>
      <c r="F2" s="799"/>
      <c r="G2" s="799"/>
      <c r="H2" s="799"/>
      <c r="I2" s="784" t="s">
        <v>247</v>
      </c>
      <c r="J2" s="807" t="s">
        <v>248</v>
      </c>
      <c r="K2" s="807"/>
      <c r="L2" s="807"/>
      <c r="M2" s="807"/>
      <c r="N2" s="807"/>
      <c r="O2" s="807"/>
      <c r="P2" s="807"/>
      <c r="Q2" s="802" t="s">
        <v>249</v>
      </c>
      <c r="R2" s="802"/>
      <c r="S2" s="802"/>
      <c r="T2" s="802"/>
      <c r="U2" s="802"/>
      <c r="V2" s="802"/>
      <c r="W2" s="802"/>
      <c r="X2" s="802"/>
      <c r="Y2" s="802"/>
      <c r="Z2" s="802"/>
      <c r="AA2" s="802"/>
      <c r="AB2" s="802"/>
      <c r="AC2" s="312" t="s">
        <v>258</v>
      </c>
      <c r="AD2" s="116"/>
      <c r="AE2" s="799" t="s">
        <v>253</v>
      </c>
    </row>
    <row r="3" spans="2:33" ht="15.75" customHeight="1">
      <c r="B3" s="783"/>
      <c r="C3" s="798"/>
      <c r="D3" s="799"/>
      <c r="E3" s="799"/>
      <c r="F3" s="799"/>
      <c r="G3" s="799"/>
      <c r="H3" s="799"/>
      <c r="I3" s="784"/>
      <c r="J3" s="807"/>
      <c r="K3" s="807"/>
      <c r="L3" s="807"/>
      <c r="M3" s="807"/>
      <c r="N3" s="807"/>
      <c r="O3" s="807"/>
      <c r="P3" s="807"/>
      <c r="Q3" s="791" t="s">
        <v>312</v>
      </c>
      <c r="R3" s="791"/>
      <c r="S3" s="791"/>
      <c r="T3" s="791"/>
      <c r="U3" s="791"/>
      <c r="V3" s="791" t="s">
        <v>252</v>
      </c>
      <c r="W3" s="798" t="s">
        <v>326</v>
      </c>
      <c r="X3" s="798"/>
      <c r="Y3" s="798"/>
      <c r="Z3" s="798"/>
      <c r="AA3" s="798"/>
      <c r="AB3" s="798"/>
      <c r="AC3" s="311"/>
      <c r="AD3" s="790" t="s">
        <v>252</v>
      </c>
      <c r="AE3" s="799"/>
      <c r="AF3" s="112" t="s">
        <v>316</v>
      </c>
      <c r="AG3" s="162">
        <v>23600</v>
      </c>
    </row>
    <row r="4" spans="2:33" ht="28.5">
      <c r="B4" s="783"/>
      <c r="C4" s="798"/>
      <c r="D4" s="144" t="s">
        <v>254</v>
      </c>
      <c r="E4" s="144" t="s">
        <v>255</v>
      </c>
      <c r="F4" s="144" t="s">
        <v>256</v>
      </c>
      <c r="G4" s="144" t="s">
        <v>257</v>
      </c>
      <c r="H4" s="144" t="s">
        <v>258</v>
      </c>
      <c r="I4" s="784"/>
      <c r="J4" s="117" t="s">
        <v>259</v>
      </c>
      <c r="K4" s="118" t="s">
        <v>345</v>
      </c>
      <c r="L4" s="148" t="s">
        <v>8</v>
      </c>
      <c r="M4" s="313" t="s">
        <v>337</v>
      </c>
      <c r="N4" s="118" t="s">
        <v>339</v>
      </c>
      <c r="O4" s="118" t="s">
        <v>340</v>
      </c>
      <c r="P4" s="118" t="s">
        <v>252</v>
      </c>
      <c r="Q4" s="120" t="s">
        <v>259</v>
      </c>
      <c r="R4" s="120" t="s">
        <v>345</v>
      </c>
      <c r="S4" s="151" t="s">
        <v>8</v>
      </c>
      <c r="T4" s="120" t="s">
        <v>346</v>
      </c>
      <c r="U4" s="119" t="s">
        <v>325</v>
      </c>
      <c r="V4" s="791"/>
      <c r="W4" s="120" t="s">
        <v>259</v>
      </c>
      <c r="X4" s="120" t="s">
        <v>349</v>
      </c>
      <c r="Y4" s="151" t="s">
        <v>8</v>
      </c>
      <c r="Z4" s="120" t="s">
        <v>337</v>
      </c>
      <c r="AA4" s="120" t="s">
        <v>341</v>
      </c>
      <c r="AB4" s="120" t="s">
        <v>315</v>
      </c>
      <c r="AC4" s="311"/>
      <c r="AD4" s="790"/>
      <c r="AE4" s="799"/>
      <c r="AF4" s="112" t="s">
        <v>317</v>
      </c>
      <c r="AG4" s="163">
        <v>26650</v>
      </c>
    </row>
    <row r="5" spans="2:33" ht="45">
      <c r="B5" s="157">
        <v>1</v>
      </c>
      <c r="C5" s="792" t="s">
        <v>260</v>
      </c>
      <c r="D5" s="787">
        <v>1</v>
      </c>
      <c r="E5" s="787">
        <v>1</v>
      </c>
      <c r="F5" s="787"/>
      <c r="G5" s="787">
        <v>1</v>
      </c>
      <c r="H5" s="787">
        <f>SUM(D5:G7)</f>
        <v>3</v>
      </c>
      <c r="I5" s="787">
        <v>0</v>
      </c>
      <c r="J5" s="136" t="s">
        <v>261</v>
      </c>
      <c r="K5" s="136" t="s">
        <v>214</v>
      </c>
      <c r="L5" s="145">
        <v>1</v>
      </c>
      <c r="M5" s="386"/>
      <c r="N5" s="110">
        <v>988974000</v>
      </c>
      <c r="O5" s="110">
        <f>L5*N5</f>
        <v>988974000</v>
      </c>
      <c r="P5" s="110"/>
      <c r="Q5" s="137"/>
      <c r="R5" s="136"/>
      <c r="S5" s="145"/>
      <c r="T5" s="110"/>
      <c r="U5" s="110"/>
      <c r="V5" s="166" t="s">
        <v>263</v>
      </c>
      <c r="W5" s="137"/>
      <c r="X5" s="136"/>
      <c r="Y5" s="145"/>
      <c r="Z5" s="136"/>
      <c r="AA5" s="110"/>
      <c r="AB5" s="110"/>
      <c r="AC5" s="110"/>
      <c r="AD5" s="166" t="s">
        <v>266</v>
      </c>
      <c r="AE5" s="135" t="s">
        <v>264</v>
      </c>
    </row>
    <row r="6" spans="2:33" ht="15.75" customHeight="1">
      <c r="B6" s="157">
        <v>2</v>
      </c>
      <c r="C6" s="792"/>
      <c r="D6" s="787"/>
      <c r="E6" s="787"/>
      <c r="F6" s="787"/>
      <c r="G6" s="787"/>
      <c r="H6" s="787"/>
      <c r="I6" s="787"/>
      <c r="J6" s="136" t="s">
        <v>313</v>
      </c>
      <c r="K6" s="136" t="s">
        <v>214</v>
      </c>
      <c r="L6" s="145">
        <v>1</v>
      </c>
      <c r="M6" s="387"/>
      <c r="N6" s="110">
        <v>8742963500</v>
      </c>
      <c r="O6" s="110">
        <f>L6*N6</f>
        <v>8742963500</v>
      </c>
      <c r="P6" s="110"/>
      <c r="Q6" s="175"/>
      <c r="R6" s="167"/>
      <c r="S6" s="168"/>
      <c r="T6" s="110"/>
      <c r="U6" s="110"/>
      <c r="V6" s="169" t="s">
        <v>314</v>
      </c>
      <c r="W6" s="175"/>
      <c r="X6" s="167"/>
      <c r="Y6" s="168"/>
      <c r="Z6" s="167"/>
      <c r="AA6" s="110"/>
      <c r="AB6" s="110"/>
      <c r="AC6" s="110"/>
      <c r="AD6" s="130" t="s">
        <v>314</v>
      </c>
      <c r="AE6" s="135" t="s">
        <v>264</v>
      </c>
    </row>
    <row r="7" spans="2:33" ht="180">
      <c r="B7" s="157">
        <v>3</v>
      </c>
      <c r="C7" s="792"/>
      <c r="D7" s="787"/>
      <c r="E7" s="787"/>
      <c r="F7" s="787"/>
      <c r="G7" s="787"/>
      <c r="H7" s="787"/>
      <c r="I7" s="787"/>
      <c r="J7" s="136"/>
      <c r="K7" s="136"/>
      <c r="L7" s="145"/>
      <c r="M7" s="386"/>
      <c r="N7" s="110"/>
      <c r="O7" s="110"/>
      <c r="P7" s="110"/>
      <c r="Q7" s="179" t="s">
        <v>342</v>
      </c>
      <c r="R7" s="136" t="s">
        <v>214</v>
      </c>
      <c r="S7" s="145">
        <v>1</v>
      </c>
      <c r="T7" s="110">
        <v>4347661560</v>
      </c>
      <c r="U7" s="110">
        <f>S7*T7</f>
        <v>4347661560</v>
      </c>
      <c r="V7" s="166" t="s">
        <v>268</v>
      </c>
      <c r="W7" s="170" t="s">
        <v>625</v>
      </c>
      <c r="X7" s="170" t="s">
        <v>343</v>
      </c>
      <c r="Y7" s="145">
        <v>1</v>
      </c>
      <c r="Z7" s="271">
        <v>164146</v>
      </c>
      <c r="AA7" s="110">
        <f>Z7*AG4</f>
        <v>4374490900</v>
      </c>
      <c r="AB7" s="110">
        <f>Y7*AA7</f>
        <v>4374490900</v>
      </c>
      <c r="AC7" s="110"/>
      <c r="AD7" s="166" t="s">
        <v>268</v>
      </c>
      <c r="AE7" s="135" t="s">
        <v>264</v>
      </c>
      <c r="AF7" s="161" t="s">
        <v>544</v>
      </c>
    </row>
    <row r="8" spans="2:33" ht="180">
      <c r="B8" s="157">
        <v>4</v>
      </c>
      <c r="C8" s="792" t="s">
        <v>269</v>
      </c>
      <c r="D8" s="787">
        <v>2</v>
      </c>
      <c r="E8" s="787">
        <v>2</v>
      </c>
      <c r="F8" s="787">
        <v>1</v>
      </c>
      <c r="G8" s="787">
        <v>2</v>
      </c>
      <c r="H8" s="787">
        <v>7</v>
      </c>
      <c r="I8" s="787">
        <v>0</v>
      </c>
      <c r="J8" s="137" t="s">
        <v>273</v>
      </c>
      <c r="K8" s="136" t="s">
        <v>214</v>
      </c>
      <c r="L8" s="145">
        <v>5</v>
      </c>
      <c r="M8" s="386"/>
      <c r="N8" s="110">
        <v>1799959000</v>
      </c>
      <c r="O8" s="110">
        <f>L8*N8</f>
        <v>8999795000</v>
      </c>
      <c r="P8" s="110"/>
      <c r="Q8" s="171"/>
      <c r="R8" s="171"/>
      <c r="S8" s="146"/>
      <c r="T8" s="110"/>
      <c r="U8" s="110"/>
      <c r="V8" s="172" t="s">
        <v>274</v>
      </c>
      <c r="W8" s="137"/>
      <c r="X8" s="137"/>
      <c r="Y8" s="145"/>
      <c r="Z8" s="136"/>
      <c r="AA8" s="110"/>
      <c r="AB8" s="110"/>
      <c r="AC8" s="110"/>
      <c r="AD8" s="166" t="s">
        <v>272</v>
      </c>
      <c r="AE8" s="135" t="s">
        <v>264</v>
      </c>
    </row>
    <row r="9" spans="2:33">
      <c r="B9" s="157">
        <v>5</v>
      </c>
      <c r="C9" s="792"/>
      <c r="D9" s="787"/>
      <c r="E9" s="787"/>
      <c r="F9" s="787"/>
      <c r="G9" s="787"/>
      <c r="H9" s="787"/>
      <c r="I9" s="787"/>
      <c r="J9" s="136" t="s">
        <v>319</v>
      </c>
      <c r="K9" s="136" t="s">
        <v>214</v>
      </c>
      <c r="L9" s="145">
        <v>1</v>
      </c>
      <c r="M9" s="387"/>
      <c r="N9" s="110">
        <v>24853717500</v>
      </c>
      <c r="O9" s="110">
        <f>L9*N9</f>
        <v>24853717500</v>
      </c>
      <c r="P9" s="110"/>
      <c r="Q9" s="175"/>
      <c r="R9" s="167"/>
      <c r="S9" s="168"/>
      <c r="T9" s="110"/>
      <c r="U9" s="110"/>
      <c r="V9" s="169" t="s">
        <v>320</v>
      </c>
      <c r="W9" s="175"/>
      <c r="X9" s="167"/>
      <c r="Y9" s="168"/>
      <c r="Z9" s="166"/>
      <c r="AA9" s="110"/>
      <c r="AB9" s="110"/>
      <c r="AC9" s="110"/>
      <c r="AD9" s="166"/>
      <c r="AE9" s="135" t="s">
        <v>264</v>
      </c>
    </row>
    <row r="10" spans="2:33" ht="234" customHeight="1">
      <c r="B10" s="157">
        <v>6</v>
      </c>
      <c r="C10" s="792"/>
      <c r="D10" s="787"/>
      <c r="E10" s="787"/>
      <c r="F10" s="787"/>
      <c r="G10" s="787"/>
      <c r="H10" s="787"/>
      <c r="I10" s="787"/>
      <c r="J10" s="137" t="s">
        <v>270</v>
      </c>
      <c r="K10" s="137" t="s">
        <v>343</v>
      </c>
      <c r="L10" s="145">
        <v>1</v>
      </c>
      <c r="M10" s="387">
        <f>84100+164530</f>
        <v>248630</v>
      </c>
      <c r="N10" s="110">
        <f>M10*AG4</f>
        <v>6625989500</v>
      </c>
      <c r="O10" s="110">
        <f>L10*N10</f>
        <v>6625989500</v>
      </c>
      <c r="P10" s="173" t="s">
        <v>355</v>
      </c>
      <c r="Q10" s="171"/>
      <c r="R10" s="171"/>
      <c r="S10" s="146"/>
      <c r="T10" s="110"/>
      <c r="U10" s="110"/>
      <c r="V10" s="172"/>
      <c r="W10" s="137"/>
      <c r="X10" s="137"/>
      <c r="Y10" s="174"/>
      <c r="Z10" s="166"/>
      <c r="AA10" s="110"/>
      <c r="AB10" s="110"/>
      <c r="AC10" s="110"/>
      <c r="AD10" s="166" t="s">
        <v>370</v>
      </c>
      <c r="AE10" s="135" t="s">
        <v>264</v>
      </c>
      <c r="AF10" s="161" t="s">
        <v>354</v>
      </c>
    </row>
    <row r="11" spans="2:33" ht="105">
      <c r="B11" s="157">
        <v>7</v>
      </c>
      <c r="C11" s="170" t="s">
        <v>275</v>
      </c>
      <c r="D11" s="145">
        <v>0</v>
      </c>
      <c r="E11" s="145">
        <v>0</v>
      </c>
      <c r="F11" s="145">
        <v>6</v>
      </c>
      <c r="G11" s="145">
        <v>0</v>
      </c>
      <c r="H11" s="145">
        <v>6</v>
      </c>
      <c r="I11" s="145">
        <v>2</v>
      </c>
      <c r="J11" s="136"/>
      <c r="K11" s="136"/>
      <c r="L11" s="145"/>
      <c r="M11" s="386"/>
      <c r="N11" s="110"/>
      <c r="O11" s="110"/>
      <c r="P11" s="110"/>
      <c r="Q11" s="137" t="s">
        <v>90</v>
      </c>
      <c r="R11" s="136" t="s">
        <v>214</v>
      </c>
      <c r="S11" s="145">
        <v>4</v>
      </c>
      <c r="T11" s="110">
        <v>1825057000</v>
      </c>
      <c r="U11" s="110">
        <f>S11*T11</f>
        <v>7300228000</v>
      </c>
      <c r="V11" s="166" t="s">
        <v>276</v>
      </c>
      <c r="W11" s="170" t="s">
        <v>338</v>
      </c>
      <c r="X11" s="130" t="s">
        <v>343</v>
      </c>
      <c r="Y11" s="145">
        <v>4</v>
      </c>
      <c r="Z11" s="272">
        <v>34031.142</v>
      </c>
      <c r="AA11" s="110">
        <f>Z11*AG4</f>
        <v>906929934.29999995</v>
      </c>
      <c r="AB11" s="110">
        <f>Y11*AA11</f>
        <v>3627719737.1999998</v>
      </c>
      <c r="AC11" s="110"/>
      <c r="AD11" s="166" t="s">
        <v>369</v>
      </c>
      <c r="AE11" s="135" t="s">
        <v>264</v>
      </c>
    </row>
    <row r="12" spans="2:33" ht="75">
      <c r="B12" s="157">
        <v>8</v>
      </c>
      <c r="C12" s="170" t="s">
        <v>277</v>
      </c>
      <c r="D12" s="145">
        <v>1</v>
      </c>
      <c r="E12" s="145">
        <v>1</v>
      </c>
      <c r="F12" s="145">
        <v>1</v>
      </c>
      <c r="G12" s="145">
        <v>1</v>
      </c>
      <c r="H12" s="145">
        <v>4</v>
      </c>
      <c r="I12" s="145">
        <v>3</v>
      </c>
      <c r="J12" s="136"/>
      <c r="K12" s="136"/>
      <c r="L12" s="145"/>
      <c r="M12" s="386"/>
      <c r="N12" s="110"/>
      <c r="O12" s="110"/>
      <c r="P12" s="110"/>
      <c r="Q12" s="137" t="s">
        <v>98</v>
      </c>
      <c r="R12" s="137" t="s">
        <v>343</v>
      </c>
      <c r="S12" s="145">
        <v>1</v>
      </c>
      <c r="T12" s="110">
        <v>141517000</v>
      </c>
      <c r="U12" s="110">
        <f>S12*T12</f>
        <v>141517000</v>
      </c>
      <c r="V12" s="130" t="s">
        <v>321</v>
      </c>
      <c r="W12" s="137"/>
      <c r="X12" s="136"/>
      <c r="Y12" s="145"/>
      <c r="Z12" s="166"/>
      <c r="AA12" s="110"/>
      <c r="AB12" s="110"/>
      <c r="AC12" s="110"/>
      <c r="AD12" s="166"/>
      <c r="AE12" s="135" t="s">
        <v>264</v>
      </c>
      <c r="AF12" s="112" t="s">
        <v>363</v>
      </c>
    </row>
    <row r="13" spans="2:33" ht="105">
      <c r="B13" s="157">
        <v>9</v>
      </c>
      <c r="C13" s="170" t="s">
        <v>278</v>
      </c>
      <c r="D13" s="145">
        <v>16</v>
      </c>
      <c r="E13" s="145">
        <v>16</v>
      </c>
      <c r="F13" s="145">
        <v>8</v>
      </c>
      <c r="G13" s="145">
        <v>16</v>
      </c>
      <c r="H13" s="145">
        <v>56</v>
      </c>
      <c r="I13" s="145">
        <v>0</v>
      </c>
      <c r="J13" s="136"/>
      <c r="K13" s="136"/>
      <c r="L13" s="145"/>
      <c r="M13" s="386"/>
      <c r="N13" s="110"/>
      <c r="O13" s="110"/>
      <c r="P13" s="110"/>
      <c r="Q13" s="137" t="s">
        <v>100</v>
      </c>
      <c r="R13" s="137"/>
      <c r="S13" s="145">
        <v>56</v>
      </c>
      <c r="T13" s="110">
        <v>3360500</v>
      </c>
      <c r="U13" s="110">
        <f t="shared" ref="U13:U45" si="0">S13*T13</f>
        <v>188188000</v>
      </c>
      <c r="V13" s="130" t="s">
        <v>279</v>
      </c>
      <c r="W13" s="137"/>
      <c r="X13" s="136"/>
      <c r="Y13" s="145"/>
      <c r="Z13" s="166"/>
      <c r="AA13" s="110"/>
      <c r="AB13" s="110"/>
      <c r="AC13" s="110"/>
      <c r="AD13" s="166"/>
      <c r="AE13" s="135" t="s">
        <v>280</v>
      </c>
      <c r="AF13" s="112" t="s">
        <v>363</v>
      </c>
    </row>
    <row r="14" spans="2:33" ht="75">
      <c r="B14" s="157">
        <v>10</v>
      </c>
      <c r="C14" s="170" t="s">
        <v>281</v>
      </c>
      <c r="D14" s="145">
        <v>16</v>
      </c>
      <c r="E14" s="145">
        <v>16</v>
      </c>
      <c r="F14" s="145">
        <v>8</v>
      </c>
      <c r="G14" s="145">
        <v>16</v>
      </c>
      <c r="H14" s="145">
        <v>56</v>
      </c>
      <c r="I14" s="145">
        <v>0</v>
      </c>
      <c r="J14" s="136"/>
      <c r="K14" s="136"/>
      <c r="L14" s="145"/>
      <c r="M14" s="386"/>
      <c r="N14" s="110"/>
      <c r="O14" s="110"/>
      <c r="P14" s="110"/>
      <c r="Q14" s="137" t="s">
        <v>103</v>
      </c>
      <c r="R14" s="137" t="s">
        <v>214</v>
      </c>
      <c r="S14" s="145">
        <v>56</v>
      </c>
      <c r="T14" s="110">
        <v>7708000</v>
      </c>
      <c r="U14" s="110">
        <f t="shared" si="0"/>
        <v>431648000</v>
      </c>
      <c r="V14" s="130" t="s">
        <v>282</v>
      </c>
      <c r="W14" s="137" t="s">
        <v>103</v>
      </c>
      <c r="X14" s="136" t="s">
        <v>343</v>
      </c>
      <c r="Y14" s="145">
        <f>H14</f>
        <v>56</v>
      </c>
      <c r="Z14" s="270">
        <f>161*120%</f>
        <v>193.2</v>
      </c>
      <c r="AA14" s="110">
        <f>Z14*AG3</f>
        <v>4559520</v>
      </c>
      <c r="AB14" s="110">
        <f t="shared" ref="AB14:AB25" si="1">Y14*AA14</f>
        <v>255333120</v>
      </c>
      <c r="AC14" s="110"/>
      <c r="AD14" s="166" t="s">
        <v>362</v>
      </c>
      <c r="AE14" s="135" t="s">
        <v>264</v>
      </c>
    </row>
    <row r="15" spans="2:33" ht="45">
      <c r="B15" s="157">
        <v>11</v>
      </c>
      <c r="C15" s="170" t="s">
        <v>283</v>
      </c>
      <c r="D15" s="145">
        <v>16</v>
      </c>
      <c r="E15" s="145">
        <v>16</v>
      </c>
      <c r="F15" s="145">
        <v>8</v>
      </c>
      <c r="G15" s="145">
        <v>16</v>
      </c>
      <c r="H15" s="145">
        <v>56</v>
      </c>
      <c r="I15" s="145">
        <v>0</v>
      </c>
      <c r="J15" s="136"/>
      <c r="K15" s="136"/>
      <c r="L15" s="145"/>
      <c r="M15" s="386"/>
      <c r="N15" s="110"/>
      <c r="O15" s="110"/>
      <c r="P15" s="110"/>
      <c r="Q15" s="137" t="s">
        <v>107</v>
      </c>
      <c r="R15" s="137" t="s">
        <v>214</v>
      </c>
      <c r="S15" s="145">
        <v>56</v>
      </c>
      <c r="T15" s="110">
        <v>34192500</v>
      </c>
      <c r="U15" s="110">
        <f t="shared" si="0"/>
        <v>1914780000</v>
      </c>
      <c r="V15" s="130" t="s">
        <v>284</v>
      </c>
      <c r="W15" s="137" t="s">
        <v>107</v>
      </c>
      <c r="X15" s="136" t="s">
        <v>343</v>
      </c>
      <c r="Y15" s="145">
        <f t="shared" ref="Y15:Y24" si="2">H15</f>
        <v>56</v>
      </c>
      <c r="Z15" s="270">
        <f>752*120%</f>
        <v>902.4</v>
      </c>
      <c r="AA15" s="110">
        <f>Z15*AG$3</f>
        <v>21296640</v>
      </c>
      <c r="AB15" s="110">
        <f t="shared" si="1"/>
        <v>1192611840</v>
      </c>
      <c r="AC15" s="110"/>
      <c r="AD15" s="166" t="s">
        <v>108</v>
      </c>
      <c r="AE15" s="135" t="s">
        <v>264</v>
      </c>
    </row>
    <row r="16" spans="2:33" ht="36.75" customHeight="1">
      <c r="B16" s="157">
        <v>12</v>
      </c>
      <c r="C16" s="170" t="s">
        <v>285</v>
      </c>
      <c r="D16" s="145">
        <v>18</v>
      </c>
      <c r="E16" s="145">
        <v>18</v>
      </c>
      <c r="F16" s="145">
        <v>9</v>
      </c>
      <c r="G16" s="145">
        <v>18</v>
      </c>
      <c r="H16" s="145">
        <v>63</v>
      </c>
      <c r="I16" s="145">
        <v>0</v>
      </c>
      <c r="J16" s="136"/>
      <c r="K16" s="136"/>
      <c r="L16" s="145"/>
      <c r="M16" s="386"/>
      <c r="N16" s="110"/>
      <c r="O16" s="110"/>
      <c r="P16" s="110"/>
      <c r="Q16" s="137" t="s">
        <v>110</v>
      </c>
      <c r="R16" s="137" t="s">
        <v>214</v>
      </c>
      <c r="S16" s="145">
        <v>63</v>
      </c>
      <c r="T16" s="110">
        <v>13442000</v>
      </c>
      <c r="U16" s="110">
        <f t="shared" si="0"/>
        <v>846846000</v>
      </c>
      <c r="V16" s="130" t="s">
        <v>286</v>
      </c>
      <c r="W16" s="137" t="s">
        <v>110</v>
      </c>
      <c r="X16" s="136" t="s">
        <v>343</v>
      </c>
      <c r="Y16" s="145">
        <f t="shared" si="2"/>
        <v>63</v>
      </c>
      <c r="Z16" s="270">
        <f>172*120%</f>
        <v>206.4</v>
      </c>
      <c r="AA16" s="110">
        <f>Z16*AG$3</f>
        <v>4871040</v>
      </c>
      <c r="AB16" s="110">
        <f t="shared" si="1"/>
        <v>306875520</v>
      </c>
      <c r="AC16" s="110"/>
      <c r="AD16" s="166" t="s">
        <v>111</v>
      </c>
      <c r="AE16" s="135" t="s">
        <v>264</v>
      </c>
    </row>
    <row r="17" spans="2:33" ht="45">
      <c r="B17" s="157">
        <v>13</v>
      </c>
      <c r="C17" s="171" t="s">
        <v>287</v>
      </c>
      <c r="D17" s="145">
        <v>6</v>
      </c>
      <c r="E17" s="145">
        <v>6</v>
      </c>
      <c r="F17" s="145">
        <v>0</v>
      </c>
      <c r="G17" s="145">
        <v>6</v>
      </c>
      <c r="H17" s="145">
        <v>18</v>
      </c>
      <c r="I17" s="145">
        <v>0</v>
      </c>
      <c r="J17" s="136"/>
      <c r="K17" s="136"/>
      <c r="L17" s="145"/>
      <c r="M17" s="386"/>
      <c r="N17" s="110"/>
      <c r="O17" s="110"/>
      <c r="P17" s="110"/>
      <c r="Q17" s="137" t="s">
        <v>201</v>
      </c>
      <c r="R17" s="137" t="s">
        <v>214</v>
      </c>
      <c r="S17" s="145">
        <v>18</v>
      </c>
      <c r="T17" s="110"/>
      <c r="U17" s="110">
        <f t="shared" si="0"/>
        <v>0</v>
      </c>
      <c r="V17" s="130" t="s">
        <v>288</v>
      </c>
      <c r="W17" s="137" t="s">
        <v>201</v>
      </c>
      <c r="X17" s="136" t="s">
        <v>343</v>
      </c>
      <c r="Y17" s="145">
        <f t="shared" si="2"/>
        <v>18</v>
      </c>
      <c r="Z17" s="270">
        <f>17000*120%</f>
        <v>20400</v>
      </c>
      <c r="AA17" s="110">
        <f t="shared" ref="AA17:AA25" si="3">Z17*AG$3</f>
        <v>481440000</v>
      </c>
      <c r="AB17" s="110">
        <f t="shared" si="1"/>
        <v>8665920000</v>
      </c>
      <c r="AC17" s="110"/>
      <c r="AD17" s="166" t="s">
        <v>288</v>
      </c>
      <c r="AE17" s="135" t="s">
        <v>264</v>
      </c>
    </row>
    <row r="18" spans="2:33">
      <c r="B18" s="157">
        <v>14</v>
      </c>
      <c r="C18" s="171" t="s">
        <v>289</v>
      </c>
      <c r="D18" s="145">
        <v>6</v>
      </c>
      <c r="E18" s="145">
        <v>6</v>
      </c>
      <c r="F18" s="145">
        <v>1</v>
      </c>
      <c r="G18" s="145">
        <v>6</v>
      </c>
      <c r="H18" s="145">
        <v>19</v>
      </c>
      <c r="I18" s="145">
        <v>0</v>
      </c>
      <c r="J18" s="136"/>
      <c r="K18" s="136"/>
      <c r="L18" s="145"/>
      <c r="M18" s="386"/>
      <c r="N18" s="110"/>
      <c r="O18" s="110"/>
      <c r="P18" s="110"/>
      <c r="Q18" s="137" t="s">
        <v>290</v>
      </c>
      <c r="R18" s="136"/>
      <c r="S18" s="145">
        <v>19</v>
      </c>
      <c r="T18" s="110"/>
      <c r="U18" s="110">
        <f t="shared" si="0"/>
        <v>0</v>
      </c>
      <c r="V18" s="130" t="s">
        <v>291</v>
      </c>
      <c r="W18" s="137"/>
      <c r="X18" s="136"/>
      <c r="Y18" s="145">
        <f t="shared" si="2"/>
        <v>19</v>
      </c>
      <c r="Z18" s="270"/>
      <c r="AA18" s="110">
        <f t="shared" si="3"/>
        <v>0</v>
      </c>
      <c r="AB18" s="110">
        <f t="shared" si="1"/>
        <v>0</v>
      </c>
      <c r="AC18" s="110"/>
      <c r="AD18" s="166" t="s">
        <v>318</v>
      </c>
      <c r="AE18" s="135" t="s">
        <v>292</v>
      </c>
    </row>
    <row r="19" spans="2:33" ht="45">
      <c r="B19" s="157">
        <v>15</v>
      </c>
      <c r="C19" s="171" t="s">
        <v>293</v>
      </c>
      <c r="D19" s="145">
        <v>1</v>
      </c>
      <c r="E19" s="145">
        <v>1</v>
      </c>
      <c r="F19" s="145">
        <v>1</v>
      </c>
      <c r="G19" s="145">
        <v>1</v>
      </c>
      <c r="H19" s="145">
        <v>4</v>
      </c>
      <c r="I19" s="145">
        <v>0</v>
      </c>
      <c r="J19" s="136"/>
      <c r="K19" s="136"/>
      <c r="L19" s="145"/>
      <c r="M19" s="386"/>
      <c r="N19" s="110"/>
      <c r="O19" s="110"/>
      <c r="P19" s="110"/>
      <c r="Q19" s="137" t="s">
        <v>113</v>
      </c>
      <c r="R19" s="137" t="s">
        <v>214</v>
      </c>
      <c r="S19" s="145">
        <v>4</v>
      </c>
      <c r="T19" s="110">
        <v>10081500</v>
      </c>
      <c r="U19" s="110">
        <f t="shared" si="0"/>
        <v>40326000</v>
      </c>
      <c r="V19" s="130" t="s">
        <v>294</v>
      </c>
      <c r="W19" s="137" t="s">
        <v>113</v>
      </c>
      <c r="X19" s="136" t="s">
        <v>343</v>
      </c>
      <c r="Y19" s="145">
        <f t="shared" si="2"/>
        <v>4</v>
      </c>
      <c r="Z19" s="270">
        <f>125*120%</f>
        <v>150</v>
      </c>
      <c r="AA19" s="110">
        <f t="shared" si="3"/>
        <v>3540000</v>
      </c>
      <c r="AB19" s="110">
        <f t="shared" si="1"/>
        <v>14160000</v>
      </c>
      <c r="AC19" s="110"/>
      <c r="AD19" s="166" t="s">
        <v>114</v>
      </c>
      <c r="AE19" s="135" t="s">
        <v>264</v>
      </c>
    </row>
    <row r="20" spans="2:33" ht="90">
      <c r="B20" s="157">
        <v>16</v>
      </c>
      <c r="C20" s="171" t="s">
        <v>295</v>
      </c>
      <c r="D20" s="145">
        <v>1</v>
      </c>
      <c r="E20" s="145">
        <v>1</v>
      </c>
      <c r="F20" s="145">
        <v>0</v>
      </c>
      <c r="G20" s="145">
        <v>1</v>
      </c>
      <c r="H20" s="145">
        <v>3</v>
      </c>
      <c r="I20" s="145">
        <v>0</v>
      </c>
      <c r="J20" s="136"/>
      <c r="K20" s="136"/>
      <c r="L20" s="145"/>
      <c r="M20" s="386"/>
      <c r="N20" s="110"/>
      <c r="O20" s="110"/>
      <c r="P20" s="110"/>
      <c r="Q20" s="137" t="s">
        <v>204</v>
      </c>
      <c r="R20" s="137" t="s">
        <v>214</v>
      </c>
      <c r="S20" s="145">
        <v>3</v>
      </c>
      <c r="T20" s="110">
        <v>5381500</v>
      </c>
      <c r="U20" s="110">
        <f t="shared" si="0"/>
        <v>16144500</v>
      </c>
      <c r="V20" s="133" t="s">
        <v>295</v>
      </c>
      <c r="W20" s="137" t="s">
        <v>356</v>
      </c>
      <c r="X20" s="136" t="s">
        <v>343</v>
      </c>
      <c r="Y20" s="145">
        <f t="shared" si="2"/>
        <v>3</v>
      </c>
      <c r="Z20" s="270">
        <f>170*120%</f>
        <v>204</v>
      </c>
      <c r="AA20" s="110">
        <f t="shared" si="3"/>
        <v>4814400</v>
      </c>
      <c r="AB20" s="110">
        <f t="shared" si="1"/>
        <v>14443200</v>
      </c>
      <c r="AC20" s="110"/>
      <c r="AD20" s="166" t="s">
        <v>361</v>
      </c>
      <c r="AE20" s="135" t="s">
        <v>280</v>
      </c>
    </row>
    <row r="21" spans="2:33">
      <c r="B21" s="157">
        <v>17</v>
      </c>
      <c r="C21" s="180" t="s">
        <v>295</v>
      </c>
      <c r="D21" s="168"/>
      <c r="E21" s="168"/>
      <c r="F21" s="168"/>
      <c r="G21" s="168"/>
      <c r="H21" s="168"/>
      <c r="I21" s="168"/>
      <c r="J21" s="167"/>
      <c r="K21" s="167"/>
      <c r="L21" s="168"/>
      <c r="M21" s="387"/>
      <c r="N21" s="176"/>
      <c r="O21" s="176"/>
      <c r="P21" s="176"/>
      <c r="Q21" s="175"/>
      <c r="R21" s="175"/>
      <c r="S21" s="168"/>
      <c r="T21" s="176"/>
      <c r="U21" s="176">
        <v>5947200</v>
      </c>
      <c r="V21" s="169"/>
      <c r="W21" s="178" t="s">
        <v>367</v>
      </c>
      <c r="X21" s="136" t="s">
        <v>343</v>
      </c>
      <c r="Y21" s="145">
        <v>1</v>
      </c>
      <c r="Z21" s="270">
        <f>210*120%</f>
        <v>252</v>
      </c>
      <c r="AA21" s="110">
        <f t="shared" si="3"/>
        <v>5947200</v>
      </c>
      <c r="AB21" s="110">
        <f t="shared" si="1"/>
        <v>5947200</v>
      </c>
      <c r="AC21" s="110"/>
      <c r="AD21" s="166"/>
      <c r="AE21" s="177"/>
      <c r="AF21" s="165" t="s">
        <v>366</v>
      </c>
    </row>
    <row r="22" spans="2:33" ht="30">
      <c r="B22" s="157">
        <v>18</v>
      </c>
      <c r="C22" s="180" t="s">
        <v>295</v>
      </c>
      <c r="D22" s="168"/>
      <c r="E22" s="168"/>
      <c r="F22" s="168"/>
      <c r="G22" s="168"/>
      <c r="H22" s="168"/>
      <c r="I22" s="168"/>
      <c r="J22" s="167"/>
      <c r="K22" s="167"/>
      <c r="L22" s="168"/>
      <c r="M22" s="387"/>
      <c r="N22" s="176"/>
      <c r="O22" s="176"/>
      <c r="P22" s="176"/>
      <c r="Q22" s="175"/>
      <c r="R22" s="175"/>
      <c r="S22" s="168"/>
      <c r="T22" s="176"/>
      <c r="U22" s="176">
        <v>9175680</v>
      </c>
      <c r="V22" s="169"/>
      <c r="W22" s="178" t="s">
        <v>368</v>
      </c>
      <c r="X22" s="136" t="s">
        <v>343</v>
      </c>
      <c r="Y22" s="145">
        <v>1</v>
      </c>
      <c r="Z22" s="270">
        <f>324*120%</f>
        <v>388.8</v>
      </c>
      <c r="AA22" s="110">
        <f t="shared" si="3"/>
        <v>9175680</v>
      </c>
      <c r="AB22" s="110">
        <f t="shared" si="1"/>
        <v>9175680</v>
      </c>
      <c r="AC22" s="110"/>
      <c r="AD22" s="166"/>
      <c r="AE22" s="177"/>
      <c r="AF22" s="165" t="s">
        <v>366</v>
      </c>
    </row>
    <row r="23" spans="2:33" ht="75">
      <c r="B23" s="157">
        <v>19</v>
      </c>
      <c r="C23" s="171" t="s">
        <v>296</v>
      </c>
      <c r="D23" s="145">
        <v>2</v>
      </c>
      <c r="E23" s="145">
        <v>2</v>
      </c>
      <c r="F23" s="145">
        <v>0</v>
      </c>
      <c r="G23" s="145">
        <v>2</v>
      </c>
      <c r="H23" s="145">
        <v>6</v>
      </c>
      <c r="I23" s="145">
        <v>0</v>
      </c>
      <c r="J23" s="136"/>
      <c r="K23" s="136"/>
      <c r="L23" s="145"/>
      <c r="M23" s="386"/>
      <c r="N23" s="110"/>
      <c r="O23" s="110"/>
      <c r="P23" s="110"/>
      <c r="Q23" s="182"/>
      <c r="R23" s="110"/>
      <c r="S23" s="145">
        <v>6</v>
      </c>
      <c r="T23" s="110"/>
      <c r="U23" s="110">
        <f t="shared" si="0"/>
        <v>0</v>
      </c>
      <c r="V23" s="130" t="s">
        <v>296</v>
      </c>
      <c r="W23" s="137" t="s">
        <v>357</v>
      </c>
      <c r="X23" s="136" t="s">
        <v>343</v>
      </c>
      <c r="Y23" s="145">
        <f t="shared" si="2"/>
        <v>6</v>
      </c>
      <c r="Z23" s="270">
        <f>2090*120%</f>
        <v>2508</v>
      </c>
      <c r="AA23" s="110">
        <f t="shared" si="3"/>
        <v>59188800</v>
      </c>
      <c r="AB23" s="110">
        <f t="shared" si="1"/>
        <v>355132800</v>
      </c>
      <c r="AC23" s="110"/>
      <c r="AD23" s="166" t="s">
        <v>360</v>
      </c>
      <c r="AE23" s="135" t="s">
        <v>280</v>
      </c>
    </row>
    <row r="24" spans="2:33" ht="165">
      <c r="B24" s="157">
        <v>20</v>
      </c>
      <c r="C24" s="171" t="s">
        <v>297</v>
      </c>
      <c r="D24" s="145">
        <v>0</v>
      </c>
      <c r="E24" s="145">
        <v>0</v>
      </c>
      <c r="F24" s="145">
        <v>1</v>
      </c>
      <c r="G24" s="145">
        <v>0</v>
      </c>
      <c r="H24" s="145">
        <v>1</v>
      </c>
      <c r="I24" s="145">
        <v>0</v>
      </c>
      <c r="J24" s="136"/>
      <c r="K24" s="136"/>
      <c r="L24" s="145"/>
      <c r="M24" s="386"/>
      <c r="N24" s="110"/>
      <c r="O24" s="110"/>
      <c r="P24" s="110"/>
      <c r="Q24" s="137" t="s">
        <v>115</v>
      </c>
      <c r="R24" s="137"/>
      <c r="S24" s="145">
        <v>1</v>
      </c>
      <c r="T24" s="110">
        <v>16802500</v>
      </c>
      <c r="U24" s="110">
        <f t="shared" si="0"/>
        <v>16802500</v>
      </c>
      <c r="V24" s="130"/>
      <c r="W24" s="137" t="s">
        <v>358</v>
      </c>
      <c r="X24" s="136" t="s">
        <v>343</v>
      </c>
      <c r="Y24" s="145">
        <f t="shared" si="2"/>
        <v>1</v>
      </c>
      <c r="Z24" s="270">
        <f>184*120%</f>
        <v>220.79999999999998</v>
      </c>
      <c r="AA24" s="110">
        <f t="shared" si="3"/>
        <v>5210880</v>
      </c>
      <c r="AB24" s="110">
        <f t="shared" si="1"/>
        <v>5210880</v>
      </c>
      <c r="AC24" s="110"/>
      <c r="AD24" s="166" t="s">
        <v>359</v>
      </c>
      <c r="AE24" s="135" t="s">
        <v>264</v>
      </c>
    </row>
    <row r="25" spans="2:33">
      <c r="B25" s="157">
        <v>21</v>
      </c>
      <c r="C25" s="180" t="s">
        <v>364</v>
      </c>
      <c r="D25" s="168"/>
      <c r="E25" s="168"/>
      <c r="F25" s="168"/>
      <c r="G25" s="168"/>
      <c r="H25" s="168"/>
      <c r="I25" s="168"/>
      <c r="J25" s="167"/>
      <c r="K25" s="167"/>
      <c r="L25" s="168"/>
      <c r="M25" s="387"/>
      <c r="N25" s="176"/>
      <c r="O25" s="176"/>
      <c r="P25" s="176"/>
      <c r="Q25" s="175"/>
      <c r="R25" s="175"/>
      <c r="S25" s="168"/>
      <c r="T25" s="176"/>
      <c r="U25" s="176">
        <v>33530880</v>
      </c>
      <c r="V25" s="169"/>
      <c r="W25" s="178" t="s">
        <v>365</v>
      </c>
      <c r="X25" s="136" t="s">
        <v>343</v>
      </c>
      <c r="Y25" s="145">
        <v>2</v>
      </c>
      <c r="Z25" s="270">
        <f>592*120%</f>
        <v>710.4</v>
      </c>
      <c r="AA25" s="110">
        <f t="shared" si="3"/>
        <v>16765440</v>
      </c>
      <c r="AB25" s="110">
        <f t="shared" si="1"/>
        <v>33530880</v>
      </c>
      <c r="AC25" s="110"/>
      <c r="AD25" s="166"/>
      <c r="AE25" s="177"/>
      <c r="AF25" s="165" t="s">
        <v>366</v>
      </c>
      <c r="AG25" s="165"/>
    </row>
    <row r="26" spans="2:33">
      <c r="B26" s="157">
        <v>22</v>
      </c>
      <c r="C26" s="792" t="s">
        <v>298</v>
      </c>
      <c r="D26" s="787">
        <v>3</v>
      </c>
      <c r="E26" s="787">
        <v>0</v>
      </c>
      <c r="F26" s="787">
        <v>0</v>
      </c>
      <c r="G26" s="787">
        <v>0</v>
      </c>
      <c r="H26" s="787">
        <v>3</v>
      </c>
      <c r="I26" s="787">
        <v>0</v>
      </c>
      <c r="J26" s="787"/>
      <c r="K26" s="136"/>
      <c r="L26" s="787"/>
      <c r="M26" s="386"/>
      <c r="N26" s="110"/>
      <c r="O26" s="110"/>
      <c r="P26" s="110"/>
      <c r="Q26" s="137" t="s">
        <v>119</v>
      </c>
      <c r="R26" s="136"/>
      <c r="S26" s="145">
        <v>1</v>
      </c>
      <c r="T26" s="110">
        <v>145112500</v>
      </c>
      <c r="U26" s="110">
        <f t="shared" si="0"/>
        <v>145112500</v>
      </c>
      <c r="V26" s="166" t="s">
        <v>299</v>
      </c>
      <c r="W26" s="786"/>
      <c r="X26" s="136"/>
      <c r="Y26" s="787"/>
      <c r="Z26" s="270"/>
      <c r="AA26" s="110"/>
      <c r="AB26" s="110"/>
      <c r="AC26" s="110"/>
      <c r="AD26" s="166"/>
      <c r="AE26" s="135"/>
    </row>
    <row r="27" spans="2:33">
      <c r="B27" s="157">
        <v>23</v>
      </c>
      <c r="C27" s="792"/>
      <c r="D27" s="787"/>
      <c r="E27" s="787"/>
      <c r="F27" s="787"/>
      <c r="G27" s="787"/>
      <c r="H27" s="787"/>
      <c r="I27" s="787"/>
      <c r="J27" s="787"/>
      <c r="K27" s="136"/>
      <c r="L27" s="787"/>
      <c r="M27" s="386"/>
      <c r="N27" s="110"/>
      <c r="O27" s="110"/>
      <c r="P27" s="110"/>
      <c r="Q27" s="137" t="s">
        <v>121</v>
      </c>
      <c r="R27" s="136"/>
      <c r="S27" s="145">
        <v>2</v>
      </c>
      <c r="T27" s="110">
        <v>163654000</v>
      </c>
      <c r="U27" s="110">
        <f t="shared" si="0"/>
        <v>327308000</v>
      </c>
      <c r="V27" s="166" t="s">
        <v>300</v>
      </c>
      <c r="W27" s="786"/>
      <c r="X27" s="136"/>
      <c r="Y27" s="787"/>
      <c r="Z27" s="270"/>
      <c r="AA27" s="110"/>
      <c r="AB27" s="110"/>
      <c r="AC27" s="110"/>
      <c r="AD27" s="166"/>
      <c r="AE27" s="135"/>
    </row>
    <row r="28" spans="2:33" ht="30">
      <c r="B28" s="157">
        <v>24</v>
      </c>
      <c r="C28" s="171" t="s">
        <v>301</v>
      </c>
      <c r="D28" s="145">
        <v>1</v>
      </c>
      <c r="E28" s="145">
        <v>0</v>
      </c>
      <c r="F28" s="145">
        <v>0</v>
      </c>
      <c r="G28" s="145">
        <v>0</v>
      </c>
      <c r="H28" s="145">
        <v>1</v>
      </c>
      <c r="I28" s="145">
        <v>0</v>
      </c>
      <c r="J28" s="136"/>
      <c r="K28" s="136"/>
      <c r="L28" s="145"/>
      <c r="M28" s="386"/>
      <c r="N28" s="110"/>
      <c r="O28" s="110"/>
      <c r="P28" s="110"/>
      <c r="Q28" s="137" t="s">
        <v>302</v>
      </c>
      <c r="R28" s="136"/>
      <c r="S28" s="145">
        <f>H28</f>
        <v>1</v>
      </c>
      <c r="T28" s="110">
        <v>135595000</v>
      </c>
      <c r="U28" s="110">
        <f t="shared" si="0"/>
        <v>135595000</v>
      </c>
      <c r="V28" s="135" t="s">
        <v>303</v>
      </c>
      <c r="W28" s="137"/>
      <c r="X28" s="136"/>
      <c r="Y28" s="145"/>
      <c r="Z28" s="270"/>
      <c r="AA28" s="110"/>
      <c r="AB28" s="110"/>
      <c r="AC28" s="110"/>
      <c r="AD28" s="166"/>
      <c r="AE28" s="135" t="s">
        <v>264</v>
      </c>
    </row>
    <row r="29" spans="2:33" ht="30">
      <c r="B29" s="157">
        <v>25</v>
      </c>
      <c r="C29" s="171" t="s">
        <v>304</v>
      </c>
      <c r="D29" s="145">
        <v>1</v>
      </c>
      <c r="E29" s="145">
        <v>0</v>
      </c>
      <c r="F29" s="145">
        <v>0</v>
      </c>
      <c r="G29" s="145">
        <v>0</v>
      </c>
      <c r="H29" s="145">
        <v>1</v>
      </c>
      <c r="I29" s="145">
        <v>0</v>
      </c>
      <c r="J29" s="136"/>
      <c r="K29" s="136"/>
      <c r="L29" s="145"/>
      <c r="M29" s="386"/>
      <c r="N29" s="110"/>
      <c r="O29" s="110"/>
      <c r="P29" s="110"/>
      <c r="Q29" s="137" t="s">
        <v>305</v>
      </c>
      <c r="R29" s="136"/>
      <c r="S29" s="145">
        <f>H29</f>
        <v>1</v>
      </c>
      <c r="T29" s="110">
        <v>287898500</v>
      </c>
      <c r="U29" s="110">
        <f t="shared" si="0"/>
        <v>287898500</v>
      </c>
      <c r="V29" s="135" t="s">
        <v>306</v>
      </c>
      <c r="W29" s="137"/>
      <c r="X29" s="136"/>
      <c r="Y29" s="145"/>
      <c r="Z29" s="270"/>
      <c r="AA29" s="110"/>
      <c r="AB29" s="110"/>
      <c r="AC29" s="110"/>
      <c r="AD29" s="166"/>
      <c r="AE29" s="135" t="s">
        <v>264</v>
      </c>
    </row>
    <row r="30" spans="2:33" ht="30">
      <c r="B30" s="157">
        <v>26</v>
      </c>
      <c r="C30" s="171" t="s">
        <v>307</v>
      </c>
      <c r="D30" s="145">
        <v>5</v>
      </c>
      <c r="E30" s="145">
        <v>0</v>
      </c>
      <c r="F30" s="145">
        <v>0</v>
      </c>
      <c r="G30" s="145">
        <v>0</v>
      </c>
      <c r="H30" s="145">
        <v>5</v>
      </c>
      <c r="I30" s="145">
        <v>0</v>
      </c>
      <c r="J30" s="136"/>
      <c r="K30" s="136"/>
      <c r="L30" s="145"/>
      <c r="M30" s="386"/>
      <c r="N30" s="110"/>
      <c r="O30" s="110"/>
      <c r="P30" s="110"/>
      <c r="Q30" s="137" t="s">
        <v>308</v>
      </c>
      <c r="R30" s="136"/>
      <c r="S30" s="145">
        <f>H30</f>
        <v>5</v>
      </c>
      <c r="T30" s="110">
        <v>68244000</v>
      </c>
      <c r="U30" s="110">
        <f t="shared" si="0"/>
        <v>341220000</v>
      </c>
      <c r="V30" s="130" t="s">
        <v>309</v>
      </c>
      <c r="W30" s="137"/>
      <c r="X30" s="136"/>
      <c r="Y30" s="145"/>
      <c r="Z30" s="270"/>
      <c r="AA30" s="110"/>
      <c r="AB30" s="110"/>
      <c r="AC30" s="110"/>
      <c r="AD30" s="166"/>
      <c r="AE30" s="135" t="s">
        <v>264</v>
      </c>
    </row>
    <row r="31" spans="2:33" ht="45">
      <c r="B31" s="157">
        <v>27</v>
      </c>
      <c r="C31" s="171" t="s">
        <v>310</v>
      </c>
      <c r="D31" s="145">
        <v>1</v>
      </c>
      <c r="E31" s="145">
        <v>0</v>
      </c>
      <c r="F31" s="145">
        <v>0</v>
      </c>
      <c r="G31" s="145">
        <v>0</v>
      </c>
      <c r="H31" s="145">
        <v>1</v>
      </c>
      <c r="I31" s="145">
        <v>0</v>
      </c>
      <c r="J31" s="136"/>
      <c r="K31" s="136"/>
      <c r="L31" s="145"/>
      <c r="M31" s="386"/>
      <c r="N31" s="110"/>
      <c r="O31" s="110"/>
      <c r="P31" s="110"/>
      <c r="Q31" s="137" t="s">
        <v>311</v>
      </c>
      <c r="R31" s="136"/>
      <c r="S31" s="145">
        <f>H31</f>
        <v>1</v>
      </c>
      <c r="T31" s="110">
        <v>68244000</v>
      </c>
      <c r="U31" s="110">
        <f t="shared" si="0"/>
        <v>68244000</v>
      </c>
      <c r="V31" s="130" t="s">
        <v>309</v>
      </c>
      <c r="W31" s="137"/>
      <c r="X31" s="136"/>
      <c r="Y31" s="145"/>
      <c r="Z31" s="270"/>
      <c r="AA31" s="110"/>
      <c r="AB31" s="110"/>
      <c r="AC31" s="110"/>
      <c r="AD31" s="166"/>
      <c r="AE31" s="135" t="s">
        <v>264</v>
      </c>
    </row>
    <row r="32" spans="2:33" ht="60">
      <c r="B32" s="157">
        <v>28</v>
      </c>
      <c r="C32" s="171" t="s">
        <v>327</v>
      </c>
      <c r="D32" s="146"/>
      <c r="E32" s="146"/>
      <c r="F32" s="146"/>
      <c r="G32" s="146"/>
      <c r="H32" s="146"/>
      <c r="I32" s="146"/>
      <c r="J32" s="133"/>
      <c r="K32" s="133"/>
      <c r="L32" s="146"/>
      <c r="M32" s="386"/>
      <c r="N32" s="110"/>
      <c r="O32" s="110"/>
      <c r="P32" s="110"/>
      <c r="Q32" s="137" t="s">
        <v>323</v>
      </c>
      <c r="R32" s="137" t="s">
        <v>350</v>
      </c>
      <c r="S32" s="145">
        <v>1</v>
      </c>
      <c r="T32" s="110">
        <v>35563157894.736801</v>
      </c>
      <c r="U32" s="110">
        <f t="shared" si="0"/>
        <v>35563157894.736801</v>
      </c>
      <c r="V32" s="133" t="s">
        <v>318</v>
      </c>
      <c r="W32" s="171" t="s">
        <v>324</v>
      </c>
      <c r="X32" s="133" t="s">
        <v>214</v>
      </c>
      <c r="Y32" s="146"/>
      <c r="Z32" s="270"/>
      <c r="AA32" s="110"/>
      <c r="AB32" s="110"/>
      <c r="AC32" s="110"/>
      <c r="AD32" s="166"/>
      <c r="AE32" s="135" t="s">
        <v>264</v>
      </c>
    </row>
    <row r="33" spans="2:32" ht="30">
      <c r="B33" s="157">
        <v>29</v>
      </c>
      <c r="C33" s="171" t="s">
        <v>328</v>
      </c>
      <c r="D33" s="146"/>
      <c r="E33" s="146"/>
      <c r="F33" s="146"/>
      <c r="G33" s="146"/>
      <c r="H33" s="146"/>
      <c r="I33" s="146"/>
      <c r="J33" s="133"/>
      <c r="K33" s="133"/>
      <c r="L33" s="146"/>
      <c r="M33" s="386"/>
      <c r="N33" s="110"/>
      <c r="O33" s="110"/>
      <c r="P33" s="110"/>
      <c r="Q33" s="171" t="s">
        <v>351</v>
      </c>
      <c r="R33" s="133" t="s">
        <v>351</v>
      </c>
      <c r="S33" s="145">
        <v>1</v>
      </c>
      <c r="T33" s="110">
        <v>3997789473.6842098</v>
      </c>
      <c r="U33" s="110">
        <f t="shared" si="0"/>
        <v>3997789473.6842098</v>
      </c>
      <c r="V33" s="133" t="s">
        <v>318</v>
      </c>
      <c r="W33" s="171" t="s">
        <v>177</v>
      </c>
      <c r="X33" s="133" t="s">
        <v>214</v>
      </c>
      <c r="Y33" s="146"/>
      <c r="Z33" s="270"/>
      <c r="AA33" s="110"/>
      <c r="AB33" s="110"/>
      <c r="AC33" s="110"/>
      <c r="AD33" s="166"/>
      <c r="AE33" s="135" t="s">
        <v>264</v>
      </c>
    </row>
    <row r="34" spans="2:32" hidden="1">
      <c r="B34" s="157">
        <v>30</v>
      </c>
      <c r="C34" s="171" t="s">
        <v>371</v>
      </c>
      <c r="D34" s="145">
        <v>5</v>
      </c>
      <c r="E34" s="145">
        <v>0</v>
      </c>
      <c r="F34" s="145">
        <v>0</v>
      </c>
      <c r="G34" s="145">
        <v>0</v>
      </c>
      <c r="H34" s="145">
        <v>5</v>
      </c>
      <c r="I34" s="145">
        <v>0</v>
      </c>
      <c r="J34" s="133"/>
      <c r="K34" s="133"/>
      <c r="L34" s="146"/>
      <c r="M34" s="386"/>
      <c r="N34" s="110"/>
      <c r="O34" s="110"/>
      <c r="P34" s="110"/>
      <c r="Q34" s="185"/>
      <c r="R34" s="186"/>
      <c r="S34" s="145"/>
      <c r="T34" s="110"/>
      <c r="U34" s="110">
        <f t="shared" si="0"/>
        <v>0</v>
      </c>
      <c r="V34" s="133"/>
      <c r="W34" s="171"/>
      <c r="X34" s="133"/>
      <c r="Y34" s="146"/>
      <c r="Z34" s="270"/>
      <c r="AA34" s="110"/>
      <c r="AB34" s="110"/>
      <c r="AC34" s="110"/>
      <c r="AD34" s="166"/>
      <c r="AE34" s="135" t="s">
        <v>264</v>
      </c>
    </row>
    <row r="35" spans="2:32" hidden="1">
      <c r="B35" s="157">
        <v>31</v>
      </c>
      <c r="C35" s="171" t="s">
        <v>372</v>
      </c>
      <c r="D35" s="145">
        <v>5</v>
      </c>
      <c r="E35" s="145">
        <v>0</v>
      </c>
      <c r="F35" s="145">
        <v>0</v>
      </c>
      <c r="G35" s="145">
        <v>0</v>
      </c>
      <c r="H35" s="145">
        <v>5</v>
      </c>
      <c r="I35" s="145">
        <v>0</v>
      </c>
      <c r="J35" s="133"/>
      <c r="K35" s="133"/>
      <c r="L35" s="146"/>
      <c r="M35" s="386"/>
      <c r="N35" s="110"/>
      <c r="O35" s="110"/>
      <c r="P35" s="110"/>
      <c r="Q35" s="171"/>
      <c r="R35" s="133"/>
      <c r="S35" s="145"/>
      <c r="T35" s="110"/>
      <c r="U35" s="110">
        <f t="shared" si="0"/>
        <v>0</v>
      </c>
      <c r="V35" s="133"/>
      <c r="W35" s="171"/>
      <c r="X35" s="133"/>
      <c r="Y35" s="146"/>
      <c r="Z35" s="270"/>
      <c r="AA35" s="110"/>
      <c r="AB35" s="110"/>
      <c r="AC35" s="110"/>
      <c r="AD35" s="166"/>
      <c r="AE35" s="135" t="s">
        <v>264</v>
      </c>
    </row>
    <row r="36" spans="2:32" hidden="1">
      <c r="B36" s="157">
        <v>32</v>
      </c>
      <c r="C36" s="171" t="s">
        <v>373</v>
      </c>
      <c r="D36" s="145">
        <v>5</v>
      </c>
      <c r="E36" s="145">
        <v>0</v>
      </c>
      <c r="F36" s="145">
        <v>0</v>
      </c>
      <c r="G36" s="145">
        <v>0</v>
      </c>
      <c r="H36" s="145">
        <v>5</v>
      </c>
      <c r="I36" s="145">
        <v>0</v>
      </c>
      <c r="J36" s="133"/>
      <c r="K36" s="133"/>
      <c r="L36" s="146"/>
      <c r="M36" s="386"/>
      <c r="N36" s="110"/>
      <c r="O36" s="110"/>
      <c r="P36" s="110"/>
      <c r="Q36" s="171"/>
      <c r="R36" s="133"/>
      <c r="S36" s="145"/>
      <c r="T36" s="110"/>
      <c r="U36" s="110">
        <f t="shared" si="0"/>
        <v>0</v>
      </c>
      <c r="V36" s="133"/>
      <c r="W36" s="171"/>
      <c r="X36" s="133"/>
      <c r="Y36" s="146"/>
      <c r="Z36" s="270"/>
      <c r="AA36" s="110"/>
      <c r="AB36" s="110"/>
      <c r="AC36" s="110"/>
      <c r="AD36" s="166"/>
      <c r="AE36" s="135" t="s">
        <v>264</v>
      </c>
    </row>
    <row r="37" spans="2:32" ht="105" hidden="1">
      <c r="B37" s="157">
        <v>33</v>
      </c>
      <c r="C37" s="171" t="s">
        <v>374</v>
      </c>
      <c r="D37" s="145">
        <v>2</v>
      </c>
      <c r="E37" s="145">
        <v>0</v>
      </c>
      <c r="F37" s="145">
        <v>0</v>
      </c>
      <c r="G37" s="145">
        <v>0</v>
      </c>
      <c r="H37" s="145">
        <v>2</v>
      </c>
      <c r="I37" s="145">
        <v>0</v>
      </c>
      <c r="J37" s="133"/>
      <c r="K37" s="133"/>
      <c r="L37" s="146"/>
      <c r="M37" s="386"/>
      <c r="N37" s="110"/>
      <c r="O37" s="110"/>
      <c r="P37" s="110"/>
      <c r="Q37" s="171" t="s">
        <v>130</v>
      </c>
      <c r="R37" s="133" t="s">
        <v>214</v>
      </c>
      <c r="S37" s="145">
        <f>H37</f>
        <v>2</v>
      </c>
      <c r="T37" s="110">
        <v>608532500</v>
      </c>
      <c r="U37" s="110">
        <f t="shared" si="0"/>
        <v>1217065000</v>
      </c>
      <c r="V37" s="133"/>
      <c r="W37" s="171"/>
      <c r="X37" s="133"/>
      <c r="Y37" s="146"/>
      <c r="Z37" s="270"/>
      <c r="AA37" s="110"/>
      <c r="AB37" s="110"/>
      <c r="AC37" s="110"/>
      <c r="AD37" s="166"/>
      <c r="AE37" s="135" t="s">
        <v>264</v>
      </c>
    </row>
    <row r="38" spans="2:32" ht="75" hidden="1">
      <c r="B38" s="157">
        <v>34</v>
      </c>
      <c r="C38" s="171" t="s">
        <v>277</v>
      </c>
      <c r="D38" s="145">
        <v>3</v>
      </c>
      <c r="E38" s="145">
        <v>3</v>
      </c>
      <c r="F38" s="145">
        <v>0</v>
      </c>
      <c r="G38" s="145">
        <v>3</v>
      </c>
      <c r="H38" s="145">
        <v>9</v>
      </c>
      <c r="I38" s="145">
        <v>0</v>
      </c>
      <c r="J38" s="133"/>
      <c r="K38" s="133"/>
      <c r="L38" s="146"/>
      <c r="M38" s="386"/>
      <c r="N38" s="110"/>
      <c r="O38" s="110"/>
      <c r="P38" s="110"/>
      <c r="Q38" s="171" t="s">
        <v>133</v>
      </c>
      <c r="R38" s="133" t="s">
        <v>214</v>
      </c>
      <c r="S38" s="145">
        <f t="shared" ref="S38:S45" si="4">H38</f>
        <v>9</v>
      </c>
      <c r="T38" s="110">
        <v>141517000</v>
      </c>
      <c r="U38" s="110">
        <f t="shared" si="0"/>
        <v>1273653000</v>
      </c>
      <c r="V38" s="133"/>
      <c r="W38" s="171"/>
      <c r="X38" s="133"/>
      <c r="Y38" s="146"/>
      <c r="Z38" s="270"/>
      <c r="AA38" s="110"/>
      <c r="AB38" s="110"/>
      <c r="AC38" s="110"/>
      <c r="AD38" s="166"/>
      <c r="AE38" s="135" t="s">
        <v>264</v>
      </c>
    </row>
    <row r="39" spans="2:32" ht="90" hidden="1">
      <c r="B39" s="157">
        <v>35</v>
      </c>
      <c r="C39" s="171" t="s">
        <v>375</v>
      </c>
      <c r="D39" s="145">
        <v>1</v>
      </c>
      <c r="E39" s="145">
        <v>0</v>
      </c>
      <c r="F39" s="145">
        <v>0</v>
      </c>
      <c r="G39" s="145">
        <v>0</v>
      </c>
      <c r="H39" s="145">
        <v>1</v>
      </c>
      <c r="I39" s="145">
        <v>0</v>
      </c>
      <c r="J39" s="133"/>
      <c r="K39" s="133"/>
      <c r="L39" s="146"/>
      <c r="M39" s="386"/>
      <c r="N39" s="110"/>
      <c r="O39" s="110"/>
      <c r="P39" s="110"/>
      <c r="Q39" s="171" t="s">
        <v>134</v>
      </c>
      <c r="R39" s="133" t="s">
        <v>214</v>
      </c>
      <c r="S39" s="145">
        <f t="shared" si="4"/>
        <v>1</v>
      </c>
      <c r="T39" s="110">
        <v>2231419000</v>
      </c>
      <c r="U39" s="110">
        <f t="shared" si="0"/>
        <v>2231419000</v>
      </c>
      <c r="V39" s="133"/>
      <c r="W39" s="171"/>
      <c r="X39" s="133"/>
      <c r="Y39" s="146"/>
      <c r="Z39" s="270"/>
      <c r="AA39" s="110"/>
      <c r="AB39" s="110"/>
      <c r="AC39" s="110"/>
      <c r="AD39" s="166"/>
      <c r="AE39" s="135" t="s">
        <v>264</v>
      </c>
    </row>
    <row r="40" spans="2:32" ht="135" hidden="1">
      <c r="B40" s="157">
        <v>36</v>
      </c>
      <c r="C40" s="171" t="s">
        <v>376</v>
      </c>
      <c r="D40" s="145">
        <v>50</v>
      </c>
      <c r="E40" s="145">
        <v>0</v>
      </c>
      <c r="F40" s="145">
        <v>0</v>
      </c>
      <c r="G40" s="145">
        <v>0</v>
      </c>
      <c r="H40" s="145">
        <v>50</v>
      </c>
      <c r="I40" s="145">
        <v>0</v>
      </c>
      <c r="J40" s="133"/>
      <c r="K40" s="133"/>
      <c r="L40" s="146"/>
      <c r="M40" s="386"/>
      <c r="N40" s="110"/>
      <c r="O40" s="110"/>
      <c r="P40" s="110"/>
      <c r="Q40" s="171" t="s">
        <v>140</v>
      </c>
      <c r="R40" s="133" t="s">
        <v>214</v>
      </c>
      <c r="S40" s="145">
        <f t="shared" si="4"/>
        <v>50</v>
      </c>
      <c r="T40" s="110">
        <v>134302500</v>
      </c>
      <c r="U40" s="110">
        <f t="shared" si="0"/>
        <v>6715125000</v>
      </c>
      <c r="V40" s="133"/>
      <c r="W40" s="171"/>
      <c r="X40" s="133"/>
      <c r="Y40" s="146"/>
      <c r="Z40" s="270"/>
      <c r="AA40" s="110"/>
      <c r="AB40" s="110"/>
      <c r="AC40" s="110"/>
      <c r="AD40" s="166"/>
      <c r="AE40" s="135" t="s">
        <v>264</v>
      </c>
    </row>
    <row r="41" spans="2:32" ht="90" hidden="1">
      <c r="B41" s="157">
        <v>37</v>
      </c>
      <c r="C41" s="171" t="s">
        <v>377</v>
      </c>
      <c r="D41" s="145">
        <v>5</v>
      </c>
      <c r="E41" s="145">
        <v>0</v>
      </c>
      <c r="F41" s="145">
        <v>0</v>
      </c>
      <c r="G41" s="145">
        <v>0</v>
      </c>
      <c r="H41" s="145">
        <v>5</v>
      </c>
      <c r="I41" s="145">
        <v>0</v>
      </c>
      <c r="J41" s="133"/>
      <c r="K41" s="133"/>
      <c r="L41" s="146"/>
      <c r="M41" s="386"/>
      <c r="N41" s="110"/>
      <c r="O41" s="110"/>
      <c r="P41" s="110"/>
      <c r="Q41" s="171" t="s">
        <v>143</v>
      </c>
      <c r="R41" s="133" t="s">
        <v>214</v>
      </c>
      <c r="S41" s="145">
        <f t="shared" si="4"/>
        <v>5</v>
      </c>
      <c r="T41" s="110">
        <v>13136500</v>
      </c>
      <c r="U41" s="110">
        <f t="shared" si="0"/>
        <v>65682500</v>
      </c>
      <c r="V41" s="133"/>
      <c r="W41" s="171"/>
      <c r="X41" s="133"/>
      <c r="Y41" s="146"/>
      <c r="Z41" s="270"/>
      <c r="AA41" s="110"/>
      <c r="AB41" s="110"/>
      <c r="AC41" s="110"/>
      <c r="AD41" s="166"/>
      <c r="AE41" s="135" t="s">
        <v>264</v>
      </c>
    </row>
    <row r="42" spans="2:32" ht="75" hidden="1">
      <c r="B42" s="157">
        <v>38</v>
      </c>
      <c r="C42" s="171" t="s">
        <v>378</v>
      </c>
      <c r="D42" s="145">
        <v>1</v>
      </c>
      <c r="E42" s="145">
        <v>0</v>
      </c>
      <c r="F42" s="145">
        <v>0</v>
      </c>
      <c r="G42" s="145">
        <v>0</v>
      </c>
      <c r="H42" s="145">
        <v>1</v>
      </c>
      <c r="I42" s="145">
        <v>0</v>
      </c>
      <c r="J42" s="133"/>
      <c r="K42" s="133"/>
      <c r="L42" s="146"/>
      <c r="M42" s="386"/>
      <c r="N42" s="110"/>
      <c r="O42" s="110"/>
      <c r="P42" s="110"/>
      <c r="Q42" s="171" t="s">
        <v>145</v>
      </c>
      <c r="R42" s="133" t="s">
        <v>214</v>
      </c>
      <c r="S42" s="145">
        <f t="shared" si="4"/>
        <v>1</v>
      </c>
      <c r="T42" s="110">
        <v>11068500</v>
      </c>
      <c r="U42" s="110">
        <f t="shared" si="0"/>
        <v>11068500</v>
      </c>
      <c r="V42" s="133"/>
      <c r="W42" s="171"/>
      <c r="X42" s="133"/>
      <c r="Y42" s="146"/>
      <c r="Z42" s="270"/>
      <c r="AA42" s="110"/>
      <c r="AB42" s="110"/>
      <c r="AC42" s="110"/>
      <c r="AD42" s="166"/>
      <c r="AE42" s="135" t="s">
        <v>264</v>
      </c>
    </row>
    <row r="43" spans="2:32" ht="30" hidden="1">
      <c r="B43" s="157">
        <v>39</v>
      </c>
      <c r="C43" s="171" t="s">
        <v>379</v>
      </c>
      <c r="D43" s="145">
        <v>2</v>
      </c>
      <c r="E43" s="145">
        <v>0</v>
      </c>
      <c r="F43" s="145">
        <v>0</v>
      </c>
      <c r="G43" s="145">
        <v>0</v>
      </c>
      <c r="H43" s="145">
        <v>2</v>
      </c>
      <c r="I43" s="145">
        <v>0</v>
      </c>
      <c r="J43" s="133"/>
      <c r="K43" s="133"/>
      <c r="L43" s="146"/>
      <c r="M43" s="386"/>
      <c r="N43" s="110"/>
      <c r="O43" s="110"/>
      <c r="P43" s="110"/>
      <c r="Q43" s="171"/>
      <c r="R43" s="133" t="s">
        <v>214</v>
      </c>
      <c r="S43" s="145">
        <f t="shared" si="4"/>
        <v>2</v>
      </c>
      <c r="T43" s="110"/>
      <c r="U43" s="110">
        <f t="shared" si="0"/>
        <v>0</v>
      </c>
      <c r="V43" s="133"/>
      <c r="W43" s="171"/>
      <c r="X43" s="133"/>
      <c r="Y43" s="146"/>
      <c r="Z43" s="270"/>
      <c r="AA43" s="110"/>
      <c r="AB43" s="110"/>
      <c r="AC43" s="110"/>
      <c r="AD43" s="166"/>
      <c r="AE43" s="135" t="s">
        <v>264</v>
      </c>
      <c r="AF43" s="135" t="s">
        <v>382</v>
      </c>
    </row>
    <row r="44" spans="2:32" ht="45" hidden="1">
      <c r="B44" s="157">
        <v>40</v>
      </c>
      <c r="C44" s="171" t="s">
        <v>380</v>
      </c>
      <c r="D44" s="145">
        <v>2</v>
      </c>
      <c r="E44" s="145">
        <v>0</v>
      </c>
      <c r="F44" s="145">
        <v>0</v>
      </c>
      <c r="G44" s="145">
        <v>0</v>
      </c>
      <c r="H44" s="145">
        <v>2</v>
      </c>
      <c r="I44" s="145">
        <v>0</v>
      </c>
      <c r="J44" s="133"/>
      <c r="K44" s="133"/>
      <c r="L44" s="146"/>
      <c r="M44" s="386"/>
      <c r="N44" s="110"/>
      <c r="O44" s="110"/>
      <c r="P44" s="110"/>
      <c r="Q44" s="171" t="s">
        <v>146</v>
      </c>
      <c r="R44" s="133" t="s">
        <v>214</v>
      </c>
      <c r="S44" s="145">
        <f t="shared" si="4"/>
        <v>2</v>
      </c>
      <c r="T44" s="110">
        <v>3324897500</v>
      </c>
      <c r="U44" s="110">
        <f t="shared" si="0"/>
        <v>6649795000</v>
      </c>
      <c r="V44" s="133"/>
      <c r="W44" s="171"/>
      <c r="X44" s="133"/>
      <c r="Y44" s="146"/>
      <c r="Z44" s="270"/>
      <c r="AA44" s="110"/>
      <c r="AB44" s="110"/>
      <c r="AC44" s="110"/>
      <c r="AD44" s="166"/>
      <c r="AE44" s="135" t="s">
        <v>264</v>
      </c>
    </row>
    <row r="45" spans="2:32" ht="60" hidden="1">
      <c r="B45" s="157">
        <v>41</v>
      </c>
      <c r="C45" s="171" t="s">
        <v>381</v>
      </c>
      <c r="D45" s="188">
        <v>2</v>
      </c>
      <c r="E45" s="188">
        <v>0</v>
      </c>
      <c r="F45" s="188">
        <v>0</v>
      </c>
      <c r="G45" s="188">
        <v>0</v>
      </c>
      <c r="H45" s="188">
        <v>2</v>
      </c>
      <c r="I45" s="188">
        <v>0</v>
      </c>
      <c r="J45" s="133"/>
      <c r="K45" s="133"/>
      <c r="L45" s="146"/>
      <c r="M45" s="386"/>
      <c r="N45" s="110"/>
      <c r="O45" s="110"/>
      <c r="P45" s="110"/>
      <c r="Q45" s="171" t="s">
        <v>157</v>
      </c>
      <c r="R45" s="133" t="s">
        <v>214</v>
      </c>
      <c r="S45" s="145">
        <f t="shared" si="4"/>
        <v>2</v>
      </c>
      <c r="T45" s="110">
        <v>11254150000</v>
      </c>
      <c r="U45" s="110">
        <f t="shared" si="0"/>
        <v>22508300000</v>
      </c>
      <c r="V45" s="133"/>
      <c r="W45" s="171"/>
      <c r="X45" s="133"/>
      <c r="Y45" s="146"/>
      <c r="Z45" s="270"/>
      <c r="AA45" s="110"/>
      <c r="AB45" s="110"/>
      <c r="AC45" s="110"/>
      <c r="AD45" s="166"/>
      <c r="AE45" s="135" t="s">
        <v>264</v>
      </c>
    </row>
    <row r="46" spans="2:32" ht="30">
      <c r="B46" s="157">
        <v>42</v>
      </c>
      <c r="C46" s="786" t="s">
        <v>396</v>
      </c>
      <c r="D46" s="189"/>
      <c r="E46" s="189"/>
      <c r="F46" s="189"/>
      <c r="G46" s="189"/>
      <c r="H46" s="189"/>
      <c r="I46" s="189"/>
      <c r="J46" s="133"/>
      <c r="K46" s="133"/>
      <c r="L46" s="146"/>
      <c r="M46" s="386"/>
      <c r="N46" s="110"/>
      <c r="O46" s="110"/>
      <c r="P46" s="110"/>
      <c r="Q46" s="171"/>
      <c r="R46" s="133"/>
      <c r="S46" s="145"/>
      <c r="T46" s="110"/>
      <c r="U46" s="110"/>
      <c r="V46" s="133"/>
      <c r="W46" s="171" t="s">
        <v>387</v>
      </c>
      <c r="X46" s="133" t="s">
        <v>343</v>
      </c>
      <c r="Y46" s="146">
        <v>1</v>
      </c>
      <c r="Z46" s="806">
        <v>1950000</v>
      </c>
      <c r="AA46" s="808">
        <f>Z46*AG3</f>
        <v>46020000000</v>
      </c>
      <c r="AB46" s="808">
        <f>AA46*Y49</f>
        <v>46020000000</v>
      </c>
      <c r="AC46" s="314"/>
      <c r="AD46" s="166"/>
      <c r="AE46" s="135"/>
    </row>
    <row r="47" spans="2:32" ht="45">
      <c r="B47" s="157">
        <v>43</v>
      </c>
      <c r="C47" s="786"/>
      <c r="D47" s="189"/>
      <c r="E47" s="189"/>
      <c r="F47" s="189"/>
      <c r="G47" s="189"/>
      <c r="H47" s="189"/>
      <c r="I47" s="189"/>
      <c r="J47" s="133"/>
      <c r="K47" s="133"/>
      <c r="L47" s="146"/>
      <c r="M47" s="386"/>
      <c r="N47" s="110"/>
      <c r="O47" s="110"/>
      <c r="P47" s="110"/>
      <c r="Q47" s="171"/>
      <c r="R47" s="133"/>
      <c r="S47" s="145"/>
      <c r="T47" s="110"/>
      <c r="U47" s="110"/>
      <c r="V47" s="133"/>
      <c r="W47" s="171" t="s">
        <v>388</v>
      </c>
      <c r="X47" s="133" t="s">
        <v>343</v>
      </c>
      <c r="Y47" s="146">
        <v>1</v>
      </c>
      <c r="Z47" s="806"/>
      <c r="AA47" s="808"/>
      <c r="AB47" s="808"/>
      <c r="AC47" s="314"/>
      <c r="AD47" s="166"/>
      <c r="AE47" s="135"/>
    </row>
    <row r="48" spans="2:32">
      <c r="B48" s="157">
        <v>44</v>
      </c>
      <c r="C48" s="786"/>
      <c r="D48" s="189"/>
      <c r="E48" s="189"/>
      <c r="F48" s="189"/>
      <c r="G48" s="189"/>
      <c r="H48" s="189"/>
      <c r="I48" s="189"/>
      <c r="J48" s="133"/>
      <c r="K48" s="133"/>
      <c r="L48" s="146"/>
      <c r="M48" s="386"/>
      <c r="N48" s="110"/>
      <c r="O48" s="110"/>
      <c r="P48" s="110"/>
      <c r="Q48" s="171"/>
      <c r="R48" s="133"/>
      <c r="S48" s="145"/>
      <c r="T48" s="110"/>
      <c r="U48" s="110"/>
      <c r="V48" s="133"/>
      <c r="W48" s="171" t="s">
        <v>389</v>
      </c>
      <c r="X48" s="133" t="s">
        <v>343</v>
      </c>
      <c r="Y48" s="146">
        <v>1</v>
      </c>
      <c r="Z48" s="806"/>
      <c r="AA48" s="808"/>
      <c r="AB48" s="808"/>
      <c r="AC48" s="314"/>
      <c r="AD48" s="166"/>
      <c r="AE48" s="135"/>
    </row>
    <row r="49" spans="2:33" ht="75">
      <c r="B49" s="157">
        <v>45</v>
      </c>
      <c r="C49" s="786"/>
      <c r="D49" s="189"/>
      <c r="E49" s="189"/>
      <c r="F49" s="189"/>
      <c r="G49" s="189"/>
      <c r="H49" s="189"/>
      <c r="I49" s="189"/>
      <c r="J49" s="133"/>
      <c r="K49" s="133"/>
      <c r="L49" s="146"/>
      <c r="M49" s="386"/>
      <c r="N49" s="110"/>
      <c r="O49" s="110"/>
      <c r="P49" s="110"/>
      <c r="Q49" s="171"/>
      <c r="R49" s="133"/>
      <c r="S49" s="145"/>
      <c r="T49" s="110"/>
      <c r="U49" s="110"/>
      <c r="V49" s="133"/>
      <c r="W49" s="171" t="s">
        <v>390</v>
      </c>
      <c r="X49" s="133" t="s">
        <v>343</v>
      </c>
      <c r="Y49" s="146">
        <v>1</v>
      </c>
      <c r="Z49" s="806"/>
      <c r="AA49" s="808"/>
      <c r="AB49" s="808"/>
      <c r="AC49" s="314"/>
      <c r="AD49" s="166"/>
      <c r="AE49" s="135"/>
    </row>
    <row r="50" spans="2:33" ht="30">
      <c r="B50" s="157">
        <v>46</v>
      </c>
      <c r="C50" s="786"/>
      <c r="D50" s="189"/>
      <c r="E50" s="189"/>
      <c r="F50" s="189"/>
      <c r="G50" s="189"/>
      <c r="H50" s="189"/>
      <c r="I50" s="189"/>
      <c r="J50" s="133"/>
      <c r="K50" s="133"/>
      <c r="L50" s="146"/>
      <c r="M50" s="386"/>
      <c r="N50" s="110"/>
      <c r="O50" s="110"/>
      <c r="P50" s="110"/>
      <c r="Q50" s="171"/>
      <c r="R50" s="133"/>
      <c r="S50" s="145"/>
      <c r="T50" s="110"/>
      <c r="U50" s="110"/>
      <c r="V50" s="133"/>
      <c r="W50" s="171" t="s">
        <v>391</v>
      </c>
      <c r="X50" s="133" t="s">
        <v>343</v>
      </c>
      <c r="Y50" s="146">
        <v>1</v>
      </c>
      <c r="Z50" s="806"/>
      <c r="AA50" s="808"/>
      <c r="AB50" s="808"/>
      <c r="AC50" s="314"/>
      <c r="AD50" s="166"/>
      <c r="AE50" s="135"/>
    </row>
    <row r="51" spans="2:33" ht="30">
      <c r="B51" s="157">
        <v>47</v>
      </c>
      <c r="C51" s="786"/>
      <c r="D51" s="189"/>
      <c r="E51" s="189"/>
      <c r="F51" s="189"/>
      <c r="G51" s="189"/>
      <c r="H51" s="189"/>
      <c r="I51" s="189"/>
      <c r="J51" s="133"/>
      <c r="K51" s="133"/>
      <c r="L51" s="146"/>
      <c r="M51" s="386"/>
      <c r="N51" s="110"/>
      <c r="O51" s="110"/>
      <c r="P51" s="110"/>
      <c r="Q51" s="171"/>
      <c r="R51" s="133"/>
      <c r="S51" s="145"/>
      <c r="T51" s="110"/>
      <c r="U51" s="110"/>
      <c r="V51" s="133"/>
      <c r="W51" s="171" t="s">
        <v>392</v>
      </c>
      <c r="X51" s="133" t="s">
        <v>343</v>
      </c>
      <c r="Y51" s="146">
        <v>1</v>
      </c>
      <c r="Z51" s="806"/>
      <c r="AA51" s="808"/>
      <c r="AB51" s="808"/>
      <c r="AC51" s="314"/>
      <c r="AD51" s="166"/>
      <c r="AE51" s="135"/>
    </row>
    <row r="52" spans="2:33" ht="60">
      <c r="B52" s="157">
        <v>48</v>
      </c>
      <c r="C52" s="786"/>
      <c r="D52" s="189"/>
      <c r="E52" s="189"/>
      <c r="F52" s="189"/>
      <c r="G52" s="189"/>
      <c r="H52" s="189"/>
      <c r="I52" s="189"/>
      <c r="J52" s="133"/>
      <c r="K52" s="133"/>
      <c r="L52" s="146"/>
      <c r="M52" s="386"/>
      <c r="N52" s="110"/>
      <c r="O52" s="110"/>
      <c r="P52" s="110"/>
      <c r="Q52" s="171"/>
      <c r="R52" s="133"/>
      <c r="S52" s="145"/>
      <c r="T52" s="110"/>
      <c r="U52" s="110"/>
      <c r="V52" s="133"/>
      <c r="W52" s="171" t="s">
        <v>393</v>
      </c>
      <c r="X52" s="133" t="s">
        <v>343</v>
      </c>
      <c r="Y52" s="146">
        <v>1</v>
      </c>
      <c r="Z52" s="806"/>
      <c r="AA52" s="808"/>
      <c r="AB52" s="808"/>
      <c r="AC52" s="314"/>
      <c r="AD52" s="166"/>
      <c r="AE52" s="135"/>
    </row>
    <row r="53" spans="2:33" ht="180">
      <c r="B53" s="157">
        <v>49</v>
      </c>
      <c r="C53" s="786"/>
      <c r="D53" s="189"/>
      <c r="E53" s="189"/>
      <c r="F53" s="189"/>
      <c r="G53" s="189"/>
      <c r="H53" s="189"/>
      <c r="I53" s="189"/>
      <c r="J53" s="133"/>
      <c r="K53" s="133"/>
      <c r="L53" s="146"/>
      <c r="M53" s="386"/>
      <c r="N53" s="110"/>
      <c r="O53" s="110"/>
      <c r="P53" s="110"/>
      <c r="Q53" s="171"/>
      <c r="R53" s="133"/>
      <c r="S53" s="145"/>
      <c r="T53" s="110"/>
      <c r="U53" s="110"/>
      <c r="V53" s="133"/>
      <c r="W53" s="171" t="s">
        <v>394</v>
      </c>
      <c r="X53" s="133" t="s">
        <v>343</v>
      </c>
      <c r="Y53" s="146">
        <v>8</v>
      </c>
      <c r="Z53" s="192">
        <v>29530</v>
      </c>
      <c r="AA53" s="190">
        <f>Z53*AG3</f>
        <v>696908000</v>
      </c>
      <c r="AB53" s="190">
        <f>Y53*AA53</f>
        <v>5575264000</v>
      </c>
      <c r="AC53" s="314"/>
      <c r="AD53" s="166"/>
      <c r="AE53" s="135"/>
    </row>
    <row r="54" spans="2:33" ht="150">
      <c r="B54" s="157">
        <v>50</v>
      </c>
      <c r="C54" s="786"/>
      <c r="D54" s="189"/>
      <c r="E54" s="189"/>
      <c r="F54" s="189"/>
      <c r="G54" s="189"/>
      <c r="H54" s="189"/>
      <c r="I54" s="189"/>
      <c r="J54" s="133"/>
      <c r="K54" s="133"/>
      <c r="L54" s="146"/>
      <c r="M54" s="386"/>
      <c r="N54" s="110"/>
      <c r="O54" s="110"/>
      <c r="P54" s="110"/>
      <c r="Q54" s="171"/>
      <c r="R54" s="133"/>
      <c r="S54" s="145"/>
      <c r="T54" s="110"/>
      <c r="U54" s="110"/>
      <c r="V54" s="133"/>
      <c r="W54" s="171" t="s">
        <v>395</v>
      </c>
      <c r="X54" s="133" t="s">
        <v>343</v>
      </c>
      <c r="Y54" s="146">
        <v>3</v>
      </c>
      <c r="Z54" s="192">
        <v>27206</v>
      </c>
      <c r="AA54" s="190">
        <f>Z54*AG3</f>
        <v>642061600</v>
      </c>
      <c r="AB54" s="190">
        <f>Y54*AA54</f>
        <v>1926184800</v>
      </c>
      <c r="AC54" s="314"/>
      <c r="AD54" s="166"/>
      <c r="AE54" s="135"/>
    </row>
    <row r="55" spans="2:33">
      <c r="B55" s="158"/>
    </row>
    <row r="56" spans="2:33" ht="15" customHeight="1">
      <c r="B56" s="805" t="s">
        <v>383</v>
      </c>
      <c r="C56" s="805"/>
      <c r="D56" s="805"/>
      <c r="E56" s="805"/>
      <c r="F56" s="805"/>
      <c r="G56" s="805"/>
      <c r="H56" s="805"/>
      <c r="I56" s="805"/>
      <c r="J56" s="805"/>
      <c r="K56" s="805"/>
      <c r="L56" s="805"/>
      <c r="M56" s="805"/>
      <c r="N56" s="805"/>
      <c r="O56" s="805"/>
      <c r="P56" s="805"/>
      <c r="Q56" s="805"/>
      <c r="R56" s="805"/>
      <c r="S56" s="805"/>
      <c r="T56" s="805"/>
      <c r="U56" s="805"/>
      <c r="V56" s="805"/>
      <c r="W56" s="805"/>
      <c r="X56" s="805"/>
      <c r="Y56" s="805"/>
      <c r="Z56" s="805"/>
      <c r="AA56" s="805"/>
      <c r="AB56" s="805"/>
      <c r="AC56" s="391"/>
      <c r="AD56" s="187"/>
      <c r="AE56" s="187"/>
    </row>
    <row r="57" spans="2:33" ht="15" customHeight="1">
      <c r="B57" s="805"/>
      <c r="C57" s="805"/>
      <c r="D57" s="805"/>
      <c r="E57" s="805"/>
      <c r="F57" s="805"/>
      <c r="G57" s="805"/>
      <c r="H57" s="805"/>
      <c r="I57" s="805"/>
      <c r="J57" s="805"/>
      <c r="K57" s="805"/>
      <c r="L57" s="805"/>
      <c r="M57" s="805"/>
      <c r="N57" s="805"/>
      <c r="O57" s="805"/>
      <c r="P57" s="805"/>
      <c r="Q57" s="805"/>
      <c r="R57" s="805"/>
      <c r="S57" s="805"/>
      <c r="T57" s="805"/>
      <c r="U57" s="805"/>
      <c r="V57" s="805"/>
      <c r="W57" s="805"/>
      <c r="X57" s="805"/>
      <c r="Y57" s="805"/>
      <c r="Z57" s="805"/>
      <c r="AA57" s="805"/>
      <c r="AB57" s="805"/>
      <c r="AC57" s="391"/>
      <c r="AD57" s="187"/>
      <c r="AE57" s="187"/>
    </row>
    <row r="58" spans="2:33" ht="19.5" customHeight="1">
      <c r="B58" s="783" t="s">
        <v>7</v>
      </c>
      <c r="C58" s="798" t="s">
        <v>245</v>
      </c>
      <c r="D58" s="799" t="s">
        <v>246</v>
      </c>
      <c r="E58" s="799"/>
      <c r="F58" s="799"/>
      <c r="G58" s="799"/>
      <c r="H58" s="799"/>
      <c r="I58" s="784" t="s">
        <v>247</v>
      </c>
      <c r="J58" s="796" t="s">
        <v>248</v>
      </c>
      <c r="K58" s="796"/>
      <c r="L58" s="796"/>
      <c r="M58" s="796"/>
      <c r="N58" s="796"/>
      <c r="O58" s="796"/>
      <c r="P58" s="122"/>
      <c r="Q58" s="797" t="s">
        <v>249</v>
      </c>
      <c r="R58" s="797"/>
      <c r="S58" s="797"/>
      <c r="T58" s="797"/>
      <c r="U58" s="797"/>
      <c r="V58" s="797"/>
      <c r="W58" s="797"/>
      <c r="X58" s="797"/>
      <c r="Y58" s="797"/>
      <c r="Z58" s="797"/>
      <c r="AA58" s="797"/>
      <c r="AB58" s="797"/>
      <c r="AC58" s="793" t="s">
        <v>258</v>
      </c>
      <c r="AD58" s="116"/>
      <c r="AE58" s="803" t="s">
        <v>253</v>
      </c>
    </row>
    <row r="59" spans="2:33" ht="15.75" customHeight="1">
      <c r="B59" s="783"/>
      <c r="C59" s="798"/>
      <c r="D59" s="799"/>
      <c r="E59" s="799"/>
      <c r="F59" s="799"/>
      <c r="G59" s="799"/>
      <c r="H59" s="799"/>
      <c r="I59" s="784"/>
      <c r="J59" s="796"/>
      <c r="K59" s="796"/>
      <c r="L59" s="796"/>
      <c r="M59" s="796"/>
      <c r="N59" s="796"/>
      <c r="O59" s="796"/>
      <c r="P59" s="122"/>
      <c r="Q59" s="800" t="s">
        <v>312</v>
      </c>
      <c r="R59" s="800"/>
      <c r="S59" s="800"/>
      <c r="T59" s="800"/>
      <c r="U59" s="800"/>
      <c r="V59" s="791" t="s">
        <v>252</v>
      </c>
      <c r="W59" s="801" t="s">
        <v>326</v>
      </c>
      <c r="X59" s="801"/>
      <c r="Y59" s="801"/>
      <c r="Z59" s="801"/>
      <c r="AA59" s="801"/>
      <c r="AB59" s="801"/>
      <c r="AC59" s="794"/>
      <c r="AD59" s="790" t="s">
        <v>252</v>
      </c>
      <c r="AE59" s="803"/>
      <c r="AF59" s="112" t="s">
        <v>316</v>
      </c>
      <c r="AG59" s="112">
        <v>23600</v>
      </c>
    </row>
    <row r="60" spans="2:33" ht="29.25" thickBot="1">
      <c r="B60" s="783"/>
      <c r="C60" s="798"/>
      <c r="D60" s="144" t="s">
        <v>254</v>
      </c>
      <c r="E60" s="144" t="s">
        <v>255</v>
      </c>
      <c r="F60" s="144" t="s">
        <v>256</v>
      </c>
      <c r="G60" s="144" t="s">
        <v>257</v>
      </c>
      <c r="H60" s="144" t="s">
        <v>258</v>
      </c>
      <c r="I60" s="784"/>
      <c r="J60" s="121" t="s">
        <v>259</v>
      </c>
      <c r="K60" s="122" t="s">
        <v>345</v>
      </c>
      <c r="L60" s="149" t="s">
        <v>8</v>
      </c>
      <c r="M60" s="305" t="s">
        <v>337</v>
      </c>
      <c r="N60" s="122" t="s">
        <v>339</v>
      </c>
      <c r="O60" s="122" t="s">
        <v>340</v>
      </c>
      <c r="P60" s="122"/>
      <c r="Q60" s="124" t="s">
        <v>259</v>
      </c>
      <c r="R60" s="124" t="s">
        <v>344</v>
      </c>
      <c r="S60" s="152" t="s">
        <v>8</v>
      </c>
      <c r="T60" s="124" t="s">
        <v>346</v>
      </c>
      <c r="U60" s="123" t="s">
        <v>325</v>
      </c>
      <c r="V60" s="791"/>
      <c r="W60" s="125" t="s">
        <v>259</v>
      </c>
      <c r="X60" s="125" t="s">
        <v>344</v>
      </c>
      <c r="Y60" s="155" t="s">
        <v>8</v>
      </c>
      <c r="Z60" s="125" t="s">
        <v>337</v>
      </c>
      <c r="AA60" s="125" t="s">
        <v>341</v>
      </c>
      <c r="AB60" s="125" t="s">
        <v>315</v>
      </c>
      <c r="AC60" s="795"/>
      <c r="AD60" s="790"/>
      <c r="AE60" s="804"/>
      <c r="AF60" s="112" t="s">
        <v>317</v>
      </c>
      <c r="AG60" s="112">
        <v>26650</v>
      </c>
    </row>
    <row r="61" spans="2:33" ht="33" customHeight="1">
      <c r="B61" s="789" t="s">
        <v>629</v>
      </c>
      <c r="C61" s="789"/>
      <c r="D61" s="789"/>
      <c r="E61" s="789"/>
      <c r="F61" s="789"/>
      <c r="G61" s="789"/>
      <c r="H61" s="789"/>
      <c r="I61" s="789"/>
      <c r="J61" s="398"/>
      <c r="K61" s="398"/>
      <c r="L61" s="398"/>
      <c r="M61" s="398"/>
      <c r="N61" s="398"/>
      <c r="O61" s="140">
        <f>SUM(O62:O69)</f>
        <v>43585450000</v>
      </c>
      <c r="P61" s="398">
        <f>SUM(P62:P69)</f>
        <v>0</v>
      </c>
      <c r="Q61" s="398"/>
      <c r="R61" s="398"/>
      <c r="S61" s="398"/>
      <c r="T61" s="398"/>
      <c r="U61" s="140">
        <f>U69</f>
        <v>4950283760</v>
      </c>
      <c r="V61" s="398">
        <f>SUM(V62:V69)</f>
        <v>0</v>
      </c>
      <c r="W61" s="398"/>
      <c r="X61" s="398"/>
      <c r="Y61" s="398"/>
      <c r="Z61" s="398"/>
      <c r="AA61" s="398"/>
      <c r="AB61" s="140">
        <f>SUM(AB62:AB69)</f>
        <v>8002210637.1999998</v>
      </c>
      <c r="AC61" s="140">
        <f t="shared" ref="AC61" si="5">SUM(O61:AB61)</f>
        <v>56537944397.199997</v>
      </c>
      <c r="AD61" s="308"/>
      <c r="AE61" s="315"/>
    </row>
    <row r="62" spans="2:33" ht="15" customHeight="1">
      <c r="B62" s="788">
        <v>1</v>
      </c>
      <c r="C62" s="785" t="s">
        <v>330</v>
      </c>
      <c r="D62" s="787">
        <v>1</v>
      </c>
      <c r="E62" s="787">
        <v>1</v>
      </c>
      <c r="F62" s="787"/>
      <c r="G62" s="787">
        <v>1</v>
      </c>
      <c r="H62" s="787">
        <v>3</v>
      </c>
      <c r="I62" s="787">
        <v>0</v>
      </c>
      <c r="J62" s="126" t="str">
        <f t="shared" ref="J62:L63" si="6">J5</f>
        <v>N9020A</v>
      </c>
      <c r="K62" s="126" t="str">
        <f t="shared" si="6"/>
        <v>Keysight</v>
      </c>
      <c r="L62" s="150">
        <f t="shared" si="6"/>
        <v>1</v>
      </c>
      <c r="M62" s="388"/>
      <c r="N62" s="111">
        <f>N5</f>
        <v>988974000</v>
      </c>
      <c r="O62" s="111">
        <f>O5</f>
        <v>988974000</v>
      </c>
      <c r="P62" s="111"/>
      <c r="Q62" s="137"/>
      <c r="R62" s="128"/>
      <c r="S62" s="145"/>
      <c r="T62" s="110"/>
      <c r="U62" s="110"/>
      <c r="V62" s="128" t="str">
        <f>V5</f>
        <v xml:space="preserve">+ HW upgrade_N9020AK-MTP_Multi-touch User Interface
+ FW_upgrade_N9085EM0E_Ứng dụng đo kiểm 5G NR
+ Support: R-Y5C-001-A, R-Y5C-001-L : 12 tháng hỗ trợ </v>
      </c>
      <c r="W62" s="137"/>
      <c r="X62" s="128"/>
      <c r="Y62" s="145"/>
      <c r="Z62" s="128"/>
      <c r="AA62" s="110"/>
      <c r="AB62" s="110"/>
      <c r="AC62" s="320"/>
      <c r="AD62" s="129"/>
    </row>
    <row r="63" spans="2:33" ht="15" customHeight="1">
      <c r="B63" s="788"/>
      <c r="C63" s="785"/>
      <c r="D63" s="787"/>
      <c r="E63" s="787"/>
      <c r="F63" s="787"/>
      <c r="G63" s="787"/>
      <c r="H63" s="787"/>
      <c r="I63" s="787"/>
      <c r="J63" s="126" t="str">
        <f t="shared" si="6"/>
        <v xml:space="preserve">RX MIMO </v>
      </c>
      <c r="K63" s="126" t="str">
        <f t="shared" si="6"/>
        <v>Keysight</v>
      </c>
      <c r="L63" s="150">
        <f t="shared" si="6"/>
        <v>1</v>
      </c>
      <c r="M63" s="388"/>
      <c r="N63" s="111">
        <f>N6</f>
        <v>8742963500</v>
      </c>
      <c r="O63" s="111">
        <f>O6</f>
        <v>8742963500</v>
      </c>
      <c r="P63" s="111"/>
      <c r="Q63" s="137"/>
      <c r="R63" s="128"/>
      <c r="S63" s="145"/>
      <c r="T63" s="110"/>
      <c r="U63" s="110"/>
      <c r="V63" s="128" t="str">
        <f>V6</f>
        <v>(Software update only, hardware is not updatable)</v>
      </c>
      <c r="W63" s="137"/>
      <c r="X63" s="128"/>
      <c r="Y63" s="145"/>
      <c r="Z63" s="128"/>
      <c r="AA63" s="110"/>
      <c r="AB63" s="110"/>
      <c r="AC63" s="320"/>
      <c r="AD63" s="129"/>
    </row>
    <row r="64" spans="2:33" ht="15" customHeight="1">
      <c r="B64" s="307"/>
      <c r="C64" s="306"/>
      <c r="D64" s="302"/>
      <c r="E64" s="302"/>
      <c r="F64" s="302"/>
      <c r="G64" s="302"/>
      <c r="H64" s="302"/>
      <c r="I64" s="302"/>
      <c r="J64" s="126"/>
      <c r="K64" s="126"/>
      <c r="L64" s="150"/>
      <c r="M64" s="388"/>
      <c r="N64" s="111"/>
      <c r="O64" s="111"/>
      <c r="P64" s="111"/>
      <c r="Q64" s="310" t="str">
        <f>Q7</f>
        <v>N9030</v>
      </c>
      <c r="R64" s="403" t="str">
        <f t="shared" ref="R64:U64" si="7">R7</f>
        <v>Keysight</v>
      </c>
      <c r="S64" s="404">
        <f t="shared" si="7"/>
        <v>1</v>
      </c>
      <c r="T64" s="404">
        <f t="shared" si="7"/>
        <v>4347661560</v>
      </c>
      <c r="U64" s="110">
        <f t="shared" si="7"/>
        <v>4347661560</v>
      </c>
      <c r="V64" s="309"/>
      <c r="W64" s="310" t="s">
        <v>625</v>
      </c>
      <c r="X64" s="309" t="s">
        <v>343</v>
      </c>
      <c r="Y64" s="302">
        <v>1</v>
      </c>
      <c r="Z64" s="110">
        <v>164146</v>
      </c>
      <c r="AA64" s="110">
        <v>4374490900</v>
      </c>
      <c r="AB64" s="110">
        <v>4374490900</v>
      </c>
      <c r="AC64" s="320"/>
      <c r="AD64" s="129"/>
    </row>
    <row r="65" spans="2:33" ht="30">
      <c r="B65" s="788">
        <v>2</v>
      </c>
      <c r="C65" s="785" t="s">
        <v>329</v>
      </c>
      <c r="D65" s="786">
        <v>2</v>
      </c>
      <c r="E65" s="786">
        <v>2</v>
      </c>
      <c r="F65" s="786">
        <v>1</v>
      </c>
      <c r="G65" s="786">
        <v>2</v>
      </c>
      <c r="H65" s="786">
        <v>7</v>
      </c>
      <c r="I65" s="786">
        <v>0</v>
      </c>
      <c r="J65" s="131" t="str">
        <f t="shared" ref="J65:L66" si="8">J8</f>
        <v>N5182B VSG</v>
      </c>
      <c r="K65" s="131" t="str">
        <f t="shared" si="8"/>
        <v>Keysight</v>
      </c>
      <c r="L65" s="150">
        <f t="shared" si="8"/>
        <v>5</v>
      </c>
      <c r="M65" s="388"/>
      <c r="N65" s="111">
        <f>N8</f>
        <v>1799959000</v>
      </c>
      <c r="O65" s="111">
        <f>O8</f>
        <v>8999795000</v>
      </c>
      <c r="P65" s="111"/>
      <c r="Q65" s="170"/>
      <c r="R65" s="130"/>
      <c r="S65" s="145"/>
      <c r="T65" s="110"/>
      <c r="U65" s="110"/>
      <c r="V65" s="128"/>
      <c r="W65" s="137"/>
      <c r="X65" s="128"/>
      <c r="Y65" s="145"/>
      <c r="Z65" s="128"/>
      <c r="AA65" s="110"/>
      <c r="AB65" s="110"/>
      <c r="AC65" s="320"/>
      <c r="AD65" s="129"/>
    </row>
    <row r="66" spans="2:33" ht="15" customHeight="1">
      <c r="B66" s="788"/>
      <c r="C66" s="785"/>
      <c r="D66" s="786"/>
      <c r="E66" s="786"/>
      <c r="F66" s="786"/>
      <c r="G66" s="786"/>
      <c r="H66" s="786"/>
      <c r="I66" s="786"/>
      <c r="J66" s="126" t="str">
        <f t="shared" si="8"/>
        <v>TX MIMO</v>
      </c>
      <c r="K66" s="126" t="str">
        <f t="shared" si="8"/>
        <v>Keysight</v>
      </c>
      <c r="L66" s="150">
        <f t="shared" si="8"/>
        <v>1</v>
      </c>
      <c r="M66" s="388"/>
      <c r="N66" s="111">
        <f>N9</f>
        <v>24853717500</v>
      </c>
      <c r="O66" s="111">
        <f>O9</f>
        <v>24853717500</v>
      </c>
      <c r="P66" s="111"/>
      <c r="Q66" s="170"/>
      <c r="R66" s="130"/>
      <c r="S66" s="145"/>
      <c r="T66" s="110"/>
      <c r="U66" s="110"/>
      <c r="V66" s="128"/>
      <c r="W66" s="137"/>
      <c r="X66" s="128"/>
      <c r="Y66" s="145"/>
      <c r="Z66" s="128"/>
      <c r="AA66" s="110"/>
      <c r="AB66" s="110"/>
      <c r="AC66" s="320"/>
      <c r="AD66" s="129"/>
    </row>
    <row r="67" spans="2:33" ht="15" customHeight="1">
      <c r="B67" s="788"/>
      <c r="C67" s="785"/>
      <c r="D67" s="786"/>
      <c r="E67" s="786"/>
      <c r="F67" s="786"/>
      <c r="G67" s="786"/>
      <c r="H67" s="786"/>
      <c r="I67" s="786"/>
      <c r="J67" s="318"/>
      <c r="K67" s="318"/>
      <c r="L67" s="319"/>
      <c r="M67" s="320"/>
      <c r="N67" s="320"/>
      <c r="O67" s="320"/>
      <c r="P67" s="111"/>
      <c r="Q67" s="170"/>
      <c r="R67" s="130"/>
      <c r="S67" s="145"/>
      <c r="T67" s="110"/>
      <c r="U67" s="110"/>
      <c r="V67" s="128"/>
      <c r="W67" s="137"/>
      <c r="X67" s="128"/>
      <c r="Y67" s="145"/>
      <c r="Z67" s="128"/>
      <c r="AA67" s="110"/>
      <c r="AB67" s="110"/>
      <c r="AC67" s="320"/>
      <c r="AD67" s="129"/>
    </row>
    <row r="68" spans="2:33">
      <c r="B68" s="157">
        <v>3</v>
      </c>
      <c r="C68" s="132" t="s">
        <v>331</v>
      </c>
      <c r="D68" s="145">
        <v>0</v>
      </c>
      <c r="E68" s="145">
        <v>0</v>
      </c>
      <c r="F68" s="145">
        <v>6</v>
      </c>
      <c r="G68" s="145">
        <v>0</v>
      </c>
      <c r="H68" s="145">
        <v>6</v>
      </c>
      <c r="I68" s="145">
        <v>2</v>
      </c>
      <c r="J68" s="318"/>
      <c r="K68" s="318"/>
      <c r="L68" s="319"/>
      <c r="M68" s="389"/>
      <c r="N68" s="320"/>
      <c r="O68" s="320"/>
      <c r="P68" s="110"/>
      <c r="Q68" s="170" t="str">
        <f t="shared" ref="Q68:AB68" si="9">Q11</f>
        <v>N5172B</v>
      </c>
      <c r="R68" s="130" t="str">
        <f t="shared" si="9"/>
        <v>Keysight</v>
      </c>
      <c r="S68" s="145">
        <f t="shared" si="9"/>
        <v>4</v>
      </c>
      <c r="T68" s="110">
        <f t="shared" si="9"/>
        <v>1825057000</v>
      </c>
      <c r="U68" s="110">
        <f t="shared" si="9"/>
        <v>7300228000</v>
      </c>
      <c r="V68" s="128" t="str">
        <f t="shared" si="9"/>
        <v>+ Tạo tín hiệu RF:  SGMA Vector RF Source, 3 GHz RF and baseband HW included
+ Mở rộng tần số: 6GHz (SL)
+ Tín hiệu tham chiếu: Reference oscillator OCXO (HW opt)
+ Digital baseband connectivity (SL)</v>
      </c>
      <c r="W68" s="191" t="str">
        <f t="shared" si="9"/>
        <v>SGT100A</v>
      </c>
      <c r="X68" s="127" t="str">
        <f t="shared" si="9"/>
        <v>R&amp;S</v>
      </c>
      <c r="Y68" s="150">
        <f t="shared" si="9"/>
        <v>4</v>
      </c>
      <c r="Z68" s="127">
        <f t="shared" si="9"/>
        <v>34031.142</v>
      </c>
      <c r="AA68" s="111">
        <f t="shared" si="9"/>
        <v>906929934.29999995</v>
      </c>
      <c r="AB68" s="111">
        <f t="shared" si="9"/>
        <v>3627719737.1999998</v>
      </c>
      <c r="AC68" s="320"/>
      <c r="AD68" s="129"/>
    </row>
    <row r="69" spans="2:33" ht="120">
      <c r="B69" s="157">
        <v>4</v>
      </c>
      <c r="C69" s="132" t="s">
        <v>332</v>
      </c>
      <c r="D69" s="145">
        <f t="shared" ref="D69:I69" si="10">SUM(D12:D31)</f>
        <v>94</v>
      </c>
      <c r="E69" s="145">
        <f t="shared" si="10"/>
        <v>83</v>
      </c>
      <c r="F69" s="145">
        <f t="shared" si="10"/>
        <v>37</v>
      </c>
      <c r="G69" s="145">
        <f t="shared" si="10"/>
        <v>83</v>
      </c>
      <c r="H69" s="145">
        <f t="shared" si="10"/>
        <v>297</v>
      </c>
      <c r="I69" s="145">
        <f t="shared" si="10"/>
        <v>3</v>
      </c>
      <c r="J69" s="132"/>
      <c r="K69" s="132"/>
      <c r="L69" s="145"/>
      <c r="M69" s="386"/>
      <c r="N69" s="110"/>
      <c r="O69" s="110"/>
      <c r="P69" s="110"/>
      <c r="Q69" s="131" t="s">
        <v>334</v>
      </c>
      <c r="R69" s="131"/>
      <c r="S69" s="150">
        <f>SUM(S12:S31)</f>
        <v>294</v>
      </c>
      <c r="T69" s="111"/>
      <c r="U69" s="111">
        <f>SUM(U12:U31)</f>
        <v>4950283760</v>
      </c>
      <c r="V69" s="135"/>
      <c r="W69" s="171"/>
      <c r="X69" s="133"/>
      <c r="Y69" s="145"/>
      <c r="Z69" s="134"/>
      <c r="AA69" s="110"/>
      <c r="AB69" s="110"/>
      <c r="AC69" s="320"/>
      <c r="AD69" s="129"/>
    </row>
    <row r="70" spans="2:33" ht="18.75" customHeight="1">
      <c r="B70" s="815" t="s">
        <v>630</v>
      </c>
      <c r="C70" s="815"/>
      <c r="D70" s="815"/>
      <c r="E70" s="815"/>
      <c r="F70" s="815"/>
      <c r="G70" s="815"/>
      <c r="H70" s="815"/>
      <c r="I70" s="815"/>
      <c r="J70" s="397"/>
      <c r="K70" s="397"/>
      <c r="L70" s="397"/>
      <c r="M70" s="397"/>
      <c r="N70" s="397"/>
      <c r="O70" s="140"/>
      <c r="P70" s="140">
        <f t="shared" ref="P70:AB70" si="11">SUM(P71:P72)</f>
        <v>0</v>
      </c>
      <c r="Q70" s="140"/>
      <c r="R70" s="140"/>
      <c r="S70" s="140"/>
      <c r="T70" s="140"/>
      <c r="U70" s="140">
        <f t="shared" si="11"/>
        <v>39560947368.421013</v>
      </c>
      <c r="V70" s="140">
        <f t="shared" si="11"/>
        <v>0</v>
      </c>
      <c r="W70" s="140"/>
      <c r="X70" s="140"/>
      <c r="Y70" s="140"/>
      <c r="Z70" s="140"/>
      <c r="AA70" s="140"/>
      <c r="AB70" s="140">
        <f t="shared" si="11"/>
        <v>0</v>
      </c>
      <c r="AC70" s="140">
        <f>SUM(O70:AB70)</f>
        <v>39560947368.421013</v>
      </c>
      <c r="AD70" s="129"/>
    </row>
    <row r="71" spans="2:33" ht="51" customHeight="1">
      <c r="B71" s="157">
        <v>5</v>
      </c>
      <c r="C71" s="132" t="s">
        <v>347</v>
      </c>
      <c r="D71" s="787">
        <v>1</v>
      </c>
      <c r="E71" s="787"/>
      <c r="F71" s="787"/>
      <c r="G71" s="787"/>
      <c r="H71" s="146">
        <v>1</v>
      </c>
      <c r="I71" s="145">
        <v>0</v>
      </c>
      <c r="J71" s="132"/>
      <c r="K71" s="132"/>
      <c r="L71" s="145"/>
      <c r="M71" s="386"/>
      <c r="N71" s="110"/>
      <c r="O71" s="110"/>
      <c r="P71" s="110"/>
      <c r="Q71" s="131" t="str">
        <f>Q32</f>
        <v>TM500- VIAVI</v>
      </c>
      <c r="R71" s="131" t="str">
        <f>R32</f>
        <v>VIAVI</v>
      </c>
      <c r="S71" s="153">
        <f t="shared" ref="S71:U72" si="12">S32</f>
        <v>1</v>
      </c>
      <c r="T71" s="111">
        <f t="shared" si="12"/>
        <v>35563157894.736801</v>
      </c>
      <c r="U71" s="111">
        <f t="shared" si="12"/>
        <v>35563157894.736801</v>
      </c>
      <c r="V71" s="135"/>
      <c r="W71" s="171"/>
      <c r="X71" s="133"/>
      <c r="Y71" s="145"/>
      <c r="Z71" s="134"/>
      <c r="AA71" s="110"/>
      <c r="AB71" s="110"/>
      <c r="AC71" s="110"/>
      <c r="AD71" s="129"/>
    </row>
    <row r="72" spans="2:33" ht="49.5" customHeight="1">
      <c r="B72" s="157">
        <v>6</v>
      </c>
      <c r="C72" s="132" t="s">
        <v>348</v>
      </c>
      <c r="D72" s="787">
        <v>1</v>
      </c>
      <c r="E72" s="787"/>
      <c r="F72" s="787"/>
      <c r="G72" s="787"/>
      <c r="H72" s="146">
        <v>1</v>
      </c>
      <c r="I72" s="145">
        <v>0</v>
      </c>
      <c r="J72" s="132"/>
      <c r="K72" s="132"/>
      <c r="L72" s="145"/>
      <c r="M72" s="386"/>
      <c r="N72" s="110"/>
      <c r="O72" s="110"/>
      <c r="P72" s="110"/>
      <c r="Q72" s="131" t="str">
        <f>Q33</f>
        <v>Polaris</v>
      </c>
      <c r="R72" s="131" t="str">
        <f>R33</f>
        <v>Polaris</v>
      </c>
      <c r="S72" s="153">
        <f t="shared" si="12"/>
        <v>1</v>
      </c>
      <c r="T72" s="111">
        <f t="shared" si="12"/>
        <v>3997789473.6842098</v>
      </c>
      <c r="U72" s="111">
        <f t="shared" si="12"/>
        <v>3997789473.6842098</v>
      </c>
      <c r="V72" s="135"/>
      <c r="W72" s="171"/>
      <c r="X72" s="133"/>
      <c r="Y72" s="145"/>
      <c r="Z72" s="134"/>
      <c r="AA72" s="110"/>
      <c r="AB72" s="110"/>
      <c r="AC72" s="110"/>
      <c r="AD72" s="129"/>
    </row>
    <row r="73" spans="2:33">
      <c r="B73" s="816" t="s">
        <v>545</v>
      </c>
      <c r="C73" s="816"/>
      <c r="D73" s="399"/>
      <c r="E73" s="400"/>
      <c r="F73" s="400"/>
      <c r="G73" s="400"/>
      <c r="H73" s="400"/>
      <c r="I73" s="400"/>
      <c r="J73" s="400"/>
      <c r="K73" s="400"/>
      <c r="L73" s="400"/>
      <c r="M73" s="400"/>
      <c r="N73" s="400"/>
      <c r="O73" s="400"/>
      <c r="P73" s="400"/>
      <c r="Q73" s="400"/>
      <c r="R73" s="400"/>
      <c r="S73" s="400"/>
      <c r="T73" s="400"/>
      <c r="U73" s="400"/>
      <c r="V73" s="400"/>
      <c r="W73" s="400"/>
      <c r="X73" s="400"/>
      <c r="Y73" s="400"/>
      <c r="Z73" s="400"/>
      <c r="AA73" s="400"/>
      <c r="AB73" s="401"/>
      <c r="AC73" s="303">
        <f>SUM(AC70,AC61)</f>
        <v>96098891765.621002</v>
      </c>
      <c r="AD73" s="129"/>
    </row>
    <row r="74" spans="2:33" s="317" customFormat="1" ht="22.5" customHeight="1">
      <c r="B74" s="813" t="s">
        <v>546</v>
      </c>
      <c r="C74" s="814"/>
      <c r="D74" s="399"/>
      <c r="E74" s="400"/>
      <c r="F74" s="400"/>
      <c r="G74" s="400"/>
      <c r="H74" s="400"/>
      <c r="I74" s="400"/>
      <c r="J74" s="400"/>
      <c r="K74" s="400"/>
      <c r="L74" s="400"/>
      <c r="M74" s="400"/>
      <c r="N74" s="400"/>
      <c r="O74" s="400"/>
      <c r="P74" s="400"/>
      <c r="Q74" s="400"/>
      <c r="R74" s="400"/>
      <c r="S74" s="400"/>
      <c r="T74" s="400"/>
      <c r="U74" s="400"/>
      <c r="V74" s="400"/>
      <c r="W74" s="400"/>
      <c r="X74" s="400"/>
      <c r="Y74" s="400"/>
      <c r="Z74" s="400"/>
      <c r="AA74" s="400"/>
      <c r="AB74" s="401"/>
      <c r="AC74" s="402">
        <f>AC73*1.1</f>
        <v>105708780942.18311</v>
      </c>
    </row>
    <row r="75" spans="2:33">
      <c r="B75" s="158"/>
      <c r="C75" s="181"/>
    </row>
    <row r="76" spans="2:33" ht="15" customHeight="1">
      <c r="B76" s="805" t="s">
        <v>384</v>
      </c>
      <c r="C76" s="805"/>
      <c r="D76" s="805"/>
      <c r="E76" s="805"/>
      <c r="F76" s="805"/>
      <c r="G76" s="805"/>
      <c r="H76" s="805"/>
      <c r="I76" s="805"/>
      <c r="J76" s="805"/>
      <c r="K76" s="805"/>
      <c r="L76" s="805"/>
      <c r="M76" s="805"/>
      <c r="N76" s="805"/>
      <c r="O76" s="805"/>
      <c r="P76" s="805"/>
      <c r="Q76" s="805"/>
      <c r="R76" s="805"/>
      <c r="S76" s="805"/>
      <c r="T76" s="805"/>
      <c r="U76" s="805"/>
      <c r="V76" s="805"/>
      <c r="W76" s="805"/>
      <c r="X76" s="805"/>
      <c r="Y76" s="805"/>
      <c r="Z76" s="805"/>
      <c r="AA76" s="805"/>
      <c r="AB76" s="805"/>
      <c r="AC76" s="392"/>
      <c r="AD76" s="300"/>
      <c r="AE76" s="187"/>
    </row>
    <row r="77" spans="2:33" ht="15" customHeight="1">
      <c r="B77" s="805"/>
      <c r="C77" s="805"/>
      <c r="D77" s="805"/>
      <c r="E77" s="805"/>
      <c r="F77" s="805"/>
      <c r="G77" s="805"/>
      <c r="H77" s="805"/>
      <c r="I77" s="805"/>
      <c r="J77" s="805"/>
      <c r="K77" s="805"/>
      <c r="L77" s="805"/>
      <c r="M77" s="805"/>
      <c r="N77" s="805"/>
      <c r="O77" s="805"/>
      <c r="P77" s="805"/>
      <c r="Q77" s="805"/>
      <c r="R77" s="805"/>
      <c r="S77" s="805"/>
      <c r="T77" s="805"/>
      <c r="U77" s="805"/>
      <c r="V77" s="805"/>
      <c r="W77" s="805"/>
      <c r="X77" s="805"/>
      <c r="Y77" s="805"/>
      <c r="Z77" s="805"/>
      <c r="AA77" s="805"/>
      <c r="AB77" s="805"/>
      <c r="AC77" s="393"/>
      <c r="AD77" s="301"/>
      <c r="AE77" s="187"/>
    </row>
    <row r="78" spans="2:33" ht="19.5" customHeight="1">
      <c r="B78" s="783" t="s">
        <v>7</v>
      </c>
      <c r="C78" s="798" t="s">
        <v>245</v>
      </c>
      <c r="D78" s="799" t="s">
        <v>246</v>
      </c>
      <c r="E78" s="799"/>
      <c r="F78" s="799"/>
      <c r="G78" s="799"/>
      <c r="H78" s="799"/>
      <c r="I78" s="784" t="s">
        <v>247</v>
      </c>
      <c r="J78" s="796" t="s">
        <v>248</v>
      </c>
      <c r="K78" s="796"/>
      <c r="L78" s="796"/>
      <c r="M78" s="796"/>
      <c r="N78" s="796"/>
      <c r="O78" s="796"/>
      <c r="P78" s="122"/>
      <c r="Q78" s="797" t="s">
        <v>249</v>
      </c>
      <c r="R78" s="797"/>
      <c r="S78" s="797"/>
      <c r="T78" s="797"/>
      <c r="U78" s="797"/>
      <c r="V78" s="797"/>
      <c r="W78" s="797"/>
      <c r="X78" s="797"/>
      <c r="Y78" s="797"/>
      <c r="Z78" s="797"/>
      <c r="AA78" s="797"/>
      <c r="AB78" s="797"/>
      <c r="AC78" s="394"/>
      <c r="AD78" s="811" t="s">
        <v>252</v>
      </c>
      <c r="AE78" s="809" t="s">
        <v>253</v>
      </c>
    </row>
    <row r="79" spans="2:33" ht="15.75" customHeight="1">
      <c r="B79" s="783"/>
      <c r="C79" s="798"/>
      <c r="D79" s="799"/>
      <c r="E79" s="799"/>
      <c r="F79" s="799"/>
      <c r="G79" s="799"/>
      <c r="H79" s="799"/>
      <c r="I79" s="784"/>
      <c r="J79" s="796"/>
      <c r="K79" s="796"/>
      <c r="L79" s="796"/>
      <c r="M79" s="796"/>
      <c r="N79" s="796"/>
      <c r="O79" s="796"/>
      <c r="P79" s="122"/>
      <c r="Q79" s="800" t="s">
        <v>312</v>
      </c>
      <c r="R79" s="800"/>
      <c r="S79" s="800"/>
      <c r="T79" s="800"/>
      <c r="U79" s="800"/>
      <c r="V79" s="791" t="s">
        <v>252</v>
      </c>
      <c r="W79" s="801" t="s">
        <v>326</v>
      </c>
      <c r="X79" s="801"/>
      <c r="Y79" s="801"/>
      <c r="Z79" s="801"/>
      <c r="AA79" s="801"/>
      <c r="AB79" s="801"/>
      <c r="AC79" s="395"/>
      <c r="AD79" s="811"/>
      <c r="AE79" s="809"/>
      <c r="AF79" s="112" t="s">
        <v>316</v>
      </c>
      <c r="AG79" s="112">
        <v>23600</v>
      </c>
    </row>
    <row r="80" spans="2:33" ht="29.25" thickBot="1">
      <c r="B80" s="783"/>
      <c r="C80" s="798"/>
      <c r="D80" s="144" t="s">
        <v>254</v>
      </c>
      <c r="E80" s="144" t="s">
        <v>255</v>
      </c>
      <c r="F80" s="144" t="s">
        <v>256</v>
      </c>
      <c r="G80" s="144" t="s">
        <v>257</v>
      </c>
      <c r="H80" s="144" t="s">
        <v>258</v>
      </c>
      <c r="I80" s="784"/>
      <c r="J80" s="121" t="s">
        <v>259</v>
      </c>
      <c r="K80" s="122" t="s">
        <v>345</v>
      </c>
      <c r="L80" s="149" t="s">
        <v>8</v>
      </c>
      <c r="M80" s="305" t="s">
        <v>337</v>
      </c>
      <c r="N80" s="122" t="s">
        <v>339</v>
      </c>
      <c r="O80" s="122" t="s">
        <v>340</v>
      </c>
      <c r="P80" s="122"/>
      <c r="Q80" s="124" t="s">
        <v>259</v>
      </c>
      <c r="R80" s="124" t="s">
        <v>344</v>
      </c>
      <c r="S80" s="152" t="s">
        <v>8</v>
      </c>
      <c r="T80" s="124" t="s">
        <v>346</v>
      </c>
      <c r="U80" s="123" t="s">
        <v>325</v>
      </c>
      <c r="V80" s="791"/>
      <c r="W80" s="125" t="s">
        <v>259</v>
      </c>
      <c r="X80" s="125" t="s">
        <v>344</v>
      </c>
      <c r="Y80" s="155" t="s">
        <v>8</v>
      </c>
      <c r="Z80" s="125" t="s">
        <v>337</v>
      </c>
      <c r="AA80" s="125" t="s">
        <v>341</v>
      </c>
      <c r="AB80" s="125" t="s">
        <v>315</v>
      </c>
      <c r="AC80" s="396"/>
      <c r="AD80" s="812"/>
      <c r="AE80" s="810"/>
      <c r="AF80" s="112" t="s">
        <v>317</v>
      </c>
      <c r="AG80" s="112">
        <v>26650</v>
      </c>
    </row>
    <row r="81" spans="2:30">
      <c r="B81" s="826">
        <v>1</v>
      </c>
      <c r="C81" s="823" t="s">
        <v>397</v>
      </c>
      <c r="D81" s="282"/>
      <c r="E81" s="283"/>
      <c r="F81" s="283"/>
      <c r="G81" s="283"/>
      <c r="H81" s="283"/>
      <c r="I81" s="283"/>
      <c r="J81" s="186"/>
      <c r="K81" s="186"/>
      <c r="L81" s="284"/>
      <c r="M81" s="285"/>
      <c r="N81" s="186"/>
      <c r="O81" s="186"/>
      <c r="P81" s="186"/>
      <c r="Q81" s="185"/>
      <c r="R81" s="186"/>
      <c r="S81" s="284"/>
      <c r="T81" s="285"/>
      <c r="U81" s="286"/>
      <c r="V81" s="129"/>
      <c r="W81" s="185"/>
      <c r="X81" s="186"/>
      <c r="Y81" s="284"/>
      <c r="Z81" s="287">
        <f>Z46</f>
        <v>1950000</v>
      </c>
      <c r="AA81" s="288">
        <f>AA46</f>
        <v>46020000000</v>
      </c>
      <c r="AB81" s="288">
        <f>AB46</f>
        <v>46020000000</v>
      </c>
      <c r="AC81" s="288"/>
      <c r="AD81" s="129"/>
    </row>
    <row r="82" spans="2:30">
      <c r="B82" s="827"/>
      <c r="C82" s="824"/>
      <c r="D82" s="282"/>
      <c r="E82" s="283"/>
      <c r="F82" s="283"/>
      <c r="G82" s="283"/>
      <c r="H82" s="283"/>
      <c r="I82" s="283"/>
      <c r="J82" s="186"/>
      <c r="K82" s="186"/>
      <c r="L82" s="284"/>
      <c r="M82" s="285"/>
      <c r="N82" s="186"/>
      <c r="O82" s="186"/>
      <c r="P82" s="186"/>
      <c r="Q82" s="185"/>
      <c r="R82" s="186"/>
      <c r="S82" s="284"/>
      <c r="T82" s="285"/>
      <c r="U82" s="286"/>
      <c r="V82" s="129"/>
      <c r="W82" s="185"/>
      <c r="X82" s="186"/>
      <c r="Y82" s="284"/>
      <c r="Z82" s="287">
        <f t="shared" ref="Z82:AB83" si="13">Z53</f>
        <v>29530</v>
      </c>
      <c r="AA82" s="288">
        <f t="shared" si="13"/>
        <v>696908000</v>
      </c>
      <c r="AB82" s="288">
        <f t="shared" si="13"/>
        <v>5575264000</v>
      </c>
      <c r="AC82" s="288"/>
      <c r="AD82" s="129"/>
    </row>
    <row r="83" spans="2:30">
      <c r="B83" s="828"/>
      <c r="C83" s="825"/>
      <c r="D83" s="282"/>
      <c r="E83" s="283"/>
      <c r="F83" s="283"/>
      <c r="G83" s="283"/>
      <c r="H83" s="283"/>
      <c r="I83" s="283"/>
      <c r="J83" s="186"/>
      <c r="K83" s="186"/>
      <c r="L83" s="284"/>
      <c r="M83" s="285"/>
      <c r="N83" s="186"/>
      <c r="O83" s="186"/>
      <c r="P83" s="186"/>
      <c r="Q83" s="185"/>
      <c r="R83" s="186"/>
      <c r="S83" s="284"/>
      <c r="T83" s="285"/>
      <c r="U83" s="286"/>
      <c r="V83" s="129"/>
      <c r="W83" s="185"/>
      <c r="X83" s="186"/>
      <c r="Y83" s="284"/>
      <c r="Z83" s="287">
        <f t="shared" si="13"/>
        <v>27206</v>
      </c>
      <c r="AA83" s="288">
        <f t="shared" si="13"/>
        <v>642061600</v>
      </c>
      <c r="AB83" s="288">
        <f t="shared" si="13"/>
        <v>1926184800</v>
      </c>
      <c r="AC83" s="288"/>
      <c r="AD83" s="129"/>
    </row>
    <row r="84" spans="2:30">
      <c r="B84" s="289"/>
      <c r="C84" s="290"/>
      <c r="D84" s="291"/>
      <c r="E84" s="292"/>
      <c r="F84" s="292"/>
      <c r="G84" s="292"/>
      <c r="H84" s="292"/>
      <c r="I84" s="292"/>
      <c r="J84" s="293"/>
      <c r="K84" s="293"/>
      <c r="L84" s="294"/>
      <c r="M84" s="390"/>
      <c r="N84" s="293"/>
      <c r="O84" s="295"/>
      <c r="P84" s="295"/>
      <c r="Q84" s="185"/>
      <c r="R84" s="186"/>
      <c r="S84" s="284"/>
      <c r="T84" s="285"/>
      <c r="U84" s="286"/>
      <c r="V84" s="129"/>
      <c r="W84" s="296"/>
      <c r="X84" s="293"/>
      <c r="Y84" s="294"/>
      <c r="Z84" s="297"/>
      <c r="AA84" s="298"/>
      <c r="AB84" s="299"/>
      <c r="AC84" s="299"/>
      <c r="AD84" s="129"/>
    </row>
    <row r="85" spans="2:30">
      <c r="B85" s="289"/>
      <c r="C85" s="290"/>
      <c r="D85" s="291"/>
      <c r="E85" s="292"/>
      <c r="F85" s="292"/>
      <c r="G85" s="292"/>
      <c r="H85" s="292"/>
      <c r="I85" s="292"/>
      <c r="J85" s="293"/>
      <c r="K85" s="293"/>
      <c r="L85" s="294"/>
      <c r="M85" s="390"/>
      <c r="N85" s="293"/>
      <c r="O85" s="295"/>
      <c r="P85" s="295"/>
      <c r="Q85" s="185"/>
      <c r="R85" s="186"/>
      <c r="S85" s="284"/>
      <c r="T85" s="285"/>
      <c r="U85" s="286"/>
      <c r="V85" s="129"/>
      <c r="W85" s="296"/>
      <c r="X85" s="293"/>
      <c r="Y85" s="294"/>
      <c r="Z85" s="297"/>
      <c r="AA85" s="298"/>
      <c r="AB85" s="299"/>
      <c r="AC85" s="299"/>
      <c r="AD85" s="129"/>
    </row>
    <row r="86" spans="2:30">
      <c r="B86" s="829" t="s">
        <v>352</v>
      </c>
      <c r="C86" s="829"/>
      <c r="D86" s="817"/>
      <c r="E86" s="818"/>
      <c r="F86" s="818"/>
      <c r="G86" s="818"/>
      <c r="H86" s="818"/>
      <c r="I86" s="818"/>
      <c r="J86" s="818"/>
      <c r="K86" s="818"/>
      <c r="L86" s="818"/>
      <c r="M86" s="818"/>
      <c r="N86" s="818"/>
      <c r="O86" s="819"/>
      <c r="P86" s="141"/>
      <c r="Q86" s="184"/>
      <c r="R86" s="138"/>
      <c r="S86" s="154"/>
      <c r="T86" s="109"/>
      <c r="U86" s="109"/>
      <c r="V86" s="139"/>
      <c r="W86" s="817">
        <f>SUM(AB81:AB83)</f>
        <v>53521448800</v>
      </c>
      <c r="X86" s="818"/>
      <c r="Y86" s="818"/>
      <c r="Z86" s="818"/>
      <c r="AA86" s="818"/>
      <c r="AB86" s="819"/>
      <c r="AC86" s="303"/>
      <c r="AD86" s="129"/>
    </row>
    <row r="87" spans="2:30">
      <c r="B87" s="816" t="s">
        <v>258</v>
      </c>
      <c r="C87" s="816"/>
      <c r="D87" s="820">
        <f>SUM(D86,U86,W86)</f>
        <v>53521448800</v>
      </c>
      <c r="E87" s="821"/>
      <c r="F87" s="821"/>
      <c r="G87" s="821"/>
      <c r="H87" s="821"/>
      <c r="I87" s="821"/>
      <c r="J87" s="821"/>
      <c r="K87" s="821"/>
      <c r="L87" s="821"/>
      <c r="M87" s="821"/>
      <c r="N87" s="821"/>
      <c r="O87" s="821"/>
      <c r="P87" s="821"/>
      <c r="Q87" s="821"/>
      <c r="R87" s="821"/>
      <c r="S87" s="821"/>
      <c r="T87" s="821"/>
      <c r="U87" s="821"/>
      <c r="V87" s="821"/>
      <c r="W87" s="821"/>
      <c r="X87" s="821"/>
      <c r="Y87" s="821"/>
      <c r="Z87" s="821"/>
      <c r="AA87" s="821"/>
      <c r="AB87" s="822"/>
      <c r="AC87" s="304"/>
      <c r="AD87" s="129"/>
    </row>
    <row r="88" spans="2:30">
      <c r="B88" s="158"/>
    </row>
    <row r="89" spans="2:30">
      <c r="B89" s="158"/>
    </row>
    <row r="90" spans="2:30">
      <c r="B90" s="158"/>
    </row>
    <row r="91" spans="2:30">
      <c r="B91" s="158"/>
    </row>
    <row r="92" spans="2:30">
      <c r="B92" s="158"/>
    </row>
    <row r="93" spans="2:30">
      <c r="B93" s="158"/>
    </row>
    <row r="94" spans="2:30">
      <c r="B94" s="158"/>
    </row>
    <row r="95" spans="2:30">
      <c r="B95" s="158"/>
    </row>
    <row r="96" spans="2:30">
      <c r="B96" s="158"/>
    </row>
    <row r="97" spans="2:2">
      <c r="B97" s="158"/>
    </row>
    <row r="98" spans="2:2">
      <c r="B98" s="158"/>
    </row>
    <row r="99" spans="2:2">
      <c r="B99" s="158"/>
    </row>
    <row r="100" spans="2:2">
      <c r="B100" s="158"/>
    </row>
    <row r="101" spans="2:2">
      <c r="B101" s="158"/>
    </row>
    <row r="102" spans="2:2">
      <c r="B102" s="158"/>
    </row>
    <row r="103" spans="2:2">
      <c r="B103" s="158"/>
    </row>
    <row r="104" spans="2:2">
      <c r="B104" s="158"/>
    </row>
    <row r="105" spans="2:2">
      <c r="B105" s="158"/>
    </row>
    <row r="106" spans="2:2">
      <c r="B106" s="158"/>
    </row>
    <row r="107" spans="2:2">
      <c r="B107" s="158"/>
    </row>
    <row r="108" spans="2:2">
      <c r="B108" s="158"/>
    </row>
    <row r="109" spans="2:2">
      <c r="B109" s="158"/>
    </row>
    <row r="110" spans="2:2">
      <c r="B110" s="158"/>
    </row>
    <row r="111" spans="2:2">
      <c r="B111" s="158"/>
    </row>
    <row r="112" spans="2:2">
      <c r="B112" s="158"/>
    </row>
    <row r="113" spans="2:2">
      <c r="B113" s="158"/>
    </row>
    <row r="114" spans="2:2">
      <c r="B114" s="158"/>
    </row>
    <row r="115" spans="2:2">
      <c r="B115" s="158"/>
    </row>
    <row r="116" spans="2:2">
      <c r="B116" s="158"/>
    </row>
    <row r="117" spans="2:2">
      <c r="B117" s="158"/>
    </row>
    <row r="118" spans="2:2">
      <c r="B118" s="158"/>
    </row>
    <row r="119" spans="2:2">
      <c r="B119" s="158"/>
    </row>
    <row r="120" spans="2:2">
      <c r="B120" s="158"/>
    </row>
    <row r="121" spans="2:2">
      <c r="B121" s="158"/>
    </row>
    <row r="122" spans="2:2">
      <c r="B122" s="158"/>
    </row>
    <row r="123" spans="2:2">
      <c r="B123" s="158"/>
    </row>
    <row r="124" spans="2:2">
      <c r="B124" s="158"/>
    </row>
    <row r="125" spans="2:2">
      <c r="B125" s="158"/>
    </row>
    <row r="126" spans="2:2">
      <c r="B126" s="158"/>
    </row>
    <row r="127" spans="2:2">
      <c r="B127" s="158"/>
    </row>
    <row r="128" spans="2:2">
      <c r="B128" s="158"/>
    </row>
    <row r="129" spans="2:2">
      <c r="B129" s="158"/>
    </row>
    <row r="130" spans="2:2">
      <c r="B130" s="158"/>
    </row>
    <row r="131" spans="2:2">
      <c r="B131" s="158"/>
    </row>
    <row r="132" spans="2:2">
      <c r="B132" s="158"/>
    </row>
    <row r="133" spans="2:2">
      <c r="B133" s="158"/>
    </row>
    <row r="134" spans="2:2">
      <c r="B134" s="158"/>
    </row>
    <row r="135" spans="2:2">
      <c r="B135" s="158"/>
    </row>
    <row r="136" spans="2:2">
      <c r="B136" s="158"/>
    </row>
    <row r="137" spans="2:2">
      <c r="B137" s="158"/>
    </row>
    <row r="138" spans="2:2">
      <c r="B138" s="158"/>
    </row>
    <row r="139" spans="2:2">
      <c r="B139" s="158"/>
    </row>
    <row r="140" spans="2:2">
      <c r="B140" s="158"/>
    </row>
    <row r="141" spans="2:2">
      <c r="B141" s="158"/>
    </row>
    <row r="142" spans="2:2">
      <c r="B142" s="158"/>
    </row>
    <row r="143" spans="2:2">
      <c r="B143" s="158"/>
    </row>
    <row r="144" spans="2:2">
      <c r="B144" s="158"/>
    </row>
    <row r="145" spans="2:2">
      <c r="B145" s="158"/>
    </row>
    <row r="146" spans="2:2">
      <c r="B146" s="158"/>
    </row>
    <row r="147" spans="2:2">
      <c r="B147" s="158"/>
    </row>
    <row r="148" spans="2:2">
      <c r="B148" s="158"/>
    </row>
    <row r="149" spans="2:2">
      <c r="B149" s="158"/>
    </row>
    <row r="150" spans="2:2">
      <c r="B150" s="158"/>
    </row>
    <row r="151" spans="2:2">
      <c r="B151" s="158"/>
    </row>
    <row r="152" spans="2:2">
      <c r="B152" s="158"/>
    </row>
    <row r="153" spans="2:2">
      <c r="B153" s="158"/>
    </row>
    <row r="154" spans="2:2">
      <c r="B154" s="158"/>
    </row>
    <row r="155" spans="2:2">
      <c r="B155" s="158"/>
    </row>
    <row r="156" spans="2:2">
      <c r="B156" s="158"/>
    </row>
    <row r="157" spans="2:2">
      <c r="B157" s="158"/>
    </row>
    <row r="158" spans="2:2">
      <c r="B158" s="158"/>
    </row>
    <row r="159" spans="2:2">
      <c r="B159" s="158"/>
    </row>
    <row r="160" spans="2:2">
      <c r="B160" s="158"/>
    </row>
    <row r="161" spans="2:2">
      <c r="B161" s="158"/>
    </row>
    <row r="162" spans="2:2">
      <c r="B162" s="158"/>
    </row>
    <row r="163" spans="2:2">
      <c r="B163" s="158"/>
    </row>
    <row r="164" spans="2:2">
      <c r="B164" s="158"/>
    </row>
    <row r="165" spans="2:2">
      <c r="B165" s="158"/>
    </row>
    <row r="166" spans="2:2">
      <c r="B166" s="158"/>
    </row>
    <row r="167" spans="2:2">
      <c r="B167" s="158"/>
    </row>
    <row r="168" spans="2:2">
      <c r="B168" s="158"/>
    </row>
    <row r="169" spans="2:2">
      <c r="B169" s="158"/>
    </row>
    <row r="170" spans="2:2">
      <c r="B170" s="158"/>
    </row>
    <row r="171" spans="2:2">
      <c r="B171" s="158"/>
    </row>
    <row r="172" spans="2:2">
      <c r="B172" s="158"/>
    </row>
    <row r="173" spans="2:2">
      <c r="B173" s="158"/>
    </row>
    <row r="174" spans="2:2">
      <c r="B174" s="158"/>
    </row>
    <row r="175" spans="2:2">
      <c r="B175" s="158"/>
    </row>
    <row r="176" spans="2:2">
      <c r="B176" s="158"/>
    </row>
    <row r="177" spans="2:2">
      <c r="B177" s="158"/>
    </row>
    <row r="178" spans="2:2">
      <c r="B178" s="158"/>
    </row>
    <row r="179" spans="2:2">
      <c r="B179" s="158"/>
    </row>
    <row r="180" spans="2:2">
      <c r="B180" s="158"/>
    </row>
    <row r="181" spans="2:2">
      <c r="B181" s="158"/>
    </row>
    <row r="182" spans="2:2">
      <c r="B182" s="158"/>
    </row>
    <row r="183" spans="2:2">
      <c r="B183" s="158"/>
    </row>
    <row r="184" spans="2:2">
      <c r="B184" s="158"/>
    </row>
    <row r="185" spans="2:2">
      <c r="B185" s="158"/>
    </row>
    <row r="186" spans="2:2">
      <c r="B186" s="158"/>
    </row>
    <row r="187" spans="2:2">
      <c r="B187" s="158"/>
    </row>
    <row r="188" spans="2:2">
      <c r="B188" s="158"/>
    </row>
    <row r="189" spans="2:2">
      <c r="B189" s="158"/>
    </row>
    <row r="190" spans="2:2">
      <c r="B190" s="158"/>
    </row>
    <row r="191" spans="2:2">
      <c r="B191" s="158"/>
    </row>
    <row r="192" spans="2:2">
      <c r="B192" s="158"/>
    </row>
    <row r="193" spans="2:2">
      <c r="B193" s="158"/>
    </row>
    <row r="194" spans="2:2">
      <c r="B194" s="158"/>
    </row>
    <row r="195" spans="2:2">
      <c r="B195" s="158"/>
    </row>
    <row r="196" spans="2:2">
      <c r="B196" s="158"/>
    </row>
    <row r="197" spans="2:2">
      <c r="B197" s="158"/>
    </row>
    <row r="198" spans="2:2">
      <c r="B198" s="158"/>
    </row>
    <row r="199" spans="2:2">
      <c r="B199" s="158"/>
    </row>
    <row r="200" spans="2:2">
      <c r="B200" s="158"/>
    </row>
    <row r="201" spans="2:2">
      <c r="B201" s="158"/>
    </row>
    <row r="202" spans="2:2">
      <c r="B202" s="158"/>
    </row>
    <row r="203" spans="2:2">
      <c r="B203" s="158"/>
    </row>
    <row r="204" spans="2:2">
      <c r="B204" s="158"/>
    </row>
    <row r="205" spans="2:2">
      <c r="B205" s="158"/>
    </row>
    <row r="206" spans="2:2">
      <c r="B206" s="158"/>
    </row>
    <row r="207" spans="2:2">
      <c r="B207" s="158"/>
    </row>
    <row r="208" spans="2:2">
      <c r="B208" s="158"/>
    </row>
    <row r="209" spans="2:2">
      <c r="B209" s="158"/>
    </row>
    <row r="210" spans="2:2">
      <c r="B210" s="158"/>
    </row>
    <row r="211" spans="2:2">
      <c r="B211" s="158"/>
    </row>
    <row r="212" spans="2:2">
      <c r="B212" s="158"/>
    </row>
    <row r="213" spans="2:2">
      <c r="B213" s="158"/>
    </row>
    <row r="214" spans="2:2">
      <c r="B214" s="158"/>
    </row>
    <row r="215" spans="2:2">
      <c r="B215" s="158"/>
    </row>
    <row r="216" spans="2:2">
      <c r="B216" s="158"/>
    </row>
    <row r="217" spans="2:2">
      <c r="B217" s="158"/>
    </row>
    <row r="218" spans="2:2">
      <c r="B218" s="158"/>
    </row>
    <row r="219" spans="2:2">
      <c r="B219" s="158"/>
    </row>
    <row r="220" spans="2:2">
      <c r="B220" s="158"/>
    </row>
    <row r="221" spans="2:2">
      <c r="B221" s="158"/>
    </row>
    <row r="222" spans="2:2">
      <c r="B222" s="158"/>
    </row>
    <row r="223" spans="2:2">
      <c r="B223" s="158"/>
    </row>
    <row r="224" spans="2:2">
      <c r="B224" s="158"/>
    </row>
    <row r="225" spans="2:2">
      <c r="B225" s="158"/>
    </row>
    <row r="226" spans="2:2">
      <c r="B226" s="158"/>
    </row>
    <row r="227" spans="2:2">
      <c r="B227" s="158"/>
    </row>
    <row r="228" spans="2:2">
      <c r="B228" s="158"/>
    </row>
    <row r="229" spans="2:2">
      <c r="B229" s="158"/>
    </row>
    <row r="230" spans="2:2">
      <c r="B230" s="158"/>
    </row>
    <row r="231" spans="2:2">
      <c r="B231" s="158"/>
    </row>
    <row r="232" spans="2:2">
      <c r="B232" s="158"/>
    </row>
    <row r="233" spans="2:2">
      <c r="B233" s="158"/>
    </row>
    <row r="234" spans="2:2">
      <c r="B234" s="158"/>
    </row>
    <row r="235" spans="2:2">
      <c r="B235" s="158"/>
    </row>
    <row r="236" spans="2:2">
      <c r="B236" s="158"/>
    </row>
    <row r="237" spans="2:2">
      <c r="B237" s="158"/>
    </row>
    <row r="238" spans="2:2">
      <c r="B238" s="158"/>
    </row>
    <row r="239" spans="2:2">
      <c r="B239" s="158"/>
    </row>
    <row r="240" spans="2:2">
      <c r="B240" s="158"/>
    </row>
    <row r="241" spans="2:2">
      <c r="B241" s="158"/>
    </row>
    <row r="242" spans="2:2">
      <c r="B242" s="158"/>
    </row>
    <row r="243" spans="2:2">
      <c r="B243" s="158"/>
    </row>
    <row r="244" spans="2:2">
      <c r="B244" s="158"/>
    </row>
    <row r="245" spans="2:2">
      <c r="B245" s="158"/>
    </row>
    <row r="246" spans="2:2">
      <c r="B246" s="158"/>
    </row>
    <row r="247" spans="2:2">
      <c r="B247" s="158"/>
    </row>
    <row r="248" spans="2:2">
      <c r="B248" s="158"/>
    </row>
    <row r="249" spans="2:2">
      <c r="B249" s="158"/>
    </row>
    <row r="250" spans="2:2">
      <c r="B250" s="158"/>
    </row>
    <row r="251" spans="2:2">
      <c r="B251" s="158"/>
    </row>
    <row r="252" spans="2:2">
      <c r="B252" s="158"/>
    </row>
    <row r="253" spans="2:2">
      <c r="B253" s="158"/>
    </row>
    <row r="254" spans="2:2">
      <c r="B254" s="158"/>
    </row>
    <row r="255" spans="2:2">
      <c r="B255" s="158"/>
    </row>
    <row r="256" spans="2:2">
      <c r="B256" s="158"/>
    </row>
    <row r="257" spans="2:2">
      <c r="B257" s="158"/>
    </row>
    <row r="258" spans="2:2">
      <c r="B258" s="158"/>
    </row>
    <row r="259" spans="2:2">
      <c r="B259" s="158"/>
    </row>
    <row r="260" spans="2:2">
      <c r="B260" s="158"/>
    </row>
    <row r="261" spans="2:2">
      <c r="B261" s="158"/>
    </row>
    <row r="262" spans="2:2">
      <c r="B262" s="158"/>
    </row>
    <row r="263" spans="2:2">
      <c r="B263" s="158"/>
    </row>
    <row r="264" spans="2:2">
      <c r="B264" s="158"/>
    </row>
    <row r="265" spans="2:2">
      <c r="B265" s="158"/>
    </row>
    <row r="266" spans="2:2">
      <c r="B266" s="158"/>
    </row>
    <row r="267" spans="2:2">
      <c r="B267" s="158"/>
    </row>
    <row r="268" spans="2:2">
      <c r="B268" s="158"/>
    </row>
    <row r="269" spans="2:2">
      <c r="B269" s="158"/>
    </row>
    <row r="270" spans="2:2">
      <c r="B270" s="158"/>
    </row>
    <row r="271" spans="2:2">
      <c r="B271" s="158"/>
    </row>
    <row r="272" spans="2:2">
      <c r="B272" s="158"/>
    </row>
    <row r="273" spans="2:2">
      <c r="B273" s="158"/>
    </row>
    <row r="274" spans="2:2">
      <c r="B274" s="158"/>
    </row>
    <row r="275" spans="2:2">
      <c r="B275" s="158"/>
    </row>
    <row r="276" spans="2:2">
      <c r="B276" s="158"/>
    </row>
    <row r="277" spans="2:2">
      <c r="B277" s="158"/>
    </row>
    <row r="278" spans="2:2">
      <c r="B278" s="158"/>
    </row>
    <row r="279" spans="2:2">
      <c r="B279" s="158"/>
    </row>
    <row r="280" spans="2:2">
      <c r="B280" s="158"/>
    </row>
    <row r="281" spans="2:2">
      <c r="B281" s="158"/>
    </row>
    <row r="282" spans="2:2">
      <c r="B282" s="158"/>
    </row>
    <row r="283" spans="2:2">
      <c r="B283" s="158"/>
    </row>
    <row r="284" spans="2:2">
      <c r="B284" s="158"/>
    </row>
    <row r="285" spans="2:2">
      <c r="B285" s="158"/>
    </row>
    <row r="286" spans="2:2">
      <c r="B286" s="158"/>
    </row>
    <row r="287" spans="2:2">
      <c r="B287" s="158"/>
    </row>
    <row r="288" spans="2:2">
      <c r="B288" s="158"/>
    </row>
    <row r="289" spans="2:2">
      <c r="B289" s="158"/>
    </row>
    <row r="290" spans="2:2">
      <c r="B290" s="158"/>
    </row>
    <row r="291" spans="2:2">
      <c r="B291" s="158"/>
    </row>
    <row r="292" spans="2:2">
      <c r="B292" s="158"/>
    </row>
    <row r="293" spans="2:2">
      <c r="B293" s="158"/>
    </row>
    <row r="294" spans="2:2">
      <c r="B294" s="158"/>
    </row>
    <row r="295" spans="2:2">
      <c r="B295" s="158"/>
    </row>
    <row r="296" spans="2:2">
      <c r="B296" s="158"/>
    </row>
    <row r="297" spans="2:2">
      <c r="B297" s="158"/>
    </row>
    <row r="298" spans="2:2">
      <c r="B298" s="158"/>
    </row>
    <row r="299" spans="2:2">
      <c r="B299" s="158"/>
    </row>
    <row r="300" spans="2:2">
      <c r="B300" s="158"/>
    </row>
    <row r="301" spans="2:2">
      <c r="B301" s="158"/>
    </row>
    <row r="302" spans="2:2">
      <c r="B302" s="158"/>
    </row>
    <row r="303" spans="2:2">
      <c r="B303" s="158"/>
    </row>
    <row r="304" spans="2:2">
      <c r="B304" s="158"/>
    </row>
    <row r="305" spans="2:2">
      <c r="B305" s="158"/>
    </row>
    <row r="306" spans="2:2">
      <c r="B306" s="158"/>
    </row>
    <row r="307" spans="2:2">
      <c r="B307" s="158"/>
    </row>
    <row r="308" spans="2:2">
      <c r="B308" s="158"/>
    </row>
    <row r="309" spans="2:2">
      <c r="B309" s="158"/>
    </row>
    <row r="310" spans="2:2">
      <c r="B310" s="158"/>
    </row>
    <row r="311" spans="2:2">
      <c r="B311" s="158"/>
    </row>
    <row r="312" spans="2:2">
      <c r="B312" s="158"/>
    </row>
    <row r="313" spans="2:2">
      <c r="B313" s="158"/>
    </row>
    <row r="314" spans="2:2">
      <c r="B314" s="158"/>
    </row>
    <row r="315" spans="2:2">
      <c r="B315" s="158"/>
    </row>
    <row r="316" spans="2:2">
      <c r="B316" s="158"/>
    </row>
    <row r="317" spans="2:2">
      <c r="B317" s="158"/>
    </row>
    <row r="318" spans="2:2">
      <c r="B318" s="158"/>
    </row>
    <row r="319" spans="2:2">
      <c r="B319" s="158"/>
    </row>
    <row r="320" spans="2:2">
      <c r="B320" s="158"/>
    </row>
    <row r="321" spans="2:2">
      <c r="B321" s="158"/>
    </row>
    <row r="322" spans="2:2">
      <c r="B322" s="158"/>
    </row>
    <row r="323" spans="2:2">
      <c r="B323" s="158"/>
    </row>
    <row r="324" spans="2:2">
      <c r="B324" s="158"/>
    </row>
    <row r="325" spans="2:2">
      <c r="B325" s="158"/>
    </row>
    <row r="326" spans="2:2">
      <c r="B326" s="158"/>
    </row>
    <row r="327" spans="2:2">
      <c r="B327" s="158"/>
    </row>
    <row r="328" spans="2:2">
      <c r="B328" s="158"/>
    </row>
    <row r="329" spans="2:2">
      <c r="B329" s="158"/>
    </row>
    <row r="330" spans="2:2">
      <c r="B330" s="158"/>
    </row>
    <row r="331" spans="2:2">
      <c r="B331" s="158"/>
    </row>
    <row r="332" spans="2:2">
      <c r="B332" s="158"/>
    </row>
    <row r="333" spans="2:2">
      <c r="B333" s="158"/>
    </row>
    <row r="334" spans="2:2">
      <c r="B334" s="158"/>
    </row>
    <row r="335" spans="2:2">
      <c r="B335" s="158"/>
    </row>
    <row r="336" spans="2:2">
      <c r="B336" s="158"/>
    </row>
    <row r="337" spans="2:2">
      <c r="B337" s="158"/>
    </row>
    <row r="338" spans="2:2">
      <c r="B338" s="158"/>
    </row>
    <row r="339" spans="2:2">
      <c r="B339" s="158"/>
    </row>
    <row r="340" spans="2:2">
      <c r="B340" s="158"/>
    </row>
    <row r="341" spans="2:2">
      <c r="B341" s="158"/>
    </row>
    <row r="342" spans="2:2">
      <c r="B342" s="158"/>
    </row>
    <row r="343" spans="2:2">
      <c r="B343" s="158"/>
    </row>
    <row r="344" spans="2:2">
      <c r="B344" s="158"/>
    </row>
    <row r="345" spans="2:2">
      <c r="B345" s="158"/>
    </row>
    <row r="346" spans="2:2">
      <c r="B346" s="158"/>
    </row>
    <row r="347" spans="2:2">
      <c r="B347" s="158"/>
    </row>
    <row r="348" spans="2:2">
      <c r="B348" s="158"/>
    </row>
    <row r="349" spans="2:2">
      <c r="B349" s="158"/>
    </row>
    <row r="350" spans="2:2">
      <c r="B350" s="158"/>
    </row>
    <row r="351" spans="2:2">
      <c r="B351" s="158"/>
    </row>
    <row r="352" spans="2:2">
      <c r="B352" s="158"/>
    </row>
    <row r="353" spans="2:2">
      <c r="B353" s="158"/>
    </row>
    <row r="354" spans="2:2">
      <c r="B354" s="158"/>
    </row>
    <row r="355" spans="2:2">
      <c r="B355" s="158"/>
    </row>
    <row r="356" spans="2:2">
      <c r="B356" s="158"/>
    </row>
    <row r="357" spans="2:2">
      <c r="B357" s="158"/>
    </row>
    <row r="358" spans="2:2">
      <c r="B358" s="158"/>
    </row>
    <row r="359" spans="2:2">
      <c r="B359" s="158"/>
    </row>
    <row r="360" spans="2:2">
      <c r="B360" s="158"/>
    </row>
    <row r="361" spans="2:2">
      <c r="B361" s="158"/>
    </row>
    <row r="362" spans="2:2">
      <c r="B362" s="158"/>
    </row>
    <row r="363" spans="2:2">
      <c r="B363" s="158"/>
    </row>
    <row r="364" spans="2:2">
      <c r="B364" s="158"/>
    </row>
    <row r="365" spans="2:2">
      <c r="B365" s="158"/>
    </row>
    <row r="366" spans="2:2">
      <c r="B366" s="158"/>
    </row>
    <row r="367" spans="2:2">
      <c r="B367" s="158"/>
    </row>
    <row r="368" spans="2:2">
      <c r="B368" s="158"/>
    </row>
    <row r="369" spans="2:2">
      <c r="B369" s="158"/>
    </row>
    <row r="370" spans="2:2">
      <c r="B370" s="158"/>
    </row>
    <row r="371" spans="2:2">
      <c r="B371" s="158"/>
    </row>
    <row r="372" spans="2:2">
      <c r="B372" s="158"/>
    </row>
    <row r="373" spans="2:2">
      <c r="B373" s="158"/>
    </row>
    <row r="374" spans="2:2">
      <c r="B374" s="158"/>
    </row>
    <row r="375" spans="2:2">
      <c r="B375" s="158"/>
    </row>
    <row r="376" spans="2:2">
      <c r="B376" s="158"/>
    </row>
    <row r="377" spans="2:2">
      <c r="B377" s="158"/>
    </row>
    <row r="378" spans="2:2">
      <c r="B378" s="158"/>
    </row>
    <row r="379" spans="2:2">
      <c r="B379" s="158"/>
    </row>
    <row r="380" spans="2:2">
      <c r="B380" s="158"/>
    </row>
    <row r="381" spans="2:2">
      <c r="B381" s="158"/>
    </row>
    <row r="382" spans="2:2">
      <c r="B382" s="158"/>
    </row>
    <row r="383" spans="2:2">
      <c r="B383" s="158"/>
    </row>
    <row r="384" spans="2:2">
      <c r="B384" s="158"/>
    </row>
    <row r="385" spans="2:2">
      <c r="B385" s="158"/>
    </row>
    <row r="386" spans="2:2">
      <c r="B386" s="158"/>
    </row>
    <row r="387" spans="2:2">
      <c r="B387" s="158"/>
    </row>
    <row r="388" spans="2:2">
      <c r="B388" s="158"/>
    </row>
    <row r="389" spans="2:2">
      <c r="B389" s="158"/>
    </row>
    <row r="390" spans="2:2">
      <c r="B390" s="158"/>
    </row>
    <row r="391" spans="2:2">
      <c r="B391" s="158"/>
    </row>
    <row r="392" spans="2:2">
      <c r="B392" s="158"/>
    </row>
    <row r="393" spans="2:2">
      <c r="B393" s="158"/>
    </row>
    <row r="394" spans="2:2">
      <c r="B394" s="158"/>
    </row>
    <row r="395" spans="2:2">
      <c r="B395" s="158"/>
    </row>
    <row r="396" spans="2:2">
      <c r="B396" s="158"/>
    </row>
    <row r="397" spans="2:2">
      <c r="B397" s="158"/>
    </row>
    <row r="398" spans="2:2">
      <c r="B398" s="158"/>
    </row>
    <row r="399" spans="2:2">
      <c r="B399" s="158"/>
    </row>
    <row r="400" spans="2:2">
      <c r="B400" s="158"/>
    </row>
    <row r="401" spans="2:2">
      <c r="B401" s="158"/>
    </row>
    <row r="402" spans="2:2">
      <c r="B402" s="158"/>
    </row>
    <row r="403" spans="2:2">
      <c r="B403" s="158"/>
    </row>
    <row r="404" spans="2:2">
      <c r="B404" s="158"/>
    </row>
    <row r="405" spans="2:2">
      <c r="B405" s="158"/>
    </row>
    <row r="406" spans="2:2">
      <c r="B406" s="158"/>
    </row>
    <row r="407" spans="2:2">
      <c r="B407" s="158"/>
    </row>
    <row r="408" spans="2:2">
      <c r="B408" s="158"/>
    </row>
    <row r="409" spans="2:2">
      <c r="B409" s="158"/>
    </row>
    <row r="410" spans="2:2">
      <c r="B410" s="158"/>
    </row>
    <row r="411" spans="2:2">
      <c r="B411" s="158"/>
    </row>
    <row r="412" spans="2:2">
      <c r="B412" s="158"/>
    </row>
    <row r="413" spans="2:2">
      <c r="B413" s="158"/>
    </row>
    <row r="414" spans="2:2">
      <c r="B414" s="158"/>
    </row>
    <row r="415" spans="2:2">
      <c r="B415" s="158"/>
    </row>
    <row r="416" spans="2:2">
      <c r="B416" s="158"/>
    </row>
    <row r="417" spans="2:2">
      <c r="B417" s="158"/>
    </row>
    <row r="418" spans="2:2">
      <c r="B418" s="158"/>
    </row>
    <row r="419" spans="2:2">
      <c r="B419" s="158"/>
    </row>
    <row r="420" spans="2:2">
      <c r="B420" s="158"/>
    </row>
    <row r="421" spans="2:2">
      <c r="B421" s="158"/>
    </row>
    <row r="422" spans="2:2">
      <c r="B422" s="158"/>
    </row>
    <row r="423" spans="2:2">
      <c r="B423" s="158"/>
    </row>
    <row r="424" spans="2:2">
      <c r="B424" s="158"/>
    </row>
    <row r="425" spans="2:2">
      <c r="B425" s="158"/>
    </row>
    <row r="426" spans="2:2">
      <c r="B426" s="158"/>
    </row>
    <row r="427" spans="2:2">
      <c r="B427" s="158"/>
    </row>
    <row r="428" spans="2:2">
      <c r="B428" s="158"/>
    </row>
    <row r="429" spans="2:2">
      <c r="B429" s="158"/>
    </row>
    <row r="430" spans="2:2">
      <c r="B430" s="158"/>
    </row>
    <row r="431" spans="2:2">
      <c r="B431" s="158"/>
    </row>
    <row r="432" spans="2:2">
      <c r="B432" s="158"/>
    </row>
    <row r="433" spans="2:2">
      <c r="B433" s="158"/>
    </row>
    <row r="434" spans="2:2">
      <c r="B434" s="158"/>
    </row>
    <row r="435" spans="2:2">
      <c r="B435" s="158"/>
    </row>
    <row r="436" spans="2:2">
      <c r="B436" s="158"/>
    </row>
    <row r="437" spans="2:2">
      <c r="B437" s="158"/>
    </row>
    <row r="438" spans="2:2">
      <c r="B438" s="158"/>
    </row>
    <row r="439" spans="2:2">
      <c r="B439" s="158"/>
    </row>
    <row r="440" spans="2:2">
      <c r="B440" s="158"/>
    </row>
    <row r="441" spans="2:2">
      <c r="B441" s="158"/>
    </row>
    <row r="442" spans="2:2">
      <c r="B442" s="158"/>
    </row>
    <row r="443" spans="2:2">
      <c r="B443" s="158"/>
    </row>
    <row r="444" spans="2:2">
      <c r="B444" s="158"/>
    </row>
    <row r="445" spans="2:2">
      <c r="B445" s="158"/>
    </row>
    <row r="446" spans="2:2">
      <c r="B446" s="158"/>
    </row>
    <row r="447" spans="2:2">
      <c r="B447" s="158"/>
    </row>
    <row r="448" spans="2:2">
      <c r="B448" s="158"/>
    </row>
    <row r="449" spans="2:2">
      <c r="B449" s="158"/>
    </row>
    <row r="450" spans="2:2">
      <c r="B450" s="158"/>
    </row>
    <row r="451" spans="2:2">
      <c r="B451" s="158"/>
    </row>
    <row r="452" spans="2:2">
      <c r="B452" s="158"/>
    </row>
    <row r="453" spans="2:2">
      <c r="B453" s="158"/>
    </row>
    <row r="454" spans="2:2">
      <c r="B454" s="158"/>
    </row>
    <row r="455" spans="2:2">
      <c r="B455" s="158"/>
    </row>
    <row r="456" spans="2:2">
      <c r="B456" s="158"/>
    </row>
    <row r="457" spans="2:2">
      <c r="B457" s="158"/>
    </row>
    <row r="458" spans="2:2">
      <c r="B458" s="158"/>
    </row>
    <row r="459" spans="2:2">
      <c r="B459" s="158"/>
    </row>
    <row r="460" spans="2:2">
      <c r="B460" s="158"/>
    </row>
    <row r="461" spans="2:2">
      <c r="B461" s="158"/>
    </row>
    <row r="462" spans="2:2">
      <c r="B462" s="158"/>
    </row>
    <row r="463" spans="2:2">
      <c r="B463" s="158"/>
    </row>
    <row r="464" spans="2:2">
      <c r="B464" s="158"/>
    </row>
    <row r="465" spans="2:2">
      <c r="B465" s="158"/>
    </row>
    <row r="466" spans="2:2">
      <c r="B466" s="158"/>
    </row>
    <row r="467" spans="2:2">
      <c r="B467" s="158"/>
    </row>
    <row r="468" spans="2:2">
      <c r="B468" s="158"/>
    </row>
    <row r="469" spans="2:2">
      <c r="B469" s="158"/>
    </row>
    <row r="470" spans="2:2">
      <c r="B470" s="158"/>
    </row>
    <row r="471" spans="2:2">
      <c r="B471" s="158"/>
    </row>
    <row r="472" spans="2:2">
      <c r="B472" s="158"/>
    </row>
    <row r="473" spans="2:2">
      <c r="B473" s="158"/>
    </row>
    <row r="474" spans="2:2">
      <c r="B474" s="158"/>
    </row>
    <row r="475" spans="2:2">
      <c r="B475" s="158"/>
    </row>
    <row r="476" spans="2:2">
      <c r="B476" s="158"/>
    </row>
    <row r="477" spans="2:2">
      <c r="B477" s="158"/>
    </row>
    <row r="478" spans="2:2">
      <c r="B478" s="158"/>
    </row>
    <row r="479" spans="2:2">
      <c r="B479" s="158"/>
    </row>
    <row r="480" spans="2:2">
      <c r="B480" s="158"/>
    </row>
    <row r="481" spans="2:2">
      <c r="B481" s="158"/>
    </row>
    <row r="482" spans="2:2">
      <c r="B482" s="158"/>
    </row>
    <row r="483" spans="2:2">
      <c r="B483" s="158"/>
    </row>
    <row r="484" spans="2:2">
      <c r="B484" s="158"/>
    </row>
    <row r="485" spans="2:2">
      <c r="B485" s="158"/>
    </row>
    <row r="486" spans="2:2">
      <c r="B486" s="158"/>
    </row>
    <row r="487" spans="2:2">
      <c r="B487" s="158"/>
    </row>
    <row r="488" spans="2:2">
      <c r="B488" s="158"/>
    </row>
    <row r="489" spans="2:2">
      <c r="B489" s="158"/>
    </row>
    <row r="490" spans="2:2">
      <c r="B490" s="158"/>
    </row>
    <row r="491" spans="2:2">
      <c r="B491" s="158"/>
    </row>
    <row r="492" spans="2:2">
      <c r="B492" s="158"/>
    </row>
    <row r="493" spans="2:2">
      <c r="B493" s="158"/>
    </row>
    <row r="494" spans="2:2">
      <c r="B494" s="158"/>
    </row>
    <row r="495" spans="2:2">
      <c r="B495" s="158"/>
    </row>
    <row r="496" spans="2:2">
      <c r="B496" s="158"/>
    </row>
    <row r="497" spans="2:2">
      <c r="B497" s="158"/>
    </row>
    <row r="498" spans="2:2">
      <c r="B498" s="158"/>
    </row>
    <row r="499" spans="2:2">
      <c r="B499" s="158"/>
    </row>
    <row r="500" spans="2:2">
      <c r="B500" s="158"/>
    </row>
    <row r="501" spans="2:2">
      <c r="B501" s="158"/>
    </row>
    <row r="502" spans="2:2">
      <c r="B502" s="158"/>
    </row>
    <row r="503" spans="2:2">
      <c r="B503" s="158"/>
    </row>
    <row r="504" spans="2:2">
      <c r="B504" s="158"/>
    </row>
    <row r="505" spans="2:2">
      <c r="B505" s="158"/>
    </row>
    <row r="506" spans="2:2">
      <c r="B506" s="158"/>
    </row>
    <row r="507" spans="2:2">
      <c r="B507" s="158"/>
    </row>
    <row r="508" spans="2:2">
      <c r="B508" s="158"/>
    </row>
    <row r="509" spans="2:2">
      <c r="B509" s="158"/>
    </row>
    <row r="510" spans="2:2">
      <c r="B510" s="158"/>
    </row>
    <row r="511" spans="2:2">
      <c r="B511" s="158"/>
    </row>
    <row r="512" spans="2:2">
      <c r="B512" s="158"/>
    </row>
    <row r="513" spans="2:2">
      <c r="B513" s="158"/>
    </row>
    <row r="514" spans="2:2">
      <c r="B514" s="158"/>
    </row>
    <row r="515" spans="2:2">
      <c r="B515" s="158"/>
    </row>
    <row r="516" spans="2:2">
      <c r="B516" s="158"/>
    </row>
    <row r="517" spans="2:2">
      <c r="B517" s="158"/>
    </row>
  </sheetData>
  <mergeCells count="94">
    <mergeCell ref="W86:AB86"/>
    <mergeCell ref="B87:C87"/>
    <mergeCell ref="D87:AB87"/>
    <mergeCell ref="Q78:AB78"/>
    <mergeCell ref="C81:C83"/>
    <mergeCell ref="B81:B83"/>
    <mergeCell ref="B86:C86"/>
    <mergeCell ref="B74:C74"/>
    <mergeCell ref="B70:I70"/>
    <mergeCell ref="D72:G72"/>
    <mergeCell ref="B73:C73"/>
    <mergeCell ref="D86:O86"/>
    <mergeCell ref="AE78:AE80"/>
    <mergeCell ref="Q79:U79"/>
    <mergeCell ref="V79:V80"/>
    <mergeCell ref="W79:AB79"/>
    <mergeCell ref="B78:B80"/>
    <mergeCell ref="C78:C80"/>
    <mergeCell ref="D78:H79"/>
    <mergeCell ref="I78:I80"/>
    <mergeCell ref="J78:O79"/>
    <mergeCell ref="AD78:AD80"/>
    <mergeCell ref="B2:B4"/>
    <mergeCell ref="AE58:AE60"/>
    <mergeCell ref="B56:AB57"/>
    <mergeCell ref="B76:AB77"/>
    <mergeCell ref="Z46:Z52"/>
    <mergeCell ref="C62:C63"/>
    <mergeCell ref="D62:D63"/>
    <mergeCell ref="E62:E63"/>
    <mergeCell ref="F62:F63"/>
    <mergeCell ref="AE2:AE4"/>
    <mergeCell ref="J2:P3"/>
    <mergeCell ref="AA46:AA52"/>
    <mergeCell ref="AB46:AB52"/>
    <mergeCell ref="C46:C54"/>
    <mergeCell ref="I65:I67"/>
    <mergeCell ref="B65:B67"/>
    <mergeCell ref="C2:C4"/>
    <mergeCell ref="Q2:AB2"/>
    <mergeCell ref="C58:C60"/>
    <mergeCell ref="D58:H59"/>
    <mergeCell ref="C26:C27"/>
    <mergeCell ref="D26:D27"/>
    <mergeCell ref="E26:E27"/>
    <mergeCell ref="F26:F27"/>
    <mergeCell ref="G26:G27"/>
    <mergeCell ref="H26:H27"/>
    <mergeCell ref="Q3:U3"/>
    <mergeCell ref="F5:F7"/>
    <mergeCell ref="G5:G7"/>
    <mergeCell ref="H5:H7"/>
    <mergeCell ref="AC58:AC60"/>
    <mergeCell ref="J58:O59"/>
    <mergeCell ref="Q58:AB58"/>
    <mergeCell ref="W3:AB3"/>
    <mergeCell ref="D2:H3"/>
    <mergeCell ref="I2:I4"/>
    <mergeCell ref="Q59:U59"/>
    <mergeCell ref="W59:AB59"/>
    <mergeCell ref="I26:I27"/>
    <mergeCell ref="J26:J27"/>
    <mergeCell ref="L26:L27"/>
    <mergeCell ref="W26:W27"/>
    <mergeCell ref="Y26:Y27"/>
    <mergeCell ref="AD3:AD4"/>
    <mergeCell ref="V3:V4"/>
    <mergeCell ref="D71:G71"/>
    <mergeCell ref="I5:I7"/>
    <mergeCell ref="C8:C10"/>
    <mergeCell ref="D8:D10"/>
    <mergeCell ref="E8:E10"/>
    <mergeCell ref="F8:F10"/>
    <mergeCell ref="G8:G10"/>
    <mergeCell ref="H8:H10"/>
    <mergeCell ref="I8:I10"/>
    <mergeCell ref="C5:C7"/>
    <mergeCell ref="D5:D7"/>
    <mergeCell ref="E5:E7"/>
    <mergeCell ref="V59:V60"/>
    <mergeCell ref="AD59:AD60"/>
    <mergeCell ref="B58:B60"/>
    <mergeCell ref="I58:I60"/>
    <mergeCell ref="C65:C67"/>
    <mergeCell ref="G65:G67"/>
    <mergeCell ref="H65:H67"/>
    <mergeCell ref="G62:G63"/>
    <mergeCell ref="H62:H63"/>
    <mergeCell ref="I62:I63"/>
    <mergeCell ref="B62:B63"/>
    <mergeCell ref="D65:D67"/>
    <mergeCell ref="E65:E67"/>
    <mergeCell ref="F65:F67"/>
    <mergeCell ref="B61:I61"/>
  </mergeCells>
  <pageMargins left="0.7" right="0.7" top="0.75" bottom="0.75" header="0.3" footer="0.3"/>
  <pageSetup scale="53" orientation="landscape" r:id="rId1"/>
  <colBreaks count="1" manualBreakCount="1">
    <brk id="29" min="55" max="71"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2"/>
  <sheetViews>
    <sheetView showRuler="0" topLeftCell="A131" zoomScale="115" zoomScaleNormal="115" zoomScalePageLayoutView="115" workbookViewId="0">
      <selection activeCell="G47" sqref="B47:G55"/>
    </sheetView>
  </sheetViews>
  <sheetFormatPr defaultColWidth="8.85546875" defaultRowHeight="12.75"/>
  <cols>
    <col min="1" max="1" width="4.42578125" style="45" customWidth="1"/>
    <col min="2" max="2" width="12.28515625" style="4" customWidth="1"/>
    <col min="3" max="3" width="36.140625" style="4" customWidth="1"/>
    <col min="4" max="4" width="11.28515625" style="44" customWidth="1"/>
    <col min="5" max="5" width="14.85546875" style="4" customWidth="1"/>
    <col min="6" max="6" width="4" style="4" customWidth="1"/>
    <col min="7" max="7" width="17.85546875" style="4" customWidth="1"/>
    <col min="8" max="8" width="90" style="4" bestFit="1" customWidth="1"/>
    <col min="9" max="16384" width="8.85546875" style="4"/>
  </cols>
  <sheetData>
    <row r="1" spans="1:7" ht="20.25" customHeight="1">
      <c r="A1" s="1"/>
      <c r="B1" s="2"/>
      <c r="C1" s="2"/>
      <c r="D1" s="3" t="s">
        <v>11</v>
      </c>
      <c r="F1" s="5"/>
      <c r="G1" s="5"/>
    </row>
    <row r="2" spans="1:7" ht="15" customHeight="1">
      <c r="A2" s="1"/>
      <c r="B2" s="2"/>
      <c r="C2" s="2"/>
      <c r="D2" s="6" t="s">
        <v>0</v>
      </c>
      <c r="E2" s="7"/>
      <c r="F2" s="8" t="s">
        <v>1</v>
      </c>
      <c r="G2" s="9"/>
    </row>
    <row r="3" spans="1:7">
      <c r="A3" s="1"/>
      <c r="B3" s="2"/>
      <c r="C3" s="2"/>
      <c r="D3" s="10">
        <v>43633</v>
      </c>
      <c r="E3" s="11"/>
      <c r="F3" s="836">
        <v>43693</v>
      </c>
      <c r="G3" s="837"/>
    </row>
    <row r="4" spans="1:7" ht="13.5" customHeight="1">
      <c r="A4" s="1"/>
      <c r="B4" s="2"/>
      <c r="C4" s="2"/>
      <c r="D4" s="12" t="s">
        <v>2</v>
      </c>
      <c r="E4" s="13">
        <v>43633</v>
      </c>
      <c r="F4" s="14"/>
      <c r="G4" s="15"/>
    </row>
    <row r="5" spans="1:7" ht="10.5" customHeight="1">
      <c r="A5" s="16"/>
      <c r="B5" s="17"/>
      <c r="C5" s="17"/>
      <c r="D5" s="18"/>
      <c r="E5" s="17"/>
      <c r="F5" s="17"/>
      <c r="G5" s="19"/>
    </row>
    <row r="6" spans="1:7" s="25" customFormat="1">
      <c r="A6" s="20" t="s">
        <v>23</v>
      </c>
      <c r="B6" s="21"/>
      <c r="C6" s="22"/>
      <c r="D6" s="23" t="s">
        <v>3</v>
      </c>
      <c r="E6" s="7"/>
      <c r="F6" s="22"/>
      <c r="G6" s="24"/>
    </row>
    <row r="7" spans="1:7" s="25" customFormat="1" ht="12.75" customHeight="1">
      <c r="A7" s="831" t="s">
        <v>244</v>
      </c>
      <c r="B7" s="832"/>
      <c r="C7" s="833"/>
      <c r="D7" s="53" t="s">
        <v>207</v>
      </c>
      <c r="E7" s="26"/>
      <c r="F7" s="26"/>
      <c r="G7" s="27"/>
    </row>
    <row r="8" spans="1:7" s="25" customFormat="1">
      <c r="A8" s="831"/>
      <c r="B8" s="832"/>
      <c r="C8" s="833"/>
      <c r="D8" s="61" t="s">
        <v>208</v>
      </c>
      <c r="E8" s="28"/>
      <c r="F8" s="26"/>
      <c r="G8" s="27"/>
    </row>
    <row r="9" spans="1:7" s="25" customFormat="1" ht="15" customHeight="1">
      <c r="A9" s="52" t="s">
        <v>30</v>
      </c>
      <c r="B9" s="29"/>
      <c r="C9" s="29"/>
      <c r="D9" s="55" t="s">
        <v>209</v>
      </c>
      <c r="E9" s="30"/>
      <c r="F9" s="29"/>
      <c r="G9" s="31"/>
    </row>
    <row r="10" spans="1:7" ht="10.5" customHeight="1">
      <c r="A10" s="1"/>
      <c r="B10" s="2"/>
      <c r="C10" s="2"/>
      <c r="D10" s="32"/>
      <c r="E10" s="2"/>
      <c r="F10" s="2"/>
      <c r="G10" s="2"/>
    </row>
    <row r="11" spans="1:7" ht="27" customHeight="1">
      <c r="A11" s="33" t="s">
        <v>4</v>
      </c>
      <c r="B11" s="34"/>
      <c r="C11" s="34"/>
      <c r="D11" s="839" t="s">
        <v>5</v>
      </c>
      <c r="E11" s="840"/>
      <c r="F11" s="840"/>
      <c r="G11" s="841"/>
    </row>
    <row r="12" spans="1:7" ht="13.5" customHeight="1">
      <c r="A12" s="35" t="s">
        <v>6</v>
      </c>
      <c r="B12" s="36"/>
      <c r="C12" s="36"/>
      <c r="D12" s="842" t="s">
        <v>210</v>
      </c>
      <c r="E12" s="843"/>
      <c r="F12" s="843"/>
      <c r="G12" s="844"/>
    </row>
    <row r="13" spans="1:7">
      <c r="A13" s="54" t="s">
        <v>31</v>
      </c>
      <c r="B13" s="37"/>
      <c r="C13" s="37"/>
      <c r="D13" s="845"/>
      <c r="E13" s="846"/>
      <c r="F13" s="846"/>
      <c r="G13" s="847"/>
    </row>
    <row r="14" spans="1:7" ht="14.25" customHeight="1">
      <c r="A14" s="838" t="s">
        <v>12</v>
      </c>
      <c r="B14" s="838"/>
      <c r="C14" s="838"/>
      <c r="D14" s="838"/>
      <c r="E14" s="838"/>
      <c r="F14" s="838"/>
      <c r="G14" s="838"/>
    </row>
    <row r="15" spans="1:7" ht="15" customHeight="1">
      <c r="A15" s="838"/>
      <c r="B15" s="838"/>
      <c r="C15" s="838"/>
      <c r="D15" s="838"/>
      <c r="E15" s="838"/>
      <c r="F15" s="838"/>
      <c r="G15" s="838"/>
    </row>
    <row r="16" spans="1:7" s="38" customFormat="1" ht="51">
      <c r="A16" s="59" t="s">
        <v>7</v>
      </c>
      <c r="B16" s="57" t="s">
        <v>14</v>
      </c>
      <c r="C16" s="57" t="s">
        <v>13</v>
      </c>
      <c r="D16" s="57" t="s">
        <v>24</v>
      </c>
      <c r="E16" s="58" t="s">
        <v>20</v>
      </c>
      <c r="F16" s="58" t="s">
        <v>8</v>
      </c>
      <c r="G16" s="58" t="s">
        <v>21</v>
      </c>
    </row>
    <row r="17" spans="1:8" s="60" customFormat="1">
      <c r="A17" s="67" t="s">
        <v>213</v>
      </c>
      <c r="B17" s="830" t="s">
        <v>38</v>
      </c>
      <c r="C17" s="830"/>
      <c r="D17" s="68" t="s">
        <v>214</v>
      </c>
      <c r="E17" s="69">
        <v>988974000</v>
      </c>
      <c r="F17" s="70">
        <v>1</v>
      </c>
      <c r="G17" s="71">
        <v>988974000</v>
      </c>
    </row>
    <row r="18" spans="1:8" s="60" customFormat="1">
      <c r="A18" s="72"/>
      <c r="B18" s="73"/>
      <c r="C18" s="73" t="s">
        <v>39</v>
      </c>
      <c r="D18" s="74"/>
      <c r="E18" s="75"/>
      <c r="F18" s="76"/>
      <c r="G18" s="46"/>
    </row>
    <row r="19" spans="1:8" s="60" customFormat="1">
      <c r="A19" s="72"/>
      <c r="B19" s="73" t="s">
        <v>40</v>
      </c>
      <c r="C19" s="73" t="s">
        <v>41</v>
      </c>
      <c r="D19" s="74"/>
      <c r="E19" s="75"/>
      <c r="F19" s="76"/>
      <c r="G19" s="46"/>
      <c r="H19" s="60" t="s">
        <v>528</v>
      </c>
    </row>
    <row r="20" spans="1:8" s="60" customFormat="1" hidden="1">
      <c r="A20" s="78"/>
      <c r="B20" s="73" t="s">
        <v>74</v>
      </c>
      <c r="C20" s="73" t="s">
        <v>42</v>
      </c>
      <c r="D20" s="79"/>
      <c r="E20" s="75"/>
      <c r="F20" s="76"/>
      <c r="G20" s="46"/>
    </row>
    <row r="21" spans="1:8" s="60" customFormat="1" ht="24" hidden="1">
      <c r="A21" s="72"/>
      <c r="B21" s="73" t="s">
        <v>43</v>
      </c>
      <c r="C21" s="73" t="s">
        <v>190</v>
      </c>
      <c r="D21" s="74"/>
      <c r="E21" s="75"/>
      <c r="F21" s="76"/>
      <c r="G21" s="46"/>
    </row>
    <row r="22" spans="1:8" s="60" customFormat="1">
      <c r="A22" s="80" t="s">
        <v>215</v>
      </c>
      <c r="B22" s="834" t="s">
        <v>44</v>
      </c>
      <c r="C22" s="834"/>
      <c r="D22" s="68" t="s">
        <v>214</v>
      </c>
      <c r="E22" s="69">
        <v>8742963500</v>
      </c>
      <c r="F22" s="70">
        <v>1</v>
      </c>
      <c r="G22" s="71">
        <v>8742963500</v>
      </c>
    </row>
    <row r="23" spans="1:8" s="60" customFormat="1">
      <c r="A23" s="72"/>
      <c r="B23" s="73"/>
      <c r="C23" s="100" t="s">
        <v>45</v>
      </c>
      <c r="D23" s="74"/>
      <c r="E23" s="75"/>
      <c r="F23" s="76"/>
      <c r="G23" s="46"/>
    </row>
    <row r="24" spans="1:8" s="60" customFormat="1" ht="24">
      <c r="A24" s="72"/>
      <c r="B24" s="73" t="s">
        <v>46</v>
      </c>
      <c r="C24" s="73" t="s">
        <v>47</v>
      </c>
      <c r="D24" s="74"/>
      <c r="E24" s="75"/>
      <c r="F24" s="76"/>
      <c r="G24" s="46"/>
      <c r="H24" s="60" t="s">
        <v>529</v>
      </c>
    </row>
    <row r="25" spans="1:8" s="60" customFormat="1" ht="24">
      <c r="A25" s="72"/>
      <c r="B25" s="73" t="s">
        <v>48</v>
      </c>
      <c r="C25" s="73" t="s">
        <v>49</v>
      </c>
      <c r="D25" s="74"/>
      <c r="E25" s="75"/>
      <c r="F25" s="76"/>
      <c r="G25" s="46"/>
      <c r="H25" s="60" t="s">
        <v>530</v>
      </c>
    </row>
    <row r="26" spans="1:8" s="60" customFormat="1">
      <c r="A26" s="72"/>
      <c r="B26" s="73"/>
      <c r="C26" s="100" t="s">
        <v>50</v>
      </c>
      <c r="D26" s="74"/>
      <c r="E26" s="75"/>
      <c r="F26" s="76"/>
      <c r="G26" s="46"/>
    </row>
    <row r="27" spans="1:8" s="60" customFormat="1" ht="24">
      <c r="A27" s="72"/>
      <c r="B27" s="73" t="s">
        <v>51</v>
      </c>
      <c r="C27" s="73" t="s">
        <v>52</v>
      </c>
      <c r="D27" s="74"/>
      <c r="E27" s="75"/>
      <c r="F27" s="76"/>
      <c r="G27" s="46"/>
      <c r="H27" s="60" t="s">
        <v>531</v>
      </c>
    </row>
    <row r="28" spans="1:8" s="60" customFormat="1" hidden="1">
      <c r="A28" s="72"/>
      <c r="B28" s="73" t="s">
        <v>191</v>
      </c>
      <c r="C28" s="73" t="s">
        <v>187</v>
      </c>
      <c r="D28" s="74"/>
      <c r="E28" s="75"/>
      <c r="F28" s="76"/>
      <c r="G28" s="46"/>
      <c r="H28" s="60" t="s">
        <v>531</v>
      </c>
    </row>
    <row r="29" spans="1:8" s="60" customFormat="1" ht="24" hidden="1">
      <c r="A29" s="78"/>
      <c r="B29" s="73" t="s">
        <v>64</v>
      </c>
      <c r="C29" s="73" t="s">
        <v>192</v>
      </c>
      <c r="D29" s="79"/>
      <c r="E29" s="75"/>
      <c r="F29" s="76"/>
      <c r="G29" s="46"/>
      <c r="H29" s="60" t="s">
        <v>531</v>
      </c>
    </row>
    <row r="30" spans="1:8" s="60" customFormat="1" ht="24">
      <c r="A30" s="77"/>
      <c r="B30" s="73" t="s">
        <v>53</v>
      </c>
      <c r="C30" s="73" t="s">
        <v>54</v>
      </c>
      <c r="D30" s="74"/>
      <c r="E30" s="75"/>
      <c r="F30" s="76"/>
      <c r="G30" s="46"/>
      <c r="H30" s="60" t="s">
        <v>532</v>
      </c>
    </row>
    <row r="31" spans="1:8" s="60" customFormat="1" hidden="1">
      <c r="A31" s="77"/>
      <c r="B31" s="73" t="s">
        <v>191</v>
      </c>
      <c r="C31" s="73" t="s">
        <v>187</v>
      </c>
      <c r="D31" s="74"/>
      <c r="E31" s="75"/>
      <c r="F31" s="76"/>
      <c r="G31" s="46"/>
      <c r="H31" s="60" t="s">
        <v>531</v>
      </c>
    </row>
    <row r="32" spans="1:8" s="60" customFormat="1" ht="24" hidden="1">
      <c r="A32" s="77"/>
      <c r="B32" s="73" t="s">
        <v>64</v>
      </c>
      <c r="C32" s="73" t="s">
        <v>192</v>
      </c>
      <c r="D32" s="74"/>
      <c r="E32" s="75"/>
      <c r="F32" s="76"/>
      <c r="G32" s="46"/>
      <c r="H32" s="60" t="s">
        <v>531</v>
      </c>
    </row>
    <row r="33" spans="1:8" s="60" customFormat="1" ht="15" customHeight="1">
      <c r="A33" s="77"/>
      <c r="B33" s="73" t="s">
        <v>55</v>
      </c>
      <c r="C33" s="73" t="s">
        <v>56</v>
      </c>
      <c r="D33" s="74"/>
      <c r="E33" s="75"/>
      <c r="F33" s="76"/>
      <c r="G33" s="46"/>
      <c r="H33" s="60" t="s">
        <v>533</v>
      </c>
    </row>
    <row r="34" spans="1:8" s="60" customFormat="1" hidden="1">
      <c r="A34" s="77"/>
      <c r="B34" s="73" t="s">
        <v>191</v>
      </c>
      <c r="C34" s="73" t="s">
        <v>187</v>
      </c>
      <c r="D34" s="74"/>
      <c r="E34" s="75"/>
      <c r="F34" s="76"/>
      <c r="G34" s="46"/>
      <c r="H34" s="60" t="s">
        <v>531</v>
      </c>
    </row>
    <row r="35" spans="1:8" s="60" customFormat="1" ht="24" hidden="1">
      <c r="A35" s="78"/>
      <c r="B35" s="73" t="s">
        <v>64</v>
      </c>
      <c r="C35" s="73" t="s">
        <v>192</v>
      </c>
      <c r="D35" s="79"/>
      <c r="E35" s="75"/>
      <c r="F35" s="76"/>
      <c r="G35" s="46"/>
      <c r="H35" s="60" t="s">
        <v>531</v>
      </c>
    </row>
    <row r="36" spans="1:8" s="60" customFormat="1">
      <c r="A36" s="77"/>
      <c r="B36" s="73" t="s">
        <v>57</v>
      </c>
      <c r="C36" s="73" t="s">
        <v>58</v>
      </c>
      <c r="D36" s="74"/>
      <c r="E36" s="75"/>
      <c r="F36" s="76"/>
      <c r="G36" s="46"/>
      <c r="H36" s="60" t="s">
        <v>534</v>
      </c>
    </row>
    <row r="37" spans="1:8" s="60" customFormat="1" hidden="1">
      <c r="A37" s="77"/>
      <c r="B37" s="73" t="s">
        <v>191</v>
      </c>
      <c r="C37" s="73" t="s">
        <v>187</v>
      </c>
      <c r="D37" s="81"/>
      <c r="E37" s="75"/>
      <c r="F37" s="76"/>
      <c r="G37" s="46"/>
      <c r="H37" s="60" t="s">
        <v>531</v>
      </c>
    </row>
    <row r="38" spans="1:8" s="60" customFormat="1" ht="24" hidden="1">
      <c r="A38" s="77"/>
      <c r="B38" s="73" t="s">
        <v>64</v>
      </c>
      <c r="C38" s="73" t="s">
        <v>192</v>
      </c>
      <c r="D38" s="81"/>
      <c r="E38" s="75"/>
      <c r="F38" s="76"/>
      <c r="G38" s="46"/>
      <c r="H38" s="60" t="s">
        <v>531</v>
      </c>
    </row>
    <row r="39" spans="1:8" s="60" customFormat="1" ht="24">
      <c r="A39" s="72"/>
      <c r="B39" s="73" t="s">
        <v>59</v>
      </c>
      <c r="C39" s="73" t="s">
        <v>60</v>
      </c>
      <c r="D39" s="81"/>
      <c r="E39" s="75"/>
      <c r="F39" s="76"/>
      <c r="G39" s="46"/>
      <c r="H39" s="60" t="s">
        <v>535</v>
      </c>
    </row>
    <row r="40" spans="1:8" s="60" customFormat="1" hidden="1">
      <c r="A40" s="77"/>
      <c r="B40" s="73" t="s">
        <v>191</v>
      </c>
      <c r="C40" s="73" t="s">
        <v>187</v>
      </c>
      <c r="D40" s="81"/>
      <c r="E40" s="75"/>
      <c r="F40" s="76"/>
      <c r="G40" s="46"/>
    </row>
    <row r="41" spans="1:8" s="60" customFormat="1" ht="24" hidden="1">
      <c r="A41" s="72"/>
      <c r="B41" s="73" t="s">
        <v>64</v>
      </c>
      <c r="C41" s="73" t="s">
        <v>192</v>
      </c>
      <c r="D41" s="81"/>
      <c r="E41" s="75"/>
      <c r="F41" s="76"/>
      <c r="G41" s="46"/>
    </row>
    <row r="42" spans="1:8" s="60" customFormat="1" ht="15" customHeight="1">
      <c r="A42" s="77"/>
      <c r="B42" s="73"/>
      <c r="C42" s="100" t="s">
        <v>61</v>
      </c>
      <c r="D42" s="81"/>
      <c r="E42" s="75"/>
      <c r="F42" s="76"/>
      <c r="G42" s="46"/>
    </row>
    <row r="43" spans="1:8" s="60" customFormat="1" ht="36">
      <c r="A43" s="78"/>
      <c r="B43" s="73" t="s">
        <v>62</v>
      </c>
      <c r="C43" s="73" t="s">
        <v>63</v>
      </c>
      <c r="D43" s="79"/>
      <c r="E43" s="75"/>
      <c r="F43" s="76"/>
      <c r="G43" s="46"/>
    </row>
    <row r="44" spans="1:8" s="60" customFormat="1" hidden="1">
      <c r="A44" s="77"/>
      <c r="B44" s="73" t="s">
        <v>191</v>
      </c>
      <c r="C44" s="73" t="s">
        <v>187</v>
      </c>
      <c r="D44" s="74"/>
      <c r="E44" s="75"/>
      <c r="F44" s="76"/>
      <c r="G44" s="46"/>
    </row>
    <row r="45" spans="1:8" s="60" customFormat="1" ht="24" hidden="1">
      <c r="A45" s="77"/>
      <c r="B45" s="73" t="s">
        <v>64</v>
      </c>
      <c r="C45" s="73" t="s">
        <v>192</v>
      </c>
      <c r="D45" s="81"/>
      <c r="E45" s="75"/>
      <c r="F45" s="76"/>
      <c r="G45" s="46"/>
    </row>
    <row r="46" spans="1:8" s="64" customFormat="1" ht="27" customHeight="1">
      <c r="A46" s="67" t="s">
        <v>34</v>
      </c>
      <c r="B46" s="830" t="s">
        <v>65</v>
      </c>
      <c r="C46" s="830"/>
      <c r="D46" s="82" t="s">
        <v>214</v>
      </c>
      <c r="E46" s="101">
        <v>24853717500</v>
      </c>
      <c r="F46" s="70">
        <v>1</v>
      </c>
      <c r="G46" s="102">
        <v>24853717500</v>
      </c>
    </row>
    <row r="47" spans="1:8" s="60" customFormat="1" ht="24">
      <c r="A47" s="72"/>
      <c r="B47" s="73" t="s">
        <v>66</v>
      </c>
      <c r="C47" s="73" t="s">
        <v>67</v>
      </c>
      <c r="D47" s="81"/>
      <c r="E47" s="75"/>
      <c r="F47" s="76"/>
      <c r="G47" s="46"/>
      <c r="H47" s="60" t="s">
        <v>536</v>
      </c>
    </row>
    <row r="48" spans="1:8" s="60" customFormat="1">
      <c r="A48" s="77"/>
      <c r="B48" s="73" t="s">
        <v>68</v>
      </c>
      <c r="C48" s="73" t="s">
        <v>69</v>
      </c>
      <c r="D48" s="81"/>
      <c r="E48" s="75"/>
      <c r="F48" s="76"/>
      <c r="G48" s="46"/>
      <c r="H48" s="60" t="s">
        <v>537</v>
      </c>
    </row>
    <row r="49" spans="1:8" s="60" customFormat="1" ht="16.5" customHeight="1">
      <c r="A49" s="72"/>
      <c r="B49" s="73" t="s">
        <v>70</v>
      </c>
      <c r="C49" s="73" t="s">
        <v>71</v>
      </c>
      <c r="D49" s="81"/>
      <c r="E49" s="75"/>
      <c r="F49" s="76"/>
      <c r="G49" s="46"/>
      <c r="H49" s="60" t="s">
        <v>538</v>
      </c>
    </row>
    <row r="50" spans="1:8" s="60" customFormat="1" ht="24">
      <c r="A50" s="77"/>
      <c r="B50" s="73"/>
      <c r="C50" s="100" t="s">
        <v>72</v>
      </c>
      <c r="D50" s="74"/>
      <c r="E50" s="75"/>
      <c r="F50" s="76"/>
      <c r="G50" s="46"/>
    </row>
    <row r="51" spans="1:8" s="60" customFormat="1" ht="24">
      <c r="A51" s="72"/>
      <c r="B51" s="73" t="s">
        <v>188</v>
      </c>
      <c r="C51" s="73" t="s">
        <v>189</v>
      </c>
      <c r="D51" s="81"/>
      <c r="E51" s="75"/>
      <c r="F51" s="76"/>
      <c r="G51" s="46"/>
      <c r="H51" s="60" t="s">
        <v>539</v>
      </c>
    </row>
    <row r="52" spans="1:8" s="60" customFormat="1" hidden="1">
      <c r="A52" s="77"/>
      <c r="B52" s="73" t="s">
        <v>86</v>
      </c>
      <c r="C52" s="73" t="s">
        <v>42</v>
      </c>
      <c r="D52" s="74"/>
      <c r="E52" s="75"/>
      <c r="F52" s="76"/>
      <c r="G52" s="46"/>
    </row>
    <row r="53" spans="1:8" s="60" customFormat="1" ht="24" hidden="1">
      <c r="A53" s="78"/>
      <c r="B53" s="73" t="s">
        <v>87</v>
      </c>
      <c r="C53" s="73" t="s">
        <v>190</v>
      </c>
      <c r="D53" s="74"/>
      <c r="E53" s="75"/>
      <c r="F53" s="76"/>
      <c r="G53" s="46"/>
    </row>
    <row r="54" spans="1:8" s="60" customFormat="1">
      <c r="A54" s="72"/>
      <c r="B54" s="73"/>
      <c r="C54" s="99" t="s">
        <v>75</v>
      </c>
      <c r="D54" s="74"/>
      <c r="E54" s="75"/>
      <c r="F54" s="76"/>
      <c r="G54" s="46"/>
    </row>
    <row r="55" spans="1:8" s="60" customFormat="1" ht="24">
      <c r="A55" s="77"/>
      <c r="B55" s="73" t="s">
        <v>76</v>
      </c>
      <c r="C55" s="73" t="s">
        <v>77</v>
      </c>
      <c r="D55" s="74"/>
      <c r="E55" s="75"/>
      <c r="F55" s="76"/>
      <c r="G55" s="46"/>
      <c r="H55" s="60" t="s">
        <v>540</v>
      </c>
    </row>
    <row r="56" spans="1:8" s="60" customFormat="1">
      <c r="A56" s="67" t="s">
        <v>216</v>
      </c>
      <c r="B56" s="830" t="s">
        <v>78</v>
      </c>
      <c r="C56" s="830"/>
      <c r="D56" s="68" t="s">
        <v>214</v>
      </c>
      <c r="E56" s="69">
        <v>1799959000</v>
      </c>
      <c r="F56" s="70">
        <v>5</v>
      </c>
      <c r="G56" s="71">
        <v>8999795000</v>
      </c>
    </row>
    <row r="57" spans="1:8" s="62" customFormat="1">
      <c r="A57" s="72"/>
      <c r="B57" s="73"/>
      <c r="C57" s="73" t="s">
        <v>79</v>
      </c>
      <c r="D57" s="74"/>
      <c r="E57" s="75"/>
      <c r="F57" s="76"/>
      <c r="G57" s="46"/>
    </row>
    <row r="58" spans="1:8" s="62" customFormat="1" ht="24">
      <c r="A58" s="72"/>
      <c r="B58" s="73" t="s">
        <v>80</v>
      </c>
      <c r="C58" s="73" t="s">
        <v>81</v>
      </c>
      <c r="D58" s="74"/>
      <c r="E58" s="75"/>
      <c r="F58" s="76"/>
      <c r="G58" s="46"/>
      <c r="H58" s="62" t="s">
        <v>541</v>
      </c>
    </row>
    <row r="59" spans="1:8" s="62" customFormat="1" ht="24">
      <c r="A59" s="72"/>
      <c r="B59" s="73" t="s">
        <v>82</v>
      </c>
      <c r="C59" s="73" t="s">
        <v>35</v>
      </c>
      <c r="D59" s="74"/>
      <c r="E59" s="75"/>
      <c r="F59" s="76"/>
      <c r="G59" s="46"/>
      <c r="H59" s="62" t="s">
        <v>542</v>
      </c>
    </row>
    <row r="60" spans="1:8" s="62" customFormat="1">
      <c r="A60" s="72"/>
      <c r="B60" s="73"/>
      <c r="C60" s="73" t="s">
        <v>83</v>
      </c>
      <c r="D60" s="74"/>
      <c r="E60" s="75"/>
      <c r="F60" s="76"/>
      <c r="G60" s="46"/>
    </row>
    <row r="61" spans="1:8" s="62" customFormat="1">
      <c r="A61" s="72"/>
      <c r="B61" s="73" t="s">
        <v>84</v>
      </c>
      <c r="C61" s="73" t="s">
        <v>85</v>
      </c>
      <c r="D61" s="74"/>
      <c r="E61" s="75"/>
      <c r="F61" s="76"/>
      <c r="G61" s="46"/>
      <c r="H61" s="62" t="s">
        <v>543</v>
      </c>
    </row>
    <row r="62" spans="1:8" s="62" customFormat="1">
      <c r="A62" s="72"/>
      <c r="B62" s="73" t="s">
        <v>73</v>
      </c>
      <c r="C62" s="73" t="s">
        <v>193</v>
      </c>
      <c r="D62" s="74"/>
      <c r="E62" s="75"/>
      <c r="F62" s="76"/>
      <c r="G62" s="46"/>
      <c r="H62" s="62" t="s">
        <v>543</v>
      </c>
    </row>
    <row r="63" spans="1:8" s="62" customFormat="1" hidden="1">
      <c r="A63" s="72"/>
      <c r="B63" s="73" t="s">
        <v>86</v>
      </c>
      <c r="C63" s="73" t="s">
        <v>42</v>
      </c>
      <c r="D63" s="74"/>
      <c r="E63" s="75"/>
      <c r="F63" s="76"/>
      <c r="G63" s="46"/>
    </row>
    <row r="64" spans="1:8" s="62" customFormat="1" ht="24" hidden="1">
      <c r="A64" s="72"/>
      <c r="B64" s="73" t="s">
        <v>87</v>
      </c>
      <c r="C64" s="73" t="s">
        <v>190</v>
      </c>
      <c r="D64" s="74"/>
      <c r="E64" s="75"/>
      <c r="F64" s="76"/>
      <c r="G64" s="46"/>
    </row>
    <row r="65" spans="1:7" s="65" customFormat="1">
      <c r="A65" s="67" t="s">
        <v>217</v>
      </c>
      <c r="B65" s="830" t="s">
        <v>88</v>
      </c>
      <c r="C65" s="830"/>
      <c r="D65" s="68" t="s">
        <v>214</v>
      </c>
      <c r="E65" s="69">
        <v>1825057000</v>
      </c>
      <c r="F65" s="70">
        <v>4</v>
      </c>
      <c r="G65" s="71">
        <v>7300228000</v>
      </c>
    </row>
    <row r="66" spans="1:7" s="62" customFormat="1">
      <c r="A66" s="77"/>
      <c r="B66" s="73"/>
      <c r="C66" s="73" t="s">
        <v>89</v>
      </c>
      <c r="D66" s="74"/>
      <c r="E66" s="75"/>
      <c r="F66" s="76"/>
      <c r="G66" s="46"/>
    </row>
    <row r="67" spans="1:7" s="62" customFormat="1">
      <c r="A67" s="77"/>
      <c r="B67" s="73" t="s">
        <v>90</v>
      </c>
      <c r="C67" s="73" t="s">
        <v>91</v>
      </c>
      <c r="D67" s="74"/>
      <c r="E67" s="75"/>
      <c r="F67" s="76"/>
      <c r="G67" s="46"/>
    </row>
    <row r="68" spans="1:7" s="62" customFormat="1">
      <c r="A68" s="77"/>
      <c r="B68" s="73" t="s">
        <v>92</v>
      </c>
      <c r="C68" s="73" t="s">
        <v>93</v>
      </c>
      <c r="D68" s="74"/>
      <c r="E68" s="75"/>
      <c r="F68" s="76"/>
      <c r="G68" s="46"/>
    </row>
    <row r="69" spans="1:7" s="62" customFormat="1" ht="24">
      <c r="A69" s="77"/>
      <c r="B69" s="73" t="s">
        <v>94</v>
      </c>
      <c r="C69" s="73" t="s">
        <v>95</v>
      </c>
      <c r="D69" s="74"/>
      <c r="E69" s="75"/>
      <c r="F69" s="76"/>
      <c r="G69" s="46"/>
    </row>
    <row r="70" spans="1:7" s="62" customFormat="1" ht="36">
      <c r="A70" s="77"/>
      <c r="B70" s="73" t="s">
        <v>96</v>
      </c>
      <c r="C70" s="73" t="s">
        <v>97</v>
      </c>
      <c r="D70" s="74"/>
      <c r="E70" s="75"/>
      <c r="F70" s="76"/>
      <c r="G70" s="46"/>
    </row>
    <row r="71" spans="1:7" s="62" customFormat="1" ht="15.95" customHeight="1">
      <c r="A71" s="67" t="s">
        <v>218</v>
      </c>
      <c r="B71" s="830" t="s">
        <v>98</v>
      </c>
      <c r="C71" s="830"/>
      <c r="D71" s="68" t="s">
        <v>214</v>
      </c>
      <c r="E71" s="69">
        <v>141517000</v>
      </c>
      <c r="F71" s="70">
        <v>1</v>
      </c>
      <c r="G71" s="71">
        <v>141517000</v>
      </c>
    </row>
    <row r="72" spans="1:7" s="62" customFormat="1">
      <c r="A72" s="77"/>
      <c r="B72" s="73"/>
      <c r="C72" s="73" t="s">
        <v>89</v>
      </c>
      <c r="D72" s="74"/>
      <c r="E72" s="75"/>
      <c r="F72" s="76"/>
      <c r="G72" s="46"/>
    </row>
    <row r="73" spans="1:7" s="62" customFormat="1" ht="24">
      <c r="A73" s="77"/>
      <c r="B73" s="73" t="s">
        <v>99</v>
      </c>
      <c r="C73" s="73" t="s">
        <v>194</v>
      </c>
      <c r="D73" s="81"/>
      <c r="E73" s="75"/>
      <c r="F73" s="76"/>
      <c r="G73" s="46"/>
    </row>
    <row r="74" spans="1:7" s="65" customFormat="1" ht="21" customHeight="1">
      <c r="A74" s="67" t="s">
        <v>219</v>
      </c>
      <c r="B74" s="830" t="s">
        <v>100</v>
      </c>
      <c r="C74" s="830"/>
      <c r="D74" s="82" t="s">
        <v>221</v>
      </c>
      <c r="E74" s="69">
        <v>3360500</v>
      </c>
      <c r="F74" s="70">
        <v>56</v>
      </c>
      <c r="G74" s="71">
        <v>188188000</v>
      </c>
    </row>
    <row r="75" spans="1:7" s="62" customFormat="1">
      <c r="A75" s="72"/>
      <c r="B75" s="73"/>
      <c r="C75" s="73" t="s">
        <v>89</v>
      </c>
      <c r="D75" s="81"/>
      <c r="E75" s="75"/>
      <c r="F75" s="76"/>
      <c r="G75" s="46"/>
    </row>
    <row r="76" spans="1:7" s="62" customFormat="1" ht="17.25" customHeight="1">
      <c r="A76" s="77"/>
      <c r="B76" s="73" t="s">
        <v>101</v>
      </c>
      <c r="C76" s="73" t="s">
        <v>102</v>
      </c>
      <c r="D76" s="81"/>
      <c r="E76" s="75"/>
      <c r="F76" s="76"/>
      <c r="G76" s="46"/>
    </row>
    <row r="77" spans="1:7" s="62" customFormat="1">
      <c r="A77" s="80" t="s">
        <v>220</v>
      </c>
      <c r="B77" s="830" t="s">
        <v>103</v>
      </c>
      <c r="C77" s="830"/>
      <c r="D77" s="82" t="s">
        <v>222</v>
      </c>
      <c r="E77" s="69">
        <v>7708000</v>
      </c>
      <c r="F77" s="70">
        <v>56</v>
      </c>
      <c r="G77" s="71">
        <v>431648000</v>
      </c>
    </row>
    <row r="78" spans="1:7" s="62" customFormat="1">
      <c r="A78" s="77"/>
      <c r="B78" s="73"/>
      <c r="C78" s="73" t="s">
        <v>89</v>
      </c>
      <c r="D78" s="81"/>
      <c r="E78" s="75"/>
      <c r="F78" s="76"/>
      <c r="G78" s="46"/>
    </row>
    <row r="79" spans="1:7" s="62" customFormat="1" ht="36">
      <c r="A79" s="78"/>
      <c r="B79" s="73" t="s">
        <v>104</v>
      </c>
      <c r="C79" s="73" t="s">
        <v>105</v>
      </c>
      <c r="D79" s="79"/>
      <c r="E79" s="75"/>
      <c r="F79" s="76"/>
      <c r="G79" s="46"/>
    </row>
    <row r="80" spans="1:7" s="62" customFormat="1">
      <c r="A80" s="67" t="s">
        <v>223</v>
      </c>
      <c r="B80" s="830" t="s">
        <v>106</v>
      </c>
      <c r="C80" s="830"/>
      <c r="D80" s="82" t="s">
        <v>222</v>
      </c>
      <c r="E80" s="69">
        <v>34192500</v>
      </c>
      <c r="F80" s="70">
        <v>56</v>
      </c>
      <c r="G80" s="71">
        <v>1914780000</v>
      </c>
    </row>
    <row r="81" spans="1:7" s="62" customFormat="1">
      <c r="A81" s="77"/>
      <c r="B81" s="73"/>
      <c r="C81" s="73" t="s">
        <v>89</v>
      </c>
      <c r="D81" s="81"/>
      <c r="E81" s="75"/>
      <c r="F81" s="76"/>
      <c r="G81" s="46"/>
    </row>
    <row r="82" spans="1:7" s="62" customFormat="1" ht="48">
      <c r="A82" s="77"/>
      <c r="B82" s="73" t="s">
        <v>107</v>
      </c>
      <c r="C82" s="73" t="s">
        <v>108</v>
      </c>
      <c r="D82" s="81"/>
      <c r="E82" s="75"/>
      <c r="F82" s="76"/>
      <c r="G82" s="46"/>
    </row>
    <row r="83" spans="1:7" s="62" customFormat="1" ht="26.25" customHeight="1">
      <c r="A83" s="80" t="s">
        <v>224</v>
      </c>
      <c r="B83" s="830" t="s">
        <v>109</v>
      </c>
      <c r="C83" s="830"/>
      <c r="D83" s="82" t="s">
        <v>222</v>
      </c>
      <c r="E83" s="69">
        <v>13442000</v>
      </c>
      <c r="F83" s="70">
        <v>63</v>
      </c>
      <c r="G83" s="71">
        <v>846846000</v>
      </c>
    </row>
    <row r="84" spans="1:7" s="62" customFormat="1">
      <c r="A84" s="77"/>
      <c r="B84" s="73"/>
      <c r="C84" s="73" t="s">
        <v>89</v>
      </c>
      <c r="D84" s="81"/>
      <c r="E84" s="75"/>
      <c r="F84" s="76"/>
      <c r="G84" s="46"/>
    </row>
    <row r="85" spans="1:7" s="62" customFormat="1" ht="36">
      <c r="A85" s="72"/>
      <c r="B85" s="73" t="s">
        <v>110</v>
      </c>
      <c r="C85" s="73" t="s">
        <v>111</v>
      </c>
      <c r="D85" s="81"/>
      <c r="E85" s="75"/>
      <c r="F85" s="76"/>
      <c r="G85" s="46"/>
    </row>
    <row r="86" spans="1:7" s="66" customFormat="1">
      <c r="A86" s="67" t="s">
        <v>199</v>
      </c>
      <c r="B86" s="830" t="s">
        <v>200</v>
      </c>
      <c r="C86" s="830"/>
      <c r="D86" s="68" t="s">
        <v>243</v>
      </c>
      <c r="E86" s="69">
        <v>0</v>
      </c>
      <c r="F86" s="70">
        <v>18</v>
      </c>
      <c r="G86" s="71">
        <v>0</v>
      </c>
    </row>
    <row r="87" spans="1:7" s="62" customFormat="1">
      <c r="A87" s="72"/>
      <c r="B87" s="73"/>
      <c r="C87" s="73" t="s">
        <v>89</v>
      </c>
      <c r="D87" s="81"/>
      <c r="E87" s="75"/>
      <c r="F87" s="76"/>
      <c r="G87" s="46"/>
    </row>
    <row r="88" spans="1:7" s="62" customFormat="1">
      <c r="A88" s="77"/>
      <c r="B88" s="73" t="s">
        <v>201</v>
      </c>
      <c r="C88" s="73" t="s">
        <v>202</v>
      </c>
      <c r="D88" s="74"/>
      <c r="E88" s="75"/>
      <c r="F88" s="76"/>
      <c r="G88" s="46"/>
    </row>
    <row r="89" spans="1:7" s="66" customFormat="1" ht="27.75" customHeight="1">
      <c r="A89" s="67" t="s">
        <v>225</v>
      </c>
      <c r="B89" s="834" t="s">
        <v>112</v>
      </c>
      <c r="C89" s="834"/>
      <c r="D89" s="68" t="s">
        <v>222</v>
      </c>
      <c r="E89" s="69">
        <v>10081500</v>
      </c>
      <c r="F89" s="70">
        <v>4</v>
      </c>
      <c r="G89" s="71">
        <v>40326000</v>
      </c>
    </row>
    <row r="90" spans="1:7" s="62" customFormat="1">
      <c r="A90" s="77"/>
      <c r="B90" s="73"/>
      <c r="C90" s="73" t="s">
        <v>89</v>
      </c>
      <c r="D90" s="74"/>
      <c r="E90" s="75"/>
      <c r="F90" s="76"/>
      <c r="G90" s="46"/>
    </row>
    <row r="91" spans="1:7" s="62" customFormat="1" ht="36">
      <c r="A91" s="77"/>
      <c r="B91" s="73" t="s">
        <v>113</v>
      </c>
      <c r="C91" s="73" t="s">
        <v>114</v>
      </c>
      <c r="D91" s="74"/>
      <c r="E91" s="75"/>
      <c r="F91" s="76"/>
      <c r="G91" s="46"/>
    </row>
    <row r="92" spans="1:7" s="66" customFormat="1" ht="20.25" customHeight="1">
      <c r="A92" s="67" t="s">
        <v>203</v>
      </c>
      <c r="B92" s="830" t="s">
        <v>204</v>
      </c>
      <c r="C92" s="830"/>
      <c r="D92" s="68" t="s">
        <v>243</v>
      </c>
      <c r="E92" s="69">
        <v>5381500</v>
      </c>
      <c r="F92" s="70">
        <v>18</v>
      </c>
      <c r="G92" s="71">
        <v>96867000</v>
      </c>
    </row>
    <row r="93" spans="1:7" s="62" customFormat="1">
      <c r="A93" s="72"/>
      <c r="B93" s="73"/>
      <c r="C93" s="73" t="s">
        <v>89</v>
      </c>
      <c r="D93" s="74"/>
      <c r="E93" s="75"/>
      <c r="F93" s="76"/>
      <c r="G93" s="46"/>
    </row>
    <row r="94" spans="1:7" s="62" customFormat="1" ht="47.25" customHeight="1">
      <c r="A94" s="77"/>
      <c r="B94" s="73" t="s">
        <v>205</v>
      </c>
      <c r="C94" s="73" t="s">
        <v>206</v>
      </c>
      <c r="D94" s="74"/>
      <c r="E94" s="75"/>
      <c r="F94" s="76"/>
      <c r="G94" s="46"/>
    </row>
    <row r="95" spans="1:7" s="66" customFormat="1" ht="36" customHeight="1">
      <c r="A95" s="80" t="s">
        <v>226</v>
      </c>
      <c r="B95" s="830" t="s">
        <v>115</v>
      </c>
      <c r="C95" s="830"/>
      <c r="D95" s="68" t="s">
        <v>222</v>
      </c>
      <c r="E95" s="69">
        <v>16802500</v>
      </c>
      <c r="F95" s="70">
        <v>1</v>
      </c>
      <c r="G95" s="71">
        <v>16802500</v>
      </c>
    </row>
    <row r="96" spans="1:7" s="62" customFormat="1">
      <c r="A96" s="78"/>
      <c r="B96" s="73"/>
      <c r="C96" s="73" t="s">
        <v>89</v>
      </c>
      <c r="D96" s="79"/>
      <c r="E96" s="75"/>
      <c r="F96" s="76"/>
      <c r="G96" s="46"/>
    </row>
    <row r="97" spans="1:7" s="62" customFormat="1" ht="34.5" customHeight="1">
      <c r="A97" s="72"/>
      <c r="B97" s="73" t="s">
        <v>116</v>
      </c>
      <c r="C97" s="73" t="s">
        <v>117</v>
      </c>
      <c r="D97" s="74"/>
      <c r="E97" s="75"/>
      <c r="F97" s="76"/>
      <c r="G97" s="46"/>
    </row>
    <row r="98" spans="1:7" s="66" customFormat="1">
      <c r="A98" s="80" t="s">
        <v>227</v>
      </c>
      <c r="B98" s="830" t="s">
        <v>118</v>
      </c>
      <c r="C98" s="830"/>
      <c r="D98" s="68" t="s">
        <v>214</v>
      </c>
      <c r="E98" s="69">
        <v>145112500</v>
      </c>
      <c r="F98" s="70">
        <v>1</v>
      </c>
      <c r="G98" s="71">
        <v>145112500</v>
      </c>
    </row>
    <row r="99" spans="1:7" s="62" customFormat="1">
      <c r="A99" s="72"/>
      <c r="B99" s="73"/>
      <c r="C99" s="73" t="s">
        <v>89</v>
      </c>
      <c r="D99" s="74"/>
      <c r="E99" s="75"/>
      <c r="F99" s="76"/>
      <c r="G99" s="46"/>
    </row>
    <row r="100" spans="1:7" s="62" customFormat="1" ht="24">
      <c r="A100" s="72"/>
      <c r="B100" s="73" t="s">
        <v>119</v>
      </c>
      <c r="C100" s="73" t="s">
        <v>120</v>
      </c>
      <c r="D100" s="74"/>
      <c r="E100" s="75"/>
      <c r="F100" s="76"/>
      <c r="G100" s="46"/>
    </row>
    <row r="101" spans="1:7" s="66" customFormat="1">
      <c r="A101" s="80" t="s">
        <v>228</v>
      </c>
      <c r="B101" s="830" t="s">
        <v>118</v>
      </c>
      <c r="C101" s="830"/>
      <c r="D101" s="68"/>
      <c r="E101" s="69">
        <v>163654000</v>
      </c>
      <c r="F101" s="70">
        <v>1</v>
      </c>
      <c r="G101" s="71">
        <v>163654000</v>
      </c>
    </row>
    <row r="102" spans="1:7" s="62" customFormat="1">
      <c r="A102" s="72"/>
      <c r="B102" s="73"/>
      <c r="C102" s="73" t="s">
        <v>89</v>
      </c>
      <c r="D102" s="74"/>
      <c r="E102" s="75"/>
      <c r="F102" s="76"/>
      <c r="G102" s="46"/>
    </row>
    <row r="103" spans="1:7" s="62" customFormat="1" ht="24">
      <c r="A103" s="72"/>
      <c r="B103" s="73" t="s">
        <v>121</v>
      </c>
      <c r="C103" s="73" t="s">
        <v>122</v>
      </c>
      <c r="D103" s="74"/>
      <c r="E103" s="75"/>
      <c r="F103" s="76"/>
      <c r="G103" s="46"/>
    </row>
    <row r="104" spans="1:7" s="66" customFormat="1">
      <c r="A104" s="80" t="s">
        <v>229</v>
      </c>
      <c r="B104" s="830" t="s">
        <v>123</v>
      </c>
      <c r="C104" s="830"/>
      <c r="D104" s="68" t="s">
        <v>214</v>
      </c>
      <c r="E104" s="69">
        <v>135595000</v>
      </c>
      <c r="F104" s="70">
        <v>1</v>
      </c>
      <c r="G104" s="71">
        <v>135595000</v>
      </c>
    </row>
    <row r="105" spans="1:7" s="62" customFormat="1">
      <c r="A105" s="78"/>
      <c r="B105" s="73"/>
      <c r="C105" s="73" t="s">
        <v>89</v>
      </c>
      <c r="D105" s="79"/>
      <c r="E105" s="75"/>
      <c r="F105" s="76"/>
      <c r="G105" s="46"/>
    </row>
    <row r="106" spans="1:7" s="62" customFormat="1">
      <c r="A106" s="77"/>
      <c r="B106" s="73" t="s">
        <v>124</v>
      </c>
      <c r="C106" s="73" t="s">
        <v>195</v>
      </c>
      <c r="D106" s="74"/>
      <c r="E106" s="75"/>
      <c r="F106" s="76"/>
      <c r="G106" s="46"/>
    </row>
    <row r="107" spans="1:7" s="66" customFormat="1">
      <c r="A107" s="67" t="s">
        <v>230</v>
      </c>
      <c r="B107" s="830" t="s">
        <v>123</v>
      </c>
      <c r="C107" s="830"/>
      <c r="D107" s="68" t="s">
        <v>214</v>
      </c>
      <c r="E107" s="69">
        <v>287898500</v>
      </c>
      <c r="F107" s="70">
        <v>1</v>
      </c>
      <c r="G107" s="71">
        <v>287898500</v>
      </c>
    </row>
    <row r="108" spans="1:7" s="62" customFormat="1">
      <c r="A108" s="77"/>
      <c r="B108" s="73"/>
      <c r="C108" s="73" t="s">
        <v>89</v>
      </c>
      <c r="D108" s="74"/>
      <c r="E108" s="75"/>
      <c r="F108" s="76"/>
      <c r="G108" s="46"/>
    </row>
    <row r="109" spans="1:7" s="62" customFormat="1" ht="24">
      <c r="A109" s="77"/>
      <c r="B109" s="73" t="s">
        <v>125</v>
      </c>
      <c r="C109" s="73" t="s">
        <v>126</v>
      </c>
      <c r="D109" s="74"/>
      <c r="E109" s="75"/>
      <c r="F109" s="76"/>
      <c r="G109" s="46"/>
    </row>
    <row r="110" spans="1:7" s="66" customFormat="1">
      <c r="A110" s="67" t="s">
        <v>231</v>
      </c>
      <c r="B110" s="830" t="s">
        <v>127</v>
      </c>
      <c r="C110" s="830"/>
      <c r="D110" s="68" t="s">
        <v>214</v>
      </c>
      <c r="E110" s="69">
        <v>68244000</v>
      </c>
      <c r="F110" s="70">
        <v>1</v>
      </c>
      <c r="G110" s="71">
        <v>68244000</v>
      </c>
    </row>
    <row r="111" spans="1:7" s="62" customFormat="1">
      <c r="A111" s="77"/>
      <c r="B111" s="73"/>
      <c r="C111" s="73" t="s">
        <v>89</v>
      </c>
      <c r="D111" s="74"/>
      <c r="E111" s="75"/>
      <c r="F111" s="76"/>
      <c r="G111" s="46"/>
    </row>
    <row r="112" spans="1:7" s="62" customFormat="1" ht="24">
      <c r="A112" s="77"/>
      <c r="B112" s="73" t="s">
        <v>128</v>
      </c>
      <c r="C112" s="73" t="s">
        <v>129</v>
      </c>
      <c r="D112" s="81"/>
      <c r="E112" s="75"/>
      <c r="F112" s="76"/>
      <c r="G112" s="46"/>
    </row>
    <row r="113" spans="1:7" s="66" customFormat="1">
      <c r="A113" s="67" t="s">
        <v>232</v>
      </c>
      <c r="B113" s="830" t="s">
        <v>127</v>
      </c>
      <c r="C113" s="830"/>
      <c r="D113" s="68" t="s">
        <v>214</v>
      </c>
      <c r="E113" s="69">
        <v>68244000</v>
      </c>
      <c r="F113" s="70">
        <v>1</v>
      </c>
      <c r="G113" s="71">
        <v>68244000</v>
      </c>
    </row>
    <row r="114" spans="1:7" s="62" customFormat="1">
      <c r="A114" s="72"/>
      <c r="B114" s="73"/>
      <c r="C114" s="73" t="s">
        <v>89</v>
      </c>
      <c r="D114" s="81"/>
      <c r="E114" s="75"/>
      <c r="F114" s="76"/>
      <c r="G114" s="46"/>
    </row>
    <row r="115" spans="1:7" s="62" customFormat="1" ht="24">
      <c r="A115" s="77"/>
      <c r="B115" s="73" t="s">
        <v>128</v>
      </c>
      <c r="C115" s="73" t="s">
        <v>129</v>
      </c>
      <c r="D115" s="81"/>
      <c r="E115" s="75"/>
      <c r="F115" s="76"/>
      <c r="G115" s="46"/>
    </row>
    <row r="116" spans="1:7" s="66" customFormat="1">
      <c r="A116" s="80" t="s">
        <v>233</v>
      </c>
      <c r="B116" s="830" t="s">
        <v>130</v>
      </c>
      <c r="C116" s="830"/>
      <c r="D116" s="82" t="s">
        <v>214</v>
      </c>
      <c r="E116" s="69">
        <v>608532500</v>
      </c>
      <c r="F116" s="70">
        <v>1</v>
      </c>
      <c r="G116" s="71">
        <v>608532500</v>
      </c>
    </row>
    <row r="117" spans="1:7" s="62" customFormat="1">
      <c r="A117" s="77"/>
      <c r="B117" s="73"/>
      <c r="C117" s="73" t="s">
        <v>89</v>
      </c>
      <c r="D117" s="81"/>
      <c r="E117" s="75"/>
      <c r="F117" s="76"/>
      <c r="G117" s="46"/>
    </row>
    <row r="118" spans="1:7" s="62" customFormat="1" ht="24">
      <c r="A118" s="78"/>
      <c r="B118" s="73" t="s">
        <v>131</v>
      </c>
      <c r="C118" s="73" t="s">
        <v>132</v>
      </c>
      <c r="D118" s="79"/>
      <c r="E118" s="75"/>
      <c r="F118" s="76"/>
      <c r="G118" s="46"/>
    </row>
    <row r="119" spans="1:7" s="66" customFormat="1">
      <c r="A119" s="67" t="s">
        <v>234</v>
      </c>
      <c r="B119" s="830" t="s">
        <v>133</v>
      </c>
      <c r="C119" s="830"/>
      <c r="D119" s="68" t="s">
        <v>214</v>
      </c>
      <c r="E119" s="69">
        <v>141517000</v>
      </c>
      <c r="F119" s="70">
        <v>1</v>
      </c>
      <c r="G119" s="71">
        <v>141517000</v>
      </c>
    </row>
    <row r="120" spans="1:7" s="62" customFormat="1">
      <c r="A120" s="77"/>
      <c r="B120" s="73"/>
      <c r="C120" s="73" t="s">
        <v>89</v>
      </c>
      <c r="D120" s="81"/>
      <c r="E120" s="75"/>
      <c r="F120" s="76"/>
      <c r="G120" s="46"/>
    </row>
    <row r="121" spans="1:7" s="62" customFormat="1" ht="24">
      <c r="A121" s="77"/>
      <c r="B121" s="73" t="s">
        <v>99</v>
      </c>
      <c r="C121" s="73" t="s">
        <v>194</v>
      </c>
      <c r="D121" s="81"/>
      <c r="E121" s="75"/>
      <c r="F121" s="76"/>
      <c r="G121" s="46"/>
    </row>
    <row r="122" spans="1:7" s="62" customFormat="1">
      <c r="A122" s="80" t="s">
        <v>235</v>
      </c>
      <c r="B122" s="834" t="s">
        <v>134</v>
      </c>
      <c r="C122" s="834"/>
      <c r="D122" s="68" t="s">
        <v>214</v>
      </c>
      <c r="E122" s="69">
        <v>2231419000</v>
      </c>
      <c r="F122" s="70">
        <v>1</v>
      </c>
      <c r="G122" s="71">
        <v>2231419000</v>
      </c>
    </row>
    <row r="123" spans="1:7" s="62" customFormat="1">
      <c r="A123" s="77"/>
      <c r="B123" s="73"/>
      <c r="C123" s="73" t="s">
        <v>89</v>
      </c>
      <c r="D123" s="81"/>
      <c r="E123" s="75"/>
      <c r="F123" s="76"/>
      <c r="G123" s="46"/>
    </row>
    <row r="124" spans="1:7" s="62" customFormat="1">
      <c r="A124" s="72"/>
      <c r="B124" s="73" t="s">
        <v>135</v>
      </c>
      <c r="C124" s="73" t="s">
        <v>196</v>
      </c>
      <c r="D124" s="81"/>
      <c r="E124" s="75"/>
      <c r="F124" s="76"/>
      <c r="G124" s="46"/>
    </row>
    <row r="125" spans="1:7" s="62" customFormat="1">
      <c r="A125" s="77"/>
      <c r="B125" s="73" t="s">
        <v>136</v>
      </c>
      <c r="C125" s="73" t="s">
        <v>36</v>
      </c>
      <c r="D125" s="74"/>
      <c r="E125" s="75"/>
      <c r="F125" s="76"/>
      <c r="G125" s="46"/>
    </row>
    <row r="126" spans="1:7" s="62" customFormat="1">
      <c r="A126" s="72"/>
      <c r="B126" s="73" t="s">
        <v>137</v>
      </c>
      <c r="C126" s="73" t="s">
        <v>138</v>
      </c>
      <c r="D126" s="81"/>
      <c r="E126" s="75"/>
      <c r="F126" s="76"/>
      <c r="G126" s="46"/>
    </row>
    <row r="127" spans="1:7" s="62" customFormat="1">
      <c r="A127" s="77"/>
      <c r="B127" s="73" t="s">
        <v>37</v>
      </c>
      <c r="C127" s="73" t="s">
        <v>139</v>
      </c>
      <c r="D127" s="74"/>
      <c r="E127" s="75"/>
      <c r="F127" s="76"/>
      <c r="G127" s="46"/>
    </row>
    <row r="128" spans="1:7" s="62" customFormat="1">
      <c r="A128" s="67" t="s">
        <v>236</v>
      </c>
      <c r="B128" s="834" t="s">
        <v>140</v>
      </c>
      <c r="C128" s="834"/>
      <c r="D128" s="68" t="s">
        <v>222</v>
      </c>
      <c r="E128" s="69">
        <v>134302500</v>
      </c>
      <c r="F128" s="70">
        <v>1</v>
      </c>
      <c r="G128" s="71">
        <v>134302500</v>
      </c>
    </row>
    <row r="129" spans="1:7" s="62" customFormat="1">
      <c r="A129" s="77"/>
      <c r="B129" s="73"/>
      <c r="C129" s="73" t="s">
        <v>89</v>
      </c>
      <c r="D129" s="74"/>
      <c r="E129" s="75"/>
      <c r="F129" s="76"/>
      <c r="G129" s="46"/>
    </row>
    <row r="130" spans="1:7" s="62" customFormat="1" ht="24">
      <c r="A130" s="77"/>
      <c r="B130" s="73" t="s">
        <v>141</v>
      </c>
      <c r="C130" s="73" t="s">
        <v>142</v>
      </c>
      <c r="D130" s="74"/>
      <c r="E130" s="75"/>
      <c r="F130" s="76"/>
      <c r="G130" s="46"/>
    </row>
    <row r="131" spans="1:7" s="62" customFormat="1">
      <c r="A131" s="67" t="s">
        <v>237</v>
      </c>
      <c r="B131" s="830" t="s">
        <v>143</v>
      </c>
      <c r="C131" s="830"/>
      <c r="D131" s="68" t="s">
        <v>214</v>
      </c>
      <c r="E131" s="69">
        <v>13136500</v>
      </c>
      <c r="F131" s="70">
        <v>1</v>
      </c>
      <c r="G131" s="71">
        <v>13136500</v>
      </c>
    </row>
    <row r="132" spans="1:7" s="62" customFormat="1">
      <c r="A132" s="72"/>
      <c r="B132" s="73"/>
      <c r="C132" s="73" t="s">
        <v>89</v>
      </c>
      <c r="D132" s="81"/>
      <c r="E132" s="75"/>
      <c r="F132" s="76"/>
      <c r="G132" s="46"/>
    </row>
    <row r="133" spans="1:7" s="62" customFormat="1">
      <c r="A133" s="77" t="s">
        <v>238</v>
      </c>
      <c r="B133" s="73" t="s">
        <v>198</v>
      </c>
      <c r="C133" s="73" t="s">
        <v>144</v>
      </c>
      <c r="D133" s="74"/>
      <c r="E133" s="75"/>
      <c r="F133" s="76"/>
      <c r="G133" s="46"/>
    </row>
    <row r="134" spans="1:7">
      <c r="A134" s="67" t="s">
        <v>238</v>
      </c>
      <c r="B134" s="830" t="s">
        <v>145</v>
      </c>
      <c r="C134" s="830"/>
      <c r="D134" s="68" t="s">
        <v>214</v>
      </c>
      <c r="E134" s="69">
        <v>11068500</v>
      </c>
      <c r="F134" s="70">
        <v>1</v>
      </c>
      <c r="G134" s="71">
        <v>11068500</v>
      </c>
    </row>
    <row r="135" spans="1:7">
      <c r="A135" s="77"/>
      <c r="B135" s="73"/>
      <c r="C135" s="73" t="s">
        <v>89</v>
      </c>
      <c r="D135" s="74"/>
      <c r="E135" s="75"/>
      <c r="F135" s="76"/>
      <c r="G135" s="46"/>
    </row>
    <row r="136" spans="1:7">
      <c r="A136" s="77"/>
      <c r="B136" s="73" t="s">
        <v>197</v>
      </c>
      <c r="C136" s="73" t="s">
        <v>144</v>
      </c>
      <c r="D136" s="81"/>
      <c r="E136" s="75"/>
      <c r="F136" s="76"/>
      <c r="G136" s="46"/>
    </row>
    <row r="137" spans="1:7">
      <c r="A137" s="67" t="s">
        <v>239</v>
      </c>
      <c r="B137" s="830" t="s">
        <v>146</v>
      </c>
      <c r="C137" s="830"/>
      <c r="D137" s="82" t="s">
        <v>214</v>
      </c>
      <c r="E137" s="69">
        <v>3324897500</v>
      </c>
      <c r="F137" s="70">
        <v>1</v>
      </c>
      <c r="G137" s="71">
        <v>3324897500</v>
      </c>
    </row>
    <row r="138" spans="1:7">
      <c r="A138" s="72"/>
      <c r="B138" s="73"/>
      <c r="C138" s="73" t="s">
        <v>89</v>
      </c>
      <c r="D138" s="81"/>
      <c r="E138" s="75"/>
      <c r="F138" s="76"/>
      <c r="G138" s="46"/>
    </row>
    <row r="139" spans="1:7">
      <c r="A139" s="77"/>
      <c r="B139" s="73" t="s">
        <v>147</v>
      </c>
      <c r="C139" s="73" t="s">
        <v>148</v>
      </c>
      <c r="D139" s="81"/>
      <c r="E139" s="75"/>
      <c r="F139" s="76"/>
      <c r="G139" s="46"/>
    </row>
    <row r="140" spans="1:7">
      <c r="A140" s="72"/>
      <c r="B140" s="73" t="s">
        <v>149</v>
      </c>
      <c r="C140" s="73" t="s">
        <v>150</v>
      </c>
      <c r="D140" s="81"/>
      <c r="E140" s="75"/>
      <c r="F140" s="76"/>
      <c r="G140" s="46"/>
    </row>
    <row r="141" spans="1:7">
      <c r="A141" s="77"/>
      <c r="B141" s="73" t="s">
        <v>151</v>
      </c>
      <c r="C141" s="73" t="s">
        <v>152</v>
      </c>
      <c r="D141" s="81"/>
      <c r="E141" s="75"/>
      <c r="F141" s="76"/>
      <c r="G141" s="46"/>
    </row>
    <row r="142" spans="1:7">
      <c r="A142" s="78"/>
      <c r="B142" s="73" t="s">
        <v>153</v>
      </c>
      <c r="C142" s="73" t="s">
        <v>154</v>
      </c>
      <c r="D142" s="79"/>
      <c r="E142" s="75"/>
      <c r="F142" s="76"/>
      <c r="G142" s="46"/>
    </row>
    <row r="143" spans="1:7" ht="24" hidden="1">
      <c r="A143" s="77"/>
      <c r="B143" s="73" t="s">
        <v>155</v>
      </c>
      <c r="C143" s="73" t="s">
        <v>156</v>
      </c>
      <c r="D143" s="74"/>
      <c r="E143" s="75"/>
      <c r="F143" s="76"/>
      <c r="G143" s="46"/>
    </row>
    <row r="144" spans="1:7">
      <c r="A144" s="67" t="s">
        <v>240</v>
      </c>
      <c r="B144" s="830" t="s">
        <v>157</v>
      </c>
      <c r="C144" s="830"/>
      <c r="D144" s="82" t="s">
        <v>214</v>
      </c>
      <c r="E144" s="69">
        <v>11254150000</v>
      </c>
      <c r="F144" s="70">
        <v>1</v>
      </c>
      <c r="G144" s="71">
        <v>11254150000</v>
      </c>
    </row>
    <row r="145" spans="1:7">
      <c r="A145" s="77"/>
      <c r="B145" s="73"/>
      <c r="C145" s="73" t="s">
        <v>89</v>
      </c>
      <c r="D145" s="81"/>
      <c r="E145" s="75"/>
      <c r="F145" s="76"/>
      <c r="G145" s="46"/>
    </row>
    <row r="146" spans="1:7" ht="48">
      <c r="A146" s="72"/>
      <c r="B146" s="73" t="s">
        <v>158</v>
      </c>
      <c r="C146" s="73" t="s">
        <v>159</v>
      </c>
      <c r="D146" s="81"/>
      <c r="E146" s="75"/>
      <c r="F146" s="76"/>
      <c r="G146" s="46"/>
    </row>
    <row r="147" spans="1:7">
      <c r="A147" s="77"/>
      <c r="B147" s="73" t="s">
        <v>160</v>
      </c>
      <c r="C147" s="73" t="s">
        <v>161</v>
      </c>
      <c r="D147" s="81"/>
      <c r="E147" s="75"/>
      <c r="F147" s="76"/>
      <c r="G147" s="46"/>
    </row>
    <row r="148" spans="1:7">
      <c r="A148" s="72"/>
      <c r="B148" s="73"/>
      <c r="C148" s="73" t="s">
        <v>162</v>
      </c>
      <c r="D148" s="81"/>
      <c r="E148" s="75"/>
      <c r="F148" s="76"/>
      <c r="G148" s="46"/>
    </row>
    <row r="149" spans="1:7">
      <c r="A149" s="77"/>
      <c r="B149" s="73" t="s">
        <v>163</v>
      </c>
      <c r="C149" s="73" t="s">
        <v>164</v>
      </c>
      <c r="D149" s="74"/>
      <c r="E149" s="75"/>
      <c r="F149" s="76"/>
      <c r="G149" s="46"/>
    </row>
    <row r="150" spans="1:7">
      <c r="A150" s="72"/>
      <c r="B150" s="73" t="s">
        <v>165</v>
      </c>
      <c r="C150" s="73" t="s">
        <v>166</v>
      </c>
      <c r="D150" s="81"/>
      <c r="E150" s="75"/>
      <c r="F150" s="76"/>
      <c r="G150" s="46"/>
    </row>
    <row r="151" spans="1:7">
      <c r="A151" s="77"/>
      <c r="B151" s="73"/>
      <c r="C151" s="73" t="s">
        <v>167</v>
      </c>
      <c r="D151" s="74"/>
      <c r="E151" s="75"/>
      <c r="F151" s="76"/>
      <c r="G151" s="46"/>
    </row>
    <row r="152" spans="1:7" ht="24">
      <c r="A152" s="77"/>
      <c r="B152" s="73" t="s">
        <v>168</v>
      </c>
      <c r="C152" s="73" t="s">
        <v>169</v>
      </c>
      <c r="D152" s="74"/>
      <c r="E152" s="75"/>
      <c r="F152" s="76"/>
      <c r="G152" s="46"/>
    </row>
    <row r="153" spans="1:7">
      <c r="A153" s="77"/>
      <c r="B153" s="73" t="s">
        <v>170</v>
      </c>
      <c r="C153" s="73" t="s">
        <v>171</v>
      </c>
      <c r="D153" s="74"/>
      <c r="E153" s="75"/>
      <c r="F153" s="76"/>
      <c r="G153" s="46"/>
    </row>
    <row r="154" spans="1:7" ht="24">
      <c r="A154" s="77"/>
      <c r="B154" s="73" t="s">
        <v>172</v>
      </c>
      <c r="C154" s="73" t="s">
        <v>173</v>
      </c>
      <c r="D154" s="74"/>
      <c r="E154" s="75"/>
      <c r="F154" s="76"/>
      <c r="G154" s="46"/>
    </row>
    <row r="155" spans="1:7">
      <c r="A155" s="67" t="s">
        <v>174</v>
      </c>
      <c r="B155" s="830" t="s">
        <v>175</v>
      </c>
      <c r="C155" s="830"/>
      <c r="D155" s="68" t="s">
        <v>214</v>
      </c>
      <c r="E155" s="69">
        <v>0</v>
      </c>
      <c r="F155" s="70">
        <v>1</v>
      </c>
      <c r="G155" s="71">
        <v>0</v>
      </c>
    </row>
    <row r="156" spans="1:7" s="63" customFormat="1">
      <c r="A156" s="83"/>
      <c r="B156" s="73" t="s">
        <v>241</v>
      </c>
      <c r="C156" s="73" t="s">
        <v>242</v>
      </c>
      <c r="D156" s="84"/>
      <c r="E156" s="85"/>
      <c r="F156" s="86"/>
      <c r="G156" s="39"/>
    </row>
    <row r="157" spans="1:7" s="63" customFormat="1">
      <c r="A157" s="80" t="s">
        <v>176</v>
      </c>
      <c r="B157" s="830" t="s">
        <v>177</v>
      </c>
      <c r="C157" s="830"/>
      <c r="D157" s="68" t="s">
        <v>214</v>
      </c>
      <c r="E157" s="69">
        <v>0</v>
      </c>
      <c r="F157" s="70">
        <v>1</v>
      </c>
      <c r="G157" s="71">
        <v>0</v>
      </c>
    </row>
    <row r="158" spans="1:7" ht="24">
      <c r="A158" s="83"/>
      <c r="B158" s="73" t="s">
        <v>178</v>
      </c>
      <c r="C158" s="73" t="s">
        <v>178</v>
      </c>
      <c r="D158" s="84"/>
      <c r="E158" s="85"/>
      <c r="F158" s="86"/>
      <c r="G158" s="39"/>
    </row>
    <row r="159" spans="1:7">
      <c r="A159" s="80" t="s">
        <v>179</v>
      </c>
      <c r="B159" s="830" t="s">
        <v>180</v>
      </c>
      <c r="C159" s="830"/>
      <c r="D159" s="68" t="s">
        <v>214</v>
      </c>
      <c r="E159" s="69">
        <v>34046189000</v>
      </c>
      <c r="F159" s="70">
        <v>1</v>
      </c>
      <c r="G159" s="71">
        <v>34046189000</v>
      </c>
    </row>
    <row r="160" spans="1:7" ht="24">
      <c r="A160" s="83"/>
      <c r="B160" s="73" t="s">
        <v>181</v>
      </c>
      <c r="C160" s="73" t="s">
        <v>182</v>
      </c>
      <c r="D160" s="84"/>
      <c r="E160" s="85"/>
      <c r="F160" s="86"/>
      <c r="G160" s="39"/>
    </row>
    <row r="161" spans="1:7">
      <c r="A161" s="83"/>
      <c r="B161" s="73" t="s">
        <v>183</v>
      </c>
      <c r="C161" s="73" t="s">
        <v>184</v>
      </c>
      <c r="D161" s="84"/>
      <c r="E161" s="85"/>
      <c r="F161" s="86"/>
      <c r="G161" s="39"/>
    </row>
    <row r="162" spans="1:7" ht="24">
      <c r="A162" s="83"/>
      <c r="B162" s="73" t="s">
        <v>185</v>
      </c>
      <c r="C162" s="73" t="s">
        <v>186</v>
      </c>
      <c r="D162" s="84"/>
      <c r="E162" s="85"/>
      <c r="F162" s="86"/>
      <c r="G162" s="39"/>
    </row>
    <row r="163" spans="1:7">
      <c r="A163" s="83"/>
      <c r="B163" s="73" t="s">
        <v>40</v>
      </c>
      <c r="C163" s="73" t="s">
        <v>41</v>
      </c>
      <c r="D163" s="84"/>
      <c r="E163" s="85"/>
      <c r="F163" s="86"/>
      <c r="G163" s="39"/>
    </row>
    <row r="164" spans="1:7" hidden="1">
      <c r="A164" s="83"/>
      <c r="B164" s="73" t="s">
        <v>74</v>
      </c>
      <c r="C164" s="73" t="s">
        <v>42</v>
      </c>
      <c r="D164" s="84"/>
      <c r="E164" s="85"/>
      <c r="F164" s="86"/>
      <c r="G164" s="39"/>
    </row>
    <row r="165" spans="1:7" ht="24" hidden="1">
      <c r="A165" s="83"/>
      <c r="B165" s="73" t="s">
        <v>43</v>
      </c>
      <c r="C165" s="73" t="s">
        <v>190</v>
      </c>
      <c r="D165" s="84"/>
      <c r="E165" s="85"/>
      <c r="F165" s="86"/>
      <c r="G165" s="39"/>
    </row>
    <row r="166" spans="1:7" ht="24">
      <c r="A166" s="83"/>
      <c r="B166" s="73" t="s">
        <v>188</v>
      </c>
      <c r="C166" s="73" t="s">
        <v>189</v>
      </c>
      <c r="D166" s="84"/>
      <c r="E166" s="85"/>
      <c r="F166" s="86"/>
      <c r="G166" s="39"/>
    </row>
    <row r="167" spans="1:7" hidden="1">
      <c r="A167" s="83"/>
      <c r="B167" s="73" t="s">
        <v>86</v>
      </c>
      <c r="C167" s="73" t="s">
        <v>42</v>
      </c>
      <c r="D167" s="84"/>
      <c r="E167" s="85"/>
      <c r="F167" s="86"/>
      <c r="G167" s="39"/>
    </row>
    <row r="168" spans="1:7" ht="24" hidden="1">
      <c r="A168" s="83"/>
      <c r="B168" s="73" t="s">
        <v>87</v>
      </c>
      <c r="C168" s="73" t="s">
        <v>190</v>
      </c>
      <c r="D168" s="84"/>
      <c r="E168" s="85"/>
      <c r="F168" s="86"/>
      <c r="G168" s="39"/>
    </row>
    <row r="169" spans="1:7">
      <c r="A169" s="87"/>
      <c r="B169" s="88"/>
      <c r="C169" s="89"/>
      <c r="D169" s="90"/>
      <c r="E169" s="91"/>
      <c r="F169" s="92" t="s">
        <v>28</v>
      </c>
      <c r="G169" s="102">
        <v>107196613000</v>
      </c>
    </row>
    <row r="170" spans="1:7">
      <c r="A170" s="87"/>
      <c r="B170" s="88"/>
      <c r="C170" s="89"/>
      <c r="D170" s="90"/>
      <c r="E170" s="91"/>
      <c r="F170" s="93" t="s">
        <v>19</v>
      </c>
      <c r="G170" s="46">
        <v>10719661300</v>
      </c>
    </row>
    <row r="171" spans="1:7">
      <c r="A171" s="94"/>
      <c r="B171" s="95"/>
      <c r="C171" s="96"/>
      <c r="D171" s="97"/>
      <c r="E171" s="98"/>
      <c r="F171" s="92" t="s">
        <v>18</v>
      </c>
      <c r="G171" s="39">
        <v>117916274300</v>
      </c>
    </row>
    <row r="172" spans="1:7">
      <c r="A172" s="40" t="s">
        <v>9</v>
      </c>
      <c r="B172" s="2"/>
      <c r="C172" s="2"/>
      <c r="D172" s="32"/>
      <c r="E172" s="2"/>
      <c r="F172" s="2"/>
      <c r="G172" s="2"/>
    </row>
    <row r="173" spans="1:7">
      <c r="A173" s="41" t="s">
        <v>15</v>
      </c>
      <c r="B173" s="2"/>
      <c r="C173" s="2"/>
      <c r="D173" s="32"/>
      <c r="E173" s="2"/>
      <c r="F173" s="2"/>
      <c r="G173" s="2"/>
    </row>
    <row r="174" spans="1:7">
      <c r="A174" s="56" t="s">
        <v>212</v>
      </c>
      <c r="B174" s="2"/>
      <c r="C174" s="2"/>
      <c r="D174" s="32"/>
      <c r="E174" s="2"/>
      <c r="F174" s="2"/>
      <c r="G174" s="2"/>
    </row>
    <row r="175" spans="1:7">
      <c r="A175" s="41" t="s">
        <v>16</v>
      </c>
      <c r="B175" s="2"/>
      <c r="C175" s="2"/>
      <c r="D175" s="32"/>
      <c r="E175" s="2"/>
      <c r="F175" s="2"/>
      <c r="G175" s="2"/>
    </row>
    <row r="176" spans="1:7">
      <c r="A176" s="56" t="s">
        <v>32</v>
      </c>
      <c r="B176" s="2"/>
      <c r="C176" s="2"/>
      <c r="D176" s="32"/>
      <c r="E176" s="2"/>
      <c r="F176" s="2"/>
      <c r="G176" s="2"/>
    </row>
    <row r="177" spans="1:7">
      <c r="A177" s="56" t="s">
        <v>33</v>
      </c>
      <c r="B177" s="2"/>
      <c r="C177" s="2"/>
      <c r="D177" s="32"/>
      <c r="E177" s="2"/>
      <c r="F177" s="2"/>
      <c r="G177" s="2"/>
    </row>
    <row r="178" spans="1:7">
      <c r="A178" s="42" t="s">
        <v>22</v>
      </c>
      <c r="B178" s="2"/>
      <c r="C178" s="2"/>
      <c r="D178" s="32"/>
      <c r="E178" s="2"/>
      <c r="F178" s="2"/>
      <c r="G178" s="2"/>
    </row>
    <row r="179" spans="1:7">
      <c r="A179" s="47" t="s">
        <v>25</v>
      </c>
      <c r="B179" s="48"/>
      <c r="C179" s="48"/>
      <c r="D179" s="49"/>
      <c r="E179" s="48"/>
      <c r="F179" s="48"/>
      <c r="G179" s="48"/>
    </row>
    <row r="180" spans="1:7">
      <c r="A180" s="47" t="s">
        <v>26</v>
      </c>
      <c r="B180" s="48"/>
      <c r="C180" s="48"/>
      <c r="D180" s="49"/>
      <c r="E180" s="48"/>
      <c r="F180" s="48"/>
      <c r="G180" s="48"/>
    </row>
    <row r="181" spans="1:7">
      <c r="A181" s="47" t="s">
        <v>10</v>
      </c>
      <c r="B181" s="48"/>
      <c r="C181" s="48"/>
      <c r="D181" s="49"/>
      <c r="E181" s="48"/>
      <c r="F181" s="48"/>
    </row>
    <row r="182" spans="1:7">
      <c r="A182" s="47" t="s">
        <v>211</v>
      </c>
      <c r="B182" s="48"/>
      <c r="C182" s="48"/>
      <c r="D182" s="49"/>
      <c r="E182" s="48"/>
      <c r="F182" s="48"/>
    </row>
    <row r="183" spans="1:7">
      <c r="A183" s="47" t="s">
        <v>29</v>
      </c>
      <c r="B183" s="48"/>
      <c r="C183" s="48"/>
      <c r="D183" s="49"/>
      <c r="E183" s="48"/>
      <c r="F183" s="48"/>
    </row>
    <row r="184" spans="1:7">
      <c r="A184" s="43" t="s">
        <v>17</v>
      </c>
    </row>
    <row r="185" spans="1:7">
      <c r="A185" s="43"/>
      <c r="C185" s="848" t="s">
        <v>5</v>
      </c>
      <c r="D185" s="848"/>
      <c r="E185" s="848"/>
      <c r="F185" s="848"/>
      <c r="G185" s="848"/>
    </row>
    <row r="186" spans="1:7">
      <c r="D186" s="835" t="s">
        <v>27</v>
      </c>
      <c r="E186" s="835"/>
      <c r="F186" s="835"/>
      <c r="G186" s="835"/>
    </row>
    <row r="187" spans="1:7">
      <c r="D187" s="50"/>
      <c r="E187" s="51"/>
      <c r="F187" s="51"/>
      <c r="G187" s="51"/>
    </row>
    <row r="188" spans="1:7">
      <c r="D188" s="50"/>
      <c r="E188" s="51"/>
      <c r="F188" s="51"/>
      <c r="G188" s="51"/>
    </row>
    <row r="189" spans="1:7">
      <c r="D189" s="50"/>
      <c r="E189" s="51"/>
      <c r="F189" s="51"/>
      <c r="G189" s="51"/>
    </row>
    <row r="190" spans="1:7">
      <c r="D190" s="50"/>
      <c r="E190" s="51"/>
      <c r="F190" s="51"/>
      <c r="G190" s="51"/>
    </row>
    <row r="191" spans="1:7">
      <c r="D191" s="50"/>
      <c r="E191" s="51"/>
      <c r="F191" s="51"/>
      <c r="G191" s="51"/>
    </row>
    <row r="192" spans="1:7">
      <c r="D192" s="835" t="s">
        <v>207</v>
      </c>
      <c r="E192" s="835"/>
      <c r="F192" s="835"/>
      <c r="G192" s="835"/>
    </row>
  </sheetData>
  <mergeCells count="39">
    <mergeCell ref="D186:G186"/>
    <mergeCell ref="D192:G192"/>
    <mergeCell ref="F3:G3"/>
    <mergeCell ref="A14:G15"/>
    <mergeCell ref="D11:G11"/>
    <mergeCell ref="D12:G13"/>
    <mergeCell ref="C185:G185"/>
    <mergeCell ref="B17:C17"/>
    <mergeCell ref="B22:C22"/>
    <mergeCell ref="B46:C46"/>
    <mergeCell ref="B56:C56"/>
    <mergeCell ref="B65:C65"/>
    <mergeCell ref="B71:C71"/>
    <mergeCell ref="B74:C74"/>
    <mergeCell ref="B77:C77"/>
    <mergeCell ref="B101:C101"/>
    <mergeCell ref="B104:C104"/>
    <mergeCell ref="B107:C107"/>
    <mergeCell ref="B80:C80"/>
    <mergeCell ref="B86:C86"/>
    <mergeCell ref="B83:C83"/>
    <mergeCell ref="B89:C89"/>
    <mergeCell ref="B92:C92"/>
    <mergeCell ref="B155:C155"/>
    <mergeCell ref="B157:C157"/>
    <mergeCell ref="B159:C159"/>
    <mergeCell ref="A7:C8"/>
    <mergeCell ref="B128:C128"/>
    <mergeCell ref="B131:C131"/>
    <mergeCell ref="B134:C134"/>
    <mergeCell ref="B137:C137"/>
    <mergeCell ref="B144:C144"/>
    <mergeCell ref="B110:C110"/>
    <mergeCell ref="B113:C113"/>
    <mergeCell ref="B116:C116"/>
    <mergeCell ref="B119:C119"/>
    <mergeCell ref="B122:C122"/>
    <mergeCell ref="B95:C95"/>
    <mergeCell ref="B98:C98"/>
  </mergeCells>
  <phoneticPr fontId="13" type="noConversion"/>
  <pageMargins left="0.31496062992125984" right="0.11811023622047245" top="0.9055118110236221" bottom="0.59055118110236227" header="0.43307086614173229" footer="0.11811023622047245"/>
  <pageSetup paperSize="9" fitToWidth="0" fitToHeight="0" orientation="portrait" r:id="rId1"/>
  <headerFooter>
    <oddHeader>&amp;L&amp;G</oddHeader>
    <oddFooter>&amp;L&amp;G&amp;C&amp;P/&amp;N</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8"/>
  <sheetViews>
    <sheetView topLeftCell="B1" workbookViewId="0">
      <selection activeCell="F12" sqref="F12"/>
    </sheetView>
  </sheetViews>
  <sheetFormatPr defaultRowHeight="12.75"/>
  <cols>
    <col min="1" max="1" width="19.7109375" style="381" customWidth="1"/>
    <col min="2" max="2" width="60.42578125" style="105" bestFit="1" customWidth="1"/>
    <col min="3" max="3" width="16.28515625" style="359" customWidth="1"/>
    <col min="4" max="4" width="10.28515625" style="385" customWidth="1"/>
    <col min="5" max="5" width="13.140625" style="105" customWidth="1"/>
    <col min="6" max="6" width="14.140625" style="105" customWidth="1"/>
    <col min="7" max="7" width="18" style="105" customWidth="1"/>
    <col min="8" max="8" width="14.7109375" style="105" bestFit="1" customWidth="1"/>
    <col min="9" max="9" width="24.140625" style="105" customWidth="1"/>
    <col min="10" max="10" width="35.5703125" style="105" customWidth="1"/>
    <col min="11" max="11" width="67.28515625" style="360" customWidth="1"/>
    <col min="12" max="16384" width="9.140625" style="105"/>
  </cols>
  <sheetData>
    <row r="1" spans="1:18" ht="14.25">
      <c r="A1" s="371">
        <v>1</v>
      </c>
      <c r="B1" s="321" t="s">
        <v>398</v>
      </c>
      <c r="C1" s="322"/>
      <c r="D1" s="384"/>
      <c r="E1" s="323"/>
      <c r="F1" s="323"/>
      <c r="G1" s="323"/>
      <c r="H1" s="323"/>
      <c r="I1" s="323"/>
      <c r="J1" s="323"/>
      <c r="K1" s="324"/>
      <c r="L1" s="325"/>
      <c r="M1" s="325"/>
      <c r="N1" s="325"/>
      <c r="O1" s="325"/>
      <c r="P1" s="325"/>
      <c r="Q1" s="325"/>
      <c r="R1" s="325"/>
    </row>
    <row r="2" spans="1:18" s="330" customFormat="1" ht="14.25">
      <c r="A2" s="372" t="s">
        <v>399</v>
      </c>
      <c r="B2" s="326" t="s">
        <v>400</v>
      </c>
      <c r="C2" s="327" t="s">
        <v>401</v>
      </c>
      <c r="D2" s="379" t="s">
        <v>8</v>
      </c>
      <c r="E2" s="856" t="s">
        <v>336</v>
      </c>
      <c r="F2" s="856"/>
      <c r="G2" s="328"/>
      <c r="H2" s="326" t="s">
        <v>402</v>
      </c>
      <c r="I2" s="326" t="s">
        <v>403</v>
      </c>
      <c r="J2" s="326" t="s">
        <v>404</v>
      </c>
      <c r="K2" s="329" t="s">
        <v>405</v>
      </c>
    </row>
    <row r="3" spans="1:18">
      <c r="A3" s="373">
        <v>1</v>
      </c>
      <c r="B3" s="331" t="s">
        <v>547</v>
      </c>
      <c r="C3" s="331" t="s">
        <v>335</v>
      </c>
      <c r="D3" s="373">
        <v>1</v>
      </c>
      <c r="E3" s="332"/>
      <c r="F3" s="333">
        <f>SUM(F4:F11)</f>
        <v>157000</v>
      </c>
      <c r="G3" s="333"/>
      <c r="H3" s="333">
        <f>F3*D3</f>
        <v>157000</v>
      </c>
      <c r="I3" s="857" t="s">
        <v>249</v>
      </c>
      <c r="J3" s="858" t="s">
        <v>406</v>
      </c>
      <c r="K3" s="859" t="s">
        <v>407</v>
      </c>
    </row>
    <row r="4" spans="1:18" ht="13.35" customHeight="1">
      <c r="A4" s="374"/>
      <c r="B4" s="332" t="s">
        <v>548</v>
      </c>
      <c r="C4" s="334" t="s">
        <v>335</v>
      </c>
      <c r="D4" s="373">
        <v>1</v>
      </c>
      <c r="E4" s="333">
        <v>76709</v>
      </c>
      <c r="F4" s="333">
        <f t="shared" ref="F4:F11" si="0">E4*D4</f>
        <v>76709</v>
      </c>
      <c r="G4" s="333"/>
      <c r="H4" s="333"/>
      <c r="I4" s="857"/>
      <c r="J4" s="858"/>
      <c r="K4" s="859"/>
    </row>
    <row r="5" spans="1:18" ht="13.35" customHeight="1">
      <c r="A5" s="374"/>
      <c r="B5" s="332" t="s">
        <v>549</v>
      </c>
      <c r="C5" s="334" t="s">
        <v>550</v>
      </c>
      <c r="D5" s="373">
        <v>1</v>
      </c>
      <c r="E5" s="333">
        <v>12526</v>
      </c>
      <c r="F5" s="333">
        <f t="shared" si="0"/>
        <v>12526</v>
      </c>
      <c r="G5" s="333"/>
      <c r="H5" s="333"/>
      <c r="I5" s="857"/>
      <c r="J5" s="858"/>
      <c r="K5" s="859"/>
    </row>
    <row r="6" spans="1:18" ht="13.35" customHeight="1">
      <c r="A6" s="374"/>
      <c r="B6" s="332" t="s">
        <v>551</v>
      </c>
      <c r="C6" s="334" t="s">
        <v>552</v>
      </c>
      <c r="D6" s="373">
        <v>1</v>
      </c>
      <c r="E6" s="333">
        <v>7035</v>
      </c>
      <c r="F6" s="333">
        <f t="shared" si="0"/>
        <v>7035</v>
      </c>
      <c r="G6" s="333"/>
      <c r="H6" s="333"/>
      <c r="I6" s="857"/>
      <c r="J6" s="858"/>
      <c r="K6" s="859"/>
    </row>
    <row r="7" spans="1:18" ht="13.35" customHeight="1">
      <c r="A7" s="374"/>
      <c r="B7" s="332" t="s">
        <v>553</v>
      </c>
      <c r="C7" s="334" t="s">
        <v>554</v>
      </c>
      <c r="D7" s="373">
        <v>1</v>
      </c>
      <c r="E7" s="333">
        <v>500</v>
      </c>
      <c r="F7" s="333">
        <f t="shared" si="0"/>
        <v>500</v>
      </c>
      <c r="G7" s="333"/>
      <c r="H7" s="333"/>
      <c r="I7" s="857"/>
      <c r="J7" s="858"/>
      <c r="K7" s="859"/>
    </row>
    <row r="8" spans="1:18" ht="13.35" customHeight="1">
      <c r="A8" s="374"/>
      <c r="B8" s="332" t="s">
        <v>555</v>
      </c>
      <c r="C8" s="334" t="s">
        <v>556</v>
      </c>
      <c r="D8" s="373">
        <v>1</v>
      </c>
      <c r="E8" s="333">
        <v>5005</v>
      </c>
      <c r="F8" s="333">
        <f t="shared" si="0"/>
        <v>5005</v>
      </c>
      <c r="G8" s="333"/>
      <c r="H8" s="333"/>
      <c r="I8" s="857"/>
      <c r="J8" s="858"/>
      <c r="K8" s="859"/>
    </row>
    <row r="9" spans="1:18" ht="13.35" customHeight="1">
      <c r="A9" s="374"/>
      <c r="B9" s="332" t="s">
        <v>557</v>
      </c>
      <c r="C9" s="334" t="s">
        <v>558</v>
      </c>
      <c r="D9" s="373">
        <v>1</v>
      </c>
      <c r="E9" s="333">
        <v>7736</v>
      </c>
      <c r="F9" s="333">
        <f t="shared" si="0"/>
        <v>7736</v>
      </c>
      <c r="G9" s="333"/>
      <c r="H9" s="333"/>
      <c r="I9" s="857"/>
      <c r="J9" s="858"/>
      <c r="K9" s="859"/>
    </row>
    <row r="10" spans="1:18" ht="13.35" customHeight="1">
      <c r="A10" s="374"/>
      <c r="B10" s="332" t="s">
        <v>559</v>
      </c>
      <c r="C10" s="334" t="s">
        <v>560</v>
      </c>
      <c r="D10" s="373">
        <v>1</v>
      </c>
      <c r="E10" s="333">
        <v>6420</v>
      </c>
      <c r="F10" s="333">
        <f t="shared" si="0"/>
        <v>6420</v>
      </c>
      <c r="G10" s="333"/>
      <c r="H10" s="333"/>
      <c r="I10" s="857"/>
      <c r="J10" s="858"/>
      <c r="K10" s="859"/>
    </row>
    <row r="11" spans="1:18" ht="13.35" customHeight="1">
      <c r="A11" s="374"/>
      <c r="B11" s="332" t="s">
        <v>561</v>
      </c>
      <c r="C11" s="334" t="s">
        <v>562</v>
      </c>
      <c r="D11" s="373">
        <v>1</v>
      </c>
      <c r="E11" s="333">
        <v>41069</v>
      </c>
      <c r="F11" s="333">
        <f t="shared" si="0"/>
        <v>41069</v>
      </c>
      <c r="G11" s="333"/>
      <c r="H11" s="333"/>
      <c r="I11" s="857"/>
      <c r="J11" s="858"/>
      <c r="K11" s="859"/>
    </row>
    <row r="12" spans="1:18" ht="38.25">
      <c r="A12" s="375"/>
      <c r="B12" s="336"/>
      <c r="C12" s="316" t="s">
        <v>265</v>
      </c>
      <c r="D12" s="375">
        <v>1</v>
      </c>
      <c r="E12" s="107"/>
      <c r="F12" s="337">
        <v>39200</v>
      </c>
      <c r="G12" s="337"/>
      <c r="H12" s="337">
        <f>F12*D12</f>
        <v>39200</v>
      </c>
      <c r="I12" s="338" t="s">
        <v>408</v>
      </c>
      <c r="J12" s="339" t="s">
        <v>409</v>
      </c>
      <c r="K12" s="339" t="s">
        <v>410</v>
      </c>
    </row>
    <row r="13" spans="1:18" s="340" customFormat="1" ht="15" customHeight="1">
      <c r="A13" s="376" t="s">
        <v>624</v>
      </c>
      <c r="B13" s="332" t="s">
        <v>547</v>
      </c>
      <c r="C13" s="332" t="s">
        <v>625</v>
      </c>
      <c r="D13" s="373">
        <v>1</v>
      </c>
      <c r="E13" s="333"/>
      <c r="F13" s="333">
        <f>SUM(F14:F21)</f>
        <v>164146</v>
      </c>
      <c r="G13" s="333"/>
      <c r="H13" s="333">
        <f>F13*D13</f>
        <v>164146</v>
      </c>
      <c r="I13" s="855" t="s">
        <v>249</v>
      </c>
      <c r="J13" s="860" t="s">
        <v>626</v>
      </c>
      <c r="K13" s="849"/>
    </row>
    <row r="14" spans="1:18" s="340" customFormat="1" ht="13.35" customHeight="1">
      <c r="A14" s="374"/>
      <c r="B14" s="332" t="s">
        <v>627</v>
      </c>
      <c r="C14" s="332" t="s">
        <v>625</v>
      </c>
      <c r="D14" s="373">
        <v>1</v>
      </c>
      <c r="E14" s="333">
        <v>83855</v>
      </c>
      <c r="F14" s="333">
        <f t="shared" ref="F14:F21" si="1">E14*D14</f>
        <v>83855</v>
      </c>
      <c r="G14" s="333"/>
      <c r="H14" s="333"/>
      <c r="I14" s="855"/>
      <c r="J14" s="860"/>
      <c r="K14" s="850"/>
    </row>
    <row r="15" spans="1:18" s="340" customFormat="1" ht="13.35" customHeight="1">
      <c r="A15" s="374"/>
      <c r="B15" s="332" t="s">
        <v>549</v>
      </c>
      <c r="C15" s="332" t="s">
        <v>550</v>
      </c>
      <c r="D15" s="373">
        <v>1</v>
      </c>
      <c r="E15" s="333">
        <v>12526</v>
      </c>
      <c r="F15" s="333">
        <f t="shared" si="1"/>
        <v>12526</v>
      </c>
      <c r="G15" s="333"/>
      <c r="H15" s="333"/>
      <c r="I15" s="855"/>
      <c r="J15" s="860"/>
      <c r="K15" s="850"/>
    </row>
    <row r="16" spans="1:18" s="340" customFormat="1" ht="13.35" customHeight="1">
      <c r="A16" s="374"/>
      <c r="B16" s="332" t="s">
        <v>551</v>
      </c>
      <c r="C16" s="332" t="s">
        <v>552</v>
      </c>
      <c r="D16" s="373">
        <v>1</v>
      </c>
      <c r="E16" s="333">
        <v>7035</v>
      </c>
      <c r="F16" s="333">
        <f t="shared" si="1"/>
        <v>7035</v>
      </c>
      <c r="G16" s="333"/>
      <c r="H16" s="333"/>
      <c r="I16" s="855"/>
      <c r="J16" s="860"/>
      <c r="K16" s="850"/>
    </row>
    <row r="17" spans="1:11" s="340" customFormat="1">
      <c r="A17" s="374"/>
      <c r="B17" s="332" t="s">
        <v>553</v>
      </c>
      <c r="C17" s="332" t="s">
        <v>554</v>
      </c>
      <c r="D17" s="373">
        <v>1</v>
      </c>
      <c r="E17" s="333">
        <v>500</v>
      </c>
      <c r="F17" s="333">
        <f t="shared" si="1"/>
        <v>500</v>
      </c>
      <c r="G17" s="333"/>
      <c r="H17" s="333"/>
      <c r="I17" s="855"/>
      <c r="J17" s="860"/>
      <c r="K17" s="850"/>
    </row>
    <row r="18" spans="1:11" s="340" customFormat="1">
      <c r="A18" s="374"/>
      <c r="B18" s="332" t="s">
        <v>555</v>
      </c>
      <c r="C18" s="332" t="s">
        <v>556</v>
      </c>
      <c r="D18" s="373">
        <v>1</v>
      </c>
      <c r="E18" s="333">
        <v>5005</v>
      </c>
      <c r="F18" s="333">
        <f t="shared" si="1"/>
        <v>5005</v>
      </c>
      <c r="G18" s="333"/>
      <c r="H18" s="333"/>
      <c r="I18" s="855"/>
      <c r="J18" s="860"/>
      <c r="K18" s="850"/>
    </row>
    <row r="19" spans="1:11" s="340" customFormat="1">
      <c r="A19" s="374"/>
      <c r="B19" s="332" t="s">
        <v>557</v>
      </c>
      <c r="C19" s="332" t="s">
        <v>558</v>
      </c>
      <c r="D19" s="373">
        <v>1</v>
      </c>
      <c r="E19" s="333">
        <v>7736</v>
      </c>
      <c r="F19" s="333">
        <f t="shared" si="1"/>
        <v>7736</v>
      </c>
      <c r="G19" s="333"/>
      <c r="H19" s="333"/>
      <c r="I19" s="855"/>
      <c r="J19" s="860"/>
      <c r="K19" s="850"/>
    </row>
    <row r="20" spans="1:11" s="340" customFormat="1">
      <c r="A20" s="374"/>
      <c r="B20" s="332" t="s">
        <v>559</v>
      </c>
      <c r="C20" s="332" t="s">
        <v>560</v>
      </c>
      <c r="D20" s="373">
        <v>1</v>
      </c>
      <c r="E20" s="333">
        <v>6420</v>
      </c>
      <c r="F20" s="333">
        <f t="shared" si="1"/>
        <v>6420</v>
      </c>
      <c r="G20" s="333"/>
      <c r="H20" s="333"/>
      <c r="I20" s="855"/>
      <c r="J20" s="860"/>
      <c r="K20" s="850"/>
    </row>
    <row r="21" spans="1:11" s="340" customFormat="1">
      <c r="A21" s="374"/>
      <c r="B21" s="332" t="s">
        <v>561</v>
      </c>
      <c r="C21" s="332" t="s">
        <v>562</v>
      </c>
      <c r="D21" s="373">
        <v>1</v>
      </c>
      <c r="E21" s="333">
        <v>41069</v>
      </c>
      <c r="F21" s="333">
        <f t="shared" si="1"/>
        <v>41069</v>
      </c>
      <c r="G21" s="333"/>
      <c r="H21" s="333"/>
      <c r="I21" s="855"/>
      <c r="J21" s="860"/>
      <c r="K21" s="851"/>
    </row>
    <row r="22" spans="1:11">
      <c r="A22" s="375"/>
      <c r="B22" s="336"/>
      <c r="C22" s="316"/>
      <c r="D22" s="375"/>
      <c r="E22" s="107"/>
      <c r="F22" s="337"/>
      <c r="G22" s="337"/>
      <c r="H22" s="337"/>
      <c r="I22" s="338"/>
      <c r="J22" s="339"/>
      <c r="K22" s="339"/>
    </row>
    <row r="23" spans="1:11">
      <c r="A23" s="375">
        <v>2</v>
      </c>
      <c r="B23" s="316" t="s">
        <v>277</v>
      </c>
      <c r="C23" s="316"/>
      <c r="D23" s="375"/>
      <c r="E23" s="341"/>
      <c r="F23" s="341"/>
      <c r="G23" s="341"/>
      <c r="H23" s="341"/>
      <c r="I23" s="342" t="s">
        <v>411</v>
      </c>
      <c r="J23" s="343"/>
      <c r="K23" s="343"/>
    </row>
    <row r="24" spans="1:11">
      <c r="A24" s="373">
        <v>3</v>
      </c>
      <c r="B24" s="331" t="s">
        <v>563</v>
      </c>
      <c r="C24" s="331" t="s">
        <v>412</v>
      </c>
      <c r="D24" s="373">
        <v>1</v>
      </c>
      <c r="E24" s="332"/>
      <c r="F24" s="333">
        <f>SUM(F25:F29)</f>
        <v>84100</v>
      </c>
      <c r="G24" s="333"/>
      <c r="H24" s="333">
        <f>F24*D24</f>
        <v>84100</v>
      </c>
      <c r="I24" s="855" t="s">
        <v>249</v>
      </c>
      <c r="J24" s="855" t="s">
        <v>413</v>
      </c>
      <c r="K24" s="854" t="s">
        <v>353</v>
      </c>
    </row>
    <row r="25" spans="1:11">
      <c r="A25" s="374"/>
      <c r="B25" s="332" t="s">
        <v>564</v>
      </c>
      <c r="C25" s="334" t="s">
        <v>412</v>
      </c>
      <c r="D25" s="373">
        <v>1</v>
      </c>
      <c r="E25" s="333">
        <v>5020</v>
      </c>
      <c r="F25" s="333">
        <f>E25*D25</f>
        <v>5020</v>
      </c>
      <c r="G25" s="333"/>
      <c r="H25" s="333"/>
      <c r="I25" s="855"/>
      <c r="J25" s="855"/>
      <c r="K25" s="854"/>
    </row>
    <row r="26" spans="1:11">
      <c r="A26" s="374"/>
      <c r="B26" s="332" t="s">
        <v>565</v>
      </c>
      <c r="C26" s="334" t="s">
        <v>566</v>
      </c>
      <c r="D26" s="373">
        <v>1</v>
      </c>
      <c r="E26" s="333">
        <v>47133</v>
      </c>
      <c r="F26" s="333">
        <f>E26*D26</f>
        <v>47133</v>
      </c>
      <c r="G26" s="333"/>
      <c r="H26" s="333"/>
      <c r="I26" s="855"/>
      <c r="J26" s="855"/>
      <c r="K26" s="854"/>
    </row>
    <row r="27" spans="1:11">
      <c r="A27" s="374"/>
      <c r="B27" s="332" t="s">
        <v>567</v>
      </c>
      <c r="C27" s="334" t="s">
        <v>568</v>
      </c>
      <c r="D27" s="373">
        <v>1</v>
      </c>
      <c r="E27" s="333">
        <v>2503</v>
      </c>
      <c r="F27" s="333">
        <f>E27*D27</f>
        <v>2503</v>
      </c>
      <c r="G27" s="333"/>
      <c r="H27" s="333"/>
      <c r="I27" s="855"/>
      <c r="J27" s="855"/>
      <c r="K27" s="854"/>
    </row>
    <row r="28" spans="1:11">
      <c r="A28" s="374"/>
      <c r="B28" s="332" t="s">
        <v>569</v>
      </c>
      <c r="C28" s="334" t="s">
        <v>570</v>
      </c>
      <c r="D28" s="373">
        <v>1</v>
      </c>
      <c r="E28" s="333">
        <v>13385</v>
      </c>
      <c r="F28" s="333">
        <f>E28*D28</f>
        <v>13385</v>
      </c>
      <c r="G28" s="333"/>
      <c r="H28" s="333"/>
      <c r="I28" s="855"/>
      <c r="J28" s="855"/>
      <c r="K28" s="854"/>
    </row>
    <row r="29" spans="1:11">
      <c r="A29" s="374"/>
      <c r="B29" s="332" t="s">
        <v>571</v>
      </c>
      <c r="C29" s="334" t="s">
        <v>572</v>
      </c>
      <c r="D29" s="373">
        <v>1</v>
      </c>
      <c r="E29" s="333">
        <v>16059</v>
      </c>
      <c r="F29" s="333">
        <f>E29*D29</f>
        <v>16059</v>
      </c>
      <c r="G29" s="333"/>
      <c r="H29" s="333"/>
      <c r="I29" s="855"/>
      <c r="J29" s="855"/>
      <c r="K29" s="854"/>
    </row>
    <row r="30" spans="1:11" ht="45">
      <c r="A30" s="375">
        <v>4</v>
      </c>
      <c r="B30" s="316" t="s">
        <v>283</v>
      </c>
      <c r="C30" s="316" t="s">
        <v>107</v>
      </c>
      <c r="D30" s="375">
        <v>1</v>
      </c>
      <c r="E30" s="107"/>
      <c r="F30" s="344">
        <f>1.1*752</f>
        <v>827.2</v>
      </c>
      <c r="G30" s="344"/>
      <c r="H30" s="344">
        <f>F30*D30</f>
        <v>827.2</v>
      </c>
      <c r="I30" s="342" t="s">
        <v>249</v>
      </c>
      <c r="J30" s="345" t="s">
        <v>414</v>
      </c>
      <c r="K30" s="343" t="s">
        <v>108</v>
      </c>
    </row>
    <row r="31" spans="1:11" ht="15">
      <c r="A31" s="375">
        <v>5</v>
      </c>
      <c r="B31" s="316" t="s">
        <v>278</v>
      </c>
      <c r="C31" s="316"/>
      <c r="D31" s="375"/>
      <c r="E31" s="107"/>
      <c r="F31" s="346"/>
      <c r="G31" s="346"/>
      <c r="H31" s="346"/>
      <c r="I31" s="342"/>
      <c r="J31" s="347" t="s">
        <v>415</v>
      </c>
      <c r="K31" s="343"/>
    </row>
    <row r="32" spans="1:11" ht="15">
      <c r="A32" s="375">
        <v>6</v>
      </c>
      <c r="B32" s="316" t="s">
        <v>281</v>
      </c>
      <c r="C32" s="316" t="s">
        <v>104</v>
      </c>
      <c r="D32" s="375">
        <v>1</v>
      </c>
      <c r="E32" s="107"/>
      <c r="F32" s="344">
        <f>1.1*161</f>
        <v>177.10000000000002</v>
      </c>
      <c r="G32" s="344"/>
      <c r="H32" s="344">
        <f>F32*D32</f>
        <v>177.10000000000002</v>
      </c>
      <c r="I32" s="342" t="s">
        <v>249</v>
      </c>
      <c r="J32" s="348" t="s">
        <v>416</v>
      </c>
      <c r="K32" s="343" t="s">
        <v>362</v>
      </c>
    </row>
    <row r="33" spans="1:11" ht="15">
      <c r="A33" s="375">
        <v>7</v>
      </c>
      <c r="B33" s="316" t="s">
        <v>285</v>
      </c>
      <c r="C33" s="316" t="s">
        <v>110</v>
      </c>
      <c r="D33" s="375">
        <v>1</v>
      </c>
      <c r="E33" s="107"/>
      <c r="F33" s="344">
        <f>1.1*172</f>
        <v>189.20000000000002</v>
      </c>
      <c r="G33" s="344"/>
      <c r="H33" s="349">
        <f>F33*D33</f>
        <v>189.20000000000002</v>
      </c>
      <c r="I33" s="342" t="s">
        <v>249</v>
      </c>
      <c r="J33" s="348" t="s">
        <v>417</v>
      </c>
      <c r="K33" s="343" t="s">
        <v>111</v>
      </c>
    </row>
    <row r="34" spans="1:11" ht="51">
      <c r="A34" s="375">
        <v>8</v>
      </c>
      <c r="B34" s="316" t="s">
        <v>296</v>
      </c>
      <c r="C34" s="108" t="s">
        <v>357</v>
      </c>
      <c r="D34" s="375">
        <v>5</v>
      </c>
      <c r="E34" s="107"/>
      <c r="F34" s="344">
        <f>1.1*2090</f>
        <v>2299</v>
      </c>
      <c r="G34" s="344"/>
      <c r="H34" s="344">
        <f>F34*D34</f>
        <v>11495</v>
      </c>
      <c r="I34" s="342" t="s">
        <v>249</v>
      </c>
      <c r="J34" s="339" t="s">
        <v>418</v>
      </c>
      <c r="K34" s="339" t="s">
        <v>360</v>
      </c>
    </row>
    <row r="35" spans="1:11" ht="15">
      <c r="A35" s="375">
        <v>9</v>
      </c>
      <c r="B35" s="336" t="s">
        <v>287</v>
      </c>
      <c r="C35" s="316" t="s">
        <v>419</v>
      </c>
      <c r="D35" s="375">
        <v>3</v>
      </c>
      <c r="E35" s="107"/>
      <c r="F35" s="344">
        <f>1.1*17000</f>
        <v>18700</v>
      </c>
      <c r="G35" s="344"/>
      <c r="H35" s="349">
        <f>F35*D35</f>
        <v>56100</v>
      </c>
      <c r="I35" s="342" t="s">
        <v>249</v>
      </c>
      <c r="J35" s="339"/>
      <c r="K35" s="343" t="s">
        <v>288</v>
      </c>
    </row>
    <row r="36" spans="1:11" ht="15">
      <c r="A36" s="375">
        <v>10</v>
      </c>
      <c r="B36" s="336" t="s">
        <v>289</v>
      </c>
      <c r="C36" s="316"/>
      <c r="D36" s="375"/>
      <c r="E36" s="107"/>
      <c r="F36" s="346"/>
      <c r="G36" s="346"/>
      <c r="H36" s="346"/>
      <c r="I36" s="342"/>
      <c r="J36" s="343"/>
      <c r="K36" s="343"/>
    </row>
    <row r="37" spans="1:11" ht="15">
      <c r="A37" s="375">
        <v>11</v>
      </c>
      <c r="B37" s="350" t="s">
        <v>420</v>
      </c>
      <c r="C37" s="316" t="s">
        <v>356</v>
      </c>
      <c r="D37" s="375">
        <v>1</v>
      </c>
      <c r="E37" s="107"/>
      <c r="F37" s="344">
        <f>1.1*170</f>
        <v>187.00000000000003</v>
      </c>
      <c r="G37" s="344"/>
      <c r="H37" s="344">
        <f>F37*D37</f>
        <v>187.00000000000003</v>
      </c>
      <c r="I37" s="342" t="s">
        <v>249</v>
      </c>
      <c r="J37" s="343"/>
      <c r="K37" s="343" t="s">
        <v>361</v>
      </c>
    </row>
    <row r="38" spans="1:11" ht="15">
      <c r="A38" s="375">
        <v>12</v>
      </c>
      <c r="B38" s="350" t="s">
        <v>421</v>
      </c>
      <c r="C38" s="316" t="s">
        <v>422</v>
      </c>
      <c r="D38" s="375">
        <v>1</v>
      </c>
      <c r="E38" s="107"/>
      <c r="F38" s="344">
        <f>1.1*651</f>
        <v>716.1</v>
      </c>
      <c r="G38" s="344"/>
      <c r="H38" s="344">
        <f>F38*D38</f>
        <v>716.1</v>
      </c>
      <c r="I38" s="342" t="s">
        <v>249</v>
      </c>
      <c r="J38" s="343"/>
      <c r="K38" s="343" t="s">
        <v>423</v>
      </c>
    </row>
    <row r="39" spans="1:11" ht="15">
      <c r="A39" s="377"/>
      <c r="B39" s="107"/>
      <c r="C39" s="316" t="s">
        <v>424</v>
      </c>
      <c r="D39" s="375">
        <v>1</v>
      </c>
      <c r="E39" s="107"/>
      <c r="F39" s="344">
        <f>1.1*1155</f>
        <v>1270.5</v>
      </c>
      <c r="G39" s="344"/>
      <c r="H39" s="344">
        <f>F39*D39</f>
        <v>1270.5</v>
      </c>
      <c r="I39" s="342" t="s">
        <v>249</v>
      </c>
      <c r="J39" s="348" t="s">
        <v>425</v>
      </c>
      <c r="K39" s="343" t="s">
        <v>426</v>
      </c>
    </row>
    <row r="41" spans="1:11" ht="14.25">
      <c r="A41" s="378">
        <v>2</v>
      </c>
      <c r="B41" s="321" t="s">
        <v>427</v>
      </c>
      <c r="C41" s="351"/>
      <c r="D41" s="382"/>
      <c r="E41" s="321"/>
      <c r="F41" s="321"/>
      <c r="G41" s="321"/>
      <c r="H41" s="321"/>
      <c r="I41" s="321"/>
      <c r="J41" s="321"/>
      <c r="K41" s="352"/>
    </row>
    <row r="42" spans="1:11" s="353" customFormat="1" ht="14.25">
      <c r="A42" s="379" t="s">
        <v>399</v>
      </c>
      <c r="B42" s="326" t="s">
        <v>400</v>
      </c>
      <c r="C42" s="327" t="s">
        <v>401</v>
      </c>
      <c r="D42" s="379" t="s">
        <v>8</v>
      </c>
      <c r="E42" s="856" t="s">
        <v>336</v>
      </c>
      <c r="F42" s="856"/>
      <c r="G42" s="328"/>
      <c r="H42" s="326" t="s">
        <v>402</v>
      </c>
      <c r="I42" s="326" t="s">
        <v>403</v>
      </c>
      <c r="J42" s="326" t="s">
        <v>404</v>
      </c>
      <c r="K42" s="329" t="s">
        <v>405</v>
      </c>
    </row>
    <row r="43" spans="1:11">
      <c r="A43" s="380">
        <v>1</v>
      </c>
      <c r="B43" s="354" t="s">
        <v>573</v>
      </c>
      <c r="C43" s="331" t="s">
        <v>412</v>
      </c>
      <c r="D43" s="373">
        <v>1</v>
      </c>
      <c r="E43" s="332"/>
      <c r="F43" s="333">
        <f>SUM(F44:F50)</f>
        <v>164530</v>
      </c>
      <c r="G43" s="405">
        <f>F43*'Thiet bị'!AG$4</f>
        <v>4384724500</v>
      </c>
      <c r="H43" s="333">
        <f>F43*D43</f>
        <v>164530</v>
      </c>
      <c r="I43" s="852" t="s">
        <v>249</v>
      </c>
      <c r="J43" s="853" t="s">
        <v>428</v>
      </c>
      <c r="K43" s="854" t="s">
        <v>429</v>
      </c>
    </row>
    <row r="44" spans="1:11">
      <c r="A44" s="374"/>
      <c r="B44" s="332" t="s">
        <v>564</v>
      </c>
      <c r="C44" s="334" t="s">
        <v>412</v>
      </c>
      <c r="D44" s="373">
        <v>1</v>
      </c>
      <c r="E44" s="333">
        <v>5020</v>
      </c>
      <c r="F44" s="333">
        <f t="shared" ref="F44:F50" si="2">E44*D44</f>
        <v>5020</v>
      </c>
      <c r="G44" s="405">
        <f>F44*'Thiet bị'!AG$4</f>
        <v>133783000</v>
      </c>
      <c r="H44" s="333"/>
      <c r="I44" s="852"/>
      <c r="J44" s="853"/>
      <c r="K44" s="854"/>
    </row>
    <row r="45" spans="1:11">
      <c r="A45" s="374"/>
      <c r="B45" s="332" t="s">
        <v>565</v>
      </c>
      <c r="C45" s="334" t="s">
        <v>566</v>
      </c>
      <c r="D45" s="373">
        <v>1</v>
      </c>
      <c r="E45" s="333">
        <v>47133</v>
      </c>
      <c r="F45" s="333">
        <f t="shared" si="2"/>
        <v>47133</v>
      </c>
      <c r="G45" s="405">
        <f>F45*'Thiet bị'!AG$4</f>
        <v>1256094450</v>
      </c>
      <c r="H45" s="333"/>
      <c r="I45" s="852"/>
      <c r="J45" s="853"/>
      <c r="K45" s="854"/>
    </row>
    <row r="46" spans="1:11">
      <c r="A46" s="374"/>
      <c r="B46" s="332" t="s">
        <v>574</v>
      </c>
      <c r="C46" s="334" t="s">
        <v>575</v>
      </c>
      <c r="D46" s="373">
        <v>1</v>
      </c>
      <c r="E46" s="333">
        <v>44937</v>
      </c>
      <c r="F46" s="333">
        <f t="shared" si="2"/>
        <v>44937</v>
      </c>
      <c r="G46" s="405">
        <f>F46*'Thiet bị'!AG$4</f>
        <v>1197571050</v>
      </c>
      <c r="H46" s="333"/>
      <c r="I46" s="852"/>
      <c r="J46" s="853"/>
      <c r="K46" s="854"/>
    </row>
    <row r="47" spans="1:11">
      <c r="A47" s="374"/>
      <c r="B47" s="332" t="s">
        <v>576</v>
      </c>
      <c r="C47" s="334" t="s">
        <v>577</v>
      </c>
      <c r="D47" s="373">
        <v>1</v>
      </c>
      <c r="E47" s="333">
        <v>4190</v>
      </c>
      <c r="F47" s="333">
        <f t="shared" si="2"/>
        <v>4190</v>
      </c>
      <c r="G47" s="405">
        <f>F47*'Thiet bị'!AG$4</f>
        <v>111663500</v>
      </c>
      <c r="H47" s="333"/>
      <c r="I47" s="852"/>
      <c r="J47" s="853"/>
      <c r="K47" s="854"/>
    </row>
    <row r="48" spans="1:11">
      <c r="A48" s="374"/>
      <c r="B48" s="332" t="s">
        <v>569</v>
      </c>
      <c r="C48" s="334" t="s">
        <v>570</v>
      </c>
      <c r="D48" s="373">
        <v>2</v>
      </c>
      <c r="E48" s="333">
        <v>13385</v>
      </c>
      <c r="F48" s="333">
        <f t="shared" si="2"/>
        <v>26770</v>
      </c>
      <c r="G48" s="405">
        <f>F48*'Thiet bị'!AG$4</f>
        <v>713420500</v>
      </c>
      <c r="H48" s="333"/>
      <c r="I48" s="852"/>
      <c r="J48" s="853"/>
      <c r="K48" s="854"/>
    </row>
    <row r="49" spans="1:11">
      <c r="A49" s="374"/>
      <c r="B49" s="332" t="s">
        <v>578</v>
      </c>
      <c r="C49" s="334" t="s">
        <v>579</v>
      </c>
      <c r="D49" s="373">
        <v>1</v>
      </c>
      <c r="E49" s="333">
        <v>4362</v>
      </c>
      <c r="F49" s="333">
        <f t="shared" si="2"/>
        <v>4362</v>
      </c>
      <c r="G49" s="405">
        <f>F49*'Thiet bị'!AG$4</f>
        <v>116247300</v>
      </c>
      <c r="H49" s="333"/>
      <c r="I49" s="852"/>
      <c r="J49" s="853"/>
      <c r="K49" s="854"/>
    </row>
    <row r="50" spans="1:11">
      <c r="A50" s="374"/>
      <c r="B50" s="332" t="s">
        <v>571</v>
      </c>
      <c r="C50" s="334" t="s">
        <v>572</v>
      </c>
      <c r="D50" s="373">
        <v>2</v>
      </c>
      <c r="E50" s="333">
        <v>16059</v>
      </c>
      <c r="F50" s="333">
        <f t="shared" si="2"/>
        <v>32118</v>
      </c>
      <c r="G50" s="405">
        <f>F50*'Thiet bị'!AG$4</f>
        <v>855944700</v>
      </c>
      <c r="H50" s="333"/>
      <c r="I50" s="852"/>
      <c r="J50" s="853"/>
      <c r="K50" s="854"/>
    </row>
    <row r="51" spans="1:11">
      <c r="A51" s="380">
        <v>2</v>
      </c>
      <c r="B51" s="354" t="s">
        <v>580</v>
      </c>
      <c r="C51" s="331" t="s">
        <v>430</v>
      </c>
      <c r="D51" s="373">
        <v>1</v>
      </c>
      <c r="E51" s="355"/>
      <c r="F51" s="333">
        <f>SUM(E52:E55)</f>
        <v>38000</v>
      </c>
      <c r="G51" s="405">
        <f>F51*'Thiet bị'!AG$4</f>
        <v>1012700000</v>
      </c>
      <c r="H51" s="333">
        <f>F51*D51</f>
        <v>38000</v>
      </c>
      <c r="I51" s="852" t="s">
        <v>249</v>
      </c>
      <c r="J51" s="853" t="s">
        <v>431</v>
      </c>
      <c r="K51" s="854" t="s">
        <v>432</v>
      </c>
    </row>
    <row r="52" spans="1:11">
      <c r="A52" s="374"/>
      <c r="B52" s="332" t="s">
        <v>581</v>
      </c>
      <c r="C52" s="334" t="s">
        <v>430</v>
      </c>
      <c r="D52" s="373">
        <v>1</v>
      </c>
      <c r="E52" s="333">
        <v>1677</v>
      </c>
      <c r="F52" s="333">
        <f>E52*D52</f>
        <v>1677</v>
      </c>
      <c r="G52" s="405">
        <f>F52*'Thiet bị'!AG$4</f>
        <v>44692050</v>
      </c>
      <c r="H52" s="333"/>
      <c r="I52" s="852"/>
      <c r="J52" s="853"/>
      <c r="K52" s="854"/>
    </row>
    <row r="53" spans="1:11">
      <c r="A53" s="374"/>
      <c r="B53" s="332" t="s">
        <v>582</v>
      </c>
      <c r="C53" s="334" t="s">
        <v>583</v>
      </c>
      <c r="D53" s="373">
        <v>1</v>
      </c>
      <c r="E53" s="333">
        <v>1516</v>
      </c>
      <c r="F53" s="333">
        <f>E53*D53</f>
        <v>1516</v>
      </c>
      <c r="G53" s="405">
        <f>F53*'Thiet bị'!AG$4</f>
        <v>40401400</v>
      </c>
      <c r="H53" s="333"/>
      <c r="I53" s="852"/>
      <c r="J53" s="853"/>
      <c r="K53" s="854"/>
    </row>
    <row r="54" spans="1:11">
      <c r="A54" s="374"/>
      <c r="B54" s="332" t="s">
        <v>584</v>
      </c>
      <c r="C54" s="334" t="s">
        <v>585</v>
      </c>
      <c r="D54" s="373">
        <v>1</v>
      </c>
      <c r="E54" s="333">
        <v>20521</v>
      </c>
      <c r="F54" s="333">
        <f>E54*D54</f>
        <v>20521</v>
      </c>
      <c r="G54" s="405">
        <f>F54*'Thiet bị'!AG$4</f>
        <v>546884650</v>
      </c>
      <c r="H54" s="333"/>
      <c r="I54" s="852"/>
      <c r="J54" s="853"/>
      <c r="K54" s="854"/>
    </row>
    <row r="55" spans="1:11">
      <c r="A55" s="374"/>
      <c r="B55" s="332" t="s">
        <v>586</v>
      </c>
      <c r="C55" s="334" t="s">
        <v>587</v>
      </c>
      <c r="D55" s="373">
        <v>1</v>
      </c>
      <c r="E55" s="333">
        <v>14286</v>
      </c>
      <c r="F55" s="333">
        <f>E55*D55</f>
        <v>14286</v>
      </c>
      <c r="G55" s="405">
        <f>F55*'Thiet bị'!AG$4</f>
        <v>380721900</v>
      </c>
      <c r="H55" s="333"/>
      <c r="I55" s="852"/>
      <c r="J55" s="853"/>
      <c r="K55" s="854"/>
    </row>
    <row r="56" spans="1:11">
      <c r="A56" s="375">
        <v>3</v>
      </c>
      <c r="B56" s="316" t="s">
        <v>277</v>
      </c>
      <c r="C56" s="316"/>
      <c r="D56" s="375"/>
      <c r="E56" s="341"/>
      <c r="F56" s="341"/>
      <c r="G56" s="341"/>
      <c r="H56" s="341"/>
      <c r="I56" s="335" t="s">
        <v>433</v>
      </c>
      <c r="J56" s="107"/>
      <c r="K56" s="343"/>
    </row>
    <row r="57" spans="1:11">
      <c r="A57" s="375">
        <v>4</v>
      </c>
      <c r="B57" s="336" t="s">
        <v>260</v>
      </c>
      <c r="C57" s="316" t="s">
        <v>265</v>
      </c>
      <c r="D57" s="375"/>
      <c r="E57" s="341"/>
      <c r="F57" s="341"/>
      <c r="G57" s="341"/>
      <c r="H57" s="341"/>
      <c r="I57" s="335" t="s">
        <v>434</v>
      </c>
      <c r="J57" s="107" t="s">
        <v>435</v>
      </c>
      <c r="K57" s="343"/>
    </row>
    <row r="58" spans="1:11" ht="15">
      <c r="A58" s="375">
        <v>5</v>
      </c>
      <c r="B58" s="316" t="s">
        <v>278</v>
      </c>
      <c r="C58" s="316"/>
      <c r="D58" s="375"/>
      <c r="E58" s="341"/>
      <c r="F58" s="341"/>
      <c r="G58" s="341"/>
      <c r="H58" s="341"/>
      <c r="I58" s="335"/>
      <c r="J58" s="356" t="s">
        <v>415</v>
      </c>
      <c r="K58" s="343"/>
    </row>
    <row r="59" spans="1:11" ht="15">
      <c r="A59" s="375">
        <v>6</v>
      </c>
      <c r="B59" s="316" t="s">
        <v>281</v>
      </c>
      <c r="C59" s="316" t="s">
        <v>104</v>
      </c>
      <c r="D59" s="375">
        <v>1</v>
      </c>
      <c r="E59" s="107"/>
      <c r="F59" s="344">
        <f>1.1*161</f>
        <v>177.10000000000002</v>
      </c>
      <c r="G59" s="344"/>
      <c r="H59" s="344">
        <f>F59*D59</f>
        <v>177.10000000000002</v>
      </c>
      <c r="I59" s="335" t="s">
        <v>249</v>
      </c>
      <c r="J59" s="357" t="s">
        <v>416</v>
      </c>
      <c r="K59" s="343" t="s">
        <v>362</v>
      </c>
    </row>
    <row r="60" spans="1:11" ht="45">
      <c r="A60" s="375">
        <v>7</v>
      </c>
      <c r="B60" s="316" t="s">
        <v>283</v>
      </c>
      <c r="C60" s="316" t="s">
        <v>107</v>
      </c>
      <c r="D60" s="375">
        <v>1</v>
      </c>
      <c r="E60" s="107"/>
      <c r="F60" s="344">
        <f>1.1*752</f>
        <v>827.2</v>
      </c>
      <c r="G60" s="344"/>
      <c r="H60" s="344">
        <f>F60*D60</f>
        <v>827.2</v>
      </c>
      <c r="I60" s="335" t="s">
        <v>249</v>
      </c>
      <c r="J60" s="345" t="s">
        <v>414</v>
      </c>
      <c r="K60" s="343" t="s">
        <v>108</v>
      </c>
    </row>
    <row r="61" spans="1:11" ht="15">
      <c r="A61" s="375">
        <v>8</v>
      </c>
      <c r="B61" s="316" t="s">
        <v>285</v>
      </c>
      <c r="C61" s="316" t="s">
        <v>110</v>
      </c>
      <c r="D61" s="375">
        <v>1</v>
      </c>
      <c r="E61" s="107"/>
      <c r="F61" s="344">
        <f>1.1*172</f>
        <v>189.20000000000002</v>
      </c>
      <c r="G61" s="344"/>
      <c r="H61" s="349">
        <f>F61*D61</f>
        <v>189.20000000000002</v>
      </c>
      <c r="I61" s="335" t="s">
        <v>249</v>
      </c>
      <c r="J61" s="357" t="s">
        <v>417</v>
      </c>
      <c r="K61" s="343" t="s">
        <v>111</v>
      </c>
    </row>
    <row r="62" spans="1:11" ht="15">
      <c r="A62" s="375">
        <v>9</v>
      </c>
      <c r="B62" s="336" t="s">
        <v>287</v>
      </c>
      <c r="C62" s="316" t="s">
        <v>419</v>
      </c>
      <c r="D62" s="375">
        <v>3</v>
      </c>
      <c r="E62" s="107"/>
      <c r="F62" s="344">
        <f>1.1*17000</f>
        <v>18700</v>
      </c>
      <c r="G62" s="344"/>
      <c r="H62" s="349">
        <f>F62*D62</f>
        <v>56100</v>
      </c>
      <c r="I62" s="342" t="s">
        <v>249</v>
      </c>
      <c r="J62" s="339"/>
      <c r="K62" s="343" t="s">
        <v>288</v>
      </c>
    </row>
    <row r="63" spans="1:11" ht="15">
      <c r="A63" s="375">
        <v>10</v>
      </c>
      <c r="B63" s="336" t="s">
        <v>289</v>
      </c>
      <c r="C63" s="316"/>
      <c r="D63" s="375"/>
      <c r="E63" s="107"/>
      <c r="F63" s="346"/>
      <c r="G63" s="346"/>
      <c r="H63" s="346"/>
      <c r="I63" s="335" t="s">
        <v>290</v>
      </c>
      <c r="J63" s="107"/>
      <c r="K63" s="343"/>
    </row>
    <row r="64" spans="1:11" ht="15">
      <c r="A64" s="375">
        <v>11</v>
      </c>
      <c r="B64" s="316" t="s">
        <v>293</v>
      </c>
      <c r="C64" s="316" t="s">
        <v>113</v>
      </c>
      <c r="D64" s="375">
        <v>1</v>
      </c>
      <c r="E64" s="107"/>
      <c r="F64" s="344">
        <f>1.1*125</f>
        <v>137.5</v>
      </c>
      <c r="G64" s="344"/>
      <c r="H64" s="344">
        <f t="shared" ref="H64:H69" si="3">F64*D64</f>
        <v>137.5</v>
      </c>
      <c r="I64" s="335" t="s">
        <v>249</v>
      </c>
      <c r="J64" s="357" t="s">
        <v>436</v>
      </c>
      <c r="K64" s="343" t="s">
        <v>114</v>
      </c>
    </row>
    <row r="65" spans="1:11" ht="15">
      <c r="A65" s="375">
        <v>12</v>
      </c>
      <c r="B65" s="316" t="s">
        <v>295</v>
      </c>
      <c r="C65" s="106" t="s">
        <v>437</v>
      </c>
      <c r="D65" s="375">
        <v>1</v>
      </c>
      <c r="E65" s="107"/>
      <c r="F65" s="344">
        <f>1.1*494</f>
        <v>543.40000000000009</v>
      </c>
      <c r="G65" s="344"/>
      <c r="H65" s="344">
        <f t="shared" si="3"/>
        <v>543.40000000000009</v>
      </c>
      <c r="I65" s="335" t="s">
        <v>249</v>
      </c>
      <c r="J65" s="357" t="s">
        <v>438</v>
      </c>
      <c r="K65" s="343" t="s">
        <v>439</v>
      </c>
    </row>
    <row r="66" spans="1:11" ht="15">
      <c r="A66" s="375">
        <v>13</v>
      </c>
      <c r="B66" s="316"/>
      <c r="C66" s="106" t="s">
        <v>367</v>
      </c>
      <c r="D66" s="375">
        <v>1</v>
      </c>
      <c r="E66" s="107"/>
      <c r="F66" s="344">
        <f>1.1*210</f>
        <v>231.00000000000003</v>
      </c>
      <c r="G66" s="344"/>
      <c r="H66" s="344">
        <f t="shared" si="3"/>
        <v>231.00000000000003</v>
      </c>
      <c r="I66" s="335" t="s">
        <v>249</v>
      </c>
      <c r="J66" s="357" t="s">
        <v>440</v>
      </c>
      <c r="K66" s="343" t="s">
        <v>441</v>
      </c>
    </row>
    <row r="67" spans="1:11" ht="15">
      <c r="A67" s="375">
        <v>14</v>
      </c>
      <c r="B67" s="107"/>
      <c r="C67" s="106" t="s">
        <v>368</v>
      </c>
      <c r="D67" s="375">
        <v>1</v>
      </c>
      <c r="E67" s="107"/>
      <c r="F67" s="344">
        <f>1.1*324</f>
        <v>356.40000000000003</v>
      </c>
      <c r="G67" s="344"/>
      <c r="H67" s="344">
        <f t="shared" si="3"/>
        <v>356.40000000000003</v>
      </c>
      <c r="I67" s="335" t="s">
        <v>249</v>
      </c>
      <c r="J67" s="357" t="s">
        <v>442</v>
      </c>
      <c r="K67" s="343" t="s">
        <v>443</v>
      </c>
    </row>
    <row r="68" spans="1:11" ht="51">
      <c r="A68" s="375">
        <v>15</v>
      </c>
      <c r="B68" s="316" t="s">
        <v>296</v>
      </c>
      <c r="C68" s="108" t="s">
        <v>357</v>
      </c>
      <c r="D68" s="375">
        <v>5</v>
      </c>
      <c r="E68" s="107"/>
      <c r="F68" s="344">
        <f>1.1*2090</f>
        <v>2299</v>
      </c>
      <c r="G68" s="344"/>
      <c r="H68" s="344">
        <f t="shared" si="3"/>
        <v>11495</v>
      </c>
      <c r="I68" s="335" t="s">
        <v>249</v>
      </c>
      <c r="J68" s="339" t="s">
        <v>418</v>
      </c>
      <c r="K68" s="339" t="s">
        <v>360</v>
      </c>
    </row>
    <row r="69" spans="1:11" ht="15">
      <c r="A69" s="375">
        <v>16</v>
      </c>
      <c r="B69" s="350" t="s">
        <v>364</v>
      </c>
      <c r="C69" s="106" t="s">
        <v>365</v>
      </c>
      <c r="D69" s="375">
        <v>2</v>
      </c>
      <c r="E69" s="107"/>
      <c r="F69" s="344">
        <f>1.1*592</f>
        <v>651.20000000000005</v>
      </c>
      <c r="G69" s="344"/>
      <c r="H69" s="344">
        <f t="shared" si="3"/>
        <v>1302.4000000000001</v>
      </c>
      <c r="I69" s="335" t="s">
        <v>249</v>
      </c>
      <c r="J69" s="357" t="s">
        <v>444</v>
      </c>
      <c r="K69" s="343" t="s">
        <v>445</v>
      </c>
    </row>
    <row r="70" spans="1:11" ht="15">
      <c r="B70" s="358"/>
    </row>
    <row r="71" spans="1:11" ht="14.25">
      <c r="A71" s="382">
        <v>3</v>
      </c>
      <c r="B71" s="321" t="s">
        <v>446</v>
      </c>
      <c r="C71" s="351"/>
      <c r="D71" s="382"/>
      <c r="E71" s="321"/>
      <c r="F71" s="321"/>
      <c r="G71" s="321"/>
      <c r="H71" s="321"/>
      <c r="I71" s="321"/>
      <c r="J71" s="321"/>
      <c r="K71" s="352"/>
    </row>
    <row r="72" spans="1:11" ht="14.25">
      <c r="A72" s="379" t="s">
        <v>399</v>
      </c>
      <c r="B72" s="326" t="s">
        <v>400</v>
      </c>
      <c r="C72" s="327" t="s">
        <v>401</v>
      </c>
      <c r="D72" s="379" t="s">
        <v>8</v>
      </c>
      <c r="E72" s="856" t="s">
        <v>336</v>
      </c>
      <c r="F72" s="856"/>
      <c r="G72" s="328"/>
      <c r="H72" s="326" t="s">
        <v>402</v>
      </c>
      <c r="I72" s="326" t="s">
        <v>403</v>
      </c>
      <c r="J72" s="326" t="s">
        <v>404</v>
      </c>
      <c r="K72" s="329" t="s">
        <v>405</v>
      </c>
    </row>
    <row r="73" spans="1:11" s="355" customFormat="1">
      <c r="A73" s="373">
        <v>1</v>
      </c>
      <c r="B73" s="331" t="s">
        <v>588</v>
      </c>
      <c r="C73" s="331" t="s">
        <v>412</v>
      </c>
      <c r="D73" s="373">
        <v>1</v>
      </c>
      <c r="E73" s="332"/>
      <c r="F73" s="333">
        <f>SUM(F74:F79)</f>
        <v>247290</v>
      </c>
      <c r="G73" s="333"/>
      <c r="H73" s="333">
        <f>F73*D73</f>
        <v>247290</v>
      </c>
      <c r="I73" s="852" t="s">
        <v>447</v>
      </c>
      <c r="J73" s="853" t="s">
        <v>448</v>
      </c>
      <c r="K73" s="854" t="s">
        <v>370</v>
      </c>
    </row>
    <row r="74" spans="1:11" s="355" customFormat="1">
      <c r="A74" s="374"/>
      <c r="B74" s="332" t="s">
        <v>589</v>
      </c>
      <c r="C74" s="332" t="s">
        <v>590</v>
      </c>
      <c r="D74" s="373">
        <v>1</v>
      </c>
      <c r="E74" s="333">
        <v>7508</v>
      </c>
      <c r="F74" s="333">
        <f t="shared" ref="F74:F80" si="4">E74*D74</f>
        <v>7508</v>
      </c>
      <c r="G74" s="333"/>
      <c r="H74" s="333"/>
      <c r="I74" s="852"/>
      <c r="J74" s="853"/>
      <c r="K74" s="854"/>
    </row>
    <row r="75" spans="1:11" s="355" customFormat="1">
      <c r="A75" s="374"/>
      <c r="B75" s="332" t="s">
        <v>591</v>
      </c>
      <c r="C75" s="332" t="s">
        <v>592</v>
      </c>
      <c r="D75" s="373">
        <v>2</v>
      </c>
      <c r="E75" s="333">
        <v>36093</v>
      </c>
      <c r="F75" s="333">
        <f t="shared" si="4"/>
        <v>72186</v>
      </c>
      <c r="G75" s="333"/>
      <c r="H75" s="333"/>
      <c r="I75" s="852"/>
      <c r="J75" s="853"/>
      <c r="K75" s="854"/>
    </row>
    <row r="76" spans="1:11" s="355" customFormat="1">
      <c r="A76" s="374"/>
      <c r="B76" s="332" t="s">
        <v>593</v>
      </c>
      <c r="C76" s="332" t="s">
        <v>594</v>
      </c>
      <c r="D76" s="373">
        <v>2</v>
      </c>
      <c r="E76" s="333">
        <v>3904</v>
      </c>
      <c r="F76" s="333">
        <f t="shared" si="4"/>
        <v>7808</v>
      </c>
      <c r="G76" s="333"/>
      <c r="H76" s="333"/>
      <c r="I76" s="852"/>
      <c r="J76" s="853"/>
      <c r="K76" s="854"/>
    </row>
    <row r="77" spans="1:11" s="355" customFormat="1">
      <c r="A77" s="374"/>
      <c r="B77" s="332" t="s">
        <v>595</v>
      </c>
      <c r="C77" s="332" t="s">
        <v>596</v>
      </c>
      <c r="D77" s="373">
        <v>4</v>
      </c>
      <c r="E77" s="333">
        <v>27985</v>
      </c>
      <c r="F77" s="333">
        <f t="shared" si="4"/>
        <v>111940</v>
      </c>
      <c r="G77" s="333"/>
      <c r="H77" s="333"/>
      <c r="I77" s="852"/>
      <c r="J77" s="853"/>
      <c r="K77" s="854"/>
    </row>
    <row r="78" spans="1:11" s="355" customFormat="1">
      <c r="A78" s="374"/>
      <c r="B78" s="332" t="s">
        <v>571</v>
      </c>
      <c r="C78" s="332" t="s">
        <v>572</v>
      </c>
      <c r="D78" s="373">
        <v>2</v>
      </c>
      <c r="E78" s="333">
        <v>16059</v>
      </c>
      <c r="F78" s="333">
        <f t="shared" si="4"/>
        <v>32118</v>
      </c>
      <c r="G78" s="333"/>
      <c r="H78" s="333"/>
      <c r="I78" s="852"/>
      <c r="J78" s="853"/>
      <c r="K78" s="854"/>
    </row>
    <row r="79" spans="1:11" s="355" customFormat="1">
      <c r="A79" s="374"/>
      <c r="B79" s="332" t="s">
        <v>597</v>
      </c>
      <c r="C79" s="332" t="s">
        <v>598</v>
      </c>
      <c r="D79" s="373">
        <v>2</v>
      </c>
      <c r="E79" s="333">
        <v>7865</v>
      </c>
      <c r="F79" s="333">
        <f t="shared" si="4"/>
        <v>15730</v>
      </c>
      <c r="G79" s="333"/>
      <c r="H79" s="333"/>
      <c r="I79" s="852"/>
      <c r="J79" s="853"/>
      <c r="K79" s="854"/>
    </row>
    <row r="80" spans="1:11" s="355" customFormat="1">
      <c r="A80" s="374"/>
      <c r="B80" s="332" t="s">
        <v>599</v>
      </c>
      <c r="C80" s="332"/>
      <c r="D80" s="373">
        <v>1</v>
      </c>
      <c r="E80" s="333">
        <v>8000</v>
      </c>
      <c r="F80" s="333">
        <f t="shared" si="4"/>
        <v>8000</v>
      </c>
      <c r="G80" s="333"/>
      <c r="H80" s="333"/>
      <c r="I80" s="852"/>
      <c r="J80" s="853"/>
      <c r="K80" s="854"/>
    </row>
    <row r="81" spans="1:11" s="355" customFormat="1">
      <c r="A81" s="373">
        <v>2</v>
      </c>
      <c r="B81" s="331" t="s">
        <v>563</v>
      </c>
      <c r="C81" s="331" t="s">
        <v>412</v>
      </c>
      <c r="D81" s="373">
        <v>1</v>
      </c>
      <c r="E81" s="332"/>
      <c r="F81" s="333">
        <f>SUM(F82:F96)</f>
        <v>394000</v>
      </c>
      <c r="G81" s="333"/>
      <c r="H81" s="333">
        <f>F81*D81</f>
        <v>394000</v>
      </c>
      <c r="I81" s="852" t="s">
        <v>249</v>
      </c>
      <c r="J81" s="853" t="s">
        <v>449</v>
      </c>
      <c r="K81" s="854"/>
    </row>
    <row r="82" spans="1:11" s="355" customFormat="1">
      <c r="A82" s="374"/>
      <c r="B82" s="332" t="s">
        <v>564</v>
      </c>
      <c r="C82" s="332" t="s">
        <v>412</v>
      </c>
      <c r="D82" s="373">
        <v>1</v>
      </c>
      <c r="E82" s="333">
        <v>5020</v>
      </c>
      <c r="F82" s="333">
        <f t="shared" ref="F82:F96" si="5">E82*D82</f>
        <v>5020</v>
      </c>
      <c r="G82" s="333"/>
      <c r="H82" s="333"/>
      <c r="I82" s="852"/>
      <c r="J82" s="853"/>
      <c r="K82" s="854"/>
    </row>
    <row r="83" spans="1:11" s="355" customFormat="1">
      <c r="A83" s="374"/>
      <c r="B83" s="332" t="s">
        <v>600</v>
      </c>
      <c r="C83" s="332" t="s">
        <v>601</v>
      </c>
      <c r="D83" s="373">
        <v>1</v>
      </c>
      <c r="E83" s="333">
        <v>38481</v>
      </c>
      <c r="F83" s="333">
        <f t="shared" si="5"/>
        <v>38481</v>
      </c>
      <c r="G83" s="333"/>
      <c r="H83" s="333"/>
      <c r="I83" s="852"/>
      <c r="J83" s="853"/>
      <c r="K83" s="854"/>
    </row>
    <row r="84" spans="1:11" s="355" customFormat="1">
      <c r="A84" s="374"/>
      <c r="B84" s="332" t="s">
        <v>602</v>
      </c>
      <c r="C84" s="332" t="s">
        <v>603</v>
      </c>
      <c r="D84" s="373">
        <v>1</v>
      </c>
      <c r="E84" s="333">
        <v>36823</v>
      </c>
      <c r="F84" s="333">
        <f t="shared" si="5"/>
        <v>36823</v>
      </c>
      <c r="G84" s="333"/>
      <c r="H84" s="333"/>
      <c r="I84" s="852"/>
      <c r="J84" s="853"/>
      <c r="K84" s="854"/>
    </row>
    <row r="85" spans="1:11" s="355" customFormat="1">
      <c r="A85" s="374"/>
      <c r="B85" s="332" t="s">
        <v>589</v>
      </c>
      <c r="C85" s="332" t="s">
        <v>590</v>
      </c>
      <c r="D85" s="373">
        <v>1</v>
      </c>
      <c r="E85" s="333">
        <v>7508</v>
      </c>
      <c r="F85" s="333">
        <f t="shared" si="5"/>
        <v>7508</v>
      </c>
      <c r="G85" s="333"/>
      <c r="H85" s="333"/>
      <c r="I85" s="852"/>
      <c r="J85" s="853"/>
      <c r="K85" s="854"/>
    </row>
    <row r="86" spans="1:11" s="355" customFormat="1">
      <c r="A86" s="374"/>
      <c r="B86" s="332" t="s">
        <v>604</v>
      </c>
      <c r="C86" s="332" t="s">
        <v>605</v>
      </c>
      <c r="D86" s="373">
        <v>2</v>
      </c>
      <c r="E86" s="333">
        <v>10039</v>
      </c>
      <c r="F86" s="333">
        <f t="shared" si="5"/>
        <v>20078</v>
      </c>
      <c r="G86" s="333"/>
      <c r="H86" s="333"/>
      <c r="I86" s="852"/>
      <c r="J86" s="853"/>
      <c r="K86" s="854"/>
    </row>
    <row r="87" spans="1:11" s="355" customFormat="1">
      <c r="A87" s="374"/>
      <c r="B87" s="332" t="s">
        <v>591</v>
      </c>
      <c r="C87" s="332" t="s">
        <v>592</v>
      </c>
      <c r="D87" s="373">
        <v>2</v>
      </c>
      <c r="E87" s="333">
        <v>36093</v>
      </c>
      <c r="F87" s="333">
        <f t="shared" si="5"/>
        <v>72186</v>
      </c>
      <c r="G87" s="333"/>
      <c r="H87" s="333"/>
      <c r="I87" s="852"/>
      <c r="J87" s="853"/>
      <c r="K87" s="854"/>
    </row>
    <row r="88" spans="1:11" s="355" customFormat="1">
      <c r="A88" s="374"/>
      <c r="B88" s="332" t="s">
        <v>606</v>
      </c>
      <c r="C88" s="332" t="s">
        <v>607</v>
      </c>
      <c r="D88" s="373">
        <v>1</v>
      </c>
      <c r="E88" s="333">
        <v>8286</v>
      </c>
      <c r="F88" s="333">
        <f t="shared" si="5"/>
        <v>8286</v>
      </c>
      <c r="G88" s="333"/>
      <c r="H88" s="333"/>
      <c r="I88" s="852"/>
      <c r="J88" s="853"/>
      <c r="K88" s="854"/>
    </row>
    <row r="89" spans="1:11" s="355" customFormat="1">
      <c r="A89" s="374"/>
      <c r="B89" s="332" t="s">
        <v>608</v>
      </c>
      <c r="C89" s="332" t="s">
        <v>609</v>
      </c>
      <c r="D89" s="373">
        <v>1</v>
      </c>
      <c r="E89" s="333">
        <v>10028</v>
      </c>
      <c r="F89" s="333">
        <f t="shared" si="5"/>
        <v>10028</v>
      </c>
      <c r="G89" s="333"/>
      <c r="H89" s="333"/>
      <c r="I89" s="852"/>
      <c r="J89" s="853"/>
      <c r="K89" s="854"/>
    </row>
    <row r="90" spans="1:11" s="355" customFormat="1">
      <c r="A90" s="374"/>
      <c r="B90" s="332" t="s">
        <v>593</v>
      </c>
      <c r="C90" s="332" t="s">
        <v>594</v>
      </c>
      <c r="D90" s="373">
        <v>2</v>
      </c>
      <c r="E90" s="333">
        <v>3904</v>
      </c>
      <c r="F90" s="333">
        <f t="shared" si="5"/>
        <v>7808</v>
      </c>
      <c r="G90" s="333"/>
      <c r="H90" s="333"/>
      <c r="I90" s="852"/>
      <c r="J90" s="853"/>
      <c r="K90" s="854"/>
    </row>
    <row r="91" spans="1:11" s="355" customFormat="1">
      <c r="A91" s="374"/>
      <c r="B91" s="332" t="s">
        <v>578</v>
      </c>
      <c r="C91" s="332" t="s">
        <v>579</v>
      </c>
      <c r="D91" s="373">
        <v>2</v>
      </c>
      <c r="E91" s="333">
        <v>4362</v>
      </c>
      <c r="F91" s="333">
        <f t="shared" si="5"/>
        <v>8724</v>
      </c>
      <c r="G91" s="333"/>
      <c r="H91" s="333"/>
      <c r="I91" s="852"/>
      <c r="J91" s="853"/>
      <c r="K91" s="854"/>
    </row>
    <row r="92" spans="1:11" s="355" customFormat="1">
      <c r="A92" s="374"/>
      <c r="B92" s="332" t="s">
        <v>595</v>
      </c>
      <c r="C92" s="332" t="s">
        <v>596</v>
      </c>
      <c r="D92" s="373">
        <v>4</v>
      </c>
      <c r="E92" s="333">
        <v>27985</v>
      </c>
      <c r="F92" s="333">
        <f t="shared" si="5"/>
        <v>111940</v>
      </c>
      <c r="G92" s="333"/>
      <c r="H92" s="333"/>
      <c r="I92" s="852"/>
      <c r="J92" s="853"/>
      <c r="K92" s="854"/>
    </row>
    <row r="93" spans="1:11" s="355" customFormat="1">
      <c r="A93" s="374"/>
      <c r="B93" s="332" t="s">
        <v>610</v>
      </c>
      <c r="C93" s="332" t="s">
        <v>611</v>
      </c>
      <c r="D93" s="373">
        <v>1</v>
      </c>
      <c r="E93" s="333">
        <v>18090</v>
      </c>
      <c r="F93" s="333">
        <f t="shared" si="5"/>
        <v>18090</v>
      </c>
      <c r="G93" s="333"/>
      <c r="H93" s="333"/>
      <c r="I93" s="852"/>
      <c r="J93" s="853"/>
      <c r="K93" s="854"/>
    </row>
    <row r="94" spans="1:11" s="355" customFormat="1">
      <c r="A94" s="374"/>
      <c r="B94" s="332" t="s">
        <v>571</v>
      </c>
      <c r="C94" s="332" t="s">
        <v>572</v>
      </c>
      <c r="D94" s="373">
        <v>2</v>
      </c>
      <c r="E94" s="333">
        <v>16059</v>
      </c>
      <c r="F94" s="333">
        <f t="shared" si="5"/>
        <v>32118</v>
      </c>
      <c r="G94" s="333"/>
      <c r="H94" s="333"/>
      <c r="I94" s="852"/>
      <c r="J94" s="853"/>
      <c r="K94" s="854"/>
    </row>
    <row r="95" spans="1:11" s="355" customFormat="1">
      <c r="A95" s="374"/>
      <c r="B95" s="332" t="s">
        <v>597</v>
      </c>
      <c r="C95" s="332" t="s">
        <v>598</v>
      </c>
      <c r="D95" s="373">
        <v>2</v>
      </c>
      <c r="E95" s="333">
        <v>7865</v>
      </c>
      <c r="F95" s="333">
        <f t="shared" si="5"/>
        <v>15730</v>
      </c>
      <c r="G95" s="333"/>
      <c r="H95" s="333"/>
      <c r="I95" s="852"/>
      <c r="J95" s="853"/>
      <c r="K95" s="854"/>
    </row>
    <row r="96" spans="1:11" s="355" customFormat="1">
      <c r="A96" s="374"/>
      <c r="B96" s="332" t="s">
        <v>612</v>
      </c>
      <c r="C96" s="332" t="s">
        <v>613</v>
      </c>
      <c r="D96" s="373">
        <v>1</v>
      </c>
      <c r="E96" s="333">
        <v>1180</v>
      </c>
      <c r="F96" s="333">
        <f t="shared" si="5"/>
        <v>1180</v>
      </c>
      <c r="G96" s="333"/>
      <c r="H96" s="333"/>
      <c r="I96" s="852"/>
      <c r="J96" s="853"/>
      <c r="K96" s="854"/>
    </row>
    <row r="97" spans="1:11">
      <c r="A97" s="373">
        <v>3</v>
      </c>
      <c r="B97" s="331" t="s">
        <v>614</v>
      </c>
      <c r="C97" s="331" t="s">
        <v>338</v>
      </c>
      <c r="D97" s="373">
        <v>2</v>
      </c>
      <c r="E97" s="332"/>
      <c r="F97" s="333">
        <f>SUM(F98:F101)</f>
        <v>31732</v>
      </c>
      <c r="G97" s="333"/>
      <c r="H97" s="333">
        <f>F97*D97</f>
        <v>63464</v>
      </c>
      <c r="I97" s="852" t="s">
        <v>249</v>
      </c>
      <c r="J97" s="852" t="s">
        <v>449</v>
      </c>
      <c r="K97" s="854" t="s">
        <v>369</v>
      </c>
    </row>
    <row r="98" spans="1:11">
      <c r="A98" s="374"/>
      <c r="B98" s="332" t="s">
        <v>615</v>
      </c>
      <c r="C98" s="332" t="s">
        <v>338</v>
      </c>
      <c r="D98" s="373">
        <v>1</v>
      </c>
      <c r="E98" s="333">
        <v>21178</v>
      </c>
      <c r="F98" s="333">
        <f>E98*D98</f>
        <v>21178</v>
      </c>
      <c r="G98" s="333"/>
      <c r="H98" s="333"/>
      <c r="I98" s="852"/>
      <c r="J98" s="852"/>
      <c r="K98" s="854"/>
    </row>
    <row r="99" spans="1:11">
      <c r="A99" s="374"/>
      <c r="B99" s="332" t="s">
        <v>616</v>
      </c>
      <c r="C99" s="332" t="s">
        <v>617</v>
      </c>
      <c r="D99" s="373">
        <v>1</v>
      </c>
      <c r="E99" s="333">
        <v>6564</v>
      </c>
      <c r="F99" s="333">
        <f>E99*D99</f>
        <v>6564</v>
      </c>
      <c r="G99" s="333"/>
      <c r="H99" s="333"/>
      <c r="I99" s="852"/>
      <c r="J99" s="852"/>
      <c r="K99" s="854"/>
    </row>
    <row r="100" spans="1:11">
      <c r="A100" s="374"/>
      <c r="B100" s="332" t="s">
        <v>582</v>
      </c>
      <c r="C100" s="332" t="s">
        <v>618</v>
      </c>
      <c r="D100" s="373">
        <v>1</v>
      </c>
      <c r="E100" s="333">
        <v>1487</v>
      </c>
      <c r="F100" s="333">
        <f>E100*D100</f>
        <v>1487</v>
      </c>
      <c r="G100" s="333"/>
      <c r="H100" s="333"/>
      <c r="I100" s="852"/>
      <c r="J100" s="852"/>
      <c r="K100" s="854"/>
    </row>
    <row r="101" spans="1:11">
      <c r="A101" s="374"/>
      <c r="B101" s="332" t="s">
        <v>619</v>
      </c>
      <c r="C101" s="332" t="s">
        <v>620</v>
      </c>
      <c r="D101" s="373">
        <v>1</v>
      </c>
      <c r="E101" s="333">
        <v>2503</v>
      </c>
      <c r="F101" s="333">
        <f>E101*D101</f>
        <v>2503</v>
      </c>
      <c r="G101" s="333"/>
      <c r="H101" s="333"/>
      <c r="I101" s="852"/>
      <c r="J101" s="852"/>
      <c r="K101" s="854"/>
    </row>
    <row r="102" spans="1:11" ht="15">
      <c r="A102" s="375">
        <v>4</v>
      </c>
      <c r="B102" s="316" t="s">
        <v>278</v>
      </c>
      <c r="C102" s="316"/>
      <c r="D102" s="375"/>
      <c r="E102" s="341"/>
      <c r="F102" s="341"/>
      <c r="G102" s="341"/>
      <c r="H102" s="341"/>
      <c r="I102" s="335"/>
      <c r="J102" s="361" t="s">
        <v>415</v>
      </c>
      <c r="K102" s="343"/>
    </row>
    <row r="103" spans="1:11" ht="25.5">
      <c r="A103" s="375">
        <v>5</v>
      </c>
      <c r="B103" s="316" t="s">
        <v>281</v>
      </c>
      <c r="C103" s="316" t="s">
        <v>104</v>
      </c>
      <c r="D103" s="375">
        <v>1</v>
      </c>
      <c r="E103" s="107"/>
      <c r="F103" s="344">
        <f>1.1*161</f>
        <v>177.10000000000002</v>
      </c>
      <c r="G103" s="344"/>
      <c r="H103" s="344">
        <f>F103*D103</f>
        <v>177.10000000000002</v>
      </c>
      <c r="I103" s="335" t="s">
        <v>249</v>
      </c>
      <c r="J103" s="362" t="s">
        <v>416</v>
      </c>
      <c r="K103" s="339" t="s">
        <v>362</v>
      </c>
    </row>
    <row r="104" spans="1:11" ht="45">
      <c r="A104" s="375">
        <v>6</v>
      </c>
      <c r="B104" s="316" t="s">
        <v>283</v>
      </c>
      <c r="C104" s="316" t="s">
        <v>107</v>
      </c>
      <c r="D104" s="375">
        <v>1</v>
      </c>
      <c r="E104" s="107"/>
      <c r="F104" s="344">
        <f>1.1*752</f>
        <v>827.2</v>
      </c>
      <c r="G104" s="344"/>
      <c r="H104" s="344">
        <f>F104*D104</f>
        <v>827.2</v>
      </c>
      <c r="I104" s="335" t="s">
        <v>249</v>
      </c>
      <c r="J104" s="363" t="s">
        <v>414</v>
      </c>
      <c r="K104" s="339" t="s">
        <v>108</v>
      </c>
    </row>
    <row r="105" spans="1:11" ht="25.5">
      <c r="A105" s="375">
        <v>7</v>
      </c>
      <c r="B105" s="316" t="s">
        <v>285</v>
      </c>
      <c r="C105" s="316" t="s">
        <v>110</v>
      </c>
      <c r="D105" s="375">
        <v>1</v>
      </c>
      <c r="E105" s="107"/>
      <c r="F105" s="344">
        <f>1.1*172</f>
        <v>189.20000000000002</v>
      </c>
      <c r="G105" s="344"/>
      <c r="H105" s="349">
        <f>F105*D105</f>
        <v>189.20000000000002</v>
      </c>
      <c r="I105" s="335" t="s">
        <v>249</v>
      </c>
      <c r="J105" s="362" t="s">
        <v>417</v>
      </c>
      <c r="K105" s="339" t="s">
        <v>111</v>
      </c>
    </row>
    <row r="106" spans="1:11" ht="25.5">
      <c r="A106" s="375">
        <v>8</v>
      </c>
      <c r="B106" s="316" t="s">
        <v>450</v>
      </c>
      <c r="C106" s="316" t="s">
        <v>358</v>
      </c>
      <c r="D106" s="383">
        <v>1</v>
      </c>
      <c r="E106" s="107"/>
      <c r="F106" s="344">
        <f>1.1*184</f>
        <v>202.4</v>
      </c>
      <c r="G106" s="344"/>
      <c r="H106" s="344">
        <f>F106*D106</f>
        <v>202.4</v>
      </c>
      <c r="I106" s="335" t="s">
        <v>249</v>
      </c>
      <c r="J106" s="362" t="s">
        <v>451</v>
      </c>
      <c r="K106" s="364" t="s">
        <v>359</v>
      </c>
    </row>
    <row r="107" spans="1:11" ht="15">
      <c r="A107" s="375">
        <v>9</v>
      </c>
      <c r="B107" s="316" t="s">
        <v>289</v>
      </c>
      <c r="C107" s="316"/>
      <c r="D107" s="375"/>
      <c r="E107" s="107"/>
      <c r="F107" s="346"/>
      <c r="G107" s="346"/>
      <c r="H107" s="346"/>
      <c r="I107" s="335" t="s">
        <v>290</v>
      </c>
      <c r="J107" s="316"/>
      <c r="K107" s="339"/>
    </row>
    <row r="108" spans="1:11" ht="26.25">
      <c r="A108" s="375">
        <v>10</v>
      </c>
      <c r="B108" s="316" t="s">
        <v>293</v>
      </c>
      <c r="C108" s="316" t="s">
        <v>113</v>
      </c>
      <c r="D108" s="375">
        <v>1</v>
      </c>
      <c r="E108" s="107"/>
      <c r="F108" s="365">
        <f>1.1*125</f>
        <v>137.5</v>
      </c>
      <c r="G108" s="365"/>
      <c r="H108" s="365">
        <f>F108*D108</f>
        <v>137.5</v>
      </c>
      <c r="I108" s="335" t="s">
        <v>249</v>
      </c>
      <c r="J108" s="362" t="s">
        <v>436</v>
      </c>
      <c r="K108" s="339" t="s">
        <v>114</v>
      </c>
    </row>
    <row r="109" spans="1:11" s="330" customFormat="1" ht="14.25">
      <c r="A109" s="382">
        <v>11</v>
      </c>
      <c r="B109" s="366" t="s">
        <v>621</v>
      </c>
      <c r="C109" s="351"/>
      <c r="D109" s="382"/>
      <c r="E109" s="321"/>
      <c r="F109" s="321"/>
      <c r="G109" s="321"/>
      <c r="H109" s="321"/>
      <c r="I109" s="352"/>
      <c r="J109" s="321"/>
      <c r="K109" s="352"/>
    </row>
    <row r="110" spans="1:11">
      <c r="A110" s="374"/>
      <c r="B110" s="332" t="s">
        <v>622</v>
      </c>
      <c r="C110" s="334" t="s">
        <v>623</v>
      </c>
      <c r="D110" s="373">
        <v>1</v>
      </c>
      <c r="E110" s="332"/>
      <c r="F110" s="333">
        <v>5456</v>
      </c>
      <c r="G110" s="333"/>
      <c r="H110" s="333">
        <f>F110*D110</f>
        <v>5456</v>
      </c>
      <c r="I110" s="849" t="s">
        <v>249</v>
      </c>
      <c r="J110" s="849"/>
      <c r="K110" s="849"/>
    </row>
    <row r="111" spans="1:11" ht="15">
      <c r="A111" s="374"/>
      <c r="B111" s="332" t="s">
        <v>301</v>
      </c>
      <c r="C111" s="334" t="s">
        <v>302</v>
      </c>
      <c r="D111" s="373">
        <v>1</v>
      </c>
      <c r="E111" s="332"/>
      <c r="F111" s="367">
        <f>1.1*695</f>
        <v>764.50000000000011</v>
      </c>
      <c r="G111" s="367"/>
      <c r="H111" s="367">
        <f t="shared" ref="H111:H114" si="6">F111*D111</f>
        <v>764.50000000000011</v>
      </c>
      <c r="I111" s="850"/>
      <c r="J111" s="850"/>
      <c r="K111" s="850"/>
    </row>
    <row r="112" spans="1:11" ht="15">
      <c r="A112" s="374"/>
      <c r="B112" s="332" t="s">
        <v>304</v>
      </c>
      <c r="C112" s="334" t="s">
        <v>305</v>
      </c>
      <c r="D112" s="373">
        <v>1</v>
      </c>
      <c r="E112" s="332"/>
      <c r="F112" s="368">
        <f>1.1*109.95</f>
        <v>120.94500000000001</v>
      </c>
      <c r="G112" s="368"/>
      <c r="H112" s="367">
        <f t="shared" si="6"/>
        <v>120.94500000000001</v>
      </c>
      <c r="I112" s="850"/>
      <c r="J112" s="850"/>
      <c r="K112" s="850"/>
    </row>
    <row r="113" spans="1:11" ht="15">
      <c r="A113" s="374"/>
      <c r="B113" s="332" t="s">
        <v>307</v>
      </c>
      <c r="C113" s="334" t="s">
        <v>308</v>
      </c>
      <c r="D113" s="373">
        <v>1</v>
      </c>
      <c r="E113" s="332"/>
      <c r="F113" s="367">
        <f>1.1*395</f>
        <v>434.50000000000006</v>
      </c>
      <c r="G113" s="367"/>
      <c r="H113" s="367">
        <f t="shared" si="6"/>
        <v>434.50000000000006</v>
      </c>
      <c r="I113" s="850"/>
      <c r="J113" s="850"/>
      <c r="K113" s="850"/>
    </row>
    <row r="114" spans="1:11" ht="15">
      <c r="A114" s="374"/>
      <c r="B114" s="332" t="s">
        <v>310</v>
      </c>
      <c r="C114" s="334" t="s">
        <v>311</v>
      </c>
      <c r="D114" s="373">
        <v>1</v>
      </c>
      <c r="E114" s="332"/>
      <c r="F114" s="368">
        <f>1.1*945</f>
        <v>1039.5</v>
      </c>
      <c r="G114" s="368"/>
      <c r="H114" s="367">
        <f t="shared" si="6"/>
        <v>1039.5</v>
      </c>
      <c r="I114" s="851"/>
      <c r="J114" s="851"/>
      <c r="K114" s="851"/>
    </row>
    <row r="116" spans="1:11">
      <c r="B116" s="325" t="s">
        <v>628</v>
      </c>
    </row>
    <row r="117" spans="1:11">
      <c r="H117" s="369"/>
      <c r="I117" s="369"/>
    </row>
    <row r="118" spans="1:11">
      <c r="H118" s="370"/>
    </row>
  </sheetData>
  <mergeCells count="30">
    <mergeCell ref="E2:F2"/>
    <mergeCell ref="I3:I11"/>
    <mergeCell ref="J3:J11"/>
    <mergeCell ref="K3:K11"/>
    <mergeCell ref="J13:J21"/>
    <mergeCell ref="K13:K21"/>
    <mergeCell ref="I13:I21"/>
    <mergeCell ref="J24:J29"/>
    <mergeCell ref="K24:K29"/>
    <mergeCell ref="E72:F72"/>
    <mergeCell ref="I73:I80"/>
    <mergeCell ref="J73:J80"/>
    <mergeCell ref="K73:K80"/>
    <mergeCell ref="I24:I29"/>
    <mergeCell ref="E42:F42"/>
    <mergeCell ref="I43:I50"/>
    <mergeCell ref="J43:J50"/>
    <mergeCell ref="K43:K50"/>
    <mergeCell ref="I110:I114"/>
    <mergeCell ref="J110:J114"/>
    <mergeCell ref="K110:K114"/>
    <mergeCell ref="I51:I55"/>
    <mergeCell ref="J51:J55"/>
    <mergeCell ref="K51:K55"/>
    <mergeCell ref="I81:I96"/>
    <mergeCell ref="J81:J96"/>
    <mergeCell ref="K81:K96"/>
    <mergeCell ref="I97:I101"/>
    <mergeCell ref="J97:J101"/>
    <mergeCell ref="K97:K101"/>
  </mergeCells>
  <hyperlinks>
    <hyperlink ref="J30" r:id="rId1"/>
    <hyperlink ref="J32" r:id="rId2"/>
    <hyperlink ref="J33" r:id="rId3"/>
    <hyperlink ref="J39" r:id="rId4"/>
    <hyperlink ref="J59" r:id="rId5"/>
    <hyperlink ref="J60" r:id="rId6"/>
    <hyperlink ref="J61" r:id="rId7"/>
    <hyperlink ref="J64" r:id="rId8"/>
    <hyperlink ref="J65" r:id="rId9"/>
    <hyperlink ref="J66" r:id="rId10"/>
    <hyperlink ref="J67" r:id="rId11"/>
    <hyperlink ref="J69" r:id="rId12"/>
    <hyperlink ref="J103" r:id="rId13"/>
    <hyperlink ref="J104" r:id="rId14"/>
    <hyperlink ref="J105" r:id="rId15"/>
    <hyperlink ref="J106" r:id="rId16"/>
    <hyperlink ref="J108" r:id="rId17"/>
  </hyperlinks>
  <pageMargins left="0.7" right="0.7" top="0.75" bottom="0.75" header="0.3" footer="0.3"/>
  <pageSetup orientation="portrait" r:id="rId1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43"/>
  <sheetViews>
    <sheetView workbookViewId="0">
      <selection activeCell="I6" sqref="I6"/>
    </sheetView>
  </sheetViews>
  <sheetFormatPr defaultRowHeight="12.75"/>
  <cols>
    <col min="2" max="2" width="57" customWidth="1"/>
    <col min="3" max="3" width="14.28515625" customWidth="1"/>
    <col min="4" max="4" width="10.7109375" style="160" customWidth="1"/>
    <col min="5" max="5" width="16.42578125" customWidth="1"/>
    <col min="6" max="6" width="14.28515625" customWidth="1"/>
    <col min="7" max="7" width="14" customWidth="1"/>
    <col min="8" max="8" width="18.5703125" customWidth="1"/>
    <col min="9" max="9" width="44.140625" customWidth="1"/>
  </cols>
  <sheetData>
    <row r="2" spans="1:9" ht="15">
      <c r="A2" s="198" t="s">
        <v>399</v>
      </c>
      <c r="B2" s="199" t="s">
        <v>400</v>
      </c>
      <c r="C2" s="199" t="s">
        <v>401</v>
      </c>
      <c r="D2" s="273" t="s">
        <v>8</v>
      </c>
      <c r="E2" s="199" t="s">
        <v>336</v>
      </c>
      <c r="F2" s="199" t="s">
        <v>402</v>
      </c>
      <c r="G2" s="199" t="s">
        <v>403</v>
      </c>
      <c r="H2" s="199" t="s">
        <v>404</v>
      </c>
      <c r="I2" s="199" t="s">
        <v>405</v>
      </c>
    </row>
    <row r="3" spans="1:9" ht="28.5">
      <c r="A3" s="200">
        <v>1</v>
      </c>
      <c r="B3" s="201" t="s">
        <v>394</v>
      </c>
      <c r="C3" s="202"/>
      <c r="D3" s="274"/>
      <c r="E3" s="202"/>
      <c r="F3" s="202"/>
      <c r="G3" s="202"/>
      <c r="H3" s="202"/>
      <c r="I3" s="202"/>
    </row>
    <row r="4" spans="1:9" ht="76.5">
      <c r="A4" s="193"/>
      <c r="B4" s="197" t="s">
        <v>452</v>
      </c>
      <c r="C4" s="197" t="s">
        <v>453</v>
      </c>
      <c r="D4" s="275">
        <v>8</v>
      </c>
      <c r="E4" s="203">
        <v>29530</v>
      </c>
      <c r="F4" s="203">
        <v>236240</v>
      </c>
      <c r="G4" s="197" t="s">
        <v>249</v>
      </c>
      <c r="H4" s="196" t="s">
        <v>454</v>
      </c>
      <c r="I4" s="196" t="s">
        <v>455</v>
      </c>
    </row>
    <row r="5" spans="1:9" ht="28.5">
      <c r="A5" s="201">
        <v>2</v>
      </c>
      <c r="B5" s="201" t="s">
        <v>395</v>
      </c>
      <c r="C5" s="202"/>
      <c r="D5" s="274"/>
      <c r="E5" s="202"/>
      <c r="F5" s="202"/>
      <c r="G5" s="202"/>
      <c r="H5" s="202"/>
      <c r="I5" s="202"/>
    </row>
    <row r="6" spans="1:9" ht="102">
      <c r="A6" s="204"/>
      <c r="B6" s="205" t="s">
        <v>456</v>
      </c>
      <c r="C6" s="197" t="s">
        <v>457</v>
      </c>
      <c r="D6" s="275">
        <v>3</v>
      </c>
      <c r="E6" s="203">
        <v>27206</v>
      </c>
      <c r="F6" s="203">
        <f>E6*D6</f>
        <v>81618</v>
      </c>
      <c r="G6" s="197" t="s">
        <v>249</v>
      </c>
      <c r="H6" s="196" t="s">
        <v>458</v>
      </c>
      <c r="I6" s="194" t="s">
        <v>459</v>
      </c>
    </row>
    <row r="7" spans="1:9" ht="18.75">
      <c r="A7" s="204"/>
      <c r="B7" s="206"/>
      <c r="C7" s="193"/>
      <c r="D7" s="275"/>
      <c r="E7" s="193"/>
      <c r="F7" s="193"/>
      <c r="G7" s="193"/>
      <c r="H7" s="207" t="s">
        <v>460</v>
      </c>
      <c r="I7" s="193"/>
    </row>
    <row r="8" spans="1:9" ht="45">
      <c r="A8" s="208">
        <v>3</v>
      </c>
      <c r="B8" s="201" t="s">
        <v>461</v>
      </c>
      <c r="C8" s="209"/>
      <c r="D8" s="276"/>
      <c r="E8" s="209"/>
      <c r="F8" s="209"/>
      <c r="G8" s="209"/>
      <c r="H8" s="210" t="s">
        <v>462</v>
      </c>
      <c r="I8" s="209"/>
    </row>
    <row r="9" spans="1:9" ht="63">
      <c r="A9" s="211">
        <v>1</v>
      </c>
      <c r="B9" s="212" t="s">
        <v>463</v>
      </c>
      <c r="C9" s="213"/>
      <c r="D9" s="277">
        <v>1</v>
      </c>
      <c r="E9" s="214">
        <v>1950000</v>
      </c>
      <c r="F9" s="213"/>
      <c r="G9" s="213"/>
      <c r="H9" s="215" t="s">
        <v>464</v>
      </c>
      <c r="I9" s="216"/>
    </row>
    <row r="10" spans="1:9" ht="236.25">
      <c r="A10" s="211">
        <v>1.1000000000000001</v>
      </c>
      <c r="B10" s="215" t="s">
        <v>465</v>
      </c>
      <c r="C10" s="216"/>
      <c r="D10" s="277"/>
      <c r="E10" s="216"/>
      <c r="F10" s="216"/>
      <c r="G10" s="216"/>
      <c r="H10" s="216"/>
      <c r="I10" s="216"/>
    </row>
    <row r="11" spans="1:9" ht="283.5">
      <c r="A11" s="211">
        <v>1.2</v>
      </c>
      <c r="B11" s="217" t="s">
        <v>466</v>
      </c>
      <c r="C11" s="216"/>
      <c r="D11" s="277"/>
      <c r="E11" s="216"/>
      <c r="F11" s="216"/>
      <c r="G11" s="216"/>
      <c r="H11" s="216"/>
      <c r="I11" s="216"/>
    </row>
    <row r="12" spans="1:9" ht="173.25">
      <c r="A12" s="211">
        <v>1.3</v>
      </c>
      <c r="B12" s="217" t="s">
        <v>467</v>
      </c>
      <c r="C12" s="216"/>
      <c r="D12" s="277"/>
      <c r="E12" s="216"/>
      <c r="F12" s="216"/>
      <c r="G12" s="216"/>
      <c r="H12" s="216"/>
      <c r="I12" s="216"/>
    </row>
    <row r="13" spans="1:9" ht="236.25">
      <c r="A13" s="211">
        <v>1.4</v>
      </c>
      <c r="B13" s="217" t="s">
        <v>468</v>
      </c>
      <c r="C13" s="216"/>
      <c r="D13" s="277"/>
      <c r="E13" s="216"/>
      <c r="F13" s="216"/>
      <c r="G13" s="216"/>
      <c r="H13" s="216"/>
      <c r="I13" s="216"/>
    </row>
    <row r="14" spans="1:9" ht="15.75">
      <c r="A14" s="218">
        <v>1.5</v>
      </c>
      <c r="B14" s="219" t="s">
        <v>391</v>
      </c>
      <c r="C14" s="216"/>
      <c r="D14" s="277"/>
      <c r="E14" s="216"/>
      <c r="F14" s="216"/>
      <c r="G14" s="216"/>
      <c r="H14" s="216"/>
      <c r="I14" s="216"/>
    </row>
    <row r="15" spans="1:9" ht="15.75">
      <c r="A15" s="218"/>
      <c r="B15" s="216" t="s">
        <v>469</v>
      </c>
      <c r="C15" s="216"/>
      <c r="D15" s="277"/>
      <c r="E15" s="216"/>
      <c r="F15" s="216"/>
      <c r="G15" s="216"/>
      <c r="H15" s="216"/>
      <c r="I15" s="216"/>
    </row>
    <row r="16" spans="1:9" ht="15.75">
      <c r="A16" s="218"/>
      <c r="B16" s="216" t="s">
        <v>470</v>
      </c>
      <c r="C16" s="216"/>
      <c r="D16" s="277"/>
      <c r="E16" s="216"/>
      <c r="F16" s="216"/>
      <c r="G16" s="216"/>
      <c r="H16" s="216"/>
      <c r="I16" s="216"/>
    </row>
    <row r="17" spans="1:9" ht="15.75">
      <c r="A17" s="218"/>
      <c r="B17" s="216" t="s">
        <v>471</v>
      </c>
      <c r="C17" s="216"/>
      <c r="D17" s="277"/>
      <c r="E17" s="216"/>
      <c r="F17" s="216"/>
      <c r="G17" s="216"/>
      <c r="H17" s="216"/>
      <c r="I17" s="216"/>
    </row>
    <row r="18" spans="1:9" ht="15.75">
      <c r="A18" s="218"/>
      <c r="B18" s="216" t="s">
        <v>472</v>
      </c>
      <c r="C18" s="216"/>
      <c r="D18" s="277"/>
      <c r="E18" s="216"/>
      <c r="F18" s="216"/>
      <c r="G18" s="216"/>
      <c r="H18" s="216"/>
      <c r="I18" s="216"/>
    </row>
    <row r="19" spans="1:9" ht="47.25">
      <c r="A19" s="211">
        <v>1.6</v>
      </c>
      <c r="B19" s="220" t="s">
        <v>473</v>
      </c>
      <c r="C19" s="216"/>
      <c r="D19" s="277"/>
      <c r="E19" s="216"/>
      <c r="F19" s="216"/>
      <c r="G19" s="216"/>
      <c r="H19" s="216"/>
      <c r="I19" s="216"/>
    </row>
    <row r="20" spans="1:9" ht="283.5">
      <c r="A20" s="211">
        <v>1.7</v>
      </c>
      <c r="B20" s="217" t="s">
        <v>474</v>
      </c>
      <c r="C20" s="216"/>
      <c r="D20" s="277"/>
      <c r="E20" s="216"/>
      <c r="F20" s="216"/>
      <c r="G20" s="216"/>
      <c r="H20" s="216"/>
      <c r="I20" s="216"/>
    </row>
    <row r="21" spans="1:9" ht="15.75">
      <c r="A21" s="221"/>
      <c r="B21" s="221"/>
      <c r="C21" s="221"/>
      <c r="D21" s="278"/>
      <c r="E21" s="221"/>
      <c r="F21" s="221"/>
      <c r="G21" s="221"/>
      <c r="H21" s="221"/>
      <c r="I21" s="221"/>
    </row>
    <row r="22" spans="1:9" ht="15.75">
      <c r="A22" s="221"/>
      <c r="B22" s="221"/>
      <c r="C22" s="221"/>
      <c r="D22" s="278"/>
      <c r="E22" s="221"/>
      <c r="F22" s="221"/>
      <c r="G22" s="221"/>
      <c r="H22" s="221"/>
      <c r="I22" s="221"/>
    </row>
    <row r="23" spans="1:9" ht="15.75">
      <c r="A23" s="221"/>
      <c r="B23" s="221"/>
      <c r="C23" s="221"/>
      <c r="D23" s="278"/>
      <c r="E23" s="221"/>
      <c r="F23" s="221"/>
      <c r="G23" s="221"/>
      <c r="H23" s="221"/>
      <c r="I23" s="221"/>
    </row>
    <row r="24" spans="1:9" ht="15.75">
      <c r="A24" s="221"/>
      <c r="B24" s="221"/>
      <c r="C24" s="221"/>
      <c r="D24" s="278"/>
      <c r="E24" s="221"/>
      <c r="F24" s="221"/>
      <c r="G24" s="221"/>
      <c r="H24" s="221"/>
      <c r="I24" s="221"/>
    </row>
    <row r="25" spans="1:9" ht="15.75">
      <c r="A25" s="221"/>
      <c r="B25" s="221"/>
      <c r="C25" s="221"/>
      <c r="D25" s="278"/>
      <c r="E25" s="221"/>
      <c r="F25" s="221"/>
      <c r="G25" s="221"/>
      <c r="H25" s="221"/>
      <c r="I25" s="221"/>
    </row>
    <row r="26" spans="1:9" ht="15.75">
      <c r="A26" s="221"/>
      <c r="B26" s="221"/>
      <c r="C26" s="221"/>
      <c r="D26" s="278"/>
      <c r="E26" s="221"/>
      <c r="F26" s="221"/>
      <c r="G26" s="221"/>
      <c r="H26" s="221"/>
      <c r="I26" s="221"/>
    </row>
    <row r="27" spans="1:9" ht="15.75">
      <c r="A27" s="221"/>
      <c r="B27" s="221"/>
      <c r="C27" s="221"/>
      <c r="D27" s="278"/>
      <c r="E27" s="221"/>
      <c r="F27" s="221"/>
      <c r="G27" s="221"/>
      <c r="H27" s="221"/>
      <c r="I27" s="221"/>
    </row>
    <row r="28" spans="1:9" ht="15.75">
      <c r="A28" s="221"/>
      <c r="B28" s="221"/>
      <c r="C28" s="221"/>
      <c r="D28" s="278"/>
      <c r="E28" s="221"/>
      <c r="F28" s="221"/>
      <c r="G28" s="221"/>
      <c r="H28" s="221"/>
      <c r="I28" s="221"/>
    </row>
    <row r="29" spans="1:9" ht="15.75">
      <c r="A29" s="221"/>
      <c r="B29" s="221"/>
      <c r="C29" s="221"/>
      <c r="D29" s="278"/>
      <c r="E29" s="221"/>
      <c r="F29" s="221"/>
      <c r="G29" s="221"/>
      <c r="H29" s="221"/>
      <c r="I29" s="221"/>
    </row>
    <row r="30" spans="1:9" ht="15.75">
      <c r="A30" s="221"/>
      <c r="B30" s="221"/>
      <c r="C30" s="221"/>
      <c r="D30" s="278"/>
      <c r="E30" s="221"/>
      <c r="F30" s="221"/>
      <c r="G30" s="221"/>
      <c r="H30" s="221"/>
      <c r="I30" s="221"/>
    </row>
    <row r="31" spans="1:9" ht="15.75">
      <c r="A31" s="221"/>
      <c r="B31" s="221"/>
      <c r="C31" s="221"/>
      <c r="D31" s="278"/>
      <c r="E31" s="221"/>
      <c r="F31" s="221"/>
      <c r="G31" s="221"/>
      <c r="H31" s="221"/>
      <c r="I31" s="221"/>
    </row>
    <row r="32" spans="1:9" ht="15.75">
      <c r="A32" s="221"/>
      <c r="B32" s="221"/>
      <c r="C32" s="221"/>
      <c r="D32" s="278"/>
      <c r="E32" s="221"/>
      <c r="F32" s="221"/>
      <c r="G32" s="221"/>
      <c r="H32" s="221"/>
      <c r="I32" s="221"/>
    </row>
    <row r="33" spans="1:9" ht="15.75">
      <c r="A33" s="221"/>
      <c r="B33" s="221"/>
      <c r="C33" s="221"/>
      <c r="D33" s="278"/>
      <c r="E33" s="221"/>
      <c r="F33" s="221"/>
      <c r="G33" s="221"/>
      <c r="H33" s="221"/>
      <c r="I33" s="221"/>
    </row>
    <row r="34" spans="1:9" ht="15.75">
      <c r="A34" s="221"/>
      <c r="B34" s="221"/>
      <c r="C34" s="221"/>
      <c r="D34" s="278"/>
      <c r="E34" s="221"/>
      <c r="F34" s="221"/>
      <c r="G34" s="221"/>
      <c r="H34" s="221"/>
      <c r="I34" s="221"/>
    </row>
    <row r="35" spans="1:9" ht="15.75">
      <c r="A35" s="221"/>
      <c r="B35" s="221"/>
      <c r="C35" s="221"/>
      <c r="D35" s="278"/>
      <c r="E35" s="221"/>
      <c r="F35" s="221"/>
      <c r="G35" s="221"/>
      <c r="H35" s="221"/>
      <c r="I35" s="221"/>
    </row>
    <row r="36" spans="1:9" ht="15.75">
      <c r="A36" s="221"/>
      <c r="B36" s="221"/>
      <c r="C36" s="221"/>
      <c r="D36" s="278"/>
      <c r="E36" s="221"/>
      <c r="F36" s="221"/>
      <c r="G36" s="221"/>
      <c r="H36" s="221"/>
      <c r="I36" s="221"/>
    </row>
    <row r="37" spans="1:9" ht="15.75">
      <c r="A37" s="221"/>
      <c r="B37" s="221"/>
      <c r="C37" s="221"/>
      <c r="D37" s="278"/>
      <c r="E37" s="221"/>
      <c r="F37" s="221"/>
      <c r="G37" s="221"/>
      <c r="H37" s="221"/>
      <c r="I37" s="221"/>
    </row>
    <row r="38" spans="1:9" ht="15.75">
      <c r="A38" s="221"/>
      <c r="B38" s="221"/>
      <c r="C38" s="221"/>
      <c r="D38" s="278"/>
      <c r="E38" s="221"/>
      <c r="F38" s="221"/>
      <c r="G38" s="221"/>
      <c r="H38" s="221"/>
      <c r="I38" s="221"/>
    </row>
    <row r="39" spans="1:9" ht="15.75">
      <c r="A39" s="221"/>
      <c r="B39" s="221"/>
      <c r="C39" s="221"/>
      <c r="D39" s="278"/>
      <c r="E39" s="221"/>
      <c r="F39" s="221"/>
      <c r="G39" s="221"/>
      <c r="H39" s="221"/>
      <c r="I39" s="221"/>
    </row>
    <row r="40" spans="1:9" ht="15.75">
      <c r="A40" s="221"/>
      <c r="B40" s="221"/>
      <c r="C40" s="221"/>
      <c r="D40" s="278"/>
      <c r="E40" s="221"/>
      <c r="F40" s="221"/>
      <c r="G40" s="221"/>
      <c r="H40" s="221"/>
      <c r="I40" s="221"/>
    </row>
    <row r="41" spans="1:9" ht="15.75">
      <c r="A41" s="221"/>
      <c r="B41" s="221"/>
      <c r="C41" s="221"/>
      <c r="D41" s="278"/>
      <c r="E41" s="221"/>
      <c r="F41" s="221"/>
      <c r="G41" s="221"/>
      <c r="H41" s="221"/>
      <c r="I41" s="221"/>
    </row>
    <row r="42" spans="1:9" ht="15.75">
      <c r="A42" s="221"/>
      <c r="B42" s="221"/>
      <c r="C42" s="221"/>
      <c r="D42" s="278"/>
      <c r="E42" s="221"/>
      <c r="F42" s="221"/>
      <c r="G42" s="221"/>
      <c r="H42" s="221"/>
      <c r="I42" s="221"/>
    </row>
    <row r="43" spans="1:9" ht="15.75">
      <c r="A43" s="221"/>
      <c r="B43" s="221"/>
      <c r="C43" s="221"/>
      <c r="D43" s="278"/>
      <c r="E43" s="221"/>
      <c r="F43" s="221"/>
      <c r="G43" s="221"/>
      <c r="H43" s="221"/>
      <c r="I43" s="22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3"/>
  <sheetViews>
    <sheetView workbookViewId="0">
      <selection activeCell="F10" sqref="F10"/>
    </sheetView>
  </sheetViews>
  <sheetFormatPr defaultRowHeight="12.75"/>
  <cols>
    <col min="2" max="2" width="22.140625" customWidth="1"/>
    <col min="3" max="3" width="14.85546875" customWidth="1"/>
    <col min="4" max="4" width="14.7109375" style="281" customWidth="1"/>
    <col min="5" max="5" width="16.140625" customWidth="1"/>
    <col min="6" max="6" width="19" customWidth="1"/>
    <col min="7" max="7" width="19.140625" customWidth="1"/>
    <col min="8" max="8" width="18.85546875" customWidth="1"/>
    <col min="9" max="9" width="39.42578125" customWidth="1"/>
  </cols>
  <sheetData>
    <row r="2" spans="1:9" ht="15">
      <c r="A2" s="222" t="s">
        <v>399</v>
      </c>
      <c r="B2" s="223" t="s">
        <v>400</v>
      </c>
      <c r="C2" s="223" t="s">
        <v>401</v>
      </c>
      <c r="D2" s="279" t="s">
        <v>8</v>
      </c>
      <c r="E2" s="223" t="s">
        <v>336</v>
      </c>
      <c r="F2" s="223" t="s">
        <v>402</v>
      </c>
      <c r="G2" s="223" t="s">
        <v>403</v>
      </c>
      <c r="H2" s="223" t="s">
        <v>404</v>
      </c>
      <c r="I2" s="223" t="s">
        <v>405</v>
      </c>
    </row>
    <row r="3" spans="1:9" ht="165.75">
      <c r="A3" s="195">
        <v>1</v>
      </c>
      <c r="B3" s="164" t="s">
        <v>475</v>
      </c>
      <c r="C3" s="195" t="s">
        <v>476</v>
      </c>
      <c r="D3" s="280">
        <v>1</v>
      </c>
      <c r="E3" s="224">
        <v>137800</v>
      </c>
      <c r="F3" s="224">
        <f>E3*D3</f>
        <v>137800</v>
      </c>
      <c r="G3" s="195" t="s">
        <v>249</v>
      </c>
      <c r="H3" s="164" t="s">
        <v>477</v>
      </c>
      <c r="I3" s="194" t="s">
        <v>478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7"/>
  <sheetViews>
    <sheetView topLeftCell="A7" zoomScale="55" zoomScaleNormal="55" workbookViewId="0">
      <selection activeCell="L11" sqref="L11"/>
    </sheetView>
  </sheetViews>
  <sheetFormatPr defaultRowHeight="26.25"/>
  <cols>
    <col min="1" max="1" width="9.140625" style="269"/>
    <col min="2" max="2" width="86.85546875" bestFit="1" customWidth="1"/>
    <col min="3" max="3" width="9.140625" style="103" customWidth="1"/>
    <col min="4" max="4" width="7.85546875" customWidth="1"/>
    <col min="5" max="5" width="8.28515625" customWidth="1"/>
    <col min="6" max="6" width="6.28515625" customWidth="1"/>
    <col min="7" max="7" width="17.28515625" customWidth="1"/>
    <col min="8" max="8" width="24" customWidth="1"/>
    <col min="9" max="9" width="26.140625" customWidth="1"/>
    <col min="10" max="10" width="23.42578125" style="104" bestFit="1" customWidth="1"/>
    <col min="11" max="11" width="19.28515625" style="160" customWidth="1"/>
    <col min="12" max="12" width="38.28515625" style="104" customWidth="1"/>
    <col min="13" max="13" width="16.5703125" style="160" bestFit="1" customWidth="1"/>
    <col min="14" max="14" width="22.85546875" style="104" bestFit="1" customWidth="1"/>
    <col min="15" max="15" width="24.85546875" style="104" bestFit="1" customWidth="1"/>
    <col min="16" max="16" width="102.85546875" bestFit="1" customWidth="1"/>
    <col min="17" max="17" width="26.140625" style="104" bestFit="1" customWidth="1"/>
    <col min="19" max="19" width="16" style="227" hidden="1" customWidth="1"/>
    <col min="20" max="20" width="18" style="227" hidden="1" customWidth="1"/>
    <col min="21" max="21" width="18.28515625" hidden="1" customWidth="1"/>
    <col min="23" max="23" width="34.85546875" customWidth="1"/>
  </cols>
  <sheetData>
    <row r="1" spans="1:21" ht="27" thickBot="1">
      <c r="A1" s="861" t="s">
        <v>7</v>
      </c>
      <c r="B1" s="864" t="s">
        <v>245</v>
      </c>
      <c r="C1" s="225"/>
      <c r="D1" s="226"/>
      <c r="E1" s="226"/>
      <c r="F1" s="226"/>
      <c r="G1" s="867" t="s">
        <v>479</v>
      </c>
      <c r="H1" s="867" t="s">
        <v>480</v>
      </c>
      <c r="I1" s="867" t="s">
        <v>481</v>
      </c>
      <c r="J1" s="872" t="s">
        <v>482</v>
      </c>
      <c r="K1" s="873"/>
      <c r="L1" s="873"/>
      <c r="M1" s="874"/>
      <c r="N1" s="864" t="s">
        <v>250</v>
      </c>
      <c r="O1" s="864" t="s">
        <v>251</v>
      </c>
      <c r="P1" s="864" t="s">
        <v>252</v>
      </c>
      <c r="Q1" s="864" t="s">
        <v>253</v>
      </c>
    </row>
    <row r="2" spans="1:21" thickBot="1">
      <c r="A2" s="862"/>
      <c r="B2" s="865"/>
      <c r="C2" s="228" t="s">
        <v>246</v>
      </c>
      <c r="D2" s="228"/>
      <c r="E2" s="228"/>
      <c r="F2" s="228"/>
      <c r="G2" s="868"/>
      <c r="H2" s="868"/>
      <c r="I2" s="868"/>
      <c r="J2" s="870" t="s">
        <v>447</v>
      </c>
      <c r="K2" s="870"/>
      <c r="L2" s="871" t="s">
        <v>249</v>
      </c>
      <c r="M2" s="871"/>
      <c r="N2" s="865"/>
      <c r="O2" s="865"/>
      <c r="P2" s="865"/>
      <c r="Q2" s="865"/>
    </row>
    <row r="3" spans="1:21" ht="51.75" thickBot="1">
      <c r="A3" s="863"/>
      <c r="B3" s="866"/>
      <c r="C3" s="229" t="s">
        <v>254</v>
      </c>
      <c r="D3" s="229" t="s">
        <v>255</v>
      </c>
      <c r="E3" s="229" t="s">
        <v>256</v>
      </c>
      <c r="F3" s="229" t="s">
        <v>257</v>
      </c>
      <c r="G3" s="869"/>
      <c r="H3" s="869"/>
      <c r="I3" s="869"/>
      <c r="J3" s="229" t="s">
        <v>259</v>
      </c>
      <c r="K3" s="264" t="s">
        <v>8</v>
      </c>
      <c r="L3" s="229" t="s">
        <v>259</v>
      </c>
      <c r="M3" s="264" t="s">
        <v>8</v>
      </c>
      <c r="N3" s="866"/>
      <c r="O3" s="866"/>
      <c r="P3" s="866"/>
      <c r="Q3" s="866"/>
      <c r="S3" s="227" t="s">
        <v>483</v>
      </c>
      <c r="T3" s="227" t="s">
        <v>484</v>
      </c>
      <c r="U3" t="s">
        <v>485</v>
      </c>
    </row>
    <row r="4" spans="1:21" ht="63.75" thickBot="1">
      <c r="A4" s="879">
        <v>1</v>
      </c>
      <c r="B4" s="880" t="s">
        <v>260</v>
      </c>
      <c r="C4" s="875">
        <v>1</v>
      </c>
      <c r="D4" s="875">
        <v>1</v>
      </c>
      <c r="E4" s="875"/>
      <c r="F4" s="875">
        <v>1</v>
      </c>
      <c r="G4" s="875">
        <v>3</v>
      </c>
      <c r="H4" s="876">
        <f>SUM(C4:F7)</f>
        <v>3</v>
      </c>
      <c r="I4" s="875">
        <v>0</v>
      </c>
      <c r="J4" s="230" t="s">
        <v>261</v>
      </c>
      <c r="K4" s="265">
        <v>1</v>
      </c>
      <c r="L4" s="231"/>
      <c r="M4" s="265"/>
      <c r="N4" s="232" t="s">
        <v>262</v>
      </c>
      <c r="O4" s="232" t="s">
        <v>262</v>
      </c>
      <c r="P4" s="233" t="s">
        <v>263</v>
      </c>
      <c r="Q4" s="234" t="s">
        <v>264</v>
      </c>
      <c r="S4" s="878" t="e">
        <v>#NAME?</v>
      </c>
      <c r="T4" s="227" t="e">
        <v>#NAME?</v>
      </c>
    </row>
    <row r="5" spans="1:21" ht="63.75" thickBot="1">
      <c r="A5" s="879"/>
      <c r="B5" s="881"/>
      <c r="C5" s="876"/>
      <c r="D5" s="876"/>
      <c r="E5" s="876"/>
      <c r="F5" s="876"/>
      <c r="G5" s="876"/>
      <c r="H5" s="876"/>
      <c r="I5" s="876"/>
      <c r="J5" s="231" t="s">
        <v>265</v>
      </c>
      <c r="K5" s="265">
        <v>1</v>
      </c>
      <c r="L5" s="231"/>
      <c r="M5" s="265"/>
      <c r="N5" s="231" t="s">
        <v>486</v>
      </c>
      <c r="O5" s="231" t="s">
        <v>486</v>
      </c>
      <c r="P5" s="233" t="s">
        <v>487</v>
      </c>
      <c r="Q5" s="234" t="s">
        <v>264</v>
      </c>
      <c r="S5" s="878"/>
    </row>
    <row r="6" spans="1:21" ht="84.75" thickBot="1">
      <c r="A6" s="879"/>
      <c r="B6" s="881"/>
      <c r="C6" s="876"/>
      <c r="D6" s="876"/>
      <c r="E6" s="876"/>
      <c r="F6" s="876"/>
      <c r="G6" s="876"/>
      <c r="H6" s="876"/>
      <c r="I6" s="876"/>
      <c r="J6" s="235" t="s">
        <v>488</v>
      </c>
      <c r="K6" s="265">
        <v>1</v>
      </c>
      <c r="L6" s="231"/>
      <c r="M6" s="265"/>
      <c r="N6" s="235" t="s">
        <v>486</v>
      </c>
      <c r="O6" s="235" t="s">
        <v>486</v>
      </c>
      <c r="P6" s="233" t="s">
        <v>489</v>
      </c>
      <c r="Q6" s="234" t="s">
        <v>264</v>
      </c>
      <c r="S6" s="878"/>
    </row>
    <row r="7" spans="1:21" ht="126.75" thickBot="1">
      <c r="A7" s="879"/>
      <c r="B7" s="882"/>
      <c r="C7" s="877"/>
      <c r="D7" s="877"/>
      <c r="E7" s="877"/>
      <c r="F7" s="877"/>
      <c r="G7" s="877"/>
      <c r="H7" s="877"/>
      <c r="I7" s="877"/>
      <c r="J7" s="231"/>
      <c r="K7" s="265"/>
      <c r="L7" s="236" t="s">
        <v>267</v>
      </c>
      <c r="M7" s="267" t="s">
        <v>490</v>
      </c>
      <c r="N7" s="237">
        <v>157000</v>
      </c>
      <c r="O7" s="237">
        <v>157000</v>
      </c>
      <c r="P7" s="238" t="s">
        <v>268</v>
      </c>
      <c r="Q7" s="239" t="s">
        <v>264</v>
      </c>
      <c r="S7" s="878"/>
    </row>
    <row r="8" spans="1:21" ht="147.75" thickBot="1">
      <c r="A8" s="879">
        <v>2</v>
      </c>
      <c r="B8" s="880" t="s">
        <v>269</v>
      </c>
      <c r="C8" s="875">
        <v>2</v>
      </c>
      <c r="D8" s="875">
        <v>2</v>
      </c>
      <c r="E8" s="875">
        <v>1</v>
      </c>
      <c r="F8" s="875">
        <v>2</v>
      </c>
      <c r="G8" s="875">
        <v>7</v>
      </c>
      <c r="H8" s="875">
        <v>7</v>
      </c>
      <c r="I8" s="875">
        <v>0</v>
      </c>
      <c r="J8" s="240" t="s">
        <v>270</v>
      </c>
      <c r="K8" s="265">
        <v>1</v>
      </c>
      <c r="L8" s="231"/>
      <c r="M8" s="265"/>
      <c r="N8" s="241" t="s">
        <v>271</v>
      </c>
      <c r="O8" s="241" t="s">
        <v>271</v>
      </c>
      <c r="P8" s="233" t="s">
        <v>272</v>
      </c>
      <c r="Q8" s="234" t="s">
        <v>264</v>
      </c>
      <c r="S8" s="878" t="e">
        <v>#NAME?</v>
      </c>
      <c r="T8" s="227" t="e">
        <v>#NAME?</v>
      </c>
    </row>
    <row r="9" spans="1:21" ht="84.75" thickBot="1">
      <c r="A9" s="879"/>
      <c r="B9" s="881"/>
      <c r="C9" s="876"/>
      <c r="D9" s="876"/>
      <c r="E9" s="876"/>
      <c r="F9" s="876"/>
      <c r="G9" s="876"/>
      <c r="H9" s="876"/>
      <c r="I9" s="876"/>
      <c r="J9" s="235" t="s">
        <v>488</v>
      </c>
      <c r="K9" s="265">
        <v>1</v>
      </c>
      <c r="L9" s="231"/>
      <c r="M9" s="265"/>
      <c r="N9" s="235" t="s">
        <v>486</v>
      </c>
      <c r="O9" s="235" t="s">
        <v>486</v>
      </c>
      <c r="P9" s="233" t="s">
        <v>489</v>
      </c>
      <c r="Q9" s="234" t="s">
        <v>264</v>
      </c>
      <c r="S9" s="878"/>
    </row>
    <row r="10" spans="1:21" ht="105.75" thickBot="1">
      <c r="A10" s="879"/>
      <c r="B10" s="882"/>
      <c r="C10" s="877"/>
      <c r="D10" s="877"/>
      <c r="E10" s="877"/>
      <c r="F10" s="877"/>
      <c r="G10" s="877"/>
      <c r="H10" s="877"/>
      <c r="I10" s="877"/>
      <c r="J10" s="242" t="s">
        <v>273</v>
      </c>
      <c r="K10" s="266">
        <v>5</v>
      </c>
      <c r="L10" s="243"/>
      <c r="M10" s="266"/>
      <c r="N10" s="244" t="s">
        <v>491</v>
      </c>
      <c r="O10" s="244" t="s">
        <v>492</v>
      </c>
      <c r="P10" s="245" t="s">
        <v>274</v>
      </c>
      <c r="Q10" s="234" t="s">
        <v>264</v>
      </c>
      <c r="S10" s="878"/>
    </row>
    <row r="11" spans="1:21" ht="105.75" thickBot="1">
      <c r="A11" s="265">
        <v>3</v>
      </c>
      <c r="B11" s="246" t="s">
        <v>275</v>
      </c>
      <c r="C11" s="231">
        <v>0</v>
      </c>
      <c r="D11" s="231">
        <v>0</v>
      </c>
      <c r="E11" s="231">
        <v>6</v>
      </c>
      <c r="F11" s="231">
        <v>0</v>
      </c>
      <c r="G11" s="231">
        <v>2</v>
      </c>
      <c r="H11" s="231">
        <v>6</v>
      </c>
      <c r="I11" s="231">
        <v>2</v>
      </c>
      <c r="J11" s="231"/>
      <c r="K11" s="265"/>
      <c r="L11" s="231" t="s">
        <v>338</v>
      </c>
      <c r="M11" s="265">
        <v>4</v>
      </c>
      <c r="N11" s="241" t="s">
        <v>493</v>
      </c>
      <c r="O11" s="241" t="s">
        <v>494</v>
      </c>
      <c r="P11" s="233" t="s">
        <v>276</v>
      </c>
      <c r="Q11" s="234" t="s">
        <v>264</v>
      </c>
      <c r="S11" s="227" t="e">
        <v>#NAME?</v>
      </c>
      <c r="T11" s="227" t="e">
        <v>#NAME?</v>
      </c>
    </row>
    <row r="12" spans="1:21" ht="27" thickBot="1">
      <c r="A12" s="265">
        <v>4</v>
      </c>
      <c r="B12" s="246" t="s">
        <v>277</v>
      </c>
      <c r="C12" s="231">
        <v>1</v>
      </c>
      <c r="D12" s="231">
        <v>1</v>
      </c>
      <c r="E12" s="231">
        <v>1</v>
      </c>
      <c r="F12" s="231">
        <v>1</v>
      </c>
      <c r="G12" s="231">
        <v>3</v>
      </c>
      <c r="H12" s="231">
        <v>4</v>
      </c>
      <c r="I12" s="231">
        <v>3</v>
      </c>
      <c r="J12" s="231"/>
      <c r="K12" s="265"/>
      <c r="L12" s="231" t="s">
        <v>495</v>
      </c>
      <c r="M12" s="265">
        <v>1</v>
      </c>
      <c r="N12" s="247" t="s">
        <v>496</v>
      </c>
      <c r="O12" s="247" t="s">
        <v>496</v>
      </c>
      <c r="P12" s="248" t="s">
        <v>497</v>
      </c>
      <c r="Q12" s="234" t="s">
        <v>264</v>
      </c>
      <c r="S12" s="227" t="e">
        <v>#NAME?</v>
      </c>
      <c r="T12" s="227" t="e">
        <v>#NAME?</v>
      </c>
    </row>
    <row r="13" spans="1:21" ht="27" thickBot="1">
      <c r="A13" s="265">
        <v>5</v>
      </c>
      <c r="B13" s="246" t="s">
        <v>278</v>
      </c>
      <c r="C13" s="231">
        <v>16</v>
      </c>
      <c r="D13" s="231">
        <v>16</v>
      </c>
      <c r="E13" s="231">
        <v>8</v>
      </c>
      <c r="F13" s="231">
        <v>16</v>
      </c>
      <c r="G13" s="231">
        <v>0</v>
      </c>
      <c r="H13" s="231">
        <v>56</v>
      </c>
      <c r="I13" s="231">
        <v>0</v>
      </c>
      <c r="J13" s="231"/>
      <c r="K13" s="265"/>
      <c r="L13" s="249" t="s">
        <v>486</v>
      </c>
      <c r="M13" s="265">
        <v>56</v>
      </c>
      <c r="N13" s="231" t="s">
        <v>486</v>
      </c>
      <c r="O13" s="231" t="s">
        <v>486</v>
      </c>
      <c r="P13" s="248" t="s">
        <v>279</v>
      </c>
      <c r="Q13" s="250" t="s">
        <v>280</v>
      </c>
      <c r="S13" s="227" t="e">
        <v>#NAME?</v>
      </c>
      <c r="T13" s="227" t="e">
        <v>#NAME?</v>
      </c>
    </row>
    <row r="14" spans="1:21" ht="27" thickBot="1">
      <c r="A14" s="265">
        <v>6</v>
      </c>
      <c r="B14" s="246" t="s">
        <v>281</v>
      </c>
      <c r="C14" s="231">
        <v>16</v>
      </c>
      <c r="D14" s="231">
        <v>16</v>
      </c>
      <c r="E14" s="231">
        <v>8</v>
      </c>
      <c r="F14" s="231">
        <v>16</v>
      </c>
      <c r="G14" s="231">
        <v>0</v>
      </c>
      <c r="H14" s="231">
        <v>56</v>
      </c>
      <c r="I14" s="231">
        <v>0</v>
      </c>
      <c r="J14" s="231"/>
      <c r="K14" s="265"/>
      <c r="L14" s="231" t="s">
        <v>104</v>
      </c>
      <c r="M14" s="265">
        <v>56</v>
      </c>
      <c r="N14" s="231" t="s">
        <v>498</v>
      </c>
      <c r="O14" s="231" t="s">
        <v>499</v>
      </c>
      <c r="P14" s="248" t="s">
        <v>282</v>
      </c>
      <c r="Q14" s="234" t="s">
        <v>264</v>
      </c>
      <c r="S14" s="227" t="e">
        <v>#NAME?</v>
      </c>
      <c r="T14" s="227" t="e">
        <v>#NAME?</v>
      </c>
    </row>
    <row r="15" spans="1:21" ht="27" thickBot="1">
      <c r="A15" s="265">
        <v>7</v>
      </c>
      <c r="B15" s="246" t="s">
        <v>283</v>
      </c>
      <c r="C15" s="231">
        <v>16</v>
      </c>
      <c r="D15" s="231">
        <v>16</v>
      </c>
      <c r="E15" s="231">
        <v>8</v>
      </c>
      <c r="F15" s="231">
        <v>16</v>
      </c>
      <c r="G15" s="231">
        <v>0</v>
      </c>
      <c r="H15" s="231">
        <v>56</v>
      </c>
      <c r="I15" s="231">
        <v>0</v>
      </c>
      <c r="J15" s="231"/>
      <c r="K15" s="265"/>
      <c r="L15" s="231" t="s">
        <v>107</v>
      </c>
      <c r="M15" s="265">
        <v>56</v>
      </c>
      <c r="N15" s="231" t="s">
        <v>500</v>
      </c>
      <c r="O15" s="231" t="s">
        <v>501</v>
      </c>
      <c r="P15" s="248" t="s">
        <v>284</v>
      </c>
      <c r="Q15" s="234" t="s">
        <v>264</v>
      </c>
      <c r="S15" s="227" t="e">
        <v>#NAME?</v>
      </c>
      <c r="T15" s="227" t="e">
        <v>#NAME?</v>
      </c>
    </row>
    <row r="16" spans="1:21" ht="27" thickBot="1">
      <c r="A16" s="265">
        <v>8</v>
      </c>
      <c r="B16" s="246" t="s">
        <v>285</v>
      </c>
      <c r="C16" s="231">
        <v>18</v>
      </c>
      <c r="D16" s="231">
        <v>18</v>
      </c>
      <c r="E16" s="231">
        <v>9</v>
      </c>
      <c r="F16" s="231">
        <v>18</v>
      </c>
      <c r="G16" s="231">
        <v>0</v>
      </c>
      <c r="H16" s="231">
        <v>63</v>
      </c>
      <c r="I16" s="231">
        <v>0</v>
      </c>
      <c r="J16" s="231"/>
      <c r="K16" s="265"/>
      <c r="L16" s="231" t="s">
        <v>110</v>
      </c>
      <c r="M16" s="265">
        <v>63</v>
      </c>
      <c r="N16" s="231" t="s">
        <v>502</v>
      </c>
      <c r="O16" s="231" t="s">
        <v>503</v>
      </c>
      <c r="P16" s="248" t="s">
        <v>286</v>
      </c>
      <c r="Q16" s="234" t="s">
        <v>264</v>
      </c>
      <c r="S16" s="227" t="e">
        <v>#NAME?</v>
      </c>
      <c r="T16" s="227" t="e">
        <v>#NAME?</v>
      </c>
    </row>
    <row r="17" spans="1:20" ht="27" thickBot="1">
      <c r="A17" s="265">
        <v>9</v>
      </c>
      <c r="B17" s="251" t="s">
        <v>287</v>
      </c>
      <c r="C17" s="231">
        <v>2</v>
      </c>
      <c r="D17" s="231">
        <v>2</v>
      </c>
      <c r="E17" s="231">
        <v>0</v>
      </c>
      <c r="F17" s="231">
        <v>2</v>
      </c>
      <c r="G17" s="231">
        <v>0</v>
      </c>
      <c r="H17" s="231">
        <v>6</v>
      </c>
      <c r="I17" s="231">
        <v>0</v>
      </c>
      <c r="J17" s="231"/>
      <c r="K17" s="265"/>
      <c r="L17" s="231" t="s">
        <v>201</v>
      </c>
      <c r="M17" s="265">
        <v>6</v>
      </c>
      <c r="N17" s="231" t="s">
        <v>486</v>
      </c>
      <c r="O17" s="231" t="s">
        <v>486</v>
      </c>
      <c r="P17" s="248" t="s">
        <v>288</v>
      </c>
      <c r="Q17" s="234" t="s">
        <v>264</v>
      </c>
      <c r="S17" s="227" t="e">
        <v>#NAME?</v>
      </c>
      <c r="T17" s="227" t="e">
        <v>#NAME?</v>
      </c>
    </row>
    <row r="18" spans="1:20" ht="27" thickBot="1">
      <c r="A18" s="265">
        <v>10</v>
      </c>
      <c r="B18" s="252" t="s">
        <v>504</v>
      </c>
      <c r="C18" s="249">
        <v>2</v>
      </c>
      <c r="D18" s="231">
        <v>2</v>
      </c>
      <c r="E18" s="231">
        <v>1</v>
      </c>
      <c r="F18" s="231">
        <v>2</v>
      </c>
      <c r="G18" s="231">
        <v>0</v>
      </c>
      <c r="H18" s="231">
        <v>7</v>
      </c>
      <c r="I18" s="231">
        <v>0</v>
      </c>
      <c r="J18" s="231"/>
      <c r="K18" s="265"/>
      <c r="L18" s="231" t="s">
        <v>290</v>
      </c>
      <c r="M18" s="265">
        <v>7</v>
      </c>
      <c r="N18" s="231" t="s">
        <v>486</v>
      </c>
      <c r="O18" s="231" t="s">
        <v>486</v>
      </c>
      <c r="P18" s="248" t="s">
        <v>291</v>
      </c>
      <c r="Q18" s="250" t="s">
        <v>292</v>
      </c>
      <c r="S18" s="227" t="e">
        <v>#NAME?</v>
      </c>
      <c r="T18" s="227" t="e">
        <v>#NAME?</v>
      </c>
    </row>
    <row r="19" spans="1:20" ht="27" thickBot="1">
      <c r="A19" s="265">
        <v>11</v>
      </c>
      <c r="B19" s="252" t="s">
        <v>293</v>
      </c>
      <c r="C19" s="249">
        <v>1</v>
      </c>
      <c r="D19" s="231">
        <v>1</v>
      </c>
      <c r="E19" s="231">
        <v>1</v>
      </c>
      <c r="F19" s="231">
        <v>1</v>
      </c>
      <c r="G19" s="231">
        <v>0</v>
      </c>
      <c r="H19" s="231">
        <v>4</v>
      </c>
      <c r="I19" s="231">
        <v>0</v>
      </c>
      <c r="J19" s="231"/>
      <c r="K19" s="265"/>
      <c r="L19" s="231" t="s">
        <v>113</v>
      </c>
      <c r="M19" s="265">
        <v>4</v>
      </c>
      <c r="N19" s="231" t="s">
        <v>505</v>
      </c>
      <c r="O19" s="231" t="s">
        <v>506</v>
      </c>
      <c r="P19" s="248" t="s">
        <v>294</v>
      </c>
      <c r="Q19" s="234" t="s">
        <v>264</v>
      </c>
      <c r="S19" s="227" t="e">
        <v>#NAME?</v>
      </c>
      <c r="T19" s="227" t="e">
        <v>#NAME?</v>
      </c>
    </row>
    <row r="20" spans="1:20" ht="27" thickBot="1">
      <c r="A20" s="265">
        <v>12</v>
      </c>
      <c r="B20" s="252" t="s">
        <v>295</v>
      </c>
      <c r="C20" s="249">
        <v>1</v>
      </c>
      <c r="D20" s="231">
        <v>1</v>
      </c>
      <c r="E20" s="231">
        <v>0</v>
      </c>
      <c r="F20" s="231">
        <v>1</v>
      </c>
      <c r="G20" s="231">
        <v>0</v>
      </c>
      <c r="H20" s="231">
        <v>3</v>
      </c>
      <c r="I20" s="231">
        <v>0</v>
      </c>
      <c r="J20" s="231"/>
      <c r="K20" s="265"/>
      <c r="L20" s="231" t="s">
        <v>486</v>
      </c>
      <c r="M20" s="265">
        <v>3</v>
      </c>
      <c r="N20" s="231" t="s">
        <v>486</v>
      </c>
      <c r="O20" s="231" t="s">
        <v>486</v>
      </c>
      <c r="P20" s="253" t="s">
        <v>295</v>
      </c>
      <c r="Q20" s="250" t="s">
        <v>280</v>
      </c>
      <c r="S20" s="227" t="e">
        <v>#NAME?</v>
      </c>
      <c r="T20" s="227" t="e">
        <v>#NAME?</v>
      </c>
    </row>
    <row r="21" spans="1:20" ht="27" thickBot="1">
      <c r="A21" s="265">
        <v>13</v>
      </c>
      <c r="B21" s="252" t="s">
        <v>296</v>
      </c>
      <c r="C21" s="249">
        <v>2</v>
      </c>
      <c r="D21" s="231">
        <v>2</v>
      </c>
      <c r="E21" s="231">
        <v>0</v>
      </c>
      <c r="F21" s="231">
        <v>2</v>
      </c>
      <c r="G21" s="231">
        <v>0</v>
      </c>
      <c r="H21" s="231">
        <v>6</v>
      </c>
      <c r="I21" s="231">
        <v>0</v>
      </c>
      <c r="J21" s="231"/>
      <c r="K21" s="265"/>
      <c r="L21" s="249" t="s">
        <v>486</v>
      </c>
      <c r="M21" s="265">
        <v>6</v>
      </c>
      <c r="N21" s="231" t="s">
        <v>486</v>
      </c>
      <c r="O21" s="231" t="s">
        <v>486</v>
      </c>
      <c r="P21" s="248" t="s">
        <v>296</v>
      </c>
      <c r="Q21" s="250" t="s">
        <v>280</v>
      </c>
      <c r="S21" s="227" t="e">
        <v>#NAME?</v>
      </c>
      <c r="T21" s="227" t="e">
        <v>#NAME?</v>
      </c>
    </row>
    <row r="22" spans="1:20" ht="27" thickBot="1">
      <c r="A22" s="265">
        <v>14</v>
      </c>
      <c r="B22" s="252" t="s">
        <v>297</v>
      </c>
      <c r="C22" s="231">
        <v>0</v>
      </c>
      <c r="D22" s="231">
        <v>0</v>
      </c>
      <c r="E22" s="231">
        <v>1</v>
      </c>
      <c r="F22" s="231">
        <v>0</v>
      </c>
      <c r="G22" s="231">
        <v>0</v>
      </c>
      <c r="H22" s="231">
        <v>1</v>
      </c>
      <c r="I22" s="231">
        <v>0</v>
      </c>
      <c r="J22" s="231"/>
      <c r="K22" s="265"/>
      <c r="L22" s="249" t="s">
        <v>486</v>
      </c>
      <c r="M22" s="265">
        <v>1</v>
      </c>
      <c r="N22" s="249" t="s">
        <v>486</v>
      </c>
      <c r="O22" s="249" t="s">
        <v>486</v>
      </c>
      <c r="P22" s="248"/>
      <c r="Q22" s="234" t="s">
        <v>264</v>
      </c>
      <c r="S22" s="227" t="e">
        <v>#NAME?</v>
      </c>
      <c r="T22" s="227" t="e">
        <v>#NAME?</v>
      </c>
    </row>
    <row r="23" spans="1:20" ht="27" thickBot="1">
      <c r="A23" s="883">
        <v>15</v>
      </c>
      <c r="B23" s="880" t="s">
        <v>385</v>
      </c>
      <c r="C23" s="886">
        <v>1</v>
      </c>
      <c r="D23" s="886">
        <v>0</v>
      </c>
      <c r="E23" s="889">
        <v>0</v>
      </c>
      <c r="F23" s="886">
        <v>0</v>
      </c>
      <c r="G23" s="886">
        <v>0</v>
      </c>
      <c r="H23" s="886">
        <v>1</v>
      </c>
      <c r="I23" s="886">
        <v>0</v>
      </c>
      <c r="J23" s="254"/>
      <c r="K23" s="265"/>
      <c r="L23" s="249" t="s">
        <v>507</v>
      </c>
      <c r="M23" s="265">
        <v>1</v>
      </c>
      <c r="N23" s="249" t="s">
        <v>486</v>
      </c>
      <c r="O23" s="249" t="s">
        <v>486</v>
      </c>
      <c r="P23" s="255"/>
      <c r="Q23" s="250" t="s">
        <v>280</v>
      </c>
      <c r="S23" s="227" t="e">
        <v>#NAME?</v>
      </c>
      <c r="T23" s="227" t="e">
        <v>#NAME?</v>
      </c>
    </row>
    <row r="24" spans="1:20" ht="27" thickBot="1">
      <c r="A24" s="884"/>
      <c r="B24" s="881"/>
      <c r="C24" s="887"/>
      <c r="D24" s="887"/>
      <c r="E24" s="890"/>
      <c r="F24" s="887"/>
      <c r="G24" s="887"/>
      <c r="H24" s="887"/>
      <c r="I24" s="887"/>
      <c r="J24" s="231"/>
      <c r="K24" s="265"/>
      <c r="L24" s="249" t="s">
        <v>508</v>
      </c>
      <c r="M24" s="265">
        <v>1</v>
      </c>
      <c r="N24" s="249" t="s">
        <v>486</v>
      </c>
      <c r="O24" s="249" t="s">
        <v>486</v>
      </c>
      <c r="P24" s="255"/>
      <c r="Q24" s="250" t="s">
        <v>280</v>
      </c>
      <c r="S24" s="227" t="e">
        <v>#NAME?</v>
      </c>
      <c r="T24" s="227" t="e">
        <v>#NAME?</v>
      </c>
    </row>
    <row r="25" spans="1:20" ht="27" thickBot="1">
      <c r="A25" s="884"/>
      <c r="B25" s="881"/>
      <c r="C25" s="887"/>
      <c r="D25" s="887"/>
      <c r="E25" s="890"/>
      <c r="F25" s="887"/>
      <c r="G25" s="887"/>
      <c r="H25" s="887"/>
      <c r="I25" s="887"/>
      <c r="J25" s="231"/>
      <c r="K25" s="265"/>
      <c r="L25" s="249" t="s">
        <v>509</v>
      </c>
      <c r="M25" s="265">
        <v>1</v>
      </c>
      <c r="N25" s="249" t="s">
        <v>486</v>
      </c>
      <c r="O25" s="249" t="s">
        <v>486</v>
      </c>
      <c r="P25" s="255"/>
      <c r="Q25" s="250" t="s">
        <v>292</v>
      </c>
      <c r="S25" s="227" t="e">
        <v>#NAME?</v>
      </c>
      <c r="T25" s="227" t="e">
        <v>#NAME?</v>
      </c>
    </row>
    <row r="26" spans="1:20" ht="27" thickBot="1">
      <c r="A26" s="885"/>
      <c r="B26" s="882"/>
      <c r="C26" s="888"/>
      <c r="D26" s="888"/>
      <c r="E26" s="891"/>
      <c r="F26" s="888"/>
      <c r="G26" s="888"/>
      <c r="H26" s="888"/>
      <c r="I26" s="888"/>
      <c r="J26" s="231"/>
      <c r="K26" s="265"/>
      <c r="L26" s="249" t="s">
        <v>510</v>
      </c>
      <c r="M26" s="265">
        <v>1</v>
      </c>
      <c r="N26" s="249" t="s">
        <v>486</v>
      </c>
      <c r="O26" s="249" t="s">
        <v>486</v>
      </c>
      <c r="P26" s="255"/>
      <c r="Q26" s="250" t="s">
        <v>280</v>
      </c>
      <c r="S26" s="227" t="e">
        <v>#NAME?</v>
      </c>
      <c r="T26" s="227" t="e">
        <v>#NAME?</v>
      </c>
    </row>
    <row r="27" spans="1:20" ht="27" thickBot="1">
      <c r="A27" s="265">
        <v>16</v>
      </c>
      <c r="B27" s="252" t="s">
        <v>386</v>
      </c>
      <c r="C27" s="249">
        <v>1</v>
      </c>
      <c r="D27" s="249">
        <v>0</v>
      </c>
      <c r="E27" s="249">
        <v>0</v>
      </c>
      <c r="F27" s="249">
        <v>0</v>
      </c>
      <c r="G27" s="249">
        <v>0</v>
      </c>
      <c r="H27" s="249">
        <v>1</v>
      </c>
      <c r="I27" s="249">
        <v>0</v>
      </c>
      <c r="J27" s="231"/>
      <c r="K27" s="265"/>
      <c r="L27" s="249" t="s">
        <v>511</v>
      </c>
      <c r="M27" s="265">
        <v>1</v>
      </c>
      <c r="N27" s="249" t="s">
        <v>486</v>
      </c>
      <c r="O27" s="249" t="s">
        <v>486</v>
      </c>
      <c r="P27" s="255"/>
      <c r="Q27" s="250" t="s">
        <v>280</v>
      </c>
      <c r="S27" s="227" t="e">
        <v>#NAME?</v>
      </c>
      <c r="T27" s="227" t="e">
        <v>#NAME?</v>
      </c>
    </row>
    <row r="28" spans="1:20" ht="27" thickBot="1">
      <c r="A28" s="883">
        <v>17</v>
      </c>
      <c r="B28" s="892" t="s">
        <v>298</v>
      </c>
      <c r="C28" s="886">
        <v>3</v>
      </c>
      <c r="D28" s="886">
        <v>0</v>
      </c>
      <c r="E28" s="886">
        <v>0</v>
      </c>
      <c r="F28" s="886">
        <v>0</v>
      </c>
      <c r="G28" s="886">
        <v>0</v>
      </c>
      <c r="H28" s="886">
        <v>3</v>
      </c>
      <c r="I28" s="886">
        <v>0</v>
      </c>
      <c r="J28" s="875"/>
      <c r="K28" s="883"/>
      <c r="L28" s="249" t="s">
        <v>512</v>
      </c>
      <c r="M28" s="265">
        <v>1</v>
      </c>
      <c r="N28" s="249" t="s">
        <v>486</v>
      </c>
      <c r="O28" s="249" t="s">
        <v>486</v>
      </c>
      <c r="P28" s="233" t="s">
        <v>299</v>
      </c>
      <c r="Q28" s="250" t="s">
        <v>280</v>
      </c>
      <c r="S28" s="227" t="e">
        <v>#NAME?</v>
      </c>
      <c r="T28" s="227" t="e">
        <v>#NAME?</v>
      </c>
    </row>
    <row r="29" spans="1:20" ht="27" thickBot="1">
      <c r="A29" s="885"/>
      <c r="B29" s="893"/>
      <c r="C29" s="888"/>
      <c r="D29" s="888"/>
      <c r="E29" s="888"/>
      <c r="F29" s="888"/>
      <c r="G29" s="888"/>
      <c r="H29" s="888"/>
      <c r="I29" s="888"/>
      <c r="J29" s="877"/>
      <c r="K29" s="885"/>
      <c r="L29" s="249" t="s">
        <v>513</v>
      </c>
      <c r="M29" s="265">
        <v>2</v>
      </c>
      <c r="N29" s="249" t="s">
        <v>486</v>
      </c>
      <c r="O29" s="249" t="s">
        <v>486</v>
      </c>
      <c r="P29" s="233" t="s">
        <v>300</v>
      </c>
      <c r="Q29" s="250" t="s">
        <v>280</v>
      </c>
      <c r="S29" s="227" t="e">
        <v>#NAME?</v>
      </c>
      <c r="T29" s="227" t="e">
        <v>#NAME?</v>
      </c>
    </row>
    <row r="30" spans="1:20" ht="27" thickBot="1">
      <c r="A30" s="265">
        <v>18</v>
      </c>
      <c r="B30" s="252" t="s">
        <v>301</v>
      </c>
      <c r="C30" s="249">
        <v>1</v>
      </c>
      <c r="D30" s="249">
        <v>0</v>
      </c>
      <c r="E30" s="249">
        <v>0</v>
      </c>
      <c r="F30" s="249">
        <v>0</v>
      </c>
      <c r="G30" s="249">
        <v>0</v>
      </c>
      <c r="H30" s="249">
        <v>1</v>
      </c>
      <c r="I30" s="249">
        <v>0</v>
      </c>
      <c r="J30" s="231"/>
      <c r="K30" s="265"/>
      <c r="L30" s="249" t="s">
        <v>302</v>
      </c>
      <c r="M30" s="268">
        <v>1</v>
      </c>
      <c r="N30" s="249" t="s">
        <v>486</v>
      </c>
      <c r="O30" s="249" t="s">
        <v>486</v>
      </c>
      <c r="P30" s="255" t="s">
        <v>303</v>
      </c>
      <c r="Q30" s="234" t="s">
        <v>264</v>
      </c>
      <c r="S30" s="227" t="e">
        <v>#NAME?</v>
      </c>
      <c r="T30" s="227" t="e">
        <v>#NAME?</v>
      </c>
    </row>
    <row r="31" spans="1:20" ht="27" thickBot="1">
      <c r="A31" s="265">
        <v>19</v>
      </c>
      <c r="B31" s="252" t="s">
        <v>304</v>
      </c>
      <c r="C31" s="249">
        <v>1</v>
      </c>
      <c r="D31" s="249">
        <v>0</v>
      </c>
      <c r="E31" s="249">
        <v>0</v>
      </c>
      <c r="F31" s="249">
        <v>0</v>
      </c>
      <c r="G31" s="249">
        <v>0</v>
      </c>
      <c r="H31" s="249">
        <v>1</v>
      </c>
      <c r="I31" s="249">
        <v>0</v>
      </c>
      <c r="J31" s="231"/>
      <c r="K31" s="265"/>
      <c r="L31" s="249" t="s">
        <v>305</v>
      </c>
      <c r="M31" s="268">
        <v>1</v>
      </c>
      <c r="N31" s="249" t="s">
        <v>486</v>
      </c>
      <c r="O31" s="249" t="s">
        <v>486</v>
      </c>
      <c r="P31" s="256" t="s">
        <v>306</v>
      </c>
      <c r="Q31" s="234" t="s">
        <v>264</v>
      </c>
      <c r="S31" s="227" t="e">
        <v>#NAME?</v>
      </c>
      <c r="T31" s="227" t="e">
        <v>#NAME?</v>
      </c>
    </row>
    <row r="32" spans="1:20" ht="27" thickBot="1">
      <c r="A32" s="265">
        <v>20</v>
      </c>
      <c r="B32" s="252" t="s">
        <v>307</v>
      </c>
      <c r="C32" s="249">
        <v>5</v>
      </c>
      <c r="D32" s="249">
        <v>0</v>
      </c>
      <c r="E32" s="249">
        <v>0</v>
      </c>
      <c r="F32" s="249">
        <v>0</v>
      </c>
      <c r="G32" s="249">
        <v>0</v>
      </c>
      <c r="H32" s="249">
        <v>5</v>
      </c>
      <c r="I32" s="249">
        <v>0</v>
      </c>
      <c r="J32" s="231"/>
      <c r="K32" s="265"/>
      <c r="L32" s="249" t="s">
        <v>308</v>
      </c>
      <c r="M32" s="268">
        <v>5</v>
      </c>
      <c r="N32" s="249" t="s">
        <v>486</v>
      </c>
      <c r="O32" s="249" t="s">
        <v>486</v>
      </c>
      <c r="P32" s="257" t="s">
        <v>309</v>
      </c>
      <c r="Q32" s="234" t="s">
        <v>264</v>
      </c>
      <c r="S32" s="227" t="e">
        <v>#NAME?</v>
      </c>
      <c r="T32" s="227" t="e">
        <v>#NAME?</v>
      </c>
    </row>
    <row r="33" spans="1:23" ht="27" thickBot="1">
      <c r="A33" s="265">
        <v>21</v>
      </c>
      <c r="B33" s="252" t="s">
        <v>310</v>
      </c>
      <c r="C33" s="249">
        <v>1</v>
      </c>
      <c r="D33" s="249">
        <v>0</v>
      </c>
      <c r="E33" s="249">
        <v>0</v>
      </c>
      <c r="F33" s="249">
        <v>0</v>
      </c>
      <c r="G33" s="249">
        <v>0</v>
      </c>
      <c r="H33" s="249">
        <v>1</v>
      </c>
      <c r="I33" s="249">
        <v>0</v>
      </c>
      <c r="J33" s="231"/>
      <c r="K33" s="265"/>
      <c r="L33" s="249" t="s">
        <v>311</v>
      </c>
      <c r="M33" s="268">
        <v>1</v>
      </c>
      <c r="N33" s="249" t="s">
        <v>486</v>
      </c>
      <c r="O33" s="249" t="s">
        <v>486</v>
      </c>
      <c r="P33" s="257" t="s">
        <v>309</v>
      </c>
      <c r="Q33" s="234" t="s">
        <v>264</v>
      </c>
      <c r="S33" s="227" t="e">
        <v>#NAME?</v>
      </c>
      <c r="T33" s="227" t="e">
        <v>#NAME?</v>
      </c>
      <c r="V33" s="258"/>
      <c r="W33" s="258"/>
    </row>
    <row r="34" spans="1:23" ht="27" thickBot="1">
      <c r="A34" s="265">
        <v>22</v>
      </c>
      <c r="B34" s="252" t="s">
        <v>371</v>
      </c>
      <c r="C34" s="231">
        <v>5</v>
      </c>
      <c r="D34" s="249">
        <v>0</v>
      </c>
      <c r="E34" s="249">
        <v>0</v>
      </c>
      <c r="F34" s="249">
        <v>0</v>
      </c>
      <c r="G34" s="249">
        <v>0</v>
      </c>
      <c r="H34" s="249">
        <v>5</v>
      </c>
      <c r="I34" s="249">
        <v>0</v>
      </c>
      <c r="J34" s="231"/>
      <c r="K34" s="265"/>
      <c r="L34" s="249" t="s">
        <v>486</v>
      </c>
      <c r="M34" s="265">
        <v>5</v>
      </c>
      <c r="N34" s="249" t="s">
        <v>486</v>
      </c>
      <c r="O34" s="249" t="s">
        <v>486</v>
      </c>
      <c r="P34" s="255"/>
      <c r="Q34" s="234" t="s">
        <v>264</v>
      </c>
      <c r="S34" s="227" t="e">
        <v>#NAME?</v>
      </c>
      <c r="T34" s="227" t="e">
        <v>#NAME?</v>
      </c>
      <c r="V34" s="259"/>
      <c r="W34" s="259"/>
    </row>
    <row r="35" spans="1:23" ht="27" thickBot="1">
      <c r="A35" s="265">
        <v>23</v>
      </c>
      <c r="B35" s="252" t="s">
        <v>372</v>
      </c>
      <c r="C35" s="231">
        <v>5</v>
      </c>
      <c r="D35" s="249">
        <v>0</v>
      </c>
      <c r="E35" s="249">
        <v>0</v>
      </c>
      <c r="F35" s="249">
        <v>0</v>
      </c>
      <c r="G35" s="249">
        <v>0</v>
      </c>
      <c r="H35" s="249">
        <v>5</v>
      </c>
      <c r="I35" s="249">
        <v>0</v>
      </c>
      <c r="J35" s="231"/>
      <c r="K35" s="265"/>
      <c r="L35" s="249" t="s">
        <v>486</v>
      </c>
      <c r="M35" s="265">
        <v>5</v>
      </c>
      <c r="N35" s="249" t="s">
        <v>486</v>
      </c>
      <c r="O35" s="249" t="s">
        <v>486</v>
      </c>
      <c r="P35" s="255"/>
      <c r="Q35" s="234" t="s">
        <v>264</v>
      </c>
      <c r="S35" s="227" t="e">
        <v>#NAME?</v>
      </c>
      <c r="T35" s="227" t="e">
        <v>#NAME?</v>
      </c>
      <c r="V35" s="259"/>
      <c r="W35" s="259"/>
    </row>
    <row r="36" spans="1:23" ht="27" thickBot="1">
      <c r="A36" s="265">
        <v>24</v>
      </c>
      <c r="B36" s="252" t="s">
        <v>373</v>
      </c>
      <c r="C36" s="231">
        <v>5</v>
      </c>
      <c r="D36" s="249">
        <v>0</v>
      </c>
      <c r="E36" s="249">
        <v>0</v>
      </c>
      <c r="F36" s="249">
        <v>0</v>
      </c>
      <c r="G36" s="249">
        <v>0</v>
      </c>
      <c r="H36" s="249">
        <v>5</v>
      </c>
      <c r="I36" s="249">
        <v>0</v>
      </c>
      <c r="J36" s="231"/>
      <c r="K36" s="265"/>
      <c r="L36" s="249" t="s">
        <v>486</v>
      </c>
      <c r="M36" s="265">
        <v>5</v>
      </c>
      <c r="N36" s="249" t="s">
        <v>486</v>
      </c>
      <c r="O36" s="249" t="s">
        <v>486</v>
      </c>
      <c r="P36" s="255"/>
      <c r="Q36" s="234" t="s">
        <v>264</v>
      </c>
      <c r="S36" s="227" t="e">
        <v>#NAME?</v>
      </c>
      <c r="T36" s="227" t="e">
        <v>#NAME?</v>
      </c>
      <c r="V36" s="259"/>
      <c r="W36" s="259"/>
    </row>
    <row r="37" spans="1:23" ht="27" thickBot="1">
      <c r="A37" s="265">
        <v>25</v>
      </c>
      <c r="B37" s="252" t="s">
        <v>374</v>
      </c>
      <c r="C37" s="231">
        <v>2</v>
      </c>
      <c r="D37" s="249">
        <v>0</v>
      </c>
      <c r="E37" s="249">
        <v>0</v>
      </c>
      <c r="F37" s="249">
        <v>0</v>
      </c>
      <c r="G37" s="249">
        <v>0</v>
      </c>
      <c r="H37" s="249">
        <v>2</v>
      </c>
      <c r="I37" s="249">
        <v>0</v>
      </c>
      <c r="J37" s="231"/>
      <c r="K37" s="265"/>
      <c r="L37" s="249" t="s">
        <v>486</v>
      </c>
      <c r="M37" s="265">
        <v>2</v>
      </c>
      <c r="N37" s="249" t="s">
        <v>486</v>
      </c>
      <c r="O37" s="249" t="s">
        <v>486</v>
      </c>
      <c r="P37" s="255"/>
      <c r="Q37" s="234" t="s">
        <v>264</v>
      </c>
      <c r="S37" s="227" t="e">
        <v>#NAME?</v>
      </c>
      <c r="T37" s="227" t="e">
        <v>#NAME?</v>
      </c>
      <c r="V37" s="259"/>
      <c r="W37" s="259"/>
    </row>
    <row r="38" spans="1:23" ht="27" thickBot="1">
      <c r="A38" s="265">
        <v>26</v>
      </c>
      <c r="B38" s="252" t="s">
        <v>514</v>
      </c>
      <c r="C38" s="231">
        <v>1</v>
      </c>
      <c r="D38" s="249">
        <v>0</v>
      </c>
      <c r="E38" s="249">
        <v>0</v>
      </c>
      <c r="F38" s="249">
        <v>0</v>
      </c>
      <c r="G38" s="249">
        <v>0</v>
      </c>
      <c r="H38" s="249">
        <v>1</v>
      </c>
      <c r="I38" s="249">
        <v>0</v>
      </c>
      <c r="J38" s="231"/>
      <c r="K38" s="265"/>
      <c r="L38" s="249" t="s">
        <v>486</v>
      </c>
      <c r="M38" s="265">
        <v>1</v>
      </c>
      <c r="N38" s="249" t="s">
        <v>486</v>
      </c>
      <c r="O38" s="249" t="s">
        <v>486</v>
      </c>
      <c r="P38" s="255"/>
      <c r="Q38" s="234" t="s">
        <v>264</v>
      </c>
      <c r="S38" s="227" t="e">
        <v>#NAME?</v>
      </c>
      <c r="T38" s="227" t="e">
        <v>#NAME?</v>
      </c>
      <c r="V38" s="259"/>
      <c r="W38" s="260"/>
    </row>
    <row r="39" spans="1:23" ht="27" thickBot="1">
      <c r="A39" s="265">
        <v>27</v>
      </c>
      <c r="B39" s="252" t="s">
        <v>375</v>
      </c>
      <c r="C39" s="231">
        <v>50</v>
      </c>
      <c r="D39" s="249">
        <v>0</v>
      </c>
      <c r="E39" s="249">
        <v>0</v>
      </c>
      <c r="F39" s="249">
        <v>0</v>
      </c>
      <c r="G39" s="249">
        <v>0</v>
      </c>
      <c r="H39" s="249">
        <v>1</v>
      </c>
      <c r="I39" s="249">
        <v>0</v>
      </c>
      <c r="J39" s="231"/>
      <c r="K39" s="265"/>
      <c r="L39" s="249" t="s">
        <v>486</v>
      </c>
      <c r="M39" s="265">
        <v>50</v>
      </c>
      <c r="N39" s="249" t="s">
        <v>486</v>
      </c>
      <c r="O39" s="249" t="s">
        <v>486</v>
      </c>
      <c r="P39" s="255"/>
      <c r="Q39" s="234" t="s">
        <v>264</v>
      </c>
      <c r="S39" s="227" t="e">
        <v>#NAME?</v>
      </c>
      <c r="T39" s="227" t="e">
        <v>#NAME?</v>
      </c>
      <c r="V39" s="259"/>
      <c r="W39" s="259"/>
    </row>
    <row r="40" spans="1:23" ht="27" thickBot="1">
      <c r="A40" s="265">
        <v>28</v>
      </c>
      <c r="B40" s="252" t="s">
        <v>376</v>
      </c>
      <c r="C40" s="231">
        <v>5</v>
      </c>
      <c r="D40" s="249">
        <v>0</v>
      </c>
      <c r="E40" s="249">
        <v>0</v>
      </c>
      <c r="F40" s="249">
        <v>0</v>
      </c>
      <c r="G40" s="249">
        <v>0</v>
      </c>
      <c r="H40" s="249">
        <v>50</v>
      </c>
      <c r="I40" s="249">
        <v>0</v>
      </c>
      <c r="J40" s="231"/>
      <c r="K40" s="265"/>
      <c r="L40" s="249" t="s">
        <v>486</v>
      </c>
      <c r="M40" s="265">
        <v>5</v>
      </c>
      <c r="N40" s="249" t="s">
        <v>486</v>
      </c>
      <c r="O40" s="249" t="s">
        <v>486</v>
      </c>
      <c r="P40" s="255"/>
      <c r="Q40" s="234" t="s">
        <v>264</v>
      </c>
      <c r="S40" s="227" t="e">
        <v>#NAME?</v>
      </c>
      <c r="T40" s="227" t="e">
        <v>#NAME?</v>
      </c>
      <c r="V40" s="259"/>
      <c r="W40" s="260"/>
    </row>
    <row r="41" spans="1:23" ht="27" thickBot="1">
      <c r="A41" s="265">
        <v>29</v>
      </c>
      <c r="B41" s="252" t="s">
        <v>377</v>
      </c>
      <c r="C41" s="231">
        <v>1</v>
      </c>
      <c r="D41" s="249">
        <v>0</v>
      </c>
      <c r="E41" s="249">
        <v>0</v>
      </c>
      <c r="F41" s="249">
        <v>0</v>
      </c>
      <c r="G41" s="249">
        <v>0</v>
      </c>
      <c r="H41" s="249">
        <v>5</v>
      </c>
      <c r="I41" s="249">
        <v>0</v>
      </c>
      <c r="J41" s="231"/>
      <c r="K41" s="265"/>
      <c r="L41" s="249" t="s">
        <v>486</v>
      </c>
      <c r="M41" s="265">
        <v>1</v>
      </c>
      <c r="N41" s="249" t="s">
        <v>486</v>
      </c>
      <c r="O41" s="249" t="s">
        <v>486</v>
      </c>
      <c r="P41" s="255"/>
      <c r="Q41" s="234" t="s">
        <v>264</v>
      </c>
      <c r="S41" s="227" t="e">
        <v>#NAME?</v>
      </c>
      <c r="T41" s="227" t="e">
        <v>#NAME?</v>
      </c>
      <c r="V41" s="259"/>
      <c r="W41" s="259"/>
    </row>
    <row r="42" spans="1:23" ht="27" thickBot="1">
      <c r="A42" s="265">
        <v>30</v>
      </c>
      <c r="B42" s="252" t="s">
        <v>378</v>
      </c>
      <c r="C42" s="231">
        <v>2</v>
      </c>
      <c r="D42" s="249">
        <v>0</v>
      </c>
      <c r="E42" s="249">
        <v>0</v>
      </c>
      <c r="F42" s="249">
        <v>0</v>
      </c>
      <c r="G42" s="249">
        <v>0</v>
      </c>
      <c r="H42" s="249">
        <v>1</v>
      </c>
      <c r="I42" s="249">
        <v>0</v>
      </c>
      <c r="J42" s="231"/>
      <c r="K42" s="265"/>
      <c r="L42" s="249" t="s">
        <v>486</v>
      </c>
      <c r="M42" s="265">
        <v>1</v>
      </c>
      <c r="N42" s="249" t="s">
        <v>486</v>
      </c>
      <c r="O42" s="249" t="s">
        <v>486</v>
      </c>
      <c r="P42" s="255"/>
      <c r="Q42" s="234" t="s">
        <v>264</v>
      </c>
      <c r="S42" s="227" t="e">
        <v>#NAME?</v>
      </c>
      <c r="T42" s="227" t="e">
        <v>#NAME?</v>
      </c>
      <c r="V42" s="259"/>
      <c r="W42" s="259"/>
    </row>
    <row r="43" spans="1:23" ht="27" thickBot="1">
      <c r="A43" s="265">
        <v>31</v>
      </c>
      <c r="B43" s="252" t="s">
        <v>381</v>
      </c>
      <c r="C43" s="231">
        <v>2</v>
      </c>
      <c r="D43" s="249">
        <v>0</v>
      </c>
      <c r="E43" s="249">
        <v>0</v>
      </c>
      <c r="F43" s="249">
        <v>0</v>
      </c>
      <c r="G43" s="249">
        <v>1</v>
      </c>
      <c r="H43" s="249">
        <v>2</v>
      </c>
      <c r="I43" s="249">
        <v>0</v>
      </c>
      <c r="J43" s="231"/>
      <c r="K43" s="265"/>
      <c r="L43" s="249" t="s">
        <v>486</v>
      </c>
      <c r="M43" s="265">
        <v>1</v>
      </c>
      <c r="N43" s="249" t="s">
        <v>486</v>
      </c>
      <c r="O43" s="249" t="s">
        <v>486</v>
      </c>
      <c r="P43" s="255"/>
      <c r="Q43" s="234" t="s">
        <v>264</v>
      </c>
      <c r="S43" s="227" t="e">
        <v>#NAME?</v>
      </c>
      <c r="T43" s="227" t="e">
        <v>#NAME?</v>
      </c>
      <c r="V43" s="259"/>
      <c r="W43" s="259"/>
    </row>
    <row r="44" spans="1:23" ht="27" thickBot="1">
      <c r="A44" s="265">
        <v>32</v>
      </c>
      <c r="B44" s="252" t="s">
        <v>380</v>
      </c>
      <c r="C44" s="231"/>
      <c r="D44" s="249"/>
      <c r="E44" s="249"/>
      <c r="F44" s="249"/>
      <c r="G44" s="249">
        <v>0</v>
      </c>
      <c r="H44" s="249">
        <v>2</v>
      </c>
      <c r="I44" s="249">
        <v>2</v>
      </c>
      <c r="J44" s="231"/>
      <c r="K44" s="265"/>
      <c r="L44" s="249"/>
      <c r="M44" s="265"/>
      <c r="N44" s="249"/>
      <c r="O44" s="249"/>
      <c r="P44" s="255"/>
      <c r="Q44" s="234" t="s">
        <v>264</v>
      </c>
      <c r="V44" s="259"/>
      <c r="W44" s="259"/>
    </row>
    <row r="45" spans="1:23" ht="27" thickBot="1">
      <c r="A45" s="265">
        <v>33</v>
      </c>
      <c r="B45" s="252" t="s">
        <v>515</v>
      </c>
      <c r="C45" s="231"/>
      <c r="D45" s="249"/>
      <c r="E45" s="249"/>
      <c r="F45" s="249"/>
      <c r="G45" s="249">
        <v>0</v>
      </c>
      <c r="H45" s="249">
        <v>1</v>
      </c>
      <c r="I45" s="249">
        <v>0</v>
      </c>
      <c r="J45" s="231"/>
      <c r="K45" s="265"/>
      <c r="L45" s="249" t="s">
        <v>486</v>
      </c>
      <c r="M45" s="265">
        <v>1</v>
      </c>
      <c r="N45" s="249" t="s">
        <v>486</v>
      </c>
      <c r="O45" s="249" t="s">
        <v>486</v>
      </c>
      <c r="P45" s="255"/>
      <c r="Q45" s="234" t="s">
        <v>264</v>
      </c>
      <c r="V45" s="259"/>
      <c r="W45" s="259"/>
    </row>
    <row r="46" spans="1:23" ht="27" thickBot="1">
      <c r="A46" s="265">
        <v>34</v>
      </c>
      <c r="B46" s="261" t="s">
        <v>516</v>
      </c>
      <c r="C46" s="225">
        <v>1</v>
      </c>
      <c r="D46" s="249">
        <v>0</v>
      </c>
      <c r="E46" s="249">
        <v>0</v>
      </c>
      <c r="F46" s="249">
        <v>0</v>
      </c>
      <c r="G46" s="249">
        <v>0</v>
      </c>
      <c r="H46" s="225">
        <v>1</v>
      </c>
      <c r="I46" s="249">
        <v>0</v>
      </c>
      <c r="J46" s="231"/>
      <c r="K46" s="265"/>
      <c r="L46" s="249" t="s">
        <v>486</v>
      </c>
      <c r="M46" s="265">
        <v>1</v>
      </c>
      <c r="N46" s="249" t="s">
        <v>486</v>
      </c>
      <c r="O46" s="249" t="s">
        <v>486</v>
      </c>
      <c r="P46" s="255"/>
      <c r="Q46" s="234" t="s">
        <v>264</v>
      </c>
      <c r="S46" s="227" t="e">
        <v>#NAME?</v>
      </c>
      <c r="T46" s="227" t="e">
        <v>#NAME?</v>
      </c>
      <c r="V46" s="259"/>
      <c r="W46" s="260"/>
    </row>
    <row r="47" spans="1:23" ht="27" thickBot="1">
      <c r="A47" s="265">
        <v>35</v>
      </c>
      <c r="B47" s="261" t="s">
        <v>517</v>
      </c>
      <c r="C47" s="225">
        <v>1</v>
      </c>
      <c r="D47" s="249">
        <v>0</v>
      </c>
      <c r="E47" s="249">
        <v>0</v>
      </c>
      <c r="F47" s="249">
        <v>0</v>
      </c>
      <c r="G47" s="249">
        <v>0</v>
      </c>
      <c r="H47" s="225">
        <v>1</v>
      </c>
      <c r="I47" s="249">
        <v>0</v>
      </c>
      <c r="J47" s="231"/>
      <c r="K47" s="265"/>
      <c r="L47" s="249" t="s">
        <v>486</v>
      </c>
      <c r="M47" s="265">
        <v>1</v>
      </c>
      <c r="N47" s="249" t="s">
        <v>486</v>
      </c>
      <c r="O47" s="249" t="s">
        <v>486</v>
      </c>
      <c r="P47" s="255"/>
      <c r="Q47" s="234" t="s">
        <v>264</v>
      </c>
      <c r="S47" s="227" t="e">
        <v>#NAME?</v>
      </c>
      <c r="T47" s="227" t="e">
        <v>#NAME?</v>
      </c>
      <c r="V47" s="259"/>
      <c r="W47" s="260"/>
    </row>
    <row r="48" spans="1:23" ht="27" thickBot="1">
      <c r="A48" s="265">
        <v>36</v>
      </c>
      <c r="B48" s="261" t="s">
        <v>518</v>
      </c>
      <c r="C48" s="225">
        <v>1</v>
      </c>
      <c r="D48" s="249">
        <v>0</v>
      </c>
      <c r="E48" s="249">
        <v>0</v>
      </c>
      <c r="F48" s="249">
        <v>0</v>
      </c>
      <c r="G48" s="249">
        <v>0</v>
      </c>
      <c r="H48" s="225">
        <v>1</v>
      </c>
      <c r="I48" s="249">
        <v>0</v>
      </c>
      <c r="J48" s="231"/>
      <c r="K48" s="265"/>
      <c r="L48" s="249" t="s">
        <v>486</v>
      </c>
      <c r="M48" s="265">
        <v>1</v>
      </c>
      <c r="N48" s="249" t="s">
        <v>486</v>
      </c>
      <c r="O48" s="249" t="s">
        <v>486</v>
      </c>
      <c r="P48" s="255"/>
      <c r="Q48" s="234" t="s">
        <v>264</v>
      </c>
      <c r="S48" s="227" t="e">
        <v>#NAME?</v>
      </c>
      <c r="T48" s="227" t="e">
        <v>#NAME?</v>
      </c>
    </row>
    <row r="49" spans="1:20" ht="27" thickBot="1">
      <c r="A49" s="265">
        <v>37</v>
      </c>
      <c r="B49" s="261" t="s">
        <v>519</v>
      </c>
      <c r="C49" s="225">
        <v>1</v>
      </c>
      <c r="D49" s="249">
        <v>0</v>
      </c>
      <c r="E49" s="249">
        <v>0</v>
      </c>
      <c r="F49" s="249">
        <v>0</v>
      </c>
      <c r="G49" s="249">
        <v>0</v>
      </c>
      <c r="H49" s="225">
        <v>1</v>
      </c>
      <c r="I49" s="249">
        <v>0</v>
      </c>
      <c r="J49" s="231"/>
      <c r="K49" s="265"/>
      <c r="L49" s="249" t="s">
        <v>486</v>
      </c>
      <c r="M49" s="265">
        <v>1</v>
      </c>
      <c r="N49" s="249" t="s">
        <v>486</v>
      </c>
      <c r="O49" s="249" t="s">
        <v>486</v>
      </c>
      <c r="P49" s="255"/>
      <c r="Q49" s="234" t="s">
        <v>264</v>
      </c>
      <c r="S49" s="227" t="e">
        <v>#NAME?</v>
      </c>
      <c r="T49" s="227" t="e">
        <v>#NAME?</v>
      </c>
    </row>
    <row r="50" spans="1:20" ht="27" thickBot="1">
      <c r="A50" s="265">
        <v>38</v>
      </c>
      <c r="B50" s="261" t="s">
        <v>520</v>
      </c>
      <c r="C50" s="225">
        <v>1</v>
      </c>
      <c r="D50" s="249">
        <v>0</v>
      </c>
      <c r="E50" s="249">
        <v>0</v>
      </c>
      <c r="F50" s="249">
        <v>0</v>
      </c>
      <c r="G50" s="249">
        <v>0</v>
      </c>
      <c r="H50" s="225">
        <v>1</v>
      </c>
      <c r="I50" s="249">
        <v>0</v>
      </c>
      <c r="J50" s="231"/>
      <c r="K50" s="265"/>
      <c r="L50" s="249" t="s">
        <v>486</v>
      </c>
      <c r="M50" s="265">
        <v>1</v>
      </c>
      <c r="N50" s="249" t="s">
        <v>486</v>
      </c>
      <c r="O50" s="249" t="s">
        <v>486</v>
      </c>
      <c r="P50" s="255"/>
      <c r="Q50" s="234" t="s">
        <v>264</v>
      </c>
      <c r="S50" s="227" t="e">
        <v>#NAME?</v>
      </c>
      <c r="T50" s="227" t="e">
        <v>#NAME?</v>
      </c>
    </row>
    <row r="51" spans="1:20" ht="27" thickBot="1">
      <c r="A51" s="265">
        <v>39</v>
      </c>
      <c r="B51" s="261" t="s">
        <v>521</v>
      </c>
      <c r="C51" s="225">
        <v>1</v>
      </c>
      <c r="D51" s="249">
        <v>0</v>
      </c>
      <c r="E51" s="249">
        <v>0</v>
      </c>
      <c r="F51" s="249">
        <v>0</v>
      </c>
      <c r="G51" s="249">
        <v>0</v>
      </c>
      <c r="H51" s="225">
        <v>1</v>
      </c>
      <c r="I51" s="249">
        <v>0</v>
      </c>
      <c r="J51" s="231"/>
      <c r="K51" s="265"/>
      <c r="L51" s="249" t="s">
        <v>486</v>
      </c>
      <c r="M51" s="265">
        <v>1</v>
      </c>
      <c r="N51" s="249" t="s">
        <v>486</v>
      </c>
      <c r="O51" s="249" t="s">
        <v>486</v>
      </c>
      <c r="P51" s="255"/>
      <c r="Q51" s="234" t="s">
        <v>264</v>
      </c>
      <c r="S51" s="227" t="e">
        <v>#NAME?</v>
      </c>
      <c r="T51" s="227" t="e">
        <v>#NAME?</v>
      </c>
    </row>
    <row r="52" spans="1:20" ht="27" thickBot="1">
      <c r="A52" s="265">
        <v>40</v>
      </c>
      <c r="B52" s="261" t="s">
        <v>522</v>
      </c>
      <c r="C52" s="225">
        <v>1</v>
      </c>
      <c r="D52" s="249">
        <v>0</v>
      </c>
      <c r="E52" s="249">
        <v>0</v>
      </c>
      <c r="F52" s="249">
        <v>0</v>
      </c>
      <c r="G52" s="249">
        <v>0</v>
      </c>
      <c r="H52" s="225">
        <v>1</v>
      </c>
      <c r="I52" s="249">
        <v>0</v>
      </c>
      <c r="J52" s="231"/>
      <c r="K52" s="265"/>
      <c r="L52" s="249" t="s">
        <v>486</v>
      </c>
      <c r="M52" s="265">
        <v>1</v>
      </c>
      <c r="N52" s="249" t="s">
        <v>486</v>
      </c>
      <c r="O52" s="249" t="s">
        <v>486</v>
      </c>
      <c r="P52" s="255"/>
      <c r="Q52" s="234" t="s">
        <v>264</v>
      </c>
      <c r="S52" s="227" t="e">
        <v>#NAME?</v>
      </c>
      <c r="T52" s="227" t="e">
        <v>#NAME?</v>
      </c>
    </row>
    <row r="53" spans="1:20" ht="27" thickBot="1">
      <c r="A53" s="265">
        <v>41</v>
      </c>
      <c r="B53" s="261" t="s">
        <v>523</v>
      </c>
      <c r="C53" s="225">
        <v>1</v>
      </c>
      <c r="D53" s="249">
        <v>0</v>
      </c>
      <c r="E53" s="249">
        <v>0</v>
      </c>
      <c r="F53" s="249">
        <v>0</v>
      </c>
      <c r="G53" s="249">
        <v>0</v>
      </c>
      <c r="H53" s="225">
        <v>1</v>
      </c>
      <c r="I53" s="249">
        <v>0</v>
      </c>
      <c r="J53" s="231"/>
      <c r="K53" s="265"/>
      <c r="L53" s="249" t="s">
        <v>486</v>
      </c>
      <c r="M53" s="265">
        <v>1</v>
      </c>
      <c r="N53" s="249" t="s">
        <v>486</v>
      </c>
      <c r="O53" s="249" t="s">
        <v>486</v>
      </c>
      <c r="P53" s="255"/>
      <c r="Q53" s="234" t="s">
        <v>264</v>
      </c>
      <c r="S53" s="227" t="e">
        <v>#NAME?</v>
      </c>
      <c r="T53" s="227" t="e">
        <v>#NAME?</v>
      </c>
    </row>
    <row r="54" spans="1:20" ht="27" thickBot="1">
      <c r="A54" s="265">
        <v>42</v>
      </c>
      <c r="B54" s="261" t="s">
        <v>524</v>
      </c>
      <c r="C54" s="225">
        <v>1</v>
      </c>
      <c r="D54" s="249">
        <v>0</v>
      </c>
      <c r="E54" s="249">
        <v>0</v>
      </c>
      <c r="F54" s="249">
        <v>0</v>
      </c>
      <c r="G54" s="249">
        <v>0</v>
      </c>
      <c r="H54" s="225">
        <v>1</v>
      </c>
      <c r="I54" s="249">
        <v>0</v>
      </c>
      <c r="J54" s="231"/>
      <c r="K54" s="265"/>
      <c r="L54" s="249" t="s">
        <v>486</v>
      </c>
      <c r="M54" s="265">
        <v>1</v>
      </c>
      <c r="N54" s="249" t="s">
        <v>486</v>
      </c>
      <c r="O54" s="249" t="s">
        <v>486</v>
      </c>
      <c r="P54" s="255"/>
      <c r="Q54" s="234" t="s">
        <v>264</v>
      </c>
      <c r="S54" s="227" t="e">
        <v>#NAME?</v>
      </c>
      <c r="T54" s="227" t="e">
        <v>#NAME?</v>
      </c>
    </row>
    <row r="55" spans="1:20" ht="27" thickBot="1">
      <c r="A55" s="265">
        <v>43</v>
      </c>
      <c r="B55" s="261" t="s">
        <v>525</v>
      </c>
      <c r="C55" s="225">
        <v>1</v>
      </c>
      <c r="D55" s="249">
        <v>0</v>
      </c>
      <c r="E55" s="249">
        <v>0</v>
      </c>
      <c r="F55" s="249">
        <v>0</v>
      </c>
      <c r="G55" s="249">
        <v>0</v>
      </c>
      <c r="H55" s="262">
        <v>1</v>
      </c>
      <c r="I55" s="249">
        <v>0</v>
      </c>
      <c r="J55" s="231"/>
      <c r="K55" s="265"/>
      <c r="L55" s="249" t="s">
        <v>486</v>
      </c>
      <c r="M55" s="268">
        <v>1</v>
      </c>
      <c r="N55" s="249" t="s">
        <v>486</v>
      </c>
      <c r="O55" s="249" t="s">
        <v>486</v>
      </c>
      <c r="P55" s="255"/>
      <c r="Q55" s="234" t="s">
        <v>264</v>
      </c>
      <c r="S55" s="227" t="e">
        <v>#NAME?</v>
      </c>
      <c r="T55" s="227" t="e">
        <v>#NAME?</v>
      </c>
    </row>
    <row r="56" spans="1:20" ht="27" thickBot="1">
      <c r="A56" s="265">
        <v>44</v>
      </c>
      <c r="B56" s="263" t="s">
        <v>526</v>
      </c>
      <c r="C56" s="225">
        <v>1</v>
      </c>
      <c r="D56" s="249">
        <v>0</v>
      </c>
      <c r="E56" s="249">
        <v>0</v>
      </c>
      <c r="F56" s="249">
        <v>0</v>
      </c>
      <c r="G56" s="249">
        <v>0</v>
      </c>
      <c r="H56" s="262">
        <v>1</v>
      </c>
      <c r="I56" s="249">
        <v>0</v>
      </c>
      <c r="J56" s="231"/>
      <c r="K56" s="265"/>
      <c r="L56" s="249" t="s">
        <v>486</v>
      </c>
      <c r="M56" s="268">
        <v>1</v>
      </c>
      <c r="N56" s="249" t="s">
        <v>486</v>
      </c>
      <c r="O56" s="249" t="s">
        <v>486</v>
      </c>
      <c r="P56" s="255"/>
      <c r="Q56" s="234" t="s">
        <v>264</v>
      </c>
      <c r="S56" s="227" t="e">
        <v>#NAME?</v>
      </c>
      <c r="T56" s="227" t="e">
        <v>#NAME?</v>
      </c>
    </row>
    <row r="57" spans="1:20" ht="53.25" thickBot="1">
      <c r="A57" s="265">
        <v>45</v>
      </c>
      <c r="B57" s="263" t="s">
        <v>527</v>
      </c>
      <c r="C57" s="225">
        <v>1</v>
      </c>
      <c r="D57" s="249">
        <v>0</v>
      </c>
      <c r="E57" s="249">
        <v>0</v>
      </c>
      <c r="F57" s="249">
        <v>0</v>
      </c>
      <c r="G57" s="249">
        <v>0</v>
      </c>
      <c r="H57" s="249">
        <v>1</v>
      </c>
      <c r="I57" s="249">
        <v>0</v>
      </c>
      <c r="J57" s="231"/>
      <c r="K57" s="265"/>
      <c r="L57" s="249" t="s">
        <v>486</v>
      </c>
      <c r="M57" s="268">
        <v>1</v>
      </c>
      <c r="N57" s="249" t="s">
        <v>486</v>
      </c>
      <c r="O57" s="249" t="s">
        <v>486</v>
      </c>
      <c r="P57" s="255"/>
      <c r="Q57" s="234" t="s">
        <v>264</v>
      </c>
      <c r="S57" s="227" t="e">
        <v>#NAME?</v>
      </c>
      <c r="T57" s="227" t="e">
        <v>#NAME?</v>
      </c>
    </row>
  </sheetData>
  <mergeCells count="52">
    <mergeCell ref="J28:J29"/>
    <mergeCell ref="K28:K29"/>
    <mergeCell ref="G23:G26"/>
    <mergeCell ref="H23:H26"/>
    <mergeCell ref="I23:I26"/>
    <mergeCell ref="A28:A29"/>
    <mergeCell ref="B28:B29"/>
    <mergeCell ref="C28:C29"/>
    <mergeCell ref="D28:D29"/>
    <mergeCell ref="E28:E29"/>
    <mergeCell ref="F28:F29"/>
    <mergeCell ref="G28:G29"/>
    <mergeCell ref="G8:G10"/>
    <mergeCell ref="H8:H10"/>
    <mergeCell ref="I8:I10"/>
    <mergeCell ref="H28:H29"/>
    <mergeCell ref="I28:I29"/>
    <mergeCell ref="S8:S10"/>
    <mergeCell ref="A23:A26"/>
    <mergeCell ref="B23:B26"/>
    <mergeCell ref="C23:C26"/>
    <mergeCell ref="D23:D26"/>
    <mergeCell ref="E23:E26"/>
    <mergeCell ref="F23:F26"/>
    <mergeCell ref="G4:G7"/>
    <mergeCell ref="H4:H7"/>
    <mergeCell ref="I4:I7"/>
    <mergeCell ref="S4:S7"/>
    <mergeCell ref="A8:A10"/>
    <mergeCell ref="B8:B10"/>
    <mergeCell ref="C8:C10"/>
    <mergeCell ref="D8:D10"/>
    <mergeCell ref="E8:E10"/>
    <mergeCell ref="F8:F10"/>
    <mergeCell ref="A4:A7"/>
    <mergeCell ref="B4:B7"/>
    <mergeCell ref="C4:C7"/>
    <mergeCell ref="D4:D7"/>
    <mergeCell ref="E4:E7"/>
    <mergeCell ref="F4:F7"/>
    <mergeCell ref="N1:N3"/>
    <mergeCell ref="O1:O3"/>
    <mergeCell ref="P1:P3"/>
    <mergeCell ref="Q1:Q3"/>
    <mergeCell ref="J2:K2"/>
    <mergeCell ref="L2:M2"/>
    <mergeCell ref="J1:M1"/>
    <mergeCell ref="A1:A3"/>
    <mergeCell ref="B1:B3"/>
    <mergeCell ref="G1:G3"/>
    <mergeCell ref="H1:H3"/>
    <mergeCell ref="I1:I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8"/>
  <sheetViews>
    <sheetView topLeftCell="A52" workbookViewId="0">
      <selection activeCell="A22" sqref="A22:XFD22"/>
    </sheetView>
  </sheetViews>
  <sheetFormatPr defaultRowHeight="12.75"/>
  <cols>
    <col min="1" max="1" width="19.7109375" style="381" customWidth="1"/>
    <col min="2" max="2" width="60.42578125" style="105" bestFit="1" customWidth="1"/>
    <col min="3" max="3" width="16.28515625" style="359" customWidth="1"/>
    <col min="4" max="4" width="10.28515625" style="385" customWidth="1"/>
    <col min="5" max="5" width="13.140625" style="105" customWidth="1"/>
    <col min="6" max="6" width="14.140625" style="105" customWidth="1"/>
    <col min="7" max="7" width="14.7109375" style="105" bestFit="1" customWidth="1"/>
    <col min="8" max="8" width="24.140625" style="105" customWidth="1"/>
    <col min="9" max="9" width="35.5703125" style="105" customWidth="1"/>
    <col min="10" max="10" width="67.28515625" style="360" customWidth="1"/>
    <col min="11" max="16384" width="9.140625" style="105"/>
  </cols>
  <sheetData>
    <row r="1" spans="1:17" ht="14.25">
      <c r="A1" s="371">
        <v>1</v>
      </c>
      <c r="B1" s="321" t="s">
        <v>398</v>
      </c>
      <c r="C1" s="322"/>
      <c r="D1" s="384"/>
      <c r="E1" s="323"/>
      <c r="F1" s="323"/>
      <c r="G1" s="323"/>
      <c r="H1" s="323"/>
      <c r="I1" s="323"/>
      <c r="J1" s="324"/>
      <c r="K1" s="325"/>
      <c r="L1" s="325"/>
      <c r="M1" s="325"/>
      <c r="N1" s="325"/>
      <c r="O1" s="325"/>
      <c r="P1" s="325"/>
      <c r="Q1" s="325"/>
    </row>
    <row r="2" spans="1:17" s="330" customFormat="1" ht="14.25">
      <c r="A2" s="372" t="s">
        <v>399</v>
      </c>
      <c r="B2" s="326" t="s">
        <v>400</v>
      </c>
      <c r="C2" s="327" t="s">
        <v>401</v>
      </c>
      <c r="D2" s="379" t="s">
        <v>8</v>
      </c>
      <c r="E2" s="909" t="s">
        <v>336</v>
      </c>
      <c r="F2" s="910"/>
      <c r="G2" s="326" t="s">
        <v>402</v>
      </c>
      <c r="H2" s="326" t="s">
        <v>403</v>
      </c>
      <c r="I2" s="326" t="s">
        <v>404</v>
      </c>
      <c r="J2" s="329" t="s">
        <v>405</v>
      </c>
    </row>
    <row r="3" spans="1:17" ht="12.75" hidden="1" customHeight="1">
      <c r="A3" s="373">
        <v>1</v>
      </c>
      <c r="B3" s="331" t="s">
        <v>547</v>
      </c>
      <c r="C3" s="331" t="s">
        <v>335</v>
      </c>
      <c r="D3" s="373">
        <v>1</v>
      </c>
      <c r="E3" s="332"/>
      <c r="F3" s="333">
        <f>SUM(F4:F11)</f>
        <v>157000</v>
      </c>
      <c r="G3" s="333">
        <f>F3*D3</f>
        <v>157000</v>
      </c>
      <c r="H3" s="897" t="s">
        <v>249</v>
      </c>
      <c r="I3" s="911" t="s">
        <v>406</v>
      </c>
      <c r="J3" s="914" t="s">
        <v>407</v>
      </c>
    </row>
    <row r="4" spans="1:17" ht="13.35" hidden="1" customHeight="1">
      <c r="A4" s="374"/>
      <c r="B4" s="332" t="s">
        <v>548</v>
      </c>
      <c r="C4" s="334" t="s">
        <v>335</v>
      </c>
      <c r="D4" s="373">
        <v>1</v>
      </c>
      <c r="E4" s="333">
        <v>76709</v>
      </c>
      <c r="F4" s="333">
        <f t="shared" ref="F4:F11" si="0">E4*D4</f>
        <v>76709</v>
      </c>
      <c r="G4" s="333"/>
      <c r="H4" s="898"/>
      <c r="I4" s="912"/>
      <c r="J4" s="915"/>
    </row>
    <row r="5" spans="1:17" ht="13.35" hidden="1" customHeight="1">
      <c r="A5" s="374"/>
      <c r="B5" s="332" t="s">
        <v>549</v>
      </c>
      <c r="C5" s="334" t="s">
        <v>550</v>
      </c>
      <c r="D5" s="373">
        <v>1</v>
      </c>
      <c r="E5" s="333">
        <v>12526</v>
      </c>
      <c r="F5" s="333">
        <f t="shared" si="0"/>
        <v>12526</v>
      </c>
      <c r="G5" s="333"/>
      <c r="H5" s="898"/>
      <c r="I5" s="912"/>
      <c r="J5" s="915"/>
    </row>
    <row r="6" spans="1:17" ht="13.35" hidden="1" customHeight="1">
      <c r="A6" s="374"/>
      <c r="B6" s="332" t="s">
        <v>551</v>
      </c>
      <c r="C6" s="334" t="s">
        <v>552</v>
      </c>
      <c r="D6" s="373">
        <v>1</v>
      </c>
      <c r="E6" s="333">
        <v>7035</v>
      </c>
      <c r="F6" s="333">
        <f t="shared" si="0"/>
        <v>7035</v>
      </c>
      <c r="G6" s="333"/>
      <c r="H6" s="898"/>
      <c r="I6" s="912"/>
      <c r="J6" s="915"/>
    </row>
    <row r="7" spans="1:17" ht="13.35" hidden="1" customHeight="1">
      <c r="A7" s="374"/>
      <c r="B7" s="332" t="s">
        <v>553</v>
      </c>
      <c r="C7" s="334" t="s">
        <v>554</v>
      </c>
      <c r="D7" s="373">
        <v>1</v>
      </c>
      <c r="E7" s="333">
        <v>500</v>
      </c>
      <c r="F7" s="333">
        <f t="shared" si="0"/>
        <v>500</v>
      </c>
      <c r="G7" s="333"/>
      <c r="H7" s="898"/>
      <c r="I7" s="912"/>
      <c r="J7" s="915"/>
    </row>
    <row r="8" spans="1:17" ht="13.35" hidden="1" customHeight="1">
      <c r="A8" s="374"/>
      <c r="B8" s="332" t="s">
        <v>555</v>
      </c>
      <c r="C8" s="334" t="s">
        <v>556</v>
      </c>
      <c r="D8" s="373">
        <v>1</v>
      </c>
      <c r="E8" s="333">
        <v>5005</v>
      </c>
      <c r="F8" s="333">
        <f t="shared" si="0"/>
        <v>5005</v>
      </c>
      <c r="G8" s="333"/>
      <c r="H8" s="898"/>
      <c r="I8" s="912"/>
      <c r="J8" s="915"/>
    </row>
    <row r="9" spans="1:17" ht="13.35" hidden="1" customHeight="1">
      <c r="A9" s="374"/>
      <c r="B9" s="332" t="s">
        <v>557</v>
      </c>
      <c r="C9" s="334" t="s">
        <v>558</v>
      </c>
      <c r="D9" s="373">
        <v>1</v>
      </c>
      <c r="E9" s="333">
        <v>7736</v>
      </c>
      <c r="F9" s="333">
        <f t="shared" si="0"/>
        <v>7736</v>
      </c>
      <c r="G9" s="333"/>
      <c r="H9" s="898"/>
      <c r="I9" s="912"/>
      <c r="J9" s="915"/>
    </row>
    <row r="10" spans="1:17" ht="13.35" hidden="1" customHeight="1">
      <c r="A10" s="374"/>
      <c r="B10" s="332" t="s">
        <v>559</v>
      </c>
      <c r="C10" s="334" t="s">
        <v>560</v>
      </c>
      <c r="D10" s="373">
        <v>1</v>
      </c>
      <c r="E10" s="333">
        <v>6420</v>
      </c>
      <c r="F10" s="333">
        <f t="shared" si="0"/>
        <v>6420</v>
      </c>
      <c r="G10" s="333"/>
      <c r="H10" s="898"/>
      <c r="I10" s="912"/>
      <c r="J10" s="915"/>
    </row>
    <row r="11" spans="1:17" ht="13.35" hidden="1" customHeight="1">
      <c r="A11" s="374"/>
      <c r="B11" s="332" t="s">
        <v>561</v>
      </c>
      <c r="C11" s="334" t="s">
        <v>562</v>
      </c>
      <c r="D11" s="373">
        <v>1</v>
      </c>
      <c r="E11" s="333">
        <v>41069</v>
      </c>
      <c r="F11" s="333">
        <f t="shared" si="0"/>
        <v>41069</v>
      </c>
      <c r="G11" s="333"/>
      <c r="H11" s="899"/>
      <c r="I11" s="913"/>
      <c r="J11" s="916"/>
    </row>
    <row r="12" spans="1:17" ht="38.25" hidden="1" customHeight="1">
      <c r="A12" s="375"/>
      <c r="B12" s="336"/>
      <c r="C12" s="316" t="s">
        <v>265</v>
      </c>
      <c r="D12" s="375">
        <v>1</v>
      </c>
      <c r="E12" s="107"/>
      <c r="F12" s="337">
        <v>39200</v>
      </c>
      <c r="G12" s="337">
        <f>F12*D12</f>
        <v>39200</v>
      </c>
      <c r="H12" s="338" t="s">
        <v>408</v>
      </c>
      <c r="I12" s="339" t="s">
        <v>409</v>
      </c>
      <c r="J12" s="339" t="s">
        <v>410</v>
      </c>
    </row>
    <row r="13" spans="1:17" s="340" customFormat="1" ht="15" customHeight="1">
      <c r="A13" s="894">
        <v>1</v>
      </c>
      <c r="B13" s="332" t="s">
        <v>547</v>
      </c>
      <c r="C13" s="332" t="s">
        <v>625</v>
      </c>
      <c r="D13" s="373">
        <v>1</v>
      </c>
      <c r="E13" s="333"/>
      <c r="F13" s="333">
        <f>SUM(F14:F21)</f>
        <v>164146</v>
      </c>
      <c r="G13" s="333">
        <f>F13*D13</f>
        <v>164146</v>
      </c>
      <c r="H13" s="849" t="s">
        <v>249</v>
      </c>
      <c r="I13" s="917" t="s">
        <v>626</v>
      </c>
      <c r="J13" s="849"/>
    </row>
    <row r="14" spans="1:17" s="340" customFormat="1" ht="13.35" customHeight="1">
      <c r="A14" s="895"/>
      <c r="B14" s="332" t="s">
        <v>627</v>
      </c>
      <c r="C14" s="332" t="s">
        <v>625</v>
      </c>
      <c r="D14" s="373">
        <v>1</v>
      </c>
      <c r="E14" s="333">
        <v>83855</v>
      </c>
      <c r="F14" s="333">
        <f t="shared" ref="F14:F21" si="1">E14*D14</f>
        <v>83855</v>
      </c>
      <c r="G14" s="333"/>
      <c r="H14" s="850"/>
      <c r="I14" s="918"/>
      <c r="J14" s="850"/>
    </row>
    <row r="15" spans="1:17" s="340" customFormat="1" ht="13.35" customHeight="1">
      <c r="A15" s="895"/>
      <c r="B15" s="332" t="s">
        <v>549</v>
      </c>
      <c r="C15" s="332" t="s">
        <v>550</v>
      </c>
      <c r="D15" s="373">
        <v>1</v>
      </c>
      <c r="E15" s="333">
        <v>12526</v>
      </c>
      <c r="F15" s="333">
        <f t="shared" si="1"/>
        <v>12526</v>
      </c>
      <c r="G15" s="333"/>
      <c r="H15" s="850"/>
      <c r="I15" s="918"/>
      <c r="J15" s="850"/>
    </row>
    <row r="16" spans="1:17" s="340" customFormat="1" ht="13.35" customHeight="1">
      <c r="A16" s="895"/>
      <c r="B16" s="332" t="s">
        <v>551</v>
      </c>
      <c r="C16" s="332" t="s">
        <v>552</v>
      </c>
      <c r="D16" s="373">
        <v>1</v>
      </c>
      <c r="E16" s="333">
        <v>7035</v>
      </c>
      <c r="F16" s="333">
        <f t="shared" si="1"/>
        <v>7035</v>
      </c>
      <c r="G16" s="333"/>
      <c r="H16" s="850"/>
      <c r="I16" s="918"/>
      <c r="J16" s="850"/>
    </row>
    <row r="17" spans="1:10" s="340" customFormat="1">
      <c r="A17" s="895"/>
      <c r="B17" s="332" t="s">
        <v>553</v>
      </c>
      <c r="C17" s="332" t="s">
        <v>554</v>
      </c>
      <c r="D17" s="373">
        <v>1</v>
      </c>
      <c r="E17" s="333">
        <v>500</v>
      </c>
      <c r="F17" s="333">
        <f t="shared" si="1"/>
        <v>500</v>
      </c>
      <c r="G17" s="333"/>
      <c r="H17" s="850"/>
      <c r="I17" s="918"/>
      <c r="J17" s="850"/>
    </row>
    <row r="18" spans="1:10" s="340" customFormat="1">
      <c r="A18" s="895"/>
      <c r="B18" s="332" t="s">
        <v>555</v>
      </c>
      <c r="C18" s="332" t="s">
        <v>556</v>
      </c>
      <c r="D18" s="373">
        <v>1</v>
      </c>
      <c r="E18" s="333">
        <v>5005</v>
      </c>
      <c r="F18" s="333">
        <f t="shared" si="1"/>
        <v>5005</v>
      </c>
      <c r="G18" s="333"/>
      <c r="H18" s="850"/>
      <c r="I18" s="918"/>
      <c r="J18" s="850"/>
    </row>
    <row r="19" spans="1:10" s="340" customFormat="1">
      <c r="A19" s="895"/>
      <c r="B19" s="332" t="s">
        <v>557</v>
      </c>
      <c r="C19" s="332" t="s">
        <v>558</v>
      </c>
      <c r="D19" s="373">
        <v>1</v>
      </c>
      <c r="E19" s="333">
        <v>7736</v>
      </c>
      <c r="F19" s="333">
        <f t="shared" si="1"/>
        <v>7736</v>
      </c>
      <c r="G19" s="333"/>
      <c r="H19" s="850"/>
      <c r="I19" s="918"/>
      <c r="J19" s="850"/>
    </row>
    <row r="20" spans="1:10" s="340" customFormat="1">
      <c r="A20" s="895"/>
      <c r="B20" s="332" t="s">
        <v>559</v>
      </c>
      <c r="C20" s="332" t="s">
        <v>560</v>
      </c>
      <c r="D20" s="373">
        <v>1</v>
      </c>
      <c r="E20" s="333">
        <v>6420</v>
      </c>
      <c r="F20" s="333">
        <f t="shared" si="1"/>
        <v>6420</v>
      </c>
      <c r="G20" s="333"/>
      <c r="H20" s="850"/>
      <c r="I20" s="918"/>
      <c r="J20" s="850"/>
    </row>
    <row r="21" spans="1:10" s="340" customFormat="1">
      <c r="A21" s="896"/>
      <c r="B21" s="332" t="s">
        <v>561</v>
      </c>
      <c r="C21" s="332" t="s">
        <v>562</v>
      </c>
      <c r="D21" s="373">
        <v>1</v>
      </c>
      <c r="E21" s="333">
        <v>41069</v>
      </c>
      <c r="F21" s="333">
        <f t="shared" si="1"/>
        <v>41069</v>
      </c>
      <c r="G21" s="333"/>
      <c r="H21" s="851"/>
      <c r="I21" s="919"/>
      <c r="J21" s="851"/>
    </row>
    <row r="22" spans="1:10" ht="12.75" hidden="1" customHeight="1">
      <c r="A22" s="375"/>
      <c r="B22" s="336"/>
      <c r="C22" s="316"/>
      <c r="D22" s="375"/>
      <c r="E22" s="107"/>
      <c r="F22" s="337"/>
      <c r="G22" s="337"/>
      <c r="H22" s="338"/>
      <c r="I22" s="339"/>
      <c r="J22" s="339"/>
    </row>
    <row r="23" spans="1:10" ht="12.75" hidden="1" customHeight="1">
      <c r="A23" s="375">
        <v>2</v>
      </c>
      <c r="B23" s="316" t="s">
        <v>277</v>
      </c>
      <c r="C23" s="316"/>
      <c r="D23" s="375"/>
      <c r="E23" s="341"/>
      <c r="F23" s="341"/>
      <c r="G23" s="341"/>
      <c r="H23" s="342" t="s">
        <v>411</v>
      </c>
      <c r="I23" s="343"/>
      <c r="J23" s="343"/>
    </row>
    <row r="24" spans="1:10" ht="12.75" customHeight="1">
      <c r="A24" s="897">
        <v>3</v>
      </c>
      <c r="B24" s="331" t="s">
        <v>563</v>
      </c>
      <c r="C24" s="331" t="s">
        <v>412</v>
      </c>
      <c r="D24" s="373">
        <v>1</v>
      </c>
      <c r="E24" s="332"/>
      <c r="F24" s="333">
        <f>SUM(F25:F29)</f>
        <v>84100</v>
      </c>
      <c r="G24" s="333">
        <f>F24*D24</f>
        <v>84100</v>
      </c>
      <c r="H24" s="849" t="s">
        <v>249</v>
      </c>
      <c r="I24" s="849" t="s">
        <v>413</v>
      </c>
      <c r="J24" s="906" t="s">
        <v>353</v>
      </c>
    </row>
    <row r="25" spans="1:10">
      <c r="A25" s="898"/>
      <c r="B25" s="332" t="s">
        <v>564</v>
      </c>
      <c r="C25" s="334" t="s">
        <v>412</v>
      </c>
      <c r="D25" s="373">
        <v>1</v>
      </c>
      <c r="E25" s="333">
        <v>5020</v>
      </c>
      <c r="F25" s="333">
        <f>E25*D25</f>
        <v>5020</v>
      </c>
      <c r="G25" s="333"/>
      <c r="H25" s="850"/>
      <c r="I25" s="850"/>
      <c r="J25" s="907"/>
    </row>
    <row r="26" spans="1:10">
      <c r="A26" s="898"/>
      <c r="B26" s="332" t="s">
        <v>565</v>
      </c>
      <c r="C26" s="334" t="s">
        <v>566</v>
      </c>
      <c r="D26" s="373">
        <v>1</v>
      </c>
      <c r="E26" s="333">
        <v>47133</v>
      </c>
      <c r="F26" s="333">
        <f>E26*D26</f>
        <v>47133</v>
      </c>
      <c r="G26" s="333"/>
      <c r="H26" s="850"/>
      <c r="I26" s="850"/>
      <c r="J26" s="907"/>
    </row>
    <row r="27" spans="1:10">
      <c r="A27" s="898"/>
      <c r="B27" s="332" t="s">
        <v>567</v>
      </c>
      <c r="C27" s="334" t="s">
        <v>568</v>
      </c>
      <c r="D27" s="373">
        <v>1</v>
      </c>
      <c r="E27" s="333">
        <v>2503</v>
      </c>
      <c r="F27" s="333">
        <f>E27*D27</f>
        <v>2503</v>
      </c>
      <c r="G27" s="333"/>
      <c r="H27" s="850"/>
      <c r="I27" s="850"/>
      <c r="J27" s="907"/>
    </row>
    <row r="28" spans="1:10">
      <c r="A28" s="898"/>
      <c r="B28" s="332" t="s">
        <v>569</v>
      </c>
      <c r="C28" s="334" t="s">
        <v>570</v>
      </c>
      <c r="D28" s="373">
        <v>1</v>
      </c>
      <c r="E28" s="333">
        <v>13385</v>
      </c>
      <c r="F28" s="333">
        <f>E28*D28</f>
        <v>13385</v>
      </c>
      <c r="G28" s="333"/>
      <c r="H28" s="850"/>
      <c r="I28" s="850"/>
      <c r="J28" s="907"/>
    </row>
    <row r="29" spans="1:10">
      <c r="A29" s="899"/>
      <c r="B29" s="332" t="s">
        <v>571</v>
      </c>
      <c r="C29" s="334" t="s">
        <v>572</v>
      </c>
      <c r="D29" s="373">
        <v>1</v>
      </c>
      <c r="E29" s="333">
        <v>16059</v>
      </c>
      <c r="F29" s="333">
        <f>E29*D29</f>
        <v>16059</v>
      </c>
      <c r="G29" s="333"/>
      <c r="H29" s="851"/>
      <c r="I29" s="851"/>
      <c r="J29" s="908"/>
    </row>
    <row r="30" spans="1:10" ht="180" hidden="1" customHeight="1">
      <c r="A30" s="375">
        <v>4</v>
      </c>
      <c r="B30" s="316" t="s">
        <v>283</v>
      </c>
      <c r="C30" s="316" t="s">
        <v>107</v>
      </c>
      <c r="D30" s="375">
        <v>1</v>
      </c>
      <c r="E30" s="107"/>
      <c r="F30" s="344">
        <f>1.1*752</f>
        <v>827.2</v>
      </c>
      <c r="G30" s="344">
        <f>F30*D30</f>
        <v>827.2</v>
      </c>
      <c r="H30" s="342" t="s">
        <v>249</v>
      </c>
      <c r="I30" s="345" t="s">
        <v>414</v>
      </c>
      <c r="J30" s="343" t="s">
        <v>108</v>
      </c>
    </row>
    <row r="31" spans="1:10" ht="15" hidden="1" customHeight="1">
      <c r="A31" s="375">
        <v>5</v>
      </c>
      <c r="B31" s="316" t="s">
        <v>278</v>
      </c>
      <c r="C31" s="316"/>
      <c r="D31" s="375"/>
      <c r="E31" s="107"/>
      <c r="F31" s="346"/>
      <c r="G31" s="346"/>
      <c r="H31" s="342"/>
      <c r="I31" s="347" t="s">
        <v>415</v>
      </c>
      <c r="J31" s="343"/>
    </row>
    <row r="32" spans="1:10" ht="15" hidden="1" customHeight="1">
      <c r="A32" s="375">
        <v>6</v>
      </c>
      <c r="B32" s="316" t="s">
        <v>281</v>
      </c>
      <c r="C32" s="316" t="s">
        <v>104</v>
      </c>
      <c r="D32" s="375">
        <v>1</v>
      </c>
      <c r="E32" s="107"/>
      <c r="F32" s="344">
        <f>1.1*161</f>
        <v>177.10000000000002</v>
      </c>
      <c r="G32" s="344">
        <f>F32*D32</f>
        <v>177.10000000000002</v>
      </c>
      <c r="H32" s="342" t="s">
        <v>249</v>
      </c>
      <c r="I32" s="348" t="s">
        <v>416</v>
      </c>
      <c r="J32" s="343" t="s">
        <v>362</v>
      </c>
    </row>
    <row r="33" spans="1:10" ht="15" hidden="1" customHeight="1">
      <c r="A33" s="375">
        <v>7</v>
      </c>
      <c r="B33" s="316" t="s">
        <v>285</v>
      </c>
      <c r="C33" s="316" t="s">
        <v>110</v>
      </c>
      <c r="D33" s="375">
        <v>1</v>
      </c>
      <c r="E33" s="107"/>
      <c r="F33" s="344">
        <f>1.1*172</f>
        <v>189.20000000000002</v>
      </c>
      <c r="G33" s="349">
        <f>F33*D33</f>
        <v>189.20000000000002</v>
      </c>
      <c r="H33" s="342" t="s">
        <v>249</v>
      </c>
      <c r="I33" s="348" t="s">
        <v>417</v>
      </c>
      <c r="J33" s="343" t="s">
        <v>111</v>
      </c>
    </row>
    <row r="34" spans="1:10" ht="51" hidden="1" customHeight="1">
      <c r="A34" s="375">
        <v>8</v>
      </c>
      <c r="B34" s="316" t="s">
        <v>296</v>
      </c>
      <c r="C34" s="108" t="s">
        <v>357</v>
      </c>
      <c r="D34" s="375">
        <v>5</v>
      </c>
      <c r="E34" s="107"/>
      <c r="F34" s="344">
        <f>1.1*2090</f>
        <v>2299</v>
      </c>
      <c r="G34" s="344">
        <f>F34*D34</f>
        <v>11495</v>
      </c>
      <c r="H34" s="342" t="s">
        <v>249</v>
      </c>
      <c r="I34" s="339" t="s">
        <v>418</v>
      </c>
      <c r="J34" s="339" t="s">
        <v>360</v>
      </c>
    </row>
    <row r="35" spans="1:10" ht="15" hidden="1" customHeight="1">
      <c r="A35" s="375">
        <v>9</v>
      </c>
      <c r="B35" s="336" t="s">
        <v>287</v>
      </c>
      <c r="C35" s="316" t="s">
        <v>419</v>
      </c>
      <c r="D35" s="375">
        <v>3</v>
      </c>
      <c r="E35" s="107"/>
      <c r="F35" s="344">
        <f>1.1*17000</f>
        <v>18700</v>
      </c>
      <c r="G35" s="349">
        <f>F35*D35</f>
        <v>56100</v>
      </c>
      <c r="H35" s="342" t="s">
        <v>249</v>
      </c>
      <c r="I35" s="339"/>
      <c r="J35" s="343" t="s">
        <v>288</v>
      </c>
    </row>
    <row r="36" spans="1:10" ht="15" hidden="1" customHeight="1">
      <c r="A36" s="375">
        <v>10</v>
      </c>
      <c r="B36" s="336" t="s">
        <v>289</v>
      </c>
      <c r="C36" s="316"/>
      <c r="D36" s="375"/>
      <c r="E36" s="107"/>
      <c r="F36" s="346"/>
      <c r="G36" s="346"/>
      <c r="H36" s="342"/>
      <c r="I36" s="343"/>
      <c r="J36" s="343"/>
    </row>
    <row r="37" spans="1:10" ht="15" hidden="1" customHeight="1">
      <c r="A37" s="375">
        <v>11</v>
      </c>
      <c r="B37" s="350" t="s">
        <v>420</v>
      </c>
      <c r="C37" s="316" t="s">
        <v>356</v>
      </c>
      <c r="D37" s="375">
        <v>1</v>
      </c>
      <c r="E37" s="107"/>
      <c r="F37" s="344">
        <f>1.1*170</f>
        <v>187.00000000000003</v>
      </c>
      <c r="G37" s="344">
        <f>F37*D37</f>
        <v>187.00000000000003</v>
      </c>
      <c r="H37" s="342" t="s">
        <v>249</v>
      </c>
      <c r="I37" s="343"/>
      <c r="J37" s="343" t="s">
        <v>361</v>
      </c>
    </row>
    <row r="38" spans="1:10" ht="15" hidden="1" customHeight="1">
      <c r="A38" s="375">
        <v>12</v>
      </c>
      <c r="B38" s="350" t="s">
        <v>421</v>
      </c>
      <c r="C38" s="316" t="s">
        <v>422</v>
      </c>
      <c r="D38" s="375">
        <v>1</v>
      </c>
      <c r="E38" s="107"/>
      <c r="F38" s="344">
        <f>1.1*651</f>
        <v>716.1</v>
      </c>
      <c r="G38" s="344">
        <f>F38*D38</f>
        <v>716.1</v>
      </c>
      <c r="H38" s="342" t="s">
        <v>249</v>
      </c>
      <c r="I38" s="343"/>
      <c r="J38" s="343" t="s">
        <v>423</v>
      </c>
    </row>
    <row r="39" spans="1:10" ht="15" hidden="1" customHeight="1">
      <c r="A39" s="377"/>
      <c r="B39" s="107"/>
      <c r="C39" s="316" t="s">
        <v>424</v>
      </c>
      <c r="D39" s="375">
        <v>1</v>
      </c>
      <c r="E39" s="107"/>
      <c r="F39" s="344">
        <f>1.1*1155</f>
        <v>1270.5</v>
      </c>
      <c r="G39" s="344">
        <f>F39*D39</f>
        <v>1270.5</v>
      </c>
      <c r="H39" s="342" t="s">
        <v>249</v>
      </c>
      <c r="I39" s="348" t="s">
        <v>425</v>
      </c>
      <c r="J39" s="343" t="s">
        <v>426</v>
      </c>
    </row>
    <row r="40" spans="1:10" ht="12.75" hidden="1" customHeight="1"/>
    <row r="41" spans="1:10" ht="14.25" hidden="1" customHeight="1">
      <c r="A41" s="378">
        <v>2</v>
      </c>
      <c r="B41" s="321" t="s">
        <v>427</v>
      </c>
      <c r="C41" s="351"/>
      <c r="D41" s="382"/>
      <c r="E41" s="321"/>
      <c r="F41" s="321"/>
      <c r="G41" s="321"/>
      <c r="H41" s="321"/>
      <c r="I41" s="321"/>
      <c r="J41" s="352"/>
    </row>
    <row r="42" spans="1:10" s="353" customFormat="1" ht="14.25" hidden="1" customHeight="1">
      <c r="A42" s="379" t="s">
        <v>399</v>
      </c>
      <c r="B42" s="326" t="s">
        <v>400</v>
      </c>
      <c r="C42" s="327" t="s">
        <v>401</v>
      </c>
      <c r="D42" s="379" t="s">
        <v>8</v>
      </c>
      <c r="E42" s="909" t="s">
        <v>336</v>
      </c>
      <c r="F42" s="910"/>
      <c r="G42" s="326" t="s">
        <v>402</v>
      </c>
      <c r="H42" s="326" t="s">
        <v>403</v>
      </c>
      <c r="I42" s="326" t="s">
        <v>404</v>
      </c>
      <c r="J42" s="329" t="s">
        <v>405</v>
      </c>
    </row>
    <row r="43" spans="1:10" ht="12.75" customHeight="1">
      <c r="A43" s="897">
        <v>1</v>
      </c>
      <c r="B43" s="354" t="s">
        <v>573</v>
      </c>
      <c r="C43" s="331" t="s">
        <v>412</v>
      </c>
      <c r="D43" s="373">
        <v>1</v>
      </c>
      <c r="E43" s="332"/>
      <c r="F43" s="333">
        <f>SUM(F44:F50)</f>
        <v>164530</v>
      </c>
      <c r="G43" s="333">
        <f>F43*D43</f>
        <v>164530</v>
      </c>
      <c r="H43" s="900" t="s">
        <v>249</v>
      </c>
      <c r="I43" s="903" t="s">
        <v>428</v>
      </c>
      <c r="J43" s="906" t="s">
        <v>429</v>
      </c>
    </row>
    <row r="44" spans="1:10">
      <c r="A44" s="898"/>
      <c r="B44" s="332" t="s">
        <v>564</v>
      </c>
      <c r="C44" s="334" t="s">
        <v>412</v>
      </c>
      <c r="D44" s="373">
        <v>1</v>
      </c>
      <c r="E44" s="333">
        <v>5020</v>
      </c>
      <c r="F44" s="333">
        <f t="shared" ref="F44:F50" si="2">E44*D44</f>
        <v>5020</v>
      </c>
      <c r="G44" s="333"/>
      <c r="H44" s="901"/>
      <c r="I44" s="904"/>
      <c r="J44" s="907"/>
    </row>
    <row r="45" spans="1:10">
      <c r="A45" s="898"/>
      <c r="B45" s="332" t="s">
        <v>565</v>
      </c>
      <c r="C45" s="334" t="s">
        <v>566</v>
      </c>
      <c r="D45" s="373">
        <v>1</v>
      </c>
      <c r="E45" s="333">
        <v>47133</v>
      </c>
      <c r="F45" s="333">
        <f t="shared" si="2"/>
        <v>47133</v>
      </c>
      <c r="G45" s="333"/>
      <c r="H45" s="901"/>
      <c r="I45" s="904"/>
      <c r="J45" s="907"/>
    </row>
    <row r="46" spans="1:10">
      <c r="A46" s="898"/>
      <c r="B46" s="332" t="s">
        <v>574</v>
      </c>
      <c r="C46" s="334" t="s">
        <v>575</v>
      </c>
      <c r="D46" s="373">
        <v>1</v>
      </c>
      <c r="E46" s="333">
        <v>44937</v>
      </c>
      <c r="F46" s="333">
        <f t="shared" si="2"/>
        <v>44937</v>
      </c>
      <c r="G46" s="333"/>
      <c r="H46" s="901"/>
      <c r="I46" s="904"/>
      <c r="J46" s="907"/>
    </row>
    <row r="47" spans="1:10">
      <c r="A47" s="898"/>
      <c r="B47" s="332" t="s">
        <v>576</v>
      </c>
      <c r="C47" s="334" t="s">
        <v>577</v>
      </c>
      <c r="D47" s="373">
        <v>1</v>
      </c>
      <c r="E47" s="333">
        <v>4190</v>
      </c>
      <c r="F47" s="333">
        <f t="shared" si="2"/>
        <v>4190</v>
      </c>
      <c r="G47" s="333"/>
      <c r="H47" s="901"/>
      <c r="I47" s="904"/>
      <c r="J47" s="907"/>
    </row>
    <row r="48" spans="1:10">
      <c r="A48" s="898"/>
      <c r="B48" s="332" t="s">
        <v>569</v>
      </c>
      <c r="C48" s="334" t="s">
        <v>570</v>
      </c>
      <c r="D48" s="373">
        <v>2</v>
      </c>
      <c r="E48" s="333">
        <v>13385</v>
      </c>
      <c r="F48" s="333">
        <f t="shared" si="2"/>
        <v>26770</v>
      </c>
      <c r="G48" s="333"/>
      <c r="H48" s="901"/>
      <c r="I48" s="904"/>
      <c r="J48" s="907"/>
    </row>
    <row r="49" spans="1:10">
      <c r="A49" s="898"/>
      <c r="B49" s="332" t="s">
        <v>578</v>
      </c>
      <c r="C49" s="334" t="s">
        <v>579</v>
      </c>
      <c r="D49" s="373">
        <v>1</v>
      </c>
      <c r="E49" s="333">
        <v>4362</v>
      </c>
      <c r="F49" s="333">
        <f t="shared" si="2"/>
        <v>4362</v>
      </c>
      <c r="G49" s="333"/>
      <c r="H49" s="901"/>
      <c r="I49" s="904"/>
      <c r="J49" s="907"/>
    </row>
    <row r="50" spans="1:10">
      <c r="A50" s="899"/>
      <c r="B50" s="332" t="s">
        <v>571</v>
      </c>
      <c r="C50" s="334" t="s">
        <v>572</v>
      </c>
      <c r="D50" s="373">
        <v>2</v>
      </c>
      <c r="E50" s="333">
        <v>16059</v>
      </c>
      <c r="F50" s="333">
        <f t="shared" si="2"/>
        <v>32118</v>
      </c>
      <c r="G50" s="333"/>
      <c r="H50" s="902"/>
      <c r="I50" s="905"/>
      <c r="J50" s="908"/>
    </row>
    <row r="51" spans="1:10" ht="12.75" customHeight="1">
      <c r="A51" s="897">
        <v>2</v>
      </c>
      <c r="B51" s="354" t="s">
        <v>580</v>
      </c>
      <c r="C51" s="331" t="s">
        <v>430</v>
      </c>
      <c r="D51" s="373">
        <v>1</v>
      </c>
      <c r="E51" s="355"/>
      <c r="F51" s="333">
        <f>SUM(E52:E55)</f>
        <v>38000</v>
      </c>
      <c r="G51" s="333">
        <f>F51*D51</f>
        <v>38000</v>
      </c>
      <c r="H51" s="900" t="s">
        <v>249</v>
      </c>
      <c r="I51" s="903" t="s">
        <v>431</v>
      </c>
      <c r="J51" s="906" t="s">
        <v>432</v>
      </c>
    </row>
    <row r="52" spans="1:10">
      <c r="A52" s="898"/>
      <c r="B52" s="332" t="s">
        <v>581</v>
      </c>
      <c r="C52" s="334" t="s">
        <v>430</v>
      </c>
      <c r="D52" s="373">
        <v>1</v>
      </c>
      <c r="E52" s="333">
        <v>1677</v>
      </c>
      <c r="F52" s="333">
        <f>E52*D52</f>
        <v>1677</v>
      </c>
      <c r="G52" s="333"/>
      <c r="H52" s="901"/>
      <c r="I52" s="904"/>
      <c r="J52" s="907"/>
    </row>
    <row r="53" spans="1:10">
      <c r="A53" s="898"/>
      <c r="B53" s="332" t="s">
        <v>582</v>
      </c>
      <c r="C53" s="334" t="s">
        <v>583</v>
      </c>
      <c r="D53" s="373">
        <v>1</v>
      </c>
      <c r="E53" s="333">
        <v>1516</v>
      </c>
      <c r="F53" s="333">
        <f>E53*D53</f>
        <v>1516</v>
      </c>
      <c r="G53" s="333"/>
      <c r="H53" s="901"/>
      <c r="I53" s="904"/>
      <c r="J53" s="907"/>
    </row>
    <row r="54" spans="1:10">
      <c r="A54" s="898"/>
      <c r="B54" s="332" t="s">
        <v>584</v>
      </c>
      <c r="C54" s="334" t="s">
        <v>585</v>
      </c>
      <c r="D54" s="373">
        <v>1</v>
      </c>
      <c r="E54" s="333">
        <v>20521</v>
      </c>
      <c r="F54" s="333">
        <f>E54*D54</f>
        <v>20521</v>
      </c>
      <c r="G54" s="333"/>
      <c r="H54" s="901"/>
      <c r="I54" s="904"/>
      <c r="J54" s="907"/>
    </row>
    <row r="55" spans="1:10">
      <c r="A55" s="899"/>
      <c r="B55" s="332" t="s">
        <v>586</v>
      </c>
      <c r="C55" s="334" t="s">
        <v>587</v>
      </c>
      <c r="D55" s="373">
        <v>1</v>
      </c>
      <c r="E55" s="333">
        <v>14286</v>
      </c>
      <c r="F55" s="333">
        <f>E55*D55</f>
        <v>14286</v>
      </c>
      <c r="G55" s="333"/>
      <c r="H55" s="902"/>
      <c r="I55" s="905"/>
      <c r="J55" s="908"/>
    </row>
    <row r="56" spans="1:10">
      <c r="A56" s="375">
        <v>3</v>
      </c>
      <c r="B56" s="316" t="s">
        <v>277</v>
      </c>
      <c r="C56" s="316"/>
      <c r="D56" s="375"/>
      <c r="E56" s="341"/>
      <c r="F56" s="341"/>
      <c r="G56" s="341"/>
      <c r="H56" s="335" t="s">
        <v>433</v>
      </c>
      <c r="I56" s="107"/>
      <c r="J56" s="343"/>
    </row>
    <row r="57" spans="1:10">
      <c r="A57" s="375">
        <v>4</v>
      </c>
      <c r="B57" s="336" t="s">
        <v>260</v>
      </c>
      <c r="C57" s="316" t="s">
        <v>265</v>
      </c>
      <c r="D57" s="375"/>
      <c r="E57" s="341"/>
      <c r="F57" s="341"/>
      <c r="G57" s="341"/>
      <c r="H57" s="335" t="s">
        <v>434</v>
      </c>
      <c r="I57" s="107" t="s">
        <v>435</v>
      </c>
      <c r="J57" s="343"/>
    </row>
    <row r="58" spans="1:10" ht="15">
      <c r="A58" s="375">
        <v>5</v>
      </c>
      <c r="B58" s="316" t="s">
        <v>278</v>
      </c>
      <c r="C58" s="316"/>
      <c r="D58" s="375"/>
      <c r="E58" s="341"/>
      <c r="F58" s="341"/>
      <c r="G58" s="341"/>
      <c r="H58" s="335"/>
      <c r="I58" s="356" t="s">
        <v>415</v>
      </c>
      <c r="J58" s="343"/>
    </row>
    <row r="59" spans="1:10" ht="15">
      <c r="A59" s="375">
        <v>6</v>
      </c>
      <c r="B59" s="316" t="s">
        <v>281</v>
      </c>
      <c r="C59" s="316" t="s">
        <v>104</v>
      </c>
      <c r="D59" s="375">
        <v>1</v>
      </c>
      <c r="E59" s="107"/>
      <c r="F59" s="344">
        <f>1.1*161</f>
        <v>177.10000000000002</v>
      </c>
      <c r="G59" s="344">
        <f>F59*D59</f>
        <v>177.10000000000002</v>
      </c>
      <c r="H59" s="335" t="s">
        <v>249</v>
      </c>
      <c r="I59" s="357" t="s">
        <v>416</v>
      </c>
      <c r="J59" s="343" t="s">
        <v>362</v>
      </c>
    </row>
    <row r="60" spans="1:10" ht="45">
      <c r="A60" s="375">
        <v>7</v>
      </c>
      <c r="B60" s="316" t="s">
        <v>283</v>
      </c>
      <c r="C60" s="316" t="s">
        <v>107</v>
      </c>
      <c r="D60" s="375">
        <v>1</v>
      </c>
      <c r="E60" s="107"/>
      <c r="F60" s="344">
        <f>1.1*752</f>
        <v>827.2</v>
      </c>
      <c r="G60" s="344">
        <f>F60*D60</f>
        <v>827.2</v>
      </c>
      <c r="H60" s="335" t="s">
        <v>249</v>
      </c>
      <c r="I60" s="345" t="s">
        <v>414</v>
      </c>
      <c r="J60" s="343" t="s">
        <v>108</v>
      </c>
    </row>
    <row r="61" spans="1:10" ht="15">
      <c r="A61" s="375">
        <v>8</v>
      </c>
      <c r="B61" s="316" t="s">
        <v>285</v>
      </c>
      <c r="C61" s="316" t="s">
        <v>110</v>
      </c>
      <c r="D61" s="375">
        <v>1</v>
      </c>
      <c r="E61" s="107"/>
      <c r="F61" s="344">
        <f>1.1*172</f>
        <v>189.20000000000002</v>
      </c>
      <c r="G61" s="349">
        <f>F61*D61</f>
        <v>189.20000000000002</v>
      </c>
      <c r="H61" s="335" t="s">
        <v>249</v>
      </c>
      <c r="I61" s="357" t="s">
        <v>417</v>
      </c>
      <c r="J61" s="343" t="s">
        <v>111</v>
      </c>
    </row>
    <row r="62" spans="1:10" ht="15">
      <c r="A62" s="375">
        <v>9</v>
      </c>
      <c r="B62" s="336" t="s">
        <v>287</v>
      </c>
      <c r="C62" s="316" t="s">
        <v>419</v>
      </c>
      <c r="D62" s="375">
        <v>3</v>
      </c>
      <c r="E62" s="107"/>
      <c r="F62" s="344">
        <f>1.1*17000</f>
        <v>18700</v>
      </c>
      <c r="G62" s="349">
        <f>F62*D62</f>
        <v>56100</v>
      </c>
      <c r="H62" s="342" t="s">
        <v>249</v>
      </c>
      <c r="I62" s="339"/>
      <c r="J62" s="343" t="s">
        <v>288</v>
      </c>
    </row>
    <row r="63" spans="1:10" ht="15">
      <c r="A63" s="375">
        <v>10</v>
      </c>
      <c r="B63" s="336" t="s">
        <v>289</v>
      </c>
      <c r="C63" s="316"/>
      <c r="D63" s="375"/>
      <c r="E63" s="107"/>
      <c r="F63" s="346"/>
      <c r="G63" s="346"/>
      <c r="H63" s="335" t="s">
        <v>290</v>
      </c>
      <c r="I63" s="107"/>
      <c r="J63" s="343"/>
    </row>
    <row r="64" spans="1:10" ht="15">
      <c r="A64" s="375">
        <v>11</v>
      </c>
      <c r="B64" s="316" t="s">
        <v>293</v>
      </c>
      <c r="C64" s="316" t="s">
        <v>113</v>
      </c>
      <c r="D64" s="375">
        <v>1</v>
      </c>
      <c r="E64" s="107"/>
      <c r="F64" s="344">
        <f>1.1*125</f>
        <v>137.5</v>
      </c>
      <c r="G64" s="344">
        <f t="shared" ref="G64:G69" si="3">F64*D64</f>
        <v>137.5</v>
      </c>
      <c r="H64" s="335" t="s">
        <v>249</v>
      </c>
      <c r="I64" s="357" t="s">
        <v>436</v>
      </c>
      <c r="J64" s="343" t="s">
        <v>114</v>
      </c>
    </row>
    <row r="65" spans="1:10" ht="15">
      <c r="A65" s="375">
        <v>12</v>
      </c>
      <c r="B65" s="316" t="s">
        <v>295</v>
      </c>
      <c r="C65" s="106" t="s">
        <v>437</v>
      </c>
      <c r="D65" s="375">
        <v>1</v>
      </c>
      <c r="E65" s="107"/>
      <c r="F65" s="344">
        <f>1.1*494</f>
        <v>543.40000000000009</v>
      </c>
      <c r="G65" s="344">
        <f t="shared" si="3"/>
        <v>543.40000000000009</v>
      </c>
      <c r="H65" s="335" t="s">
        <v>249</v>
      </c>
      <c r="I65" s="357" t="s">
        <v>438</v>
      </c>
      <c r="J65" s="343" t="s">
        <v>439</v>
      </c>
    </row>
    <row r="66" spans="1:10" ht="15">
      <c r="A66" s="375">
        <v>13</v>
      </c>
      <c r="B66" s="316"/>
      <c r="C66" s="106" t="s">
        <v>367</v>
      </c>
      <c r="D66" s="375">
        <v>1</v>
      </c>
      <c r="E66" s="107"/>
      <c r="F66" s="344">
        <f>1.1*210</f>
        <v>231.00000000000003</v>
      </c>
      <c r="G66" s="344">
        <f t="shared" si="3"/>
        <v>231.00000000000003</v>
      </c>
      <c r="H66" s="335" t="s">
        <v>249</v>
      </c>
      <c r="I66" s="357" t="s">
        <v>440</v>
      </c>
      <c r="J66" s="343" t="s">
        <v>441</v>
      </c>
    </row>
    <row r="67" spans="1:10" ht="15">
      <c r="A67" s="375">
        <v>14</v>
      </c>
      <c r="B67" s="107"/>
      <c r="C67" s="106" t="s">
        <v>368</v>
      </c>
      <c r="D67" s="375">
        <v>1</v>
      </c>
      <c r="E67" s="107"/>
      <c r="F67" s="344">
        <f>1.1*324</f>
        <v>356.40000000000003</v>
      </c>
      <c r="G67" s="344">
        <f t="shared" si="3"/>
        <v>356.40000000000003</v>
      </c>
      <c r="H67" s="335" t="s">
        <v>249</v>
      </c>
      <c r="I67" s="357" t="s">
        <v>442</v>
      </c>
      <c r="J67" s="343" t="s">
        <v>443</v>
      </c>
    </row>
    <row r="68" spans="1:10" ht="51">
      <c r="A68" s="375">
        <v>15</v>
      </c>
      <c r="B68" s="316" t="s">
        <v>296</v>
      </c>
      <c r="C68" s="108" t="s">
        <v>357</v>
      </c>
      <c r="D68" s="375">
        <v>5</v>
      </c>
      <c r="E68" s="107"/>
      <c r="F68" s="344">
        <f>1.1*2090</f>
        <v>2299</v>
      </c>
      <c r="G68" s="344">
        <f t="shared" si="3"/>
        <v>11495</v>
      </c>
      <c r="H68" s="335" t="s">
        <v>249</v>
      </c>
      <c r="I68" s="339" t="s">
        <v>418</v>
      </c>
      <c r="J68" s="339" t="s">
        <v>360</v>
      </c>
    </row>
    <row r="69" spans="1:10" ht="15">
      <c r="A69" s="375">
        <v>16</v>
      </c>
      <c r="B69" s="350" t="s">
        <v>364</v>
      </c>
      <c r="C69" s="106" t="s">
        <v>365</v>
      </c>
      <c r="D69" s="375">
        <v>2</v>
      </c>
      <c r="E69" s="107"/>
      <c r="F69" s="344">
        <f>1.1*592</f>
        <v>651.20000000000005</v>
      </c>
      <c r="G69" s="344">
        <f t="shared" si="3"/>
        <v>1302.4000000000001</v>
      </c>
      <c r="H69" s="335" t="s">
        <v>249</v>
      </c>
      <c r="I69" s="357" t="s">
        <v>444</v>
      </c>
      <c r="J69" s="343" t="s">
        <v>445</v>
      </c>
    </row>
    <row r="70" spans="1:10" ht="15">
      <c r="B70" s="358"/>
    </row>
    <row r="71" spans="1:10" ht="14.25">
      <c r="A71" s="382">
        <v>3</v>
      </c>
      <c r="B71" s="321" t="s">
        <v>446</v>
      </c>
      <c r="C71" s="351"/>
      <c r="D71" s="382"/>
      <c r="E71" s="321"/>
      <c r="F71" s="321"/>
      <c r="G71" s="321"/>
      <c r="H71" s="321"/>
      <c r="I71" s="321"/>
      <c r="J71" s="352"/>
    </row>
    <row r="72" spans="1:10" ht="14.25">
      <c r="A72" s="379" t="s">
        <v>399</v>
      </c>
      <c r="B72" s="326" t="s">
        <v>400</v>
      </c>
      <c r="C72" s="327" t="s">
        <v>401</v>
      </c>
      <c r="D72" s="379" t="s">
        <v>8</v>
      </c>
      <c r="E72" s="909" t="s">
        <v>336</v>
      </c>
      <c r="F72" s="910"/>
      <c r="G72" s="326" t="s">
        <v>402</v>
      </c>
      <c r="H72" s="326" t="s">
        <v>403</v>
      </c>
      <c r="I72" s="326" t="s">
        <v>404</v>
      </c>
      <c r="J72" s="329" t="s">
        <v>405</v>
      </c>
    </row>
    <row r="73" spans="1:10" s="355" customFormat="1" ht="12.75" customHeight="1">
      <c r="A73" s="373">
        <v>1</v>
      </c>
      <c r="B73" s="331" t="s">
        <v>588</v>
      </c>
      <c r="C73" s="331" t="s">
        <v>412</v>
      </c>
      <c r="D73" s="373">
        <v>1</v>
      </c>
      <c r="E73" s="332"/>
      <c r="F73" s="333">
        <f>SUM(F74:F79)</f>
        <v>247290</v>
      </c>
      <c r="G73" s="333">
        <f>F73*D73</f>
        <v>247290</v>
      </c>
      <c r="H73" s="900" t="s">
        <v>447</v>
      </c>
      <c r="I73" s="903" t="s">
        <v>448</v>
      </c>
      <c r="J73" s="906" t="s">
        <v>370</v>
      </c>
    </row>
    <row r="74" spans="1:10" s="355" customFormat="1">
      <c r="A74" s="374"/>
      <c r="B74" s="332" t="s">
        <v>589</v>
      </c>
      <c r="C74" s="332" t="s">
        <v>590</v>
      </c>
      <c r="D74" s="373">
        <v>1</v>
      </c>
      <c r="E74" s="333">
        <v>7508</v>
      </c>
      <c r="F74" s="333">
        <f t="shared" ref="F74:F80" si="4">E74*D74</f>
        <v>7508</v>
      </c>
      <c r="G74" s="333"/>
      <c r="H74" s="901"/>
      <c r="I74" s="904"/>
      <c r="J74" s="907"/>
    </row>
    <row r="75" spans="1:10" s="355" customFormat="1">
      <c r="A75" s="374"/>
      <c r="B75" s="332" t="s">
        <v>591</v>
      </c>
      <c r="C75" s="332" t="s">
        <v>592</v>
      </c>
      <c r="D75" s="373">
        <v>2</v>
      </c>
      <c r="E75" s="333">
        <v>36093</v>
      </c>
      <c r="F75" s="333">
        <f t="shared" si="4"/>
        <v>72186</v>
      </c>
      <c r="G75" s="333"/>
      <c r="H75" s="901"/>
      <c r="I75" s="904"/>
      <c r="J75" s="907"/>
    </row>
    <row r="76" spans="1:10" s="355" customFormat="1">
      <c r="A76" s="374"/>
      <c r="B76" s="332" t="s">
        <v>593</v>
      </c>
      <c r="C76" s="332" t="s">
        <v>594</v>
      </c>
      <c r="D76" s="373">
        <v>2</v>
      </c>
      <c r="E76" s="333">
        <v>3904</v>
      </c>
      <c r="F76" s="333">
        <f t="shared" si="4"/>
        <v>7808</v>
      </c>
      <c r="G76" s="333"/>
      <c r="H76" s="901"/>
      <c r="I76" s="904"/>
      <c r="J76" s="907"/>
    </row>
    <row r="77" spans="1:10" s="355" customFormat="1">
      <c r="A77" s="374"/>
      <c r="B77" s="332" t="s">
        <v>595</v>
      </c>
      <c r="C77" s="332" t="s">
        <v>596</v>
      </c>
      <c r="D77" s="373">
        <v>4</v>
      </c>
      <c r="E77" s="333">
        <v>27985</v>
      </c>
      <c r="F77" s="333">
        <f t="shared" si="4"/>
        <v>111940</v>
      </c>
      <c r="G77" s="333"/>
      <c r="H77" s="901"/>
      <c r="I77" s="904"/>
      <c r="J77" s="907"/>
    </row>
    <row r="78" spans="1:10" s="355" customFormat="1">
      <c r="A78" s="374"/>
      <c r="B78" s="332" t="s">
        <v>571</v>
      </c>
      <c r="C78" s="332" t="s">
        <v>572</v>
      </c>
      <c r="D78" s="373">
        <v>2</v>
      </c>
      <c r="E78" s="333">
        <v>16059</v>
      </c>
      <c r="F78" s="333">
        <f t="shared" si="4"/>
        <v>32118</v>
      </c>
      <c r="G78" s="333"/>
      <c r="H78" s="901"/>
      <c r="I78" s="904"/>
      <c r="J78" s="907"/>
    </row>
    <row r="79" spans="1:10" s="355" customFormat="1">
      <c r="A79" s="374"/>
      <c r="B79" s="332" t="s">
        <v>597</v>
      </c>
      <c r="C79" s="332" t="s">
        <v>598</v>
      </c>
      <c r="D79" s="373">
        <v>2</v>
      </c>
      <c r="E79" s="333">
        <v>7865</v>
      </c>
      <c r="F79" s="333">
        <f t="shared" si="4"/>
        <v>15730</v>
      </c>
      <c r="G79" s="333"/>
      <c r="H79" s="901"/>
      <c r="I79" s="904"/>
      <c r="J79" s="907"/>
    </row>
    <row r="80" spans="1:10" s="355" customFormat="1">
      <c r="A80" s="374"/>
      <c r="B80" s="332" t="s">
        <v>599</v>
      </c>
      <c r="C80" s="332"/>
      <c r="D80" s="373">
        <v>1</v>
      </c>
      <c r="E80" s="333">
        <v>8000</v>
      </c>
      <c r="F80" s="333">
        <f t="shared" si="4"/>
        <v>8000</v>
      </c>
      <c r="G80" s="333"/>
      <c r="H80" s="902"/>
      <c r="I80" s="905"/>
      <c r="J80" s="908"/>
    </row>
    <row r="81" spans="1:10" s="355" customFormat="1" ht="12.75" customHeight="1">
      <c r="A81" s="373">
        <v>2</v>
      </c>
      <c r="B81" s="331" t="s">
        <v>563</v>
      </c>
      <c r="C81" s="331" t="s">
        <v>412</v>
      </c>
      <c r="D81" s="373">
        <v>1</v>
      </c>
      <c r="E81" s="332"/>
      <c r="F81" s="333">
        <f>SUM(F82:F96)</f>
        <v>394000</v>
      </c>
      <c r="G81" s="333">
        <f>F81*D81</f>
        <v>394000</v>
      </c>
      <c r="H81" s="900" t="s">
        <v>249</v>
      </c>
      <c r="I81" s="903" t="s">
        <v>449</v>
      </c>
      <c r="J81" s="906"/>
    </row>
    <row r="82" spans="1:10" s="355" customFormat="1">
      <c r="A82" s="374"/>
      <c r="B82" s="332" t="s">
        <v>564</v>
      </c>
      <c r="C82" s="332" t="s">
        <v>412</v>
      </c>
      <c r="D82" s="373">
        <v>1</v>
      </c>
      <c r="E82" s="333">
        <v>5020</v>
      </c>
      <c r="F82" s="333">
        <f t="shared" ref="F82:F96" si="5">E82*D82</f>
        <v>5020</v>
      </c>
      <c r="G82" s="333"/>
      <c r="H82" s="901"/>
      <c r="I82" s="904"/>
      <c r="J82" s="907"/>
    </row>
    <row r="83" spans="1:10" s="355" customFormat="1">
      <c r="A83" s="374"/>
      <c r="B83" s="332" t="s">
        <v>600</v>
      </c>
      <c r="C83" s="332" t="s">
        <v>601</v>
      </c>
      <c r="D83" s="373">
        <v>1</v>
      </c>
      <c r="E83" s="333">
        <v>38481</v>
      </c>
      <c r="F83" s="333">
        <f t="shared" si="5"/>
        <v>38481</v>
      </c>
      <c r="G83" s="333"/>
      <c r="H83" s="901"/>
      <c r="I83" s="904"/>
      <c r="J83" s="907"/>
    </row>
    <row r="84" spans="1:10" s="355" customFormat="1">
      <c r="A84" s="374"/>
      <c r="B84" s="332" t="s">
        <v>602</v>
      </c>
      <c r="C84" s="332" t="s">
        <v>603</v>
      </c>
      <c r="D84" s="373">
        <v>1</v>
      </c>
      <c r="E84" s="333">
        <v>36823</v>
      </c>
      <c r="F84" s="333">
        <f t="shared" si="5"/>
        <v>36823</v>
      </c>
      <c r="G84" s="333"/>
      <c r="H84" s="901"/>
      <c r="I84" s="904"/>
      <c r="J84" s="907"/>
    </row>
    <row r="85" spans="1:10" s="355" customFormat="1">
      <c r="A85" s="374"/>
      <c r="B85" s="332" t="s">
        <v>589</v>
      </c>
      <c r="C85" s="332" t="s">
        <v>590</v>
      </c>
      <c r="D85" s="373">
        <v>1</v>
      </c>
      <c r="E85" s="333">
        <v>7508</v>
      </c>
      <c r="F85" s="333">
        <f t="shared" si="5"/>
        <v>7508</v>
      </c>
      <c r="G85" s="333"/>
      <c r="H85" s="901"/>
      <c r="I85" s="904"/>
      <c r="J85" s="907"/>
    </row>
    <row r="86" spans="1:10" s="355" customFormat="1">
      <c r="A86" s="374"/>
      <c r="B86" s="332" t="s">
        <v>604</v>
      </c>
      <c r="C86" s="332" t="s">
        <v>605</v>
      </c>
      <c r="D86" s="373">
        <v>2</v>
      </c>
      <c r="E86" s="333">
        <v>10039</v>
      </c>
      <c r="F86" s="333">
        <f t="shared" si="5"/>
        <v>20078</v>
      </c>
      <c r="G86" s="333"/>
      <c r="H86" s="901"/>
      <c r="I86" s="904"/>
      <c r="J86" s="907"/>
    </row>
    <row r="87" spans="1:10" s="355" customFormat="1">
      <c r="A87" s="374"/>
      <c r="B87" s="332" t="s">
        <v>591</v>
      </c>
      <c r="C87" s="332" t="s">
        <v>592</v>
      </c>
      <c r="D87" s="373">
        <v>2</v>
      </c>
      <c r="E87" s="333">
        <v>36093</v>
      </c>
      <c r="F87" s="333">
        <f t="shared" si="5"/>
        <v>72186</v>
      </c>
      <c r="G87" s="333"/>
      <c r="H87" s="901"/>
      <c r="I87" s="904"/>
      <c r="J87" s="907"/>
    </row>
    <row r="88" spans="1:10" s="355" customFormat="1">
      <c r="A88" s="374"/>
      <c r="B88" s="332" t="s">
        <v>606</v>
      </c>
      <c r="C88" s="332" t="s">
        <v>607</v>
      </c>
      <c r="D88" s="373">
        <v>1</v>
      </c>
      <c r="E88" s="333">
        <v>8286</v>
      </c>
      <c r="F88" s="333">
        <f t="shared" si="5"/>
        <v>8286</v>
      </c>
      <c r="G88" s="333"/>
      <c r="H88" s="901"/>
      <c r="I88" s="904"/>
      <c r="J88" s="907"/>
    </row>
    <row r="89" spans="1:10" s="355" customFormat="1">
      <c r="A89" s="374"/>
      <c r="B89" s="332" t="s">
        <v>608</v>
      </c>
      <c r="C89" s="332" t="s">
        <v>609</v>
      </c>
      <c r="D89" s="373">
        <v>1</v>
      </c>
      <c r="E89" s="333">
        <v>10028</v>
      </c>
      <c r="F89" s="333">
        <f t="shared" si="5"/>
        <v>10028</v>
      </c>
      <c r="G89" s="333"/>
      <c r="H89" s="901"/>
      <c r="I89" s="904"/>
      <c r="J89" s="907"/>
    </row>
    <row r="90" spans="1:10" s="355" customFormat="1">
      <c r="A90" s="374"/>
      <c r="B90" s="332" t="s">
        <v>593</v>
      </c>
      <c r="C90" s="332" t="s">
        <v>594</v>
      </c>
      <c r="D90" s="373">
        <v>2</v>
      </c>
      <c r="E90" s="333">
        <v>3904</v>
      </c>
      <c r="F90" s="333">
        <f t="shared" si="5"/>
        <v>7808</v>
      </c>
      <c r="G90" s="333"/>
      <c r="H90" s="901"/>
      <c r="I90" s="904"/>
      <c r="J90" s="907"/>
    </row>
    <row r="91" spans="1:10" s="355" customFormat="1">
      <c r="A91" s="374"/>
      <c r="B91" s="332" t="s">
        <v>578</v>
      </c>
      <c r="C91" s="332" t="s">
        <v>579</v>
      </c>
      <c r="D91" s="373">
        <v>2</v>
      </c>
      <c r="E91" s="333">
        <v>4362</v>
      </c>
      <c r="F91" s="333">
        <f t="shared" si="5"/>
        <v>8724</v>
      </c>
      <c r="G91" s="333"/>
      <c r="H91" s="901"/>
      <c r="I91" s="904"/>
      <c r="J91" s="907"/>
    </row>
    <row r="92" spans="1:10" s="355" customFormat="1">
      <c r="A92" s="374"/>
      <c r="B92" s="332" t="s">
        <v>595</v>
      </c>
      <c r="C92" s="332" t="s">
        <v>596</v>
      </c>
      <c r="D92" s="373">
        <v>4</v>
      </c>
      <c r="E92" s="333">
        <v>27985</v>
      </c>
      <c r="F92" s="333">
        <f t="shared" si="5"/>
        <v>111940</v>
      </c>
      <c r="G92" s="333"/>
      <c r="H92" s="901"/>
      <c r="I92" s="904"/>
      <c r="J92" s="907"/>
    </row>
    <row r="93" spans="1:10" s="355" customFormat="1">
      <c r="A93" s="374"/>
      <c r="B93" s="332" t="s">
        <v>610</v>
      </c>
      <c r="C93" s="332" t="s">
        <v>611</v>
      </c>
      <c r="D93" s="373">
        <v>1</v>
      </c>
      <c r="E93" s="333">
        <v>18090</v>
      </c>
      <c r="F93" s="333">
        <f t="shared" si="5"/>
        <v>18090</v>
      </c>
      <c r="G93" s="333"/>
      <c r="H93" s="901"/>
      <c r="I93" s="904"/>
      <c r="J93" s="907"/>
    </row>
    <row r="94" spans="1:10" s="355" customFormat="1">
      <c r="A94" s="374"/>
      <c r="B94" s="332" t="s">
        <v>571</v>
      </c>
      <c r="C94" s="332" t="s">
        <v>572</v>
      </c>
      <c r="D94" s="373">
        <v>2</v>
      </c>
      <c r="E94" s="333">
        <v>16059</v>
      </c>
      <c r="F94" s="333">
        <f t="shared" si="5"/>
        <v>32118</v>
      </c>
      <c r="G94" s="333"/>
      <c r="H94" s="901"/>
      <c r="I94" s="904"/>
      <c r="J94" s="907"/>
    </row>
    <row r="95" spans="1:10" s="355" customFormat="1">
      <c r="A95" s="374"/>
      <c r="B95" s="332" t="s">
        <v>597</v>
      </c>
      <c r="C95" s="332" t="s">
        <v>598</v>
      </c>
      <c r="D95" s="373">
        <v>2</v>
      </c>
      <c r="E95" s="333">
        <v>7865</v>
      </c>
      <c r="F95" s="333">
        <f t="shared" si="5"/>
        <v>15730</v>
      </c>
      <c r="G95" s="333"/>
      <c r="H95" s="901"/>
      <c r="I95" s="904"/>
      <c r="J95" s="907"/>
    </row>
    <row r="96" spans="1:10" s="355" customFormat="1">
      <c r="A96" s="374"/>
      <c r="B96" s="332" t="s">
        <v>612</v>
      </c>
      <c r="C96" s="332" t="s">
        <v>613</v>
      </c>
      <c r="D96" s="373">
        <v>1</v>
      </c>
      <c r="E96" s="333">
        <v>1180</v>
      </c>
      <c r="F96" s="333">
        <f t="shared" si="5"/>
        <v>1180</v>
      </c>
      <c r="G96" s="333"/>
      <c r="H96" s="902"/>
      <c r="I96" s="905"/>
      <c r="J96" s="908"/>
    </row>
    <row r="97" spans="1:10" ht="12.75" customHeight="1">
      <c r="A97" s="373">
        <v>3</v>
      </c>
      <c r="B97" s="331" t="s">
        <v>614</v>
      </c>
      <c r="C97" s="331" t="s">
        <v>338</v>
      </c>
      <c r="D97" s="373">
        <v>2</v>
      </c>
      <c r="E97" s="332"/>
      <c r="F97" s="333">
        <f>SUM(F98:F101)</f>
        <v>31732</v>
      </c>
      <c r="G97" s="333">
        <f>F97*D97</f>
        <v>63464</v>
      </c>
      <c r="H97" s="900" t="s">
        <v>249</v>
      </c>
      <c r="I97" s="900" t="s">
        <v>449</v>
      </c>
      <c r="J97" s="906" t="s">
        <v>369</v>
      </c>
    </row>
    <row r="98" spans="1:10">
      <c r="A98" s="374"/>
      <c r="B98" s="332" t="s">
        <v>615</v>
      </c>
      <c r="C98" s="332" t="s">
        <v>338</v>
      </c>
      <c r="D98" s="373">
        <v>1</v>
      </c>
      <c r="E98" s="333">
        <v>21178</v>
      </c>
      <c r="F98" s="333">
        <f>E98*D98</f>
        <v>21178</v>
      </c>
      <c r="G98" s="333"/>
      <c r="H98" s="901"/>
      <c r="I98" s="901"/>
      <c r="J98" s="907"/>
    </row>
    <row r="99" spans="1:10">
      <c r="A99" s="374"/>
      <c r="B99" s="332" t="s">
        <v>616</v>
      </c>
      <c r="C99" s="332" t="s">
        <v>617</v>
      </c>
      <c r="D99" s="373">
        <v>1</v>
      </c>
      <c r="E99" s="333">
        <v>6564</v>
      </c>
      <c r="F99" s="333">
        <f>E99*D99</f>
        <v>6564</v>
      </c>
      <c r="G99" s="333"/>
      <c r="H99" s="901"/>
      <c r="I99" s="901"/>
      <c r="J99" s="907"/>
    </row>
    <row r="100" spans="1:10">
      <c r="A100" s="374"/>
      <c r="B100" s="332" t="s">
        <v>582</v>
      </c>
      <c r="C100" s="332" t="s">
        <v>618</v>
      </c>
      <c r="D100" s="373">
        <v>1</v>
      </c>
      <c r="E100" s="333">
        <v>1487</v>
      </c>
      <c r="F100" s="333">
        <f>E100*D100</f>
        <v>1487</v>
      </c>
      <c r="G100" s="333"/>
      <c r="H100" s="901"/>
      <c r="I100" s="901"/>
      <c r="J100" s="907"/>
    </row>
    <row r="101" spans="1:10">
      <c r="A101" s="374"/>
      <c r="B101" s="332" t="s">
        <v>619</v>
      </c>
      <c r="C101" s="332" t="s">
        <v>620</v>
      </c>
      <c r="D101" s="373">
        <v>1</v>
      </c>
      <c r="E101" s="333">
        <v>2503</v>
      </c>
      <c r="F101" s="333">
        <f>E101*D101</f>
        <v>2503</v>
      </c>
      <c r="G101" s="333"/>
      <c r="H101" s="902"/>
      <c r="I101" s="902"/>
      <c r="J101" s="908"/>
    </row>
    <row r="102" spans="1:10" ht="15">
      <c r="A102" s="375">
        <v>4</v>
      </c>
      <c r="B102" s="316" t="s">
        <v>278</v>
      </c>
      <c r="C102" s="316"/>
      <c r="D102" s="375"/>
      <c r="E102" s="341"/>
      <c r="F102" s="341"/>
      <c r="G102" s="341"/>
      <c r="H102" s="335"/>
      <c r="I102" s="361" t="s">
        <v>415</v>
      </c>
      <c r="J102" s="343"/>
    </row>
    <row r="103" spans="1:10" ht="25.5">
      <c r="A103" s="375">
        <v>5</v>
      </c>
      <c r="B103" s="316" t="s">
        <v>281</v>
      </c>
      <c r="C103" s="316" t="s">
        <v>104</v>
      </c>
      <c r="D103" s="375">
        <v>1</v>
      </c>
      <c r="E103" s="107"/>
      <c r="F103" s="344">
        <f>1.1*161</f>
        <v>177.10000000000002</v>
      </c>
      <c r="G103" s="344">
        <f>F103*D103</f>
        <v>177.10000000000002</v>
      </c>
      <c r="H103" s="335" t="s">
        <v>249</v>
      </c>
      <c r="I103" s="362" t="s">
        <v>416</v>
      </c>
      <c r="J103" s="339" t="s">
        <v>362</v>
      </c>
    </row>
    <row r="104" spans="1:10" ht="45">
      <c r="A104" s="375">
        <v>6</v>
      </c>
      <c r="B104" s="316" t="s">
        <v>283</v>
      </c>
      <c r="C104" s="316" t="s">
        <v>107</v>
      </c>
      <c r="D104" s="375">
        <v>1</v>
      </c>
      <c r="E104" s="107"/>
      <c r="F104" s="344">
        <f>1.1*752</f>
        <v>827.2</v>
      </c>
      <c r="G104" s="344">
        <f>F104*D104</f>
        <v>827.2</v>
      </c>
      <c r="H104" s="335" t="s">
        <v>249</v>
      </c>
      <c r="I104" s="363" t="s">
        <v>414</v>
      </c>
      <c r="J104" s="339" t="s">
        <v>108</v>
      </c>
    </row>
    <row r="105" spans="1:10" ht="25.5">
      <c r="A105" s="375">
        <v>7</v>
      </c>
      <c r="B105" s="316" t="s">
        <v>285</v>
      </c>
      <c r="C105" s="316" t="s">
        <v>110</v>
      </c>
      <c r="D105" s="375">
        <v>1</v>
      </c>
      <c r="E105" s="107"/>
      <c r="F105" s="344">
        <f>1.1*172</f>
        <v>189.20000000000002</v>
      </c>
      <c r="G105" s="349">
        <f>F105*D105</f>
        <v>189.20000000000002</v>
      </c>
      <c r="H105" s="335" t="s">
        <v>249</v>
      </c>
      <c r="I105" s="362" t="s">
        <v>417</v>
      </c>
      <c r="J105" s="339" t="s">
        <v>111</v>
      </c>
    </row>
    <row r="106" spans="1:10" ht="25.5">
      <c r="A106" s="375">
        <v>8</v>
      </c>
      <c r="B106" s="316" t="s">
        <v>450</v>
      </c>
      <c r="C106" s="316" t="s">
        <v>358</v>
      </c>
      <c r="D106" s="383">
        <v>1</v>
      </c>
      <c r="E106" s="107"/>
      <c r="F106" s="344">
        <f>1.1*184</f>
        <v>202.4</v>
      </c>
      <c r="G106" s="344">
        <f>F106*D106</f>
        <v>202.4</v>
      </c>
      <c r="H106" s="335" t="s">
        <v>249</v>
      </c>
      <c r="I106" s="362" t="s">
        <v>451</v>
      </c>
      <c r="J106" s="364" t="s">
        <v>359</v>
      </c>
    </row>
    <row r="107" spans="1:10" ht="15">
      <c r="A107" s="375">
        <v>9</v>
      </c>
      <c r="B107" s="316" t="s">
        <v>289</v>
      </c>
      <c r="C107" s="316"/>
      <c r="D107" s="375"/>
      <c r="E107" s="107"/>
      <c r="F107" s="346"/>
      <c r="G107" s="346"/>
      <c r="H107" s="335" t="s">
        <v>290</v>
      </c>
      <c r="I107" s="316"/>
      <c r="J107" s="339"/>
    </row>
    <row r="108" spans="1:10" ht="26.25">
      <c r="A108" s="375">
        <v>10</v>
      </c>
      <c r="B108" s="316" t="s">
        <v>293</v>
      </c>
      <c r="C108" s="316" t="s">
        <v>113</v>
      </c>
      <c r="D108" s="375">
        <v>1</v>
      </c>
      <c r="E108" s="107"/>
      <c r="F108" s="365">
        <f>1.1*125</f>
        <v>137.5</v>
      </c>
      <c r="G108" s="365">
        <f>F108*D108</f>
        <v>137.5</v>
      </c>
      <c r="H108" s="335" t="s">
        <v>249</v>
      </c>
      <c r="I108" s="362" t="s">
        <v>436</v>
      </c>
      <c r="J108" s="339" t="s">
        <v>114</v>
      </c>
    </row>
    <row r="109" spans="1:10" s="330" customFormat="1" ht="14.25">
      <c r="A109" s="382">
        <v>11</v>
      </c>
      <c r="B109" s="366" t="s">
        <v>621</v>
      </c>
      <c r="C109" s="351"/>
      <c r="D109" s="382"/>
      <c r="E109" s="321"/>
      <c r="F109" s="321"/>
      <c r="G109" s="321"/>
      <c r="H109" s="352"/>
      <c r="I109" s="321"/>
      <c r="J109" s="352"/>
    </row>
    <row r="110" spans="1:10">
      <c r="A110" s="374"/>
      <c r="B110" s="332" t="s">
        <v>622</v>
      </c>
      <c r="C110" s="334" t="s">
        <v>623</v>
      </c>
      <c r="D110" s="373">
        <v>1</v>
      </c>
      <c r="E110" s="332"/>
      <c r="F110" s="333">
        <v>5456</v>
      </c>
      <c r="G110" s="333">
        <f>F110*D110</f>
        <v>5456</v>
      </c>
      <c r="H110" s="849" t="s">
        <v>249</v>
      </c>
      <c r="I110" s="849"/>
      <c r="J110" s="849"/>
    </row>
    <row r="111" spans="1:10" ht="15">
      <c r="A111" s="374"/>
      <c r="B111" s="332" t="s">
        <v>301</v>
      </c>
      <c r="C111" s="334" t="s">
        <v>302</v>
      </c>
      <c r="D111" s="373">
        <v>1</v>
      </c>
      <c r="E111" s="332"/>
      <c r="F111" s="367">
        <f>1.1*695</f>
        <v>764.50000000000011</v>
      </c>
      <c r="G111" s="367">
        <f t="shared" ref="G111:G114" si="6">F111*D111</f>
        <v>764.50000000000011</v>
      </c>
      <c r="H111" s="850"/>
      <c r="I111" s="850"/>
      <c r="J111" s="850"/>
    </row>
    <row r="112" spans="1:10" ht="15">
      <c r="A112" s="374"/>
      <c r="B112" s="332" t="s">
        <v>304</v>
      </c>
      <c r="C112" s="334" t="s">
        <v>305</v>
      </c>
      <c r="D112" s="373">
        <v>1</v>
      </c>
      <c r="E112" s="332"/>
      <c r="F112" s="368">
        <f>1.1*109.95</f>
        <v>120.94500000000001</v>
      </c>
      <c r="G112" s="367">
        <f t="shared" si="6"/>
        <v>120.94500000000001</v>
      </c>
      <c r="H112" s="850"/>
      <c r="I112" s="850"/>
      <c r="J112" s="850"/>
    </row>
    <row r="113" spans="1:10" ht="15">
      <c r="A113" s="374"/>
      <c r="B113" s="332" t="s">
        <v>307</v>
      </c>
      <c r="C113" s="334" t="s">
        <v>308</v>
      </c>
      <c r="D113" s="373">
        <v>1</v>
      </c>
      <c r="E113" s="332"/>
      <c r="F113" s="367">
        <f>1.1*395</f>
        <v>434.50000000000006</v>
      </c>
      <c r="G113" s="367">
        <f t="shared" si="6"/>
        <v>434.50000000000006</v>
      </c>
      <c r="H113" s="850"/>
      <c r="I113" s="850"/>
      <c r="J113" s="850"/>
    </row>
    <row r="114" spans="1:10" ht="15">
      <c r="A114" s="374"/>
      <c r="B114" s="332" t="s">
        <v>310</v>
      </c>
      <c r="C114" s="334" t="s">
        <v>311</v>
      </c>
      <c r="D114" s="373">
        <v>1</v>
      </c>
      <c r="E114" s="332"/>
      <c r="F114" s="368">
        <f>1.1*945</f>
        <v>1039.5</v>
      </c>
      <c r="G114" s="367">
        <f t="shared" si="6"/>
        <v>1039.5</v>
      </c>
      <c r="H114" s="851"/>
      <c r="I114" s="851"/>
      <c r="J114" s="851"/>
    </row>
    <row r="116" spans="1:10">
      <c r="B116" s="325" t="s">
        <v>628</v>
      </c>
    </row>
    <row r="117" spans="1:10">
      <c r="G117" s="369"/>
      <c r="H117" s="369"/>
    </row>
    <row r="118" spans="1:10">
      <c r="G118" s="370"/>
    </row>
  </sheetData>
  <mergeCells count="34">
    <mergeCell ref="E2:F2"/>
    <mergeCell ref="H3:H11"/>
    <mergeCell ref="I3:I11"/>
    <mergeCell ref="J3:J11"/>
    <mergeCell ref="H13:H21"/>
    <mergeCell ref="I13:I21"/>
    <mergeCell ref="J13:J21"/>
    <mergeCell ref="E72:F72"/>
    <mergeCell ref="H73:H80"/>
    <mergeCell ref="I73:I80"/>
    <mergeCell ref="J73:J80"/>
    <mergeCell ref="H24:H29"/>
    <mergeCell ref="I24:I29"/>
    <mergeCell ref="J24:J29"/>
    <mergeCell ref="E42:F42"/>
    <mergeCell ref="H43:H50"/>
    <mergeCell ref="I43:I50"/>
    <mergeCell ref="J43:J50"/>
    <mergeCell ref="H110:H114"/>
    <mergeCell ref="I110:I114"/>
    <mergeCell ref="J110:J114"/>
    <mergeCell ref="A13:A21"/>
    <mergeCell ref="A43:A50"/>
    <mergeCell ref="A51:A55"/>
    <mergeCell ref="A24:A29"/>
    <mergeCell ref="H81:H96"/>
    <mergeCell ref="I81:I96"/>
    <mergeCell ref="J81:J96"/>
    <mergeCell ref="H97:H101"/>
    <mergeCell ref="I97:I101"/>
    <mergeCell ref="J97:J101"/>
    <mergeCell ref="H51:H55"/>
    <mergeCell ref="I51:I55"/>
    <mergeCell ref="J51:J55"/>
  </mergeCells>
  <hyperlinks>
    <hyperlink ref="I30" r:id="rId1"/>
    <hyperlink ref="I32" r:id="rId2"/>
    <hyperlink ref="I33" r:id="rId3"/>
    <hyperlink ref="I39" r:id="rId4"/>
    <hyperlink ref="I59" r:id="rId5"/>
    <hyperlink ref="I60" r:id="rId6"/>
    <hyperlink ref="I61" r:id="rId7"/>
    <hyperlink ref="I64" r:id="rId8"/>
    <hyperlink ref="I65" r:id="rId9"/>
    <hyperlink ref="I66" r:id="rId10"/>
    <hyperlink ref="I67" r:id="rId11"/>
    <hyperlink ref="I69" r:id="rId12"/>
    <hyperlink ref="I103" r:id="rId13"/>
    <hyperlink ref="I104" r:id="rId14"/>
    <hyperlink ref="I105" r:id="rId15"/>
    <hyperlink ref="I106" r:id="rId16"/>
    <hyperlink ref="I108" r:id="rId1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S38"/>
  <sheetViews>
    <sheetView view="pageBreakPreview" zoomScaleNormal="100" zoomScaleSheetLayoutView="100" workbookViewId="0">
      <selection activeCell="F33" sqref="F33"/>
    </sheetView>
  </sheetViews>
  <sheetFormatPr defaultColWidth="9.140625" defaultRowHeight="15"/>
  <cols>
    <col min="1" max="5" width="9.140625" style="406"/>
    <col min="6" max="6" width="13.28515625" style="456" bestFit="1" customWidth="1"/>
    <col min="7" max="7" width="9.140625" style="406"/>
    <col min="8" max="8" width="39.7109375" style="406" bestFit="1" customWidth="1"/>
    <col min="9" max="9" width="11.85546875" style="465" bestFit="1" customWidth="1"/>
    <col min="10" max="10" width="9.28515625" style="465" bestFit="1" customWidth="1"/>
    <col min="11" max="11" width="15.85546875" style="406" bestFit="1" customWidth="1"/>
    <col min="12" max="12" width="15.42578125" style="406" customWidth="1"/>
    <col min="13" max="13" width="4.42578125" style="406" customWidth="1"/>
    <col min="14" max="18" width="9.140625" style="406"/>
    <col min="19" max="19" width="23.5703125" style="406" customWidth="1"/>
    <col min="20" max="20" width="15.85546875" style="406" bestFit="1" customWidth="1"/>
    <col min="21" max="21" width="14.85546875" style="406" customWidth="1"/>
    <col min="22" max="16384" width="9.140625" style="406"/>
  </cols>
  <sheetData>
    <row r="3" spans="1:19" ht="18.75">
      <c r="A3" s="923" t="s">
        <v>647</v>
      </c>
      <c r="B3" s="923"/>
      <c r="C3" s="923"/>
      <c r="D3" s="923"/>
      <c r="E3" s="923"/>
      <c r="F3" s="923"/>
      <c r="G3" s="923"/>
      <c r="H3" s="923"/>
      <c r="I3" s="923"/>
      <c r="J3" s="923"/>
      <c r="K3" s="410"/>
      <c r="L3" s="410"/>
      <c r="M3" s="410"/>
      <c r="N3" s="410"/>
      <c r="O3" s="410"/>
      <c r="P3" s="410"/>
      <c r="Q3" s="410"/>
      <c r="R3" s="410"/>
      <c r="S3" s="410"/>
    </row>
    <row r="23" spans="2:10" ht="15" customHeight="1">
      <c r="B23" s="411"/>
      <c r="C23" s="411"/>
      <c r="D23" s="411"/>
      <c r="E23" s="411"/>
      <c r="F23" s="457"/>
    </row>
    <row r="24" spans="2:10" ht="18.75" customHeight="1">
      <c r="B24" s="923" t="s">
        <v>631</v>
      </c>
      <c r="C24" s="923"/>
      <c r="D24" s="923"/>
      <c r="E24" s="923"/>
      <c r="F24" s="923"/>
      <c r="H24" s="924" t="s">
        <v>648</v>
      </c>
      <c r="I24" s="924"/>
      <c r="J24" s="924"/>
    </row>
    <row r="25" spans="2:10" ht="16.5" customHeight="1">
      <c r="B25" s="411"/>
      <c r="C25" s="411"/>
      <c r="D25" s="411"/>
      <c r="E25" s="411"/>
      <c r="F25" s="457"/>
      <c r="H25" s="407" t="s">
        <v>632</v>
      </c>
      <c r="I25" s="466">
        <f>'Tong muc dau tu'!E8/1000000000</f>
        <v>0</v>
      </c>
      <c r="J25" s="467"/>
    </row>
    <row r="26" spans="2:10" ht="16.5" customHeight="1">
      <c r="B26" s="411"/>
      <c r="C26" s="411"/>
      <c r="D26" s="411"/>
      <c r="E26" s="411"/>
      <c r="F26" s="457"/>
      <c r="H26" s="407" t="s">
        <v>633</v>
      </c>
      <c r="I26" s="466">
        <f>F36</f>
        <v>100</v>
      </c>
      <c r="J26" s="467">
        <v>0.81100000000000005</v>
      </c>
    </row>
    <row r="27" spans="2:10" ht="16.5" customHeight="1">
      <c r="B27" s="411"/>
      <c r="C27" s="411"/>
      <c r="D27" s="411"/>
      <c r="E27" s="411"/>
      <c r="F27" s="457"/>
      <c r="H27" s="407" t="s">
        <v>634</v>
      </c>
      <c r="I27" s="466">
        <f>F35</f>
        <v>200</v>
      </c>
      <c r="J27" s="467">
        <v>0.49</v>
      </c>
    </row>
    <row r="28" spans="2:10" ht="16.5" customHeight="1">
      <c r="B28" s="411"/>
      <c r="C28" s="411"/>
      <c r="D28" s="411"/>
      <c r="E28" s="411"/>
      <c r="F28" s="457"/>
      <c r="H28" s="408" t="s">
        <v>635</v>
      </c>
      <c r="I28" s="468"/>
      <c r="J28" s="468">
        <f>(J27-(J27-J26)*(I27-I25)/(I27-I26))%</f>
        <v>1.1320000000000002E-2</v>
      </c>
    </row>
    <row r="29" spans="2:10" ht="15" customHeight="1">
      <c r="B29" s="411"/>
      <c r="C29" s="411"/>
      <c r="D29" s="411"/>
      <c r="E29" s="411"/>
      <c r="F29" s="457"/>
    </row>
    <row r="30" spans="2:10" ht="15" customHeight="1">
      <c r="B30" s="411"/>
      <c r="C30" s="411"/>
      <c r="D30" s="411"/>
      <c r="E30" s="411"/>
      <c r="F30" s="457"/>
    </row>
    <row r="31" spans="2:10" ht="15" customHeight="1">
      <c r="B31" s="411"/>
      <c r="C31" s="411"/>
      <c r="D31" s="411"/>
      <c r="E31" s="411"/>
      <c r="F31" s="457"/>
    </row>
    <row r="32" spans="2:10" ht="15" customHeight="1">
      <c r="B32" s="412" t="s">
        <v>636</v>
      </c>
      <c r="C32" s="413"/>
      <c r="D32" s="413"/>
      <c r="E32" s="413"/>
      <c r="F32" s="458"/>
    </row>
    <row r="33" spans="2:7" ht="15" customHeight="1">
      <c r="B33" s="372" t="s">
        <v>637</v>
      </c>
      <c r="C33" s="920" t="s">
        <v>638</v>
      </c>
      <c r="D33" s="921"/>
      <c r="E33" s="922"/>
      <c r="F33" s="469" t="s">
        <v>318</v>
      </c>
    </row>
    <row r="34" spans="2:7">
      <c r="B34" s="372" t="s">
        <v>639</v>
      </c>
      <c r="C34" s="920" t="s">
        <v>640</v>
      </c>
      <c r="D34" s="921"/>
      <c r="E34" s="922"/>
      <c r="F34" s="470">
        <f>'Tong muc dau tu'!E8/1000000000</f>
        <v>0</v>
      </c>
      <c r="G34" s="409"/>
    </row>
    <row r="35" spans="2:7">
      <c r="B35" s="372" t="s">
        <v>641</v>
      </c>
      <c r="C35" s="920" t="s">
        <v>634</v>
      </c>
      <c r="D35" s="921"/>
      <c r="E35" s="922"/>
      <c r="F35" s="470">
        <v>200</v>
      </c>
    </row>
    <row r="36" spans="2:7" ht="15" customHeight="1">
      <c r="B36" s="372" t="s">
        <v>642</v>
      </c>
      <c r="C36" s="920" t="s">
        <v>633</v>
      </c>
      <c r="D36" s="921"/>
      <c r="E36" s="922"/>
      <c r="F36" s="470">
        <v>100</v>
      </c>
    </row>
    <row r="37" spans="2:7" ht="15" customHeight="1">
      <c r="B37" s="372" t="s">
        <v>643</v>
      </c>
      <c r="C37" s="920" t="s">
        <v>644</v>
      </c>
      <c r="D37" s="921"/>
      <c r="E37" s="922"/>
      <c r="F37" s="470">
        <v>0.49</v>
      </c>
    </row>
    <row r="38" spans="2:7">
      <c r="B38" s="372" t="s">
        <v>645</v>
      </c>
      <c r="C38" s="920" t="s">
        <v>646</v>
      </c>
      <c r="D38" s="921"/>
      <c r="E38" s="922"/>
      <c r="F38" s="470">
        <v>0.42199999999999999</v>
      </c>
    </row>
  </sheetData>
  <mergeCells count="9">
    <mergeCell ref="C36:E36"/>
    <mergeCell ref="C37:E37"/>
    <mergeCell ref="C38:E38"/>
    <mergeCell ref="A3:J3"/>
    <mergeCell ref="B24:F24"/>
    <mergeCell ref="H24:J24"/>
    <mergeCell ref="C33:E33"/>
    <mergeCell ref="C34:E34"/>
    <mergeCell ref="C35:E35"/>
  </mergeCells>
  <pageMargins left="0.7" right="0.7" top="0.75" bottom="0.75" header="0.3" footer="0.3"/>
  <pageSetup scale="88" orientation="landscape"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V19"/>
  <sheetViews>
    <sheetView zoomScale="70" zoomScaleNormal="70" zoomScaleSheetLayoutView="70" workbookViewId="0">
      <selection activeCell="A4" sqref="A4:J4"/>
    </sheetView>
  </sheetViews>
  <sheetFormatPr defaultColWidth="9.140625" defaultRowHeight="16.5"/>
  <cols>
    <col min="1" max="1" width="7.28515625" style="463" customWidth="1"/>
    <col min="2" max="2" width="49.28515625" style="442" customWidth="1"/>
    <col min="3" max="3" width="13.85546875" style="438" customWidth="1"/>
    <col min="4" max="4" width="12.140625" style="475" customWidth="1"/>
    <col min="5" max="5" width="20" style="442" bestFit="1" customWidth="1"/>
    <col min="6" max="6" width="21.42578125" style="442" customWidth="1"/>
    <col min="7" max="7" width="8.85546875" style="439" customWidth="1"/>
    <col min="8" max="8" width="18.140625" style="439" customWidth="1"/>
    <col min="9" max="9" width="22.85546875" style="440" bestFit="1" customWidth="1"/>
    <col min="10" max="10" width="87" style="463" customWidth="1"/>
    <col min="11" max="11" width="39.140625" style="442" customWidth="1"/>
    <col min="12" max="13" width="15.85546875" style="442" customWidth="1"/>
    <col min="14" max="14" width="15.85546875" style="442" bestFit="1" customWidth="1"/>
    <col min="15" max="15" width="26.42578125" style="442" customWidth="1"/>
    <col min="16" max="16" width="13.5703125" style="442" bestFit="1" customWidth="1"/>
    <col min="17" max="16384" width="9.140625" style="442"/>
  </cols>
  <sheetData>
    <row r="1" spans="1:22" s="699" customFormat="1">
      <c r="A1" s="925"/>
      <c r="B1" s="925"/>
      <c r="C1" s="925"/>
      <c r="D1" s="925"/>
      <c r="E1" s="925"/>
      <c r="F1" s="925"/>
      <c r="G1" s="925"/>
      <c r="H1" s="925"/>
      <c r="I1" s="925"/>
      <c r="J1" s="925"/>
      <c r="K1" s="436"/>
      <c r="L1" s="436"/>
      <c r="M1" s="436"/>
      <c r="N1" s="436"/>
      <c r="O1" s="436"/>
    </row>
    <row r="2" spans="1:22" s="699" customFormat="1">
      <c r="A2" s="926" t="s">
        <v>700</v>
      </c>
      <c r="B2" s="926"/>
      <c r="C2" s="926"/>
      <c r="D2" s="926"/>
      <c r="E2" s="926"/>
      <c r="F2" s="926"/>
      <c r="G2" s="926"/>
      <c r="H2" s="926"/>
      <c r="I2" s="926"/>
      <c r="J2" s="926"/>
    </row>
    <row r="3" spans="1:22" s="436" customFormat="1">
      <c r="A3" s="925" t="s">
        <v>677</v>
      </c>
      <c r="B3" s="925"/>
      <c r="C3" s="925"/>
      <c r="D3" s="925"/>
      <c r="E3" s="925"/>
      <c r="F3" s="925"/>
      <c r="G3" s="925"/>
      <c r="H3" s="925"/>
      <c r="I3" s="925"/>
      <c r="J3" s="925"/>
    </row>
    <row r="4" spans="1:22" s="699" customFormat="1" ht="55.5" customHeight="1">
      <c r="A4" s="927" t="s">
        <v>836</v>
      </c>
      <c r="B4" s="926"/>
      <c r="C4" s="926"/>
      <c r="D4" s="926"/>
      <c r="E4" s="926"/>
      <c r="F4" s="926"/>
      <c r="G4" s="926"/>
      <c r="H4" s="926"/>
      <c r="I4" s="926"/>
      <c r="J4" s="926"/>
    </row>
    <row r="5" spans="1:22" s="699" customFormat="1">
      <c r="A5" s="928"/>
      <c r="B5" s="928"/>
      <c r="C5" s="928"/>
      <c r="D5" s="928"/>
      <c r="E5" s="928"/>
      <c r="F5" s="928"/>
      <c r="G5" s="928"/>
      <c r="H5" s="928"/>
      <c r="I5" s="928"/>
      <c r="J5" s="928"/>
      <c r="K5" s="436"/>
      <c r="L5" s="436"/>
      <c r="M5" s="436"/>
      <c r="N5" s="436"/>
      <c r="O5" s="436"/>
    </row>
    <row r="6" spans="1:22" s="437" customFormat="1">
      <c r="A6" s="461"/>
      <c r="C6" s="438"/>
      <c r="D6" s="473"/>
      <c r="E6" s="438"/>
      <c r="F6" s="438"/>
      <c r="G6" s="439"/>
      <c r="H6" s="439"/>
      <c r="I6" s="440"/>
      <c r="J6" s="455" t="s">
        <v>706</v>
      </c>
    </row>
    <row r="7" spans="1:22" ht="87.75" customHeight="1">
      <c r="A7" s="509" t="s">
        <v>399</v>
      </c>
      <c r="B7" s="441" t="s">
        <v>678</v>
      </c>
      <c r="C7" s="441" t="s">
        <v>679</v>
      </c>
      <c r="D7" s="474" t="s">
        <v>8</v>
      </c>
      <c r="E7" s="441" t="s">
        <v>336</v>
      </c>
      <c r="F7" s="693" t="s">
        <v>689</v>
      </c>
      <c r="G7" s="694" t="s">
        <v>791</v>
      </c>
      <c r="H7" s="694" t="s">
        <v>690</v>
      </c>
      <c r="I7" s="693" t="s">
        <v>691</v>
      </c>
      <c r="J7" s="462" t="s">
        <v>404</v>
      </c>
    </row>
    <row r="8" spans="1:22">
      <c r="A8" s="509">
        <v>1</v>
      </c>
      <c r="B8" s="510" t="s">
        <v>692</v>
      </c>
      <c r="C8" s="443" t="s">
        <v>681</v>
      </c>
      <c r="D8" s="474">
        <v>1</v>
      </c>
      <c r="E8" s="721"/>
      <c r="F8" s="721"/>
      <c r="G8" s="721"/>
      <c r="H8" s="721"/>
      <c r="I8" s="721"/>
      <c r="J8" s="511"/>
    </row>
    <row r="9" spans="1:22" s="445" customFormat="1" ht="69.75" customHeight="1">
      <c r="A9" s="722">
        <v>2</v>
      </c>
      <c r="B9" s="444" t="s">
        <v>682</v>
      </c>
      <c r="C9" s="443" t="s">
        <v>681</v>
      </c>
      <c r="D9" s="474">
        <v>1</v>
      </c>
      <c r="E9" s="721"/>
      <c r="F9" s="721"/>
      <c r="G9" s="721"/>
      <c r="H9" s="721"/>
      <c r="I9" s="721"/>
      <c r="J9" s="512"/>
    </row>
    <row r="10" spans="1:22" s="447" customFormat="1" ht="59.25" customHeight="1">
      <c r="A10" s="509">
        <v>3</v>
      </c>
      <c r="B10" s="444" t="s">
        <v>683</v>
      </c>
      <c r="C10" s="443" t="s">
        <v>681</v>
      </c>
      <c r="D10" s="474">
        <v>1</v>
      </c>
      <c r="E10" s="721"/>
      <c r="F10" s="721"/>
      <c r="G10" s="721"/>
      <c r="H10" s="721"/>
      <c r="I10" s="721"/>
      <c r="J10" s="512"/>
      <c r="K10" s="446"/>
      <c r="L10" s="446"/>
      <c r="M10" s="446"/>
      <c r="N10" s="446"/>
      <c r="O10" s="446"/>
      <c r="P10" s="446"/>
      <c r="Q10" s="446"/>
      <c r="R10" s="446"/>
      <c r="S10" s="446"/>
      <c r="T10" s="446"/>
      <c r="U10" s="446"/>
      <c r="V10" s="446"/>
    </row>
    <row r="11" spans="1:22" s="445" customFormat="1">
      <c r="A11" s="689"/>
      <c r="B11" s="690" t="s">
        <v>788</v>
      </c>
      <c r="C11" s="691"/>
      <c r="D11" s="692"/>
      <c r="E11" s="721"/>
      <c r="F11" s="721"/>
      <c r="G11" s="721"/>
      <c r="H11" s="721"/>
      <c r="I11" s="721"/>
      <c r="J11" s="689"/>
    </row>
    <row r="12" spans="1:22">
      <c r="A12" s="464"/>
      <c r="E12" s="696"/>
      <c r="F12" s="696"/>
      <c r="G12" s="697"/>
      <c r="H12" s="697"/>
      <c r="I12" s="698"/>
    </row>
    <row r="13" spans="1:22">
      <c r="J13" s="700"/>
    </row>
    <row r="17" spans="3:9">
      <c r="C17" s="442"/>
      <c r="G17" s="442"/>
      <c r="H17" s="442"/>
      <c r="I17" s="442"/>
    </row>
    <row r="18" spans="3:9">
      <c r="C18" s="442"/>
      <c r="G18" s="442"/>
      <c r="H18" s="442"/>
      <c r="I18" s="442"/>
    </row>
    <row r="19" spans="3:9">
      <c r="C19" s="442"/>
      <c r="G19" s="442"/>
      <c r="H19" s="442"/>
      <c r="I19" s="442"/>
    </row>
  </sheetData>
  <sheetProtection selectLockedCells="1" selectUnlockedCells="1"/>
  <mergeCells count="5">
    <mergeCell ref="A1:J1"/>
    <mergeCell ref="A2:J2"/>
    <mergeCell ref="A3:J3"/>
    <mergeCell ref="A4:J4"/>
    <mergeCell ref="A5:J5"/>
  </mergeCells>
  <pageMargins left="0.8" right="0.2" top="0.50972222222222197" bottom="0.52" header="0.26180555599999999" footer="0.28999999999999998"/>
  <pageSetup paperSize="9" scale="44" firstPageNumber="0" fitToHeight="0" orientation="landscape"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2:G42"/>
  <sheetViews>
    <sheetView view="pageBreakPreview" zoomScaleNormal="100" zoomScaleSheetLayoutView="100" workbookViewId="0">
      <selection activeCell="D22" sqref="D22"/>
    </sheetView>
  </sheetViews>
  <sheetFormatPr defaultColWidth="9.140625" defaultRowHeight="12.75"/>
  <cols>
    <col min="1" max="1" width="9.140625" style="414"/>
    <col min="2" max="2" width="22.7109375" style="414" bestFit="1" customWidth="1"/>
    <col min="3" max="3" width="38.7109375" style="414" customWidth="1"/>
    <col min="4" max="4" width="21.5703125" style="414" bestFit="1" customWidth="1"/>
    <col min="5" max="5" width="14" style="459" customWidth="1"/>
    <col min="6" max="6" width="8.28515625" style="414" bestFit="1" customWidth="1"/>
    <col min="7" max="7" width="66.140625" style="414" customWidth="1"/>
    <col min="8" max="16384" width="9.140625" style="414"/>
  </cols>
  <sheetData>
    <row r="2" spans="1:7">
      <c r="E2" s="490"/>
    </row>
    <row r="3" spans="1:7">
      <c r="B3" s="415" t="s">
        <v>322</v>
      </c>
      <c r="C3" s="416" t="s">
        <v>649</v>
      </c>
      <c r="D3" s="417"/>
      <c r="E3" s="491"/>
      <c r="F3" s="417"/>
    </row>
    <row r="4" spans="1:7">
      <c r="C4" s="417"/>
      <c r="D4" s="417"/>
      <c r="E4" s="491"/>
      <c r="F4" s="417"/>
    </row>
    <row r="5" spans="1:7">
      <c r="C5" s="417" t="s">
        <v>785</v>
      </c>
      <c r="D5" s="417" t="s">
        <v>650</v>
      </c>
      <c r="E5" s="730">
        <f>'Tong muc dau tu'!H17/1000000000</f>
        <v>0</v>
      </c>
      <c r="F5" s="417" t="s">
        <v>651</v>
      </c>
      <c r="G5" s="514"/>
    </row>
    <row r="6" spans="1:7">
      <c r="C6" s="417" t="s">
        <v>652</v>
      </c>
      <c r="D6" s="417" t="s">
        <v>653</v>
      </c>
      <c r="E6" s="695">
        <v>0.45</v>
      </c>
      <c r="F6" s="417"/>
    </row>
    <row r="7" spans="1:7">
      <c r="C7" s="417" t="s">
        <v>654</v>
      </c>
      <c r="D7" s="417" t="s">
        <v>655</v>
      </c>
      <c r="E7" s="695">
        <v>0.64500000000000002</v>
      </c>
      <c r="F7" s="417"/>
    </row>
    <row r="8" spans="1:7">
      <c r="C8" s="417" t="s">
        <v>656</v>
      </c>
      <c r="D8" s="417" t="s">
        <v>657</v>
      </c>
      <c r="E8" s="491">
        <v>50</v>
      </c>
      <c r="F8" s="417"/>
    </row>
    <row r="9" spans="1:7">
      <c r="C9" s="417" t="s">
        <v>658</v>
      </c>
      <c r="D9" s="417" t="s">
        <v>659</v>
      </c>
      <c r="E9" s="491">
        <v>10</v>
      </c>
      <c r="F9" s="417"/>
    </row>
    <row r="10" spans="1:7">
      <c r="B10" s="414" t="s">
        <v>660</v>
      </c>
      <c r="C10" s="417" t="s">
        <v>661</v>
      </c>
      <c r="D10" s="417" t="s">
        <v>662</v>
      </c>
      <c r="E10" s="730">
        <f>E7-E6</f>
        <v>0.19500000000000001</v>
      </c>
      <c r="F10" s="417"/>
    </row>
    <row r="11" spans="1:7">
      <c r="C11" s="417" t="s">
        <v>663</v>
      </c>
      <c r="D11" s="417" t="s">
        <v>664</v>
      </c>
      <c r="E11" s="730">
        <f>E5-E9</f>
        <v>-10</v>
      </c>
      <c r="F11" s="417"/>
    </row>
    <row r="12" spans="1:7">
      <c r="C12" s="417" t="s">
        <v>665</v>
      </c>
      <c r="D12" s="417" t="s">
        <v>666</v>
      </c>
      <c r="E12" s="730">
        <f>E8-E9</f>
        <v>40</v>
      </c>
      <c r="F12" s="417"/>
    </row>
    <row r="13" spans="1:7">
      <c r="C13" s="417" t="s">
        <v>667</v>
      </c>
      <c r="D13" s="417" t="s">
        <v>667</v>
      </c>
      <c r="E13" s="730">
        <f>(E10*E11)/E12</f>
        <v>-4.8750000000000002E-2</v>
      </c>
      <c r="F13" s="417"/>
    </row>
    <row r="14" spans="1:7">
      <c r="C14" s="417" t="s">
        <v>668</v>
      </c>
      <c r="D14" s="417" t="s">
        <v>668</v>
      </c>
      <c r="E14" s="730">
        <f>E7-E13</f>
        <v>0.69374999999999998</v>
      </c>
      <c r="F14" s="417" t="s">
        <v>669</v>
      </c>
    </row>
    <row r="15" spans="1:7">
      <c r="C15" s="417" t="s">
        <v>670</v>
      </c>
      <c r="D15" s="417"/>
      <c r="E15" s="730">
        <f>E14*E5/100</f>
        <v>0</v>
      </c>
      <c r="F15" s="417" t="s">
        <v>651</v>
      </c>
    </row>
    <row r="16" spans="1:7">
      <c r="C16" s="417"/>
      <c r="D16" s="417"/>
      <c r="E16" s="491"/>
      <c r="F16" s="417"/>
    </row>
    <row r="17" spans="2:7">
      <c r="C17" s="417" t="s">
        <v>802</v>
      </c>
      <c r="D17" s="417"/>
      <c r="E17" s="730">
        <f>SUM(E15:E16)</f>
        <v>0</v>
      </c>
      <c r="F17" s="417"/>
    </row>
    <row r="18" spans="2:7">
      <c r="C18" s="417" t="s">
        <v>792</v>
      </c>
      <c r="D18" s="417"/>
      <c r="E18" s="730">
        <f>0.7*E15</f>
        <v>0</v>
      </c>
      <c r="F18" s="417" t="s">
        <v>651</v>
      </c>
    </row>
    <row r="19" spans="2:7">
      <c r="C19" s="417" t="s">
        <v>803</v>
      </c>
      <c r="D19" s="417"/>
      <c r="E19" s="731">
        <f>0.7*E17</f>
        <v>0</v>
      </c>
      <c r="F19" s="417" t="s">
        <v>651</v>
      </c>
    </row>
    <row r="20" spans="2:7">
      <c r="E20" s="732">
        <f>E14/100*0.7*'Tong muc dau tu'!G19</f>
        <v>0</v>
      </c>
    </row>
    <row r="21" spans="2:7">
      <c r="E21" s="492"/>
    </row>
    <row r="22" spans="2:7">
      <c r="E22" s="492"/>
    </row>
    <row r="23" spans="2:7">
      <c r="E23" s="492"/>
    </row>
    <row r="24" spans="2:7">
      <c r="B24" s="415"/>
      <c r="E24" s="492"/>
    </row>
    <row r="25" spans="2:7">
      <c r="E25" s="492"/>
    </row>
    <row r="26" spans="2:7">
      <c r="B26" s="415" t="s">
        <v>322</v>
      </c>
      <c r="C26" s="416" t="s">
        <v>671</v>
      </c>
      <c r="D26" s="417"/>
      <c r="E26" s="491"/>
      <c r="F26" s="417"/>
    </row>
    <row r="27" spans="2:7">
      <c r="C27" s="417"/>
      <c r="D27" s="417"/>
      <c r="E27" s="491"/>
      <c r="F27" s="417"/>
    </row>
    <row r="28" spans="2:7">
      <c r="C28" s="417" t="s">
        <v>785</v>
      </c>
      <c r="D28" s="417" t="s">
        <v>650</v>
      </c>
      <c r="E28" s="730">
        <f>E5</f>
        <v>0</v>
      </c>
      <c r="F28" s="417" t="s">
        <v>651</v>
      </c>
      <c r="G28" s="418"/>
    </row>
    <row r="29" spans="2:7">
      <c r="C29" s="417" t="s">
        <v>672</v>
      </c>
      <c r="D29" s="417" t="s">
        <v>653</v>
      </c>
      <c r="E29" s="695">
        <v>0.28499999999999998</v>
      </c>
      <c r="F29" s="417"/>
    </row>
    <row r="30" spans="2:7">
      <c r="C30" s="417" t="s">
        <v>673</v>
      </c>
      <c r="D30" s="417" t="s">
        <v>655</v>
      </c>
      <c r="E30" s="695">
        <v>0.39</v>
      </c>
      <c r="F30" s="417"/>
    </row>
    <row r="31" spans="2:7">
      <c r="C31" s="417" t="s">
        <v>656</v>
      </c>
      <c r="D31" s="417" t="s">
        <v>657</v>
      </c>
      <c r="E31" s="730">
        <f>E8</f>
        <v>50</v>
      </c>
      <c r="F31" s="417"/>
    </row>
    <row r="32" spans="2:7">
      <c r="C32" s="417" t="s">
        <v>658</v>
      </c>
      <c r="D32" s="417" t="s">
        <v>659</v>
      </c>
      <c r="E32" s="730">
        <f>E9</f>
        <v>10</v>
      </c>
      <c r="F32" s="417"/>
    </row>
    <row r="33" spans="2:6">
      <c r="B33" s="414" t="s">
        <v>660</v>
      </c>
      <c r="C33" s="417" t="s">
        <v>661</v>
      </c>
      <c r="D33" s="417" t="s">
        <v>662</v>
      </c>
      <c r="E33" s="730">
        <f>E30-E29</f>
        <v>0.10500000000000004</v>
      </c>
      <c r="F33" s="417"/>
    </row>
    <row r="34" spans="2:6">
      <c r="C34" s="417" t="s">
        <v>663</v>
      </c>
      <c r="D34" s="417" t="s">
        <v>664</v>
      </c>
      <c r="E34" s="730">
        <f>E28-E32</f>
        <v>-10</v>
      </c>
      <c r="F34" s="417"/>
    </row>
    <row r="35" spans="2:6">
      <c r="C35" s="417" t="s">
        <v>665</v>
      </c>
      <c r="D35" s="417" t="s">
        <v>666</v>
      </c>
      <c r="E35" s="730">
        <f>E31-E32</f>
        <v>40</v>
      </c>
      <c r="F35" s="417"/>
    </row>
    <row r="36" spans="2:6">
      <c r="C36" s="417" t="s">
        <v>667</v>
      </c>
      <c r="D36" s="417" t="s">
        <v>667</v>
      </c>
      <c r="E36" s="730">
        <f>(E33*E34)/E35</f>
        <v>-2.6250000000000006E-2</v>
      </c>
      <c r="F36" s="417"/>
    </row>
    <row r="37" spans="2:6">
      <c r="C37" s="417" t="s">
        <v>668</v>
      </c>
      <c r="D37" s="417" t="s">
        <v>668</v>
      </c>
      <c r="E37" s="730">
        <f>E30-E36</f>
        <v>0.41625000000000001</v>
      </c>
      <c r="F37" s="417"/>
    </row>
    <row r="38" spans="2:6">
      <c r="C38" s="417" t="s">
        <v>674</v>
      </c>
      <c r="D38" s="417"/>
      <c r="E38" s="730">
        <f>E37*E28/100</f>
        <v>0</v>
      </c>
      <c r="F38" s="417" t="s">
        <v>651</v>
      </c>
    </row>
    <row r="39" spans="2:6">
      <c r="C39" s="417" t="s">
        <v>792</v>
      </c>
      <c r="D39" s="417"/>
      <c r="E39" s="491">
        <v>0.7</v>
      </c>
      <c r="F39" s="417"/>
    </row>
    <row r="40" spans="2:6" ht="25.5">
      <c r="C40" s="513" t="s">
        <v>793</v>
      </c>
      <c r="D40" s="417"/>
      <c r="E40" s="491">
        <v>0.5</v>
      </c>
      <c r="F40" s="417"/>
    </row>
    <row r="41" spans="2:6">
      <c r="C41" s="417" t="s">
        <v>675</v>
      </c>
      <c r="D41" s="417"/>
      <c r="E41" s="730">
        <f>E38*E39*E40</f>
        <v>0</v>
      </c>
      <c r="F41" s="417" t="s">
        <v>651</v>
      </c>
    </row>
    <row r="42" spans="2:6">
      <c r="C42" s="417" t="s">
        <v>676</v>
      </c>
      <c r="D42" s="417"/>
      <c r="E42" s="731">
        <f>E41</f>
        <v>0</v>
      </c>
      <c r="F42" s="417"/>
    </row>
  </sheetData>
  <pageMargins left="0.7" right="0.7" top="0.75" bottom="0.75" header="0.3" footer="0.3"/>
  <pageSetup scale="65" orientation="landscape"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9:O47"/>
  <sheetViews>
    <sheetView view="pageBreakPreview" topLeftCell="A19" zoomScaleNormal="100" zoomScaleSheetLayoutView="100" workbookViewId="0">
      <selection activeCell="H32" sqref="H32:L32"/>
    </sheetView>
  </sheetViews>
  <sheetFormatPr defaultRowHeight="15"/>
  <cols>
    <col min="1" max="2" width="9.140625" style="703"/>
    <col min="3" max="5" width="9.28515625" style="703" bestFit="1" customWidth="1"/>
    <col min="6" max="6" width="13.140625" style="703" bestFit="1" customWidth="1"/>
    <col min="7" max="13" width="9.28515625" style="703" bestFit="1" customWidth="1"/>
    <col min="14" max="14" width="9.85546875" style="703" bestFit="1" customWidth="1"/>
    <col min="15" max="16384" width="9.140625" style="703"/>
  </cols>
  <sheetData>
    <row r="29" spans="2:14">
      <c r="B29" s="704"/>
      <c r="C29" s="704"/>
      <c r="D29" s="704"/>
      <c r="E29" s="704"/>
      <c r="F29" s="704"/>
      <c r="G29" s="704"/>
      <c r="H29" s="704"/>
      <c r="I29" s="704"/>
      <c r="J29" s="704"/>
      <c r="K29" s="704"/>
      <c r="L29" s="704"/>
      <c r="M29" s="704"/>
      <c r="N29" s="704"/>
    </row>
    <row r="30" spans="2:14">
      <c r="B30" s="704"/>
      <c r="C30" s="704"/>
      <c r="D30" s="704"/>
      <c r="E30" s="704"/>
      <c r="F30" s="704"/>
      <c r="G30" s="705"/>
      <c r="H30" s="705"/>
      <c r="I30" s="705"/>
      <c r="J30" s="705"/>
      <c r="K30" s="704"/>
      <c r="L30" s="704"/>
      <c r="M30" s="704"/>
      <c r="N30" s="704"/>
    </row>
    <row r="31" spans="2:14" ht="74.25" customHeight="1">
      <c r="B31" s="932" t="s">
        <v>631</v>
      </c>
      <c r="C31" s="932"/>
      <c r="D31" s="932"/>
      <c r="E31" s="932"/>
      <c r="F31" s="932"/>
      <c r="G31" s="705"/>
      <c r="H31" s="933" t="s">
        <v>824</v>
      </c>
      <c r="I31" s="934"/>
      <c r="J31" s="934"/>
      <c r="K31" s="934"/>
      <c r="L31" s="934"/>
      <c r="M31" s="934"/>
      <c r="N31" s="935"/>
    </row>
    <row r="32" spans="2:14" ht="17.25" thickBot="1">
      <c r="B32" s="706"/>
      <c r="C32" s="706"/>
      <c r="D32" s="706"/>
      <c r="E32" s="706"/>
      <c r="F32" s="706"/>
      <c r="G32" s="705"/>
      <c r="H32" s="929" t="s">
        <v>632</v>
      </c>
      <c r="I32" s="930"/>
      <c r="J32" s="930"/>
      <c r="K32" s="930"/>
      <c r="L32" s="931"/>
      <c r="M32" s="707">
        <f>F41</f>
        <v>0</v>
      </c>
      <c r="N32" s="707"/>
    </row>
    <row r="33" spans="2:15" ht="17.25" thickBot="1">
      <c r="B33" s="706"/>
      <c r="C33" s="706"/>
      <c r="D33" s="706"/>
      <c r="E33" s="706"/>
      <c r="F33" s="706"/>
      <c r="G33" s="705"/>
      <c r="H33" s="929" t="s">
        <v>633</v>
      </c>
      <c r="I33" s="930"/>
      <c r="J33" s="930"/>
      <c r="K33" s="930"/>
      <c r="L33" s="931"/>
      <c r="M33" s="725">
        <v>20</v>
      </c>
      <c r="N33" s="707">
        <f>F45</f>
        <v>2.4609999999999999</v>
      </c>
    </row>
    <row r="34" spans="2:15" ht="16.5">
      <c r="B34" s="706"/>
      <c r="C34" s="706"/>
      <c r="D34" s="706"/>
      <c r="E34" s="706"/>
      <c r="F34" s="706"/>
      <c r="G34" s="705"/>
      <c r="H34" s="937" t="s">
        <v>634</v>
      </c>
      <c r="I34" s="938"/>
      <c r="J34" s="938"/>
      <c r="K34" s="938"/>
      <c r="L34" s="939"/>
      <c r="M34" s="726">
        <f>F42</f>
        <v>50</v>
      </c>
      <c r="N34" s="727">
        <f>F44</f>
        <v>2.198</v>
      </c>
    </row>
    <row r="35" spans="2:15" ht="16.5">
      <c r="B35" s="706"/>
      <c r="C35" s="706"/>
      <c r="D35" s="706"/>
      <c r="E35" s="706"/>
      <c r="F35" s="706"/>
      <c r="G35" s="705"/>
      <c r="H35" s="940" t="s">
        <v>776</v>
      </c>
      <c r="I35" s="940"/>
      <c r="J35" s="940"/>
      <c r="K35" s="940"/>
      <c r="L35" s="940"/>
      <c r="M35" s="940"/>
      <c r="N35" s="708">
        <f>(N34-(N34-N33)*(M34-M32)/(M34-M33))%</f>
        <v>2.6363333333333329E-2</v>
      </c>
    </row>
    <row r="36" spans="2:15" ht="16.5">
      <c r="B36" s="706"/>
      <c r="C36" s="706"/>
      <c r="D36" s="706"/>
      <c r="E36" s="706"/>
      <c r="F36" s="706"/>
      <c r="G36" s="705"/>
      <c r="H36" s="709" t="s">
        <v>825</v>
      </c>
      <c r="I36" s="709"/>
      <c r="J36" s="709"/>
      <c r="K36" s="709"/>
      <c r="L36" s="709"/>
      <c r="M36" s="710"/>
      <c r="N36" s="711">
        <f>0.8*0.8</f>
        <v>0.64000000000000012</v>
      </c>
    </row>
    <row r="37" spans="2:15" ht="16.5">
      <c r="B37" s="706"/>
      <c r="C37" s="706"/>
      <c r="D37" s="706"/>
      <c r="E37" s="706"/>
      <c r="F37" s="706"/>
      <c r="G37" s="705"/>
      <c r="H37" s="712" t="s">
        <v>775</v>
      </c>
      <c r="I37" s="712"/>
      <c r="J37" s="712"/>
      <c r="K37" s="712"/>
      <c r="L37" s="712"/>
      <c r="M37" s="712"/>
      <c r="N37" s="713">
        <f>N35*N36</f>
        <v>1.6872533333333335E-2</v>
      </c>
    </row>
    <row r="38" spans="2:15">
      <c r="B38" s="706"/>
      <c r="C38" s="706"/>
      <c r="D38" s="706"/>
      <c r="E38" s="706"/>
      <c r="F38" s="706"/>
      <c r="G38" s="705"/>
      <c r="H38" s="705"/>
      <c r="I38" s="705"/>
      <c r="J38" s="705"/>
      <c r="K38" s="704"/>
      <c r="L38" s="704"/>
      <c r="M38" s="704"/>
      <c r="N38" s="704"/>
    </row>
    <row r="39" spans="2:15" ht="15" customHeight="1">
      <c r="B39" s="714" t="s">
        <v>636</v>
      </c>
      <c r="C39" s="714"/>
      <c r="D39" s="714"/>
      <c r="E39" s="714"/>
      <c r="F39" s="714"/>
      <c r="G39" s="705"/>
      <c r="H39" s="705" t="s">
        <v>827</v>
      </c>
      <c r="I39" s="705"/>
      <c r="J39" s="705"/>
      <c r="K39" s="705"/>
      <c r="L39" s="705"/>
      <c r="M39" s="705"/>
      <c r="N39" s="705"/>
      <c r="O39" s="705"/>
    </row>
    <row r="40" spans="2:15">
      <c r="B40" s="715" t="s">
        <v>794</v>
      </c>
      <c r="C40" s="936" t="s">
        <v>638</v>
      </c>
      <c r="D40" s="936"/>
      <c r="E40" s="936"/>
      <c r="F40" s="716" t="s">
        <v>318</v>
      </c>
      <c r="G40" s="705"/>
      <c r="H40" s="736" t="s">
        <v>826</v>
      </c>
      <c r="I40" s="705"/>
      <c r="J40" s="705"/>
      <c r="K40" s="705"/>
      <c r="L40" s="705"/>
      <c r="M40" s="705"/>
      <c r="N40" s="705"/>
      <c r="O40" s="705"/>
    </row>
    <row r="41" spans="2:15" ht="16.5" thickBot="1">
      <c r="B41" s="715" t="s">
        <v>795</v>
      </c>
      <c r="C41" s="936" t="s">
        <v>640</v>
      </c>
      <c r="D41" s="936"/>
      <c r="E41" s="936"/>
      <c r="F41" s="707">
        <f>'Tong muc dau tu'!E8/1000000000</f>
        <v>0</v>
      </c>
      <c r="G41" s="717"/>
      <c r="H41" s="705"/>
      <c r="I41" s="705"/>
      <c r="J41" s="705"/>
      <c r="K41" s="705"/>
      <c r="L41" s="705"/>
      <c r="M41" s="705"/>
      <c r="N41" s="705"/>
      <c r="O41" s="705"/>
    </row>
    <row r="42" spans="2:15" ht="16.5" thickBot="1">
      <c r="B42" s="715" t="s">
        <v>796</v>
      </c>
      <c r="C42" s="936" t="s">
        <v>634</v>
      </c>
      <c r="D42" s="936"/>
      <c r="E42" s="936"/>
      <c r="F42" s="701">
        <v>50</v>
      </c>
      <c r="G42" s="705"/>
      <c r="H42" s="705"/>
      <c r="I42" s="705"/>
      <c r="J42" s="705"/>
      <c r="K42" s="705"/>
      <c r="L42" s="705"/>
      <c r="M42" s="705"/>
      <c r="N42" s="705"/>
      <c r="O42" s="705"/>
    </row>
    <row r="43" spans="2:15" ht="16.5" thickBot="1">
      <c r="B43" s="715" t="s">
        <v>797</v>
      </c>
      <c r="C43" s="936" t="s">
        <v>633</v>
      </c>
      <c r="D43" s="936"/>
      <c r="E43" s="936"/>
      <c r="F43" s="701">
        <v>20</v>
      </c>
      <c r="G43" s="705"/>
      <c r="H43" s="705"/>
      <c r="I43" s="705"/>
      <c r="J43" s="705"/>
      <c r="K43" s="705"/>
      <c r="L43" s="705"/>
      <c r="M43" s="705"/>
      <c r="N43" s="705"/>
      <c r="O43" s="705"/>
    </row>
    <row r="44" spans="2:15" ht="16.5" thickBot="1">
      <c r="B44" s="715" t="s">
        <v>798</v>
      </c>
      <c r="C44" s="936" t="s">
        <v>799</v>
      </c>
      <c r="D44" s="936"/>
      <c r="E44" s="936"/>
      <c r="F44" s="702">
        <v>2.198</v>
      </c>
      <c r="G44" s="705" t="s">
        <v>823</v>
      </c>
      <c r="H44" s="705"/>
      <c r="I44" s="705"/>
      <c r="J44" s="705"/>
      <c r="K44" s="705"/>
      <c r="L44" s="705"/>
      <c r="M44" s="705"/>
      <c r="N44" s="705"/>
      <c r="O44" s="705"/>
    </row>
    <row r="45" spans="2:15" ht="16.5" thickBot="1">
      <c r="B45" s="715" t="s">
        <v>800</v>
      </c>
      <c r="C45" s="936" t="s">
        <v>801</v>
      </c>
      <c r="D45" s="936"/>
      <c r="E45" s="936"/>
      <c r="F45" s="702">
        <v>2.4609999999999999</v>
      </c>
      <c r="G45" s="705"/>
      <c r="H45" s="705"/>
      <c r="I45" s="705"/>
      <c r="J45" s="705"/>
      <c r="K45" s="705"/>
      <c r="L45" s="705"/>
      <c r="M45" s="705"/>
      <c r="N45" s="705"/>
      <c r="O45" s="705"/>
    </row>
    <row r="46" spans="2:15">
      <c r="B46" s="718"/>
      <c r="C46" s="718"/>
      <c r="D46" s="718"/>
      <c r="E46" s="718"/>
      <c r="F46" s="718"/>
      <c r="G46" s="718"/>
      <c r="H46" s="718"/>
      <c r="I46" s="718"/>
      <c r="J46" s="718"/>
    </row>
    <row r="47" spans="2:15">
      <c r="B47" s="718"/>
      <c r="C47" s="718"/>
      <c r="D47" s="718"/>
      <c r="E47" s="718"/>
      <c r="F47" s="718"/>
      <c r="G47" s="718"/>
      <c r="H47" s="718"/>
      <c r="I47" s="718"/>
      <c r="J47" s="718"/>
    </row>
  </sheetData>
  <mergeCells count="12">
    <mergeCell ref="C45:E45"/>
    <mergeCell ref="H33:L33"/>
    <mergeCell ref="H34:L34"/>
    <mergeCell ref="H35:M35"/>
    <mergeCell ref="C40:E40"/>
    <mergeCell ref="C41:E41"/>
    <mergeCell ref="C42:E42"/>
    <mergeCell ref="H32:L32"/>
    <mergeCell ref="B31:F31"/>
    <mergeCell ref="H31:N31"/>
    <mergeCell ref="C43:E43"/>
    <mergeCell ref="C44:E44"/>
  </mergeCells>
  <pageMargins left="0.7" right="0.7" top="0.75" bottom="0.75" header="0.3" footer="0.3"/>
  <pageSetup scale="6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tabSelected="1" zoomScale="70" zoomScaleNormal="70" workbookViewId="0">
      <selection activeCell="C5" sqref="C5"/>
    </sheetView>
  </sheetViews>
  <sheetFormatPr defaultRowHeight="18.75"/>
  <cols>
    <col min="1" max="1" width="9.140625" style="515"/>
    <col min="2" max="2" width="39.42578125" style="515" customWidth="1"/>
    <col min="3" max="3" width="21.140625" style="515" customWidth="1"/>
    <col min="4" max="4" width="20.85546875" style="515" bestFit="1" customWidth="1"/>
    <col min="5" max="5" width="18" style="515" bestFit="1" customWidth="1"/>
    <col min="6" max="6" width="19.42578125" style="515" bestFit="1" customWidth="1"/>
    <col min="7" max="7" width="18" style="515" bestFit="1" customWidth="1"/>
    <col min="8" max="8" width="9.140625" style="515"/>
    <col min="9" max="9" width="35.85546875" style="515" customWidth="1"/>
    <col min="10" max="10" width="10.140625" style="515" bestFit="1" customWidth="1"/>
    <col min="11" max="16384" width="9.140625" style="515"/>
  </cols>
  <sheetData>
    <row r="1" spans="1:7">
      <c r="B1" s="943" t="s">
        <v>745</v>
      </c>
      <c r="C1" s="943"/>
      <c r="D1" s="943"/>
      <c r="E1" s="943"/>
      <c r="F1" s="943"/>
    </row>
    <row r="3" spans="1:7">
      <c r="F3" s="615" t="s">
        <v>706</v>
      </c>
      <c r="G3" s="617"/>
    </row>
    <row r="4" spans="1:7">
      <c r="A4" s="521" t="s">
        <v>7</v>
      </c>
      <c r="B4" s="545" t="s">
        <v>709</v>
      </c>
      <c r="C4" s="653" t="s">
        <v>828</v>
      </c>
      <c r="D4" s="653" t="s">
        <v>806</v>
      </c>
      <c r="E4" s="653" t="s">
        <v>820</v>
      </c>
      <c r="F4" s="653" t="s">
        <v>829</v>
      </c>
      <c r="G4" s="653" t="s">
        <v>821</v>
      </c>
    </row>
    <row r="5" spans="1:7" ht="37.5">
      <c r="A5" s="944">
        <v>1</v>
      </c>
      <c r="B5" s="546" t="s">
        <v>830</v>
      </c>
      <c r="C5" s="737">
        <v>0.1</v>
      </c>
      <c r="D5" s="946">
        <v>0.3</v>
      </c>
      <c r="E5" s="946"/>
      <c r="F5" s="946">
        <v>0.6</v>
      </c>
      <c r="G5" s="946"/>
    </row>
    <row r="6" spans="1:7">
      <c r="A6" s="944"/>
      <c r="B6" s="547">
        <f>ROUND('Tong muc dau tu'!G8*1.05,0)</f>
        <v>0</v>
      </c>
      <c r="C6" s="547">
        <f>ROUND(C5*B6,0)</f>
        <v>0</v>
      </c>
      <c r="D6" s="547">
        <f>ROUND(('Tong muc dau tu'!G9+'Tong muc dau tu'!G10+'Tong muc dau tu'!G11+'Tong muc dau tu'!G12)*D5*1.05,0)</f>
        <v>0</v>
      </c>
      <c r="E6" s="547">
        <f>ROUND(B6*D5-D6,0)</f>
        <v>0</v>
      </c>
      <c r="F6" s="547">
        <f>ROUND(('Tong muc dau tu'!G9+'Tong muc dau tu'!G10+'Tong muc dau tu'!G11+'Tong muc dau tu'!G12)*F5*1.05,0)</f>
        <v>0</v>
      </c>
      <c r="G6" s="547">
        <f>ROUND(B6-C6-D6-E6-F6,0)</f>
        <v>0</v>
      </c>
    </row>
    <row r="7" spans="1:7" ht="39" customHeight="1">
      <c r="A7" s="945">
        <v>2</v>
      </c>
      <c r="B7" s="546" t="s">
        <v>832</v>
      </c>
      <c r="C7" s="737">
        <v>0.2</v>
      </c>
      <c r="D7" s="737">
        <v>0.2</v>
      </c>
      <c r="E7" s="737">
        <v>0.2</v>
      </c>
      <c r="F7" s="737">
        <v>0.2</v>
      </c>
      <c r="G7" s="737">
        <v>0.2</v>
      </c>
    </row>
    <row r="8" spans="1:7">
      <c r="A8" s="945"/>
      <c r="B8" s="547">
        <f>ROUNDUP('Tong muc dau tu'!G14*1.05,0)</f>
        <v>0</v>
      </c>
      <c r="C8" s="547">
        <f>ROUND(C7*$B8,3)</f>
        <v>0</v>
      </c>
      <c r="D8" s="547">
        <f>ROUND(D7*$B8,3)</f>
        <v>0</v>
      </c>
      <c r="E8" s="547">
        <f>ROUND(E7*$B8,3)</f>
        <v>0</v>
      </c>
      <c r="F8" s="547">
        <f>ROUND(F7*$B8,3)</f>
        <v>0</v>
      </c>
      <c r="G8" s="547">
        <f>ROUND(G7*$B8,3)</f>
        <v>0</v>
      </c>
    </row>
    <row r="9" spans="1:7" ht="37.5">
      <c r="A9" s="945">
        <v>3</v>
      </c>
      <c r="B9" s="547" t="s">
        <v>831</v>
      </c>
      <c r="C9" s="737">
        <v>0</v>
      </c>
      <c r="D9" s="737">
        <v>0</v>
      </c>
      <c r="E9" s="737">
        <v>0</v>
      </c>
      <c r="F9" s="737">
        <v>0.5</v>
      </c>
      <c r="G9" s="737">
        <v>0.5</v>
      </c>
    </row>
    <row r="10" spans="1:7">
      <c r="A10" s="945"/>
      <c r="B10" s="547">
        <f>ROUND('Tong muc dau tu'!G15*1.05,0)</f>
        <v>0</v>
      </c>
      <c r="C10" s="547">
        <f>C9*B10</f>
        <v>0</v>
      </c>
      <c r="D10" s="547">
        <f>$B$10*D9</f>
        <v>0</v>
      </c>
      <c r="E10" s="547">
        <f t="shared" ref="E10" si="0">$B$10*E9</f>
        <v>0</v>
      </c>
      <c r="F10" s="547">
        <f>ROUND($B$10*F9,0)</f>
        <v>0</v>
      </c>
      <c r="G10" s="547">
        <f>B10-F10</f>
        <v>0</v>
      </c>
    </row>
    <row r="11" spans="1:7">
      <c r="A11" s="942" t="s">
        <v>755</v>
      </c>
      <c r="B11" s="942"/>
      <c r="C11" s="516">
        <f>ROUND(C6+C8+C10,0)</f>
        <v>0</v>
      </c>
      <c r="D11" s="516">
        <f t="shared" ref="D11:G11" si="1">ROUND(D6+D8+D10,0)</f>
        <v>0</v>
      </c>
      <c r="E11" s="516">
        <f>ROUND(E6+E8+E10,0)</f>
        <v>0</v>
      </c>
      <c r="F11" s="516">
        <f t="shared" si="1"/>
        <v>0</v>
      </c>
      <c r="G11" s="516">
        <f t="shared" si="1"/>
        <v>0</v>
      </c>
    </row>
    <row r="12" spans="1:7">
      <c r="A12" s="942" t="s">
        <v>756</v>
      </c>
      <c r="B12" s="942"/>
      <c r="C12" s="545"/>
      <c r="D12" s="516"/>
      <c r="E12" s="516"/>
      <c r="F12" s="947">
        <f>SUM(C11:G11)</f>
        <v>0</v>
      </c>
      <c r="G12" s="947"/>
    </row>
    <row r="13" spans="1:7">
      <c r="G13" s="618"/>
    </row>
    <row r="14" spans="1:7" ht="48.75" customHeight="1">
      <c r="A14" s="941" t="s">
        <v>787</v>
      </c>
      <c r="B14" s="941"/>
      <c r="C14" s="616" t="s">
        <v>804</v>
      </c>
      <c r="D14" s="949" t="s">
        <v>822</v>
      </c>
      <c r="E14" s="949"/>
      <c r="F14" s="948" t="s">
        <v>786</v>
      </c>
      <c r="G14" s="948"/>
    </row>
  </sheetData>
  <mergeCells count="12">
    <mergeCell ref="A14:B14"/>
    <mergeCell ref="A11:B11"/>
    <mergeCell ref="A12:B12"/>
    <mergeCell ref="B1:F1"/>
    <mergeCell ref="A5:A6"/>
    <mergeCell ref="A7:A8"/>
    <mergeCell ref="D5:E5"/>
    <mergeCell ref="F5:G5"/>
    <mergeCell ref="F12:G12"/>
    <mergeCell ref="F14:G14"/>
    <mergeCell ref="D14:E14"/>
    <mergeCell ref="A9:A10"/>
  </mergeCells>
  <pageMargins left="0.7" right="0.7" top="0.75" bottom="0.75" header="0.3" footer="0.3"/>
  <pageSetup scale="48"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443"/>
  <sheetViews>
    <sheetView view="pageBreakPreview" zoomScaleNormal="100" zoomScaleSheetLayoutView="100" workbookViewId="0">
      <selection activeCell="A11" sqref="A11"/>
    </sheetView>
  </sheetViews>
  <sheetFormatPr defaultRowHeight="15"/>
  <cols>
    <col min="1" max="1" width="9.140625" style="450"/>
    <col min="2" max="2" width="12.28515625" style="452" customWidth="1"/>
    <col min="3" max="3" width="14.28515625" style="452" customWidth="1"/>
    <col min="4" max="4" width="12.140625" style="453" customWidth="1"/>
    <col min="5" max="5" width="9.85546875" style="452" bestFit="1" customWidth="1"/>
    <col min="6" max="6" width="8" style="477" customWidth="1"/>
    <col min="7" max="7" width="9.28515625" style="452" hidden="1" customWidth="1"/>
    <col min="8" max="8" width="15.28515625" style="431" customWidth="1"/>
    <col min="9" max="9" width="21.140625" style="454" customWidth="1"/>
    <col min="10" max="10" width="63.5703125" style="449" hidden="1" customWidth="1"/>
    <col min="11" max="11" width="11" style="449" customWidth="1"/>
    <col min="12" max="12" width="15.42578125" style="453" bestFit="1" customWidth="1"/>
    <col min="13" max="13" width="8.42578125" style="452" customWidth="1"/>
    <col min="14" max="14" width="7" style="477" bestFit="1" customWidth="1"/>
    <col min="15" max="15" width="14" style="452" hidden="1" customWidth="1"/>
    <col min="16" max="16" width="15" style="431" customWidth="1"/>
    <col min="17" max="17" width="15.140625" style="431" customWidth="1"/>
    <col min="18" max="18" width="77.140625" style="449" hidden="1" customWidth="1"/>
    <col min="19" max="19" width="17.28515625" style="449" hidden="1" customWidth="1"/>
    <col min="20" max="20" width="17.28515625" style="449" customWidth="1"/>
    <col min="21" max="21" width="18.28515625" style="449" hidden="1" customWidth="1"/>
    <col min="22" max="22" width="12.140625" style="449" hidden="1" customWidth="1"/>
    <col min="23" max="16384" width="9.140625" style="449"/>
  </cols>
  <sheetData>
    <row r="1" spans="1:22">
      <c r="A1" s="964" t="s">
        <v>7</v>
      </c>
      <c r="B1" s="967" t="s">
        <v>709</v>
      </c>
      <c r="C1" s="967" t="s">
        <v>708</v>
      </c>
      <c r="D1" s="953" t="s">
        <v>312</v>
      </c>
      <c r="E1" s="954"/>
      <c r="F1" s="954"/>
      <c r="G1" s="954"/>
      <c r="H1" s="954"/>
      <c r="I1" s="954"/>
      <c r="J1" s="954"/>
      <c r="K1" s="955"/>
      <c r="L1" s="950" t="s">
        <v>326</v>
      </c>
      <c r="M1" s="951"/>
      <c r="N1" s="951"/>
      <c r="O1" s="951"/>
      <c r="P1" s="951"/>
      <c r="Q1" s="951"/>
      <c r="R1" s="951"/>
      <c r="S1" s="951"/>
      <c r="T1" s="952"/>
      <c r="U1" s="449" t="s">
        <v>316</v>
      </c>
      <c r="V1" s="448">
        <v>23600</v>
      </c>
    </row>
    <row r="2" spans="1:22" ht="28.5">
      <c r="A2" s="965"/>
      <c r="B2" s="968"/>
      <c r="C2" s="968"/>
      <c r="D2" s="487" t="s">
        <v>259</v>
      </c>
      <c r="E2" s="487" t="s">
        <v>345</v>
      </c>
      <c r="F2" s="476" t="s">
        <v>8</v>
      </c>
      <c r="G2" s="487"/>
      <c r="H2" s="487" t="s">
        <v>346</v>
      </c>
      <c r="I2" s="487" t="s">
        <v>315</v>
      </c>
      <c r="J2" s="435"/>
      <c r="K2" s="435" t="s">
        <v>404</v>
      </c>
      <c r="L2" s="487" t="s">
        <v>259</v>
      </c>
      <c r="M2" s="487" t="s">
        <v>349</v>
      </c>
      <c r="N2" s="476" t="s">
        <v>8</v>
      </c>
      <c r="O2" s="487" t="s">
        <v>337</v>
      </c>
      <c r="P2" s="487" t="s">
        <v>705</v>
      </c>
      <c r="Q2" s="487" t="s">
        <v>315</v>
      </c>
      <c r="R2" s="435"/>
      <c r="S2" s="435"/>
      <c r="T2" s="435" t="s">
        <v>404</v>
      </c>
      <c r="U2" s="449" t="s">
        <v>317</v>
      </c>
      <c r="V2" s="449">
        <v>26650</v>
      </c>
    </row>
    <row r="3" spans="1:22" ht="39.75" customHeight="1">
      <c r="A3" s="964">
        <v>1</v>
      </c>
      <c r="B3" s="967" t="s">
        <v>707</v>
      </c>
      <c r="C3" s="495" t="s">
        <v>711</v>
      </c>
      <c r="D3" s="501" t="s">
        <v>261</v>
      </c>
      <c r="E3" s="496" t="s">
        <v>214</v>
      </c>
      <c r="F3" s="497">
        <v>1</v>
      </c>
      <c r="G3" s="496"/>
      <c r="H3" s="499">
        <v>1750256500</v>
      </c>
      <c r="I3" s="499">
        <f>F3*H3</f>
        <v>1750256500</v>
      </c>
      <c r="J3" s="498"/>
      <c r="K3" s="498" t="s">
        <v>447</v>
      </c>
      <c r="L3" s="501" t="s">
        <v>704</v>
      </c>
      <c r="M3" s="496" t="s">
        <v>343</v>
      </c>
      <c r="N3" s="497">
        <v>1</v>
      </c>
      <c r="O3" s="497"/>
      <c r="P3" s="110">
        <v>4594509000</v>
      </c>
      <c r="Q3" s="499">
        <f>N3*P3</f>
        <v>4594509000</v>
      </c>
      <c r="R3" s="498"/>
      <c r="S3" s="498"/>
      <c r="T3" s="498" t="s">
        <v>716</v>
      </c>
    </row>
    <row r="4" spans="1:22" s="450" customFormat="1" ht="44.25" customHeight="1">
      <c r="A4" s="965"/>
      <c r="B4" s="968"/>
      <c r="C4" s="495" t="s">
        <v>703</v>
      </c>
      <c r="D4" s="500" t="s">
        <v>715</v>
      </c>
      <c r="E4" s="496" t="s">
        <v>214</v>
      </c>
      <c r="F4" s="497">
        <v>1</v>
      </c>
      <c r="G4" s="496"/>
      <c r="H4" s="499">
        <v>1799959000</v>
      </c>
      <c r="I4" s="499">
        <f t="shared" ref="I4:I9" si="0">F4*H4</f>
        <v>1799959000</v>
      </c>
      <c r="J4" s="498"/>
      <c r="K4" s="498" t="s">
        <v>447</v>
      </c>
      <c r="L4" s="496" t="s">
        <v>412</v>
      </c>
      <c r="M4" s="496" t="s">
        <v>343</v>
      </c>
      <c r="N4" s="497">
        <v>1</v>
      </c>
      <c r="O4" s="497"/>
      <c r="P4" s="499">
        <v>2270700000</v>
      </c>
      <c r="Q4" s="499">
        <f t="shared" ref="Q4:Q10" si="1">N4*P4</f>
        <v>2270700000</v>
      </c>
      <c r="R4" s="498"/>
      <c r="S4" s="498"/>
      <c r="T4" s="498" t="s">
        <v>447</v>
      </c>
    </row>
    <row r="5" spans="1:22" s="450" customFormat="1" ht="15" customHeight="1">
      <c r="A5" s="964">
        <v>2</v>
      </c>
      <c r="B5" s="967" t="s">
        <v>712</v>
      </c>
      <c r="C5" s="956" t="s">
        <v>710</v>
      </c>
      <c r="D5" s="500" t="s">
        <v>715</v>
      </c>
      <c r="E5" s="496" t="s">
        <v>214</v>
      </c>
      <c r="F5" s="497">
        <v>2</v>
      </c>
      <c r="G5" s="496"/>
      <c r="H5" s="499">
        <v>1799959000</v>
      </c>
      <c r="I5" s="499">
        <f t="shared" si="0"/>
        <v>3599918000</v>
      </c>
      <c r="J5" s="498"/>
      <c r="K5" s="498" t="s">
        <v>447</v>
      </c>
      <c r="L5" s="501" t="s">
        <v>265</v>
      </c>
      <c r="M5" s="496" t="s">
        <v>343</v>
      </c>
      <c r="N5" s="497">
        <v>1</v>
      </c>
      <c r="O5" s="497"/>
      <c r="P5" s="485">
        <v>1058400000</v>
      </c>
      <c r="Q5" s="499">
        <f t="shared" si="1"/>
        <v>1058400000</v>
      </c>
      <c r="R5" s="498"/>
      <c r="S5" s="498"/>
      <c r="T5" s="498" t="s">
        <v>447</v>
      </c>
    </row>
    <row r="6" spans="1:22" s="450" customFormat="1">
      <c r="A6" s="966"/>
      <c r="B6" s="969"/>
      <c r="C6" s="957"/>
      <c r="D6" s="496"/>
      <c r="E6" s="496"/>
      <c r="F6" s="497"/>
      <c r="G6" s="496"/>
      <c r="H6" s="499"/>
      <c r="I6" s="499"/>
      <c r="J6" s="498"/>
      <c r="K6" s="498"/>
      <c r="L6" s="496" t="s">
        <v>412</v>
      </c>
      <c r="M6" s="496" t="s">
        <v>343</v>
      </c>
      <c r="N6" s="497">
        <v>1</v>
      </c>
      <c r="O6" s="497"/>
      <c r="P6" s="499">
        <v>4442310000</v>
      </c>
      <c r="Q6" s="499">
        <f t="shared" si="1"/>
        <v>4442310000</v>
      </c>
      <c r="R6" s="498"/>
      <c r="S6" s="498"/>
      <c r="T6" s="498" t="s">
        <v>447</v>
      </c>
    </row>
    <row r="7" spans="1:22" s="450" customFormat="1">
      <c r="A7" s="965"/>
      <c r="B7" s="968"/>
      <c r="C7" s="958"/>
      <c r="D7" s="496"/>
      <c r="E7" s="496"/>
      <c r="F7" s="497"/>
      <c r="G7" s="496"/>
      <c r="H7" s="499"/>
      <c r="I7" s="499"/>
      <c r="J7" s="498"/>
      <c r="K7" s="498"/>
      <c r="L7" s="501" t="s">
        <v>430</v>
      </c>
      <c r="M7" s="496" t="s">
        <v>343</v>
      </c>
      <c r="N7" s="497">
        <v>1</v>
      </c>
      <c r="O7" s="497"/>
      <c r="P7" s="110">
        <v>1026000000</v>
      </c>
      <c r="Q7" s="499">
        <f t="shared" si="1"/>
        <v>1026000000</v>
      </c>
      <c r="R7" s="498"/>
      <c r="S7" s="498"/>
      <c r="T7" s="498" t="s">
        <v>716</v>
      </c>
    </row>
    <row r="8" spans="1:22" s="450" customFormat="1" ht="15" customHeight="1">
      <c r="A8" s="964">
        <v>3</v>
      </c>
      <c r="B8" s="967" t="s">
        <v>713</v>
      </c>
      <c r="C8" s="956" t="s">
        <v>714</v>
      </c>
      <c r="D8" s="496" t="s">
        <v>319</v>
      </c>
      <c r="E8" s="496" t="s">
        <v>214</v>
      </c>
      <c r="F8" s="497">
        <v>1</v>
      </c>
      <c r="G8" s="496"/>
      <c r="H8" s="499">
        <v>28818379000</v>
      </c>
      <c r="I8" s="499">
        <f t="shared" si="0"/>
        <v>28818379000</v>
      </c>
      <c r="J8" s="498"/>
      <c r="K8" s="498" t="s">
        <v>447</v>
      </c>
      <c r="L8" s="501" t="s">
        <v>412</v>
      </c>
      <c r="M8" s="496" t="s">
        <v>343</v>
      </c>
      <c r="N8" s="497">
        <v>1</v>
      </c>
      <c r="O8" s="497"/>
      <c r="P8" s="499">
        <v>7316595000</v>
      </c>
      <c r="Q8" s="499">
        <f t="shared" si="1"/>
        <v>7316595000</v>
      </c>
      <c r="R8" s="498"/>
      <c r="S8" s="498"/>
      <c r="T8" s="498" t="s">
        <v>447</v>
      </c>
    </row>
    <row r="9" spans="1:22" s="450" customFormat="1">
      <c r="A9" s="966"/>
      <c r="B9" s="969"/>
      <c r="C9" s="957"/>
      <c r="D9" s="501" t="s">
        <v>333</v>
      </c>
      <c r="E9" s="496" t="s">
        <v>214</v>
      </c>
      <c r="F9" s="497">
        <v>1</v>
      </c>
      <c r="G9" s="496"/>
      <c r="H9" s="499">
        <v>8742963500</v>
      </c>
      <c r="I9" s="499">
        <f t="shared" si="0"/>
        <v>8742963500</v>
      </c>
      <c r="J9" s="498"/>
      <c r="K9" s="498" t="s">
        <v>447</v>
      </c>
      <c r="L9" s="501" t="s">
        <v>412</v>
      </c>
      <c r="M9" s="496" t="s">
        <v>343</v>
      </c>
      <c r="N9" s="497">
        <v>1</v>
      </c>
      <c r="O9" s="497"/>
      <c r="P9" s="110">
        <v>11526624000</v>
      </c>
      <c r="Q9" s="499">
        <f t="shared" si="1"/>
        <v>11526624000</v>
      </c>
      <c r="R9" s="498"/>
      <c r="S9" s="498"/>
      <c r="T9" s="498" t="s">
        <v>716</v>
      </c>
    </row>
    <row r="10" spans="1:22" ht="75">
      <c r="A10" s="965"/>
      <c r="B10" s="968"/>
      <c r="C10" s="958"/>
      <c r="D10" s="489"/>
      <c r="E10" s="496"/>
      <c r="F10" s="497"/>
      <c r="G10" s="488"/>
      <c r="H10" s="499"/>
      <c r="I10" s="499"/>
      <c r="J10" s="486" t="s">
        <v>263</v>
      </c>
      <c r="K10" s="486"/>
      <c r="L10" s="501" t="s">
        <v>338</v>
      </c>
      <c r="M10" s="496" t="s">
        <v>343</v>
      </c>
      <c r="N10" s="497">
        <v>2</v>
      </c>
      <c r="O10" s="497"/>
      <c r="P10" s="110">
        <v>856764000</v>
      </c>
      <c r="Q10" s="499">
        <f t="shared" si="1"/>
        <v>1713528000</v>
      </c>
      <c r="R10" s="486" t="s">
        <v>266</v>
      </c>
      <c r="S10" s="135" t="s">
        <v>264</v>
      </c>
      <c r="T10" s="494" t="s">
        <v>717</v>
      </c>
    </row>
    <row r="11" spans="1:22">
      <c r="A11" s="493"/>
      <c r="B11" s="173"/>
      <c r="C11" s="173"/>
      <c r="D11" s="175"/>
      <c r="E11" s="487"/>
      <c r="F11" s="472"/>
      <c r="G11" s="168"/>
      <c r="H11" s="499"/>
      <c r="I11" s="499"/>
      <c r="J11" s="169" t="s">
        <v>314</v>
      </c>
      <c r="K11" s="169"/>
      <c r="L11" s="175"/>
      <c r="M11" s="487"/>
      <c r="N11" s="472"/>
      <c r="O11" s="168"/>
      <c r="P11" s="499"/>
      <c r="Q11" s="499"/>
      <c r="R11" s="130" t="s">
        <v>314</v>
      </c>
      <c r="S11" s="135" t="s">
        <v>264</v>
      </c>
      <c r="T11" s="135"/>
    </row>
    <row r="12" spans="1:22" ht="15" hidden="1" customHeight="1">
      <c r="A12" s="493"/>
      <c r="B12" s="960"/>
      <c r="C12" s="960"/>
      <c r="D12" s="960"/>
      <c r="E12" s="961"/>
      <c r="F12" s="472"/>
      <c r="G12" s="168"/>
      <c r="H12" s="499"/>
      <c r="I12" s="499"/>
      <c r="J12" s="169"/>
      <c r="K12" s="169"/>
      <c r="L12" s="175"/>
      <c r="M12" s="168"/>
      <c r="N12" s="472"/>
      <c r="O12" s="168"/>
      <c r="P12" s="499"/>
      <c r="Q12" s="499"/>
      <c r="R12" s="130"/>
      <c r="S12" s="135"/>
      <c r="T12" s="135"/>
    </row>
    <row r="13" spans="1:22" ht="15" hidden="1" customHeight="1">
      <c r="A13" s="493"/>
      <c r="B13" s="960"/>
      <c r="C13" s="960"/>
      <c r="D13" s="960"/>
      <c r="E13" s="961"/>
      <c r="F13" s="472"/>
      <c r="G13" s="168"/>
      <c r="H13" s="499"/>
      <c r="I13" s="499"/>
      <c r="J13" s="169"/>
      <c r="K13" s="169"/>
      <c r="L13" s="175"/>
      <c r="M13" s="168"/>
      <c r="N13" s="472"/>
      <c r="O13" s="168"/>
      <c r="P13" s="499"/>
      <c r="Q13" s="499"/>
      <c r="R13" s="130"/>
      <c r="S13" s="135"/>
      <c r="T13" s="135"/>
    </row>
    <row r="14" spans="1:22" ht="15" hidden="1" customHeight="1">
      <c r="A14" s="493"/>
      <c r="B14" s="960"/>
      <c r="C14" s="960"/>
      <c r="D14" s="962"/>
      <c r="E14" s="963"/>
      <c r="F14" s="472"/>
      <c r="G14" s="168"/>
      <c r="H14" s="499"/>
      <c r="I14" s="499"/>
      <c r="J14" s="169"/>
      <c r="K14" s="169"/>
      <c r="L14" s="175"/>
      <c r="M14" s="168"/>
      <c r="N14" s="472"/>
      <c r="O14" s="168"/>
      <c r="P14" s="499"/>
      <c r="Q14" s="499"/>
      <c r="R14" s="130"/>
      <c r="S14" s="135"/>
      <c r="T14" s="135"/>
    </row>
    <row r="15" spans="1:22" ht="15" hidden="1" customHeight="1">
      <c r="A15" s="493"/>
      <c r="B15" s="962"/>
      <c r="C15" s="962"/>
      <c r="D15" s="962"/>
      <c r="E15" s="963"/>
      <c r="F15" s="472"/>
      <c r="G15" s="168"/>
      <c r="H15" s="499"/>
      <c r="I15" s="499"/>
      <c r="J15" s="169"/>
      <c r="K15" s="169"/>
      <c r="L15" s="175"/>
      <c r="M15" s="168"/>
      <c r="N15" s="472"/>
      <c r="O15" s="168"/>
      <c r="P15" s="499"/>
      <c r="Q15" s="499"/>
      <c r="R15" s="130"/>
      <c r="S15" s="135"/>
      <c r="T15" s="135"/>
    </row>
    <row r="16" spans="1:22" ht="15" hidden="1" customHeight="1">
      <c r="A16" s="493"/>
      <c r="B16" s="960"/>
      <c r="C16" s="960"/>
      <c r="D16" s="960"/>
      <c r="E16" s="961"/>
      <c r="F16" s="472"/>
      <c r="G16" s="168"/>
      <c r="H16" s="499"/>
      <c r="I16" s="499"/>
      <c r="J16" s="169"/>
      <c r="K16" s="169"/>
      <c r="L16" s="175"/>
      <c r="M16" s="168"/>
      <c r="N16" s="472"/>
      <c r="O16" s="168"/>
      <c r="P16" s="499"/>
      <c r="Q16" s="499"/>
      <c r="R16" s="130"/>
      <c r="S16" s="135"/>
      <c r="T16" s="135"/>
    </row>
    <row r="17" spans="1:21">
      <c r="A17" s="493"/>
      <c r="B17" s="173"/>
      <c r="C17" s="173"/>
      <c r="D17" s="171"/>
      <c r="E17" s="171"/>
      <c r="F17" s="471"/>
      <c r="G17" s="146"/>
      <c r="H17" s="499"/>
      <c r="I17" s="502">
        <f>SUM(I3:I9)</f>
        <v>44711476000</v>
      </c>
      <c r="J17" s="433"/>
      <c r="K17" s="433"/>
      <c r="L17" s="184"/>
      <c r="M17" s="184"/>
      <c r="N17" s="478"/>
      <c r="O17" s="434"/>
      <c r="P17" s="502"/>
      <c r="Q17" s="502">
        <f>SUM(Q7:Q10,Q5,Q3)</f>
        <v>27235656000</v>
      </c>
      <c r="R17" s="486"/>
      <c r="S17" s="135"/>
      <c r="T17" s="135"/>
      <c r="U17" s="451"/>
    </row>
    <row r="31" spans="1:21">
      <c r="L31" s="452"/>
      <c r="P31" s="452"/>
    </row>
    <row r="32" spans="1:21">
      <c r="I32" s="959" t="s">
        <v>702</v>
      </c>
      <c r="J32" s="959"/>
      <c r="K32" s="959"/>
      <c r="L32" s="959"/>
      <c r="M32" s="959"/>
      <c r="N32" s="959"/>
      <c r="O32" s="959"/>
      <c r="P32" s="959"/>
      <c r="Q32" s="959"/>
      <c r="R32" s="959"/>
      <c r="S32" s="959"/>
      <c r="T32" s="959"/>
    </row>
    <row r="34" spans="2:17">
      <c r="B34" s="449"/>
      <c r="C34" s="449"/>
      <c r="D34" s="449"/>
      <c r="E34" s="449"/>
      <c r="F34" s="449"/>
      <c r="G34" s="449"/>
      <c r="H34" s="449"/>
      <c r="I34" s="449"/>
      <c r="L34" s="449"/>
      <c r="M34" s="449"/>
      <c r="N34" s="449"/>
      <c r="O34" s="449"/>
      <c r="P34" s="449"/>
      <c r="Q34" s="449"/>
    </row>
    <row r="35" spans="2:17">
      <c r="B35" s="449"/>
      <c r="C35" s="449"/>
      <c r="D35" s="449"/>
      <c r="E35" s="449"/>
      <c r="F35" s="449"/>
      <c r="G35" s="449"/>
      <c r="H35" s="449"/>
      <c r="I35" s="449"/>
      <c r="L35" s="449"/>
      <c r="M35" s="449"/>
      <c r="N35" s="449"/>
      <c r="O35" s="449"/>
      <c r="P35" s="449"/>
      <c r="Q35" s="449"/>
    </row>
    <row r="36" spans="2:17">
      <c r="B36" s="449"/>
      <c r="C36" s="449"/>
      <c r="D36" s="449"/>
      <c r="E36" s="449"/>
      <c r="F36" s="449"/>
      <c r="G36" s="449"/>
      <c r="H36" s="449"/>
      <c r="I36" s="449"/>
      <c r="L36" s="449"/>
      <c r="M36" s="449"/>
      <c r="N36" s="449"/>
      <c r="O36" s="449"/>
      <c r="P36" s="449"/>
      <c r="Q36" s="449"/>
    </row>
    <row r="37" spans="2:17">
      <c r="B37" s="449"/>
      <c r="C37" s="449"/>
      <c r="D37" s="449"/>
      <c r="E37" s="449"/>
      <c r="F37" s="449"/>
      <c r="G37" s="449"/>
      <c r="H37" s="449"/>
      <c r="I37" s="449"/>
      <c r="L37" s="449"/>
      <c r="M37" s="449"/>
      <c r="N37" s="449"/>
      <c r="O37" s="449"/>
      <c r="P37" s="449"/>
      <c r="Q37" s="449"/>
    </row>
    <row r="38" spans="2:17">
      <c r="B38" s="449"/>
      <c r="C38" s="449"/>
      <c r="D38" s="449"/>
      <c r="E38" s="449"/>
      <c r="F38" s="449"/>
      <c r="G38" s="449"/>
      <c r="H38" s="449"/>
      <c r="I38" s="449"/>
      <c r="L38" s="449"/>
      <c r="M38" s="449"/>
      <c r="N38" s="449"/>
      <c r="O38" s="449"/>
      <c r="P38" s="449"/>
      <c r="Q38" s="449"/>
    </row>
    <row r="39" spans="2:17">
      <c r="B39" s="449"/>
      <c r="C39" s="449"/>
      <c r="D39" s="449"/>
      <c r="E39" s="449"/>
      <c r="F39" s="449"/>
      <c r="G39" s="449"/>
      <c r="H39" s="449"/>
      <c r="I39" s="449"/>
      <c r="L39" s="449"/>
      <c r="M39" s="449"/>
      <c r="N39" s="449"/>
      <c r="O39" s="449"/>
      <c r="P39" s="449"/>
      <c r="Q39" s="449"/>
    </row>
    <row r="40" spans="2:17">
      <c r="B40" s="449"/>
      <c r="C40" s="449"/>
      <c r="D40" s="449"/>
      <c r="E40" s="449"/>
      <c r="F40" s="449"/>
      <c r="G40" s="449"/>
      <c r="H40" s="449"/>
      <c r="I40" s="449"/>
      <c r="L40" s="449"/>
      <c r="M40" s="449"/>
      <c r="N40" s="449"/>
      <c r="O40" s="449"/>
      <c r="P40" s="449"/>
      <c r="Q40" s="449"/>
    </row>
    <row r="41" spans="2:17">
      <c r="B41" s="449"/>
      <c r="C41" s="449"/>
      <c r="D41" s="449"/>
      <c r="E41" s="449"/>
      <c r="F41" s="449"/>
      <c r="G41" s="449"/>
      <c r="H41" s="449"/>
      <c r="I41" s="449"/>
      <c r="L41" s="449"/>
      <c r="M41" s="449"/>
      <c r="N41" s="449"/>
      <c r="O41" s="449"/>
      <c r="P41" s="449"/>
      <c r="Q41" s="449"/>
    </row>
    <row r="42" spans="2:17">
      <c r="B42" s="449"/>
      <c r="C42" s="449"/>
      <c r="D42" s="449"/>
      <c r="E42" s="449"/>
      <c r="F42" s="449"/>
      <c r="G42" s="449"/>
      <c r="H42" s="449"/>
      <c r="I42" s="449"/>
      <c r="L42" s="449"/>
      <c r="M42" s="449"/>
      <c r="N42" s="449"/>
      <c r="O42" s="449"/>
      <c r="P42" s="449"/>
      <c r="Q42" s="449"/>
    </row>
    <row r="43" spans="2:17">
      <c r="B43" s="449"/>
      <c r="C43" s="449"/>
      <c r="D43" s="449"/>
      <c r="E43" s="449"/>
      <c r="F43" s="449"/>
      <c r="G43" s="449"/>
      <c r="H43" s="449"/>
      <c r="I43" s="449"/>
      <c r="L43" s="449"/>
      <c r="M43" s="449"/>
      <c r="N43" s="449"/>
      <c r="O43" s="449"/>
      <c r="P43" s="449"/>
      <c r="Q43" s="449"/>
    </row>
    <row r="44" spans="2:17">
      <c r="B44" s="449"/>
      <c r="C44" s="449"/>
      <c r="D44" s="449"/>
      <c r="E44" s="449"/>
      <c r="F44" s="449"/>
      <c r="G44" s="449"/>
      <c r="H44" s="449"/>
      <c r="I44" s="449"/>
      <c r="L44" s="449"/>
      <c r="M44" s="449"/>
      <c r="N44" s="449"/>
      <c r="O44" s="449"/>
      <c r="P44" s="449"/>
      <c r="Q44" s="449"/>
    </row>
    <row r="45" spans="2:17">
      <c r="B45" s="449"/>
      <c r="C45" s="449"/>
      <c r="D45" s="449"/>
      <c r="E45" s="449"/>
      <c r="F45" s="449"/>
      <c r="G45" s="449"/>
      <c r="H45" s="449"/>
      <c r="I45" s="449"/>
      <c r="L45" s="449"/>
      <c r="M45" s="449"/>
      <c r="N45" s="449"/>
      <c r="O45" s="449"/>
      <c r="P45" s="449"/>
      <c r="Q45" s="449"/>
    </row>
    <row r="46" spans="2:17">
      <c r="B46" s="449"/>
      <c r="C46" s="449"/>
      <c r="D46" s="449"/>
      <c r="E46" s="449"/>
      <c r="F46" s="449"/>
      <c r="G46" s="449"/>
      <c r="H46" s="449"/>
      <c r="I46" s="449"/>
      <c r="L46" s="449"/>
      <c r="M46" s="449"/>
      <c r="N46" s="449"/>
      <c r="O46" s="449"/>
      <c r="P46" s="449"/>
      <c r="Q46" s="449"/>
    </row>
    <row r="47" spans="2:17">
      <c r="B47" s="449"/>
      <c r="C47" s="449"/>
      <c r="D47" s="449"/>
      <c r="E47" s="449"/>
      <c r="F47" s="449"/>
      <c r="G47" s="449"/>
      <c r="H47" s="449"/>
      <c r="I47" s="449"/>
      <c r="L47" s="449"/>
      <c r="M47" s="449"/>
      <c r="N47" s="449"/>
      <c r="O47" s="449"/>
      <c r="P47" s="449"/>
      <c r="Q47" s="449"/>
    </row>
    <row r="48" spans="2:17">
      <c r="B48" s="449"/>
      <c r="C48" s="449"/>
      <c r="D48" s="449"/>
      <c r="E48" s="449"/>
      <c r="F48" s="449"/>
      <c r="G48" s="449"/>
      <c r="H48" s="449"/>
      <c r="I48" s="449"/>
      <c r="L48" s="449"/>
      <c r="M48" s="449"/>
      <c r="N48" s="449"/>
      <c r="O48" s="449"/>
      <c r="P48" s="449"/>
      <c r="Q48" s="449"/>
    </row>
    <row r="49" spans="2:17">
      <c r="B49" s="449"/>
      <c r="C49" s="449"/>
      <c r="D49" s="449"/>
      <c r="E49" s="449"/>
      <c r="F49" s="449"/>
      <c r="G49" s="449"/>
      <c r="H49" s="449"/>
      <c r="I49" s="449"/>
      <c r="L49" s="449"/>
      <c r="M49" s="449"/>
      <c r="N49" s="449"/>
      <c r="O49" s="449"/>
      <c r="P49" s="449"/>
      <c r="Q49" s="449"/>
    </row>
    <row r="50" spans="2:17">
      <c r="B50" s="449"/>
      <c r="C50" s="449"/>
      <c r="D50" s="449"/>
      <c r="E50" s="449"/>
      <c r="F50" s="449"/>
      <c r="G50" s="449"/>
      <c r="H50" s="449"/>
      <c r="I50" s="449"/>
      <c r="L50" s="449"/>
      <c r="M50" s="449"/>
      <c r="N50" s="449"/>
      <c r="O50" s="449"/>
      <c r="P50" s="449"/>
      <c r="Q50" s="449"/>
    </row>
    <row r="51" spans="2:17">
      <c r="B51" s="449"/>
      <c r="C51" s="449"/>
      <c r="D51" s="449"/>
      <c r="E51" s="449"/>
      <c r="F51" s="449"/>
      <c r="G51" s="449"/>
      <c r="H51" s="449"/>
      <c r="I51" s="449"/>
      <c r="L51" s="449"/>
      <c r="M51" s="449"/>
      <c r="N51" s="449"/>
      <c r="O51" s="449"/>
      <c r="P51" s="449"/>
      <c r="Q51" s="449"/>
    </row>
    <row r="52" spans="2:17">
      <c r="B52" s="449"/>
      <c r="C52" s="449"/>
      <c r="D52" s="449"/>
      <c r="E52" s="449"/>
      <c r="F52" s="449"/>
      <c r="G52" s="449"/>
      <c r="H52" s="449"/>
      <c r="I52" s="449"/>
      <c r="L52" s="449"/>
      <c r="M52" s="449"/>
      <c r="N52" s="449"/>
      <c r="O52" s="449"/>
      <c r="P52" s="449"/>
      <c r="Q52" s="449"/>
    </row>
    <row r="53" spans="2:17">
      <c r="B53" s="449"/>
      <c r="C53" s="449"/>
      <c r="D53" s="449"/>
      <c r="E53" s="449"/>
      <c r="F53" s="449"/>
      <c r="G53" s="449"/>
      <c r="H53" s="449"/>
      <c r="I53" s="449"/>
      <c r="L53" s="449"/>
      <c r="M53" s="449"/>
      <c r="N53" s="449"/>
      <c r="O53" s="449"/>
      <c r="P53" s="449"/>
      <c r="Q53" s="449"/>
    </row>
    <row r="54" spans="2:17">
      <c r="B54" s="449"/>
      <c r="C54" s="449"/>
      <c r="D54" s="449"/>
      <c r="E54" s="449"/>
      <c r="F54" s="449"/>
      <c r="G54" s="449"/>
      <c r="H54" s="449"/>
      <c r="I54" s="449"/>
      <c r="L54" s="449"/>
      <c r="M54" s="449"/>
      <c r="N54" s="449"/>
      <c r="O54" s="449"/>
      <c r="P54" s="449"/>
      <c r="Q54" s="449"/>
    </row>
    <row r="55" spans="2:17">
      <c r="B55" s="449"/>
      <c r="C55" s="449"/>
      <c r="D55" s="449"/>
      <c r="E55" s="449"/>
      <c r="F55" s="449"/>
      <c r="G55" s="449"/>
      <c r="H55" s="449"/>
      <c r="I55" s="449"/>
      <c r="L55" s="449"/>
      <c r="M55" s="449"/>
      <c r="N55" s="449"/>
      <c r="O55" s="449"/>
      <c r="P55" s="449"/>
      <c r="Q55" s="449"/>
    </row>
    <row r="56" spans="2:17">
      <c r="B56" s="449"/>
      <c r="C56" s="449"/>
      <c r="D56" s="449"/>
      <c r="E56" s="449"/>
      <c r="F56" s="449"/>
      <c r="G56" s="449"/>
      <c r="H56" s="449"/>
      <c r="I56" s="449"/>
      <c r="L56" s="449"/>
      <c r="M56" s="449"/>
      <c r="N56" s="449"/>
      <c r="O56" s="449"/>
      <c r="P56" s="449"/>
      <c r="Q56" s="449"/>
    </row>
    <row r="57" spans="2:17">
      <c r="B57" s="449"/>
      <c r="C57" s="449"/>
      <c r="D57" s="449"/>
      <c r="E57" s="449"/>
      <c r="F57" s="449"/>
      <c r="G57" s="449"/>
      <c r="H57" s="449"/>
      <c r="I57" s="449"/>
      <c r="L57" s="449"/>
      <c r="M57" s="449"/>
      <c r="N57" s="449"/>
      <c r="O57" s="449"/>
      <c r="P57" s="449"/>
      <c r="Q57" s="449"/>
    </row>
    <row r="58" spans="2:17">
      <c r="B58" s="449"/>
      <c r="C58" s="449"/>
      <c r="D58" s="449"/>
      <c r="E58" s="449"/>
      <c r="F58" s="449"/>
      <c r="G58" s="449"/>
      <c r="H58" s="449"/>
      <c r="I58" s="449"/>
      <c r="L58" s="449"/>
      <c r="M58" s="449"/>
      <c r="N58" s="449"/>
      <c r="O58" s="449"/>
      <c r="P58" s="449"/>
      <c r="Q58" s="449"/>
    </row>
    <row r="59" spans="2:17">
      <c r="B59" s="449"/>
      <c r="C59" s="449"/>
      <c r="D59" s="449"/>
      <c r="E59" s="449"/>
      <c r="F59" s="449"/>
      <c r="G59" s="449"/>
      <c r="H59" s="449"/>
      <c r="I59" s="449"/>
      <c r="L59" s="449"/>
      <c r="M59" s="449"/>
      <c r="N59" s="449"/>
      <c r="O59" s="449"/>
      <c r="P59" s="449"/>
      <c r="Q59" s="449"/>
    </row>
    <row r="60" spans="2:17">
      <c r="B60" s="449"/>
      <c r="C60" s="449"/>
      <c r="D60" s="449"/>
      <c r="E60" s="449"/>
      <c r="F60" s="449"/>
      <c r="G60" s="449"/>
      <c r="H60" s="449"/>
      <c r="I60" s="449"/>
      <c r="L60" s="449"/>
      <c r="M60" s="449"/>
      <c r="N60" s="449"/>
      <c r="O60" s="449"/>
      <c r="P60" s="449"/>
      <c r="Q60" s="449"/>
    </row>
    <row r="61" spans="2:17">
      <c r="B61" s="449"/>
      <c r="C61" s="449"/>
      <c r="D61" s="449"/>
      <c r="E61" s="449"/>
      <c r="F61" s="449"/>
      <c r="G61" s="449"/>
      <c r="H61" s="449"/>
      <c r="I61" s="449"/>
      <c r="L61" s="449"/>
      <c r="M61" s="449"/>
      <c r="N61" s="449"/>
      <c r="O61" s="449"/>
      <c r="P61" s="449"/>
      <c r="Q61" s="449"/>
    </row>
    <row r="62" spans="2:17">
      <c r="B62" s="449"/>
      <c r="C62" s="449"/>
      <c r="D62" s="449"/>
      <c r="E62" s="449"/>
      <c r="F62" s="449"/>
      <c r="G62" s="449"/>
      <c r="H62" s="449"/>
      <c r="I62" s="449"/>
      <c r="L62" s="449"/>
      <c r="M62" s="449"/>
      <c r="N62" s="449"/>
      <c r="O62" s="449"/>
      <c r="P62" s="449"/>
      <c r="Q62" s="449"/>
    </row>
    <row r="63" spans="2:17">
      <c r="B63" s="449"/>
      <c r="C63" s="449"/>
      <c r="D63" s="449"/>
      <c r="E63" s="449"/>
      <c r="F63" s="449"/>
      <c r="G63" s="449"/>
      <c r="H63" s="449"/>
      <c r="I63" s="449"/>
      <c r="L63" s="449"/>
      <c r="M63" s="449"/>
      <c r="N63" s="449"/>
      <c r="O63" s="449"/>
      <c r="P63" s="449"/>
      <c r="Q63" s="449"/>
    </row>
    <row r="64" spans="2:17">
      <c r="B64" s="449"/>
      <c r="C64" s="449"/>
      <c r="D64" s="449"/>
      <c r="E64" s="449"/>
      <c r="F64" s="449"/>
      <c r="G64" s="449"/>
      <c r="H64" s="449"/>
      <c r="I64" s="449"/>
      <c r="L64" s="449"/>
      <c r="M64" s="449"/>
      <c r="N64" s="449"/>
      <c r="O64" s="449"/>
      <c r="P64" s="449"/>
      <c r="Q64" s="449"/>
    </row>
    <row r="65" spans="2:17">
      <c r="B65" s="449"/>
      <c r="C65" s="449"/>
      <c r="D65" s="449"/>
      <c r="E65" s="449"/>
      <c r="F65" s="449"/>
      <c r="G65" s="449"/>
      <c r="H65" s="449"/>
      <c r="I65" s="449"/>
      <c r="L65" s="449"/>
      <c r="M65" s="449"/>
      <c r="N65" s="449"/>
      <c r="O65" s="449"/>
      <c r="P65" s="449"/>
      <c r="Q65" s="449"/>
    </row>
    <row r="66" spans="2:17">
      <c r="B66" s="449"/>
      <c r="C66" s="449"/>
      <c r="D66" s="449"/>
      <c r="E66" s="449"/>
      <c r="F66" s="449"/>
      <c r="G66" s="449"/>
      <c r="H66" s="449"/>
      <c r="I66" s="449"/>
      <c r="L66" s="449"/>
      <c r="M66" s="449"/>
      <c r="N66" s="449"/>
      <c r="O66" s="449"/>
      <c r="P66" s="449"/>
      <c r="Q66" s="449"/>
    </row>
    <row r="67" spans="2:17">
      <c r="B67" s="449"/>
      <c r="C67" s="449"/>
      <c r="D67" s="449"/>
      <c r="E67" s="449"/>
      <c r="F67" s="449"/>
      <c r="G67" s="449"/>
      <c r="H67" s="449"/>
      <c r="I67" s="449"/>
      <c r="L67" s="449"/>
      <c r="M67" s="449"/>
      <c r="N67" s="449"/>
      <c r="O67" s="449"/>
      <c r="P67" s="449"/>
      <c r="Q67" s="449"/>
    </row>
    <row r="68" spans="2:17">
      <c r="B68" s="449"/>
      <c r="C68" s="449"/>
      <c r="D68" s="449"/>
      <c r="E68" s="449"/>
      <c r="F68" s="449"/>
      <c r="G68" s="449"/>
      <c r="H68" s="449"/>
      <c r="I68" s="449"/>
      <c r="L68" s="449"/>
      <c r="M68" s="449"/>
      <c r="N68" s="449"/>
      <c r="O68" s="449"/>
      <c r="P68" s="449"/>
      <c r="Q68" s="449"/>
    </row>
    <row r="69" spans="2:17">
      <c r="B69" s="449"/>
      <c r="C69" s="449"/>
      <c r="D69" s="449"/>
      <c r="E69" s="449"/>
      <c r="F69" s="449"/>
      <c r="G69" s="449"/>
      <c r="H69" s="449"/>
      <c r="I69" s="449"/>
      <c r="L69" s="449"/>
      <c r="M69" s="449"/>
      <c r="N69" s="449"/>
      <c r="O69" s="449"/>
      <c r="P69" s="449"/>
      <c r="Q69" s="449"/>
    </row>
    <row r="70" spans="2:17">
      <c r="B70" s="449"/>
      <c r="C70" s="449"/>
      <c r="D70" s="449"/>
      <c r="E70" s="449"/>
      <c r="F70" s="449"/>
      <c r="G70" s="449"/>
      <c r="H70" s="449"/>
      <c r="I70" s="449"/>
      <c r="L70" s="449"/>
      <c r="M70" s="449"/>
      <c r="N70" s="449"/>
      <c r="O70" s="449"/>
      <c r="P70" s="449"/>
      <c r="Q70" s="449"/>
    </row>
    <row r="71" spans="2:17">
      <c r="B71" s="449"/>
      <c r="C71" s="449"/>
      <c r="D71" s="449"/>
      <c r="E71" s="449"/>
      <c r="F71" s="449"/>
      <c r="G71" s="449"/>
      <c r="H71" s="449"/>
      <c r="I71" s="449"/>
      <c r="L71" s="449"/>
      <c r="M71" s="449"/>
      <c r="N71" s="449"/>
      <c r="O71" s="449"/>
      <c r="P71" s="449"/>
      <c r="Q71" s="449"/>
    </row>
    <row r="72" spans="2:17">
      <c r="B72" s="449"/>
      <c r="C72" s="449"/>
      <c r="D72" s="449"/>
      <c r="E72" s="449"/>
      <c r="F72" s="449"/>
      <c r="G72" s="449"/>
      <c r="H72" s="449"/>
      <c r="I72" s="449"/>
      <c r="L72" s="449"/>
      <c r="M72" s="449"/>
      <c r="N72" s="449"/>
      <c r="O72" s="449"/>
      <c r="P72" s="449"/>
      <c r="Q72" s="449"/>
    </row>
    <row r="73" spans="2:17">
      <c r="B73" s="449"/>
      <c r="C73" s="449"/>
      <c r="D73" s="449"/>
      <c r="E73" s="449"/>
      <c r="F73" s="449"/>
      <c r="G73" s="449"/>
      <c r="H73" s="449"/>
      <c r="I73" s="449"/>
      <c r="L73" s="449"/>
      <c r="M73" s="449"/>
      <c r="N73" s="449"/>
      <c r="O73" s="449"/>
      <c r="P73" s="449"/>
      <c r="Q73" s="449"/>
    </row>
    <row r="74" spans="2:17">
      <c r="B74" s="449"/>
      <c r="C74" s="449"/>
      <c r="D74" s="449"/>
      <c r="E74" s="449"/>
      <c r="F74" s="449"/>
      <c r="G74" s="449"/>
      <c r="H74" s="449"/>
      <c r="I74" s="449"/>
      <c r="L74" s="449"/>
      <c r="M74" s="449"/>
      <c r="N74" s="449"/>
      <c r="O74" s="449"/>
      <c r="P74" s="449"/>
      <c r="Q74" s="449"/>
    </row>
    <row r="75" spans="2:17">
      <c r="B75" s="449"/>
      <c r="C75" s="449"/>
      <c r="D75" s="449"/>
      <c r="E75" s="449"/>
      <c r="F75" s="449"/>
      <c r="G75" s="449"/>
      <c r="H75" s="449"/>
      <c r="I75" s="449"/>
      <c r="L75" s="449"/>
      <c r="M75" s="449"/>
      <c r="N75" s="449"/>
      <c r="O75" s="449"/>
      <c r="P75" s="449"/>
      <c r="Q75" s="449"/>
    </row>
    <row r="76" spans="2:17">
      <c r="B76" s="449"/>
      <c r="C76" s="449"/>
      <c r="D76" s="449"/>
      <c r="E76" s="449"/>
      <c r="F76" s="449"/>
      <c r="G76" s="449"/>
      <c r="H76" s="449"/>
      <c r="I76" s="449"/>
      <c r="L76" s="449"/>
      <c r="M76" s="449"/>
      <c r="N76" s="449"/>
      <c r="O76" s="449"/>
      <c r="P76" s="449"/>
      <c r="Q76" s="449"/>
    </row>
    <row r="77" spans="2:17">
      <c r="B77" s="449"/>
      <c r="C77" s="449"/>
      <c r="D77" s="449"/>
      <c r="E77" s="449"/>
      <c r="F77" s="449"/>
      <c r="G77" s="449"/>
      <c r="H77" s="449"/>
      <c r="I77" s="449"/>
      <c r="L77" s="449"/>
      <c r="M77" s="449"/>
      <c r="N77" s="449"/>
      <c r="O77" s="449"/>
      <c r="P77" s="449"/>
      <c r="Q77" s="449"/>
    </row>
    <row r="78" spans="2:17">
      <c r="B78" s="449"/>
      <c r="C78" s="449"/>
      <c r="D78" s="449"/>
      <c r="E78" s="449"/>
      <c r="F78" s="449"/>
      <c r="G78" s="449"/>
      <c r="H78" s="449"/>
      <c r="I78" s="449"/>
      <c r="L78" s="449"/>
      <c r="M78" s="449"/>
      <c r="N78" s="449"/>
      <c r="O78" s="449"/>
      <c r="P78" s="449"/>
      <c r="Q78" s="449"/>
    </row>
    <row r="79" spans="2:17">
      <c r="B79" s="449"/>
      <c r="C79" s="449"/>
      <c r="D79" s="449"/>
      <c r="E79" s="449"/>
      <c r="F79" s="449"/>
      <c r="G79" s="449"/>
      <c r="H79" s="449"/>
      <c r="I79" s="449"/>
      <c r="L79" s="449"/>
      <c r="M79" s="449"/>
      <c r="N79" s="449"/>
      <c r="O79" s="449"/>
      <c r="P79" s="449"/>
      <c r="Q79" s="449"/>
    </row>
    <row r="80" spans="2:17">
      <c r="B80" s="449"/>
      <c r="C80" s="449"/>
      <c r="D80" s="449"/>
      <c r="E80" s="449"/>
      <c r="F80" s="449"/>
      <c r="G80" s="449"/>
      <c r="H80" s="449"/>
      <c r="I80" s="449"/>
      <c r="L80" s="449"/>
      <c r="M80" s="449"/>
      <c r="N80" s="449"/>
      <c r="O80" s="449"/>
      <c r="P80" s="449"/>
      <c r="Q80" s="449"/>
    </row>
    <row r="81" spans="2:17">
      <c r="B81" s="449"/>
      <c r="C81" s="449"/>
      <c r="D81" s="449"/>
      <c r="E81" s="449"/>
      <c r="F81" s="449"/>
      <c r="G81" s="449"/>
      <c r="H81" s="449"/>
      <c r="I81" s="449"/>
      <c r="L81" s="449"/>
      <c r="M81" s="449"/>
      <c r="N81" s="449"/>
      <c r="O81" s="449"/>
      <c r="P81" s="449"/>
      <c r="Q81" s="449"/>
    </row>
    <row r="82" spans="2:17">
      <c r="B82" s="449"/>
      <c r="C82" s="449"/>
      <c r="D82" s="449"/>
      <c r="E82" s="449"/>
      <c r="F82" s="449"/>
      <c r="G82" s="449"/>
      <c r="H82" s="449"/>
      <c r="I82" s="449"/>
      <c r="L82" s="449"/>
      <c r="M82" s="449"/>
      <c r="N82" s="449"/>
      <c r="O82" s="449"/>
      <c r="P82" s="449"/>
      <c r="Q82" s="449"/>
    </row>
    <row r="83" spans="2:17">
      <c r="B83" s="449"/>
      <c r="C83" s="449"/>
      <c r="D83" s="449"/>
      <c r="E83" s="449"/>
      <c r="F83" s="449"/>
      <c r="G83" s="449"/>
      <c r="H83" s="449"/>
      <c r="I83" s="449"/>
      <c r="L83" s="449"/>
      <c r="M83" s="449"/>
      <c r="N83" s="449"/>
      <c r="O83" s="449"/>
      <c r="P83" s="449"/>
      <c r="Q83" s="449"/>
    </row>
    <row r="84" spans="2:17">
      <c r="B84" s="449"/>
      <c r="C84" s="449"/>
      <c r="D84" s="449"/>
      <c r="E84" s="449"/>
      <c r="F84" s="449"/>
      <c r="G84" s="449"/>
      <c r="H84" s="449"/>
      <c r="I84" s="449"/>
      <c r="L84" s="449"/>
      <c r="M84" s="449"/>
      <c r="N84" s="449"/>
      <c r="O84" s="449"/>
      <c r="P84" s="449"/>
      <c r="Q84" s="449"/>
    </row>
    <row r="85" spans="2:17">
      <c r="B85" s="449"/>
      <c r="C85" s="449"/>
      <c r="D85" s="449"/>
      <c r="E85" s="449"/>
      <c r="F85" s="449"/>
      <c r="G85" s="449"/>
      <c r="H85" s="449"/>
      <c r="I85" s="449"/>
      <c r="L85" s="449"/>
      <c r="M85" s="449"/>
      <c r="N85" s="449"/>
      <c r="O85" s="449"/>
      <c r="P85" s="449"/>
      <c r="Q85" s="449"/>
    </row>
    <row r="86" spans="2:17">
      <c r="B86" s="449"/>
      <c r="C86" s="449"/>
      <c r="D86" s="449"/>
      <c r="E86" s="449"/>
      <c r="F86" s="449"/>
      <c r="G86" s="449"/>
      <c r="H86" s="449"/>
      <c r="I86" s="449"/>
      <c r="L86" s="449"/>
      <c r="M86" s="449"/>
      <c r="N86" s="449"/>
      <c r="O86" s="449"/>
      <c r="P86" s="449"/>
      <c r="Q86" s="449"/>
    </row>
    <row r="87" spans="2:17">
      <c r="B87" s="449"/>
      <c r="C87" s="449"/>
      <c r="D87" s="449"/>
      <c r="E87" s="449"/>
      <c r="F87" s="449"/>
      <c r="G87" s="449"/>
      <c r="H87" s="449"/>
      <c r="I87" s="449"/>
      <c r="L87" s="449"/>
      <c r="M87" s="449"/>
      <c r="N87" s="449"/>
      <c r="O87" s="449"/>
      <c r="P87" s="449"/>
      <c r="Q87" s="449"/>
    </row>
    <row r="88" spans="2:17">
      <c r="B88" s="449"/>
      <c r="C88" s="449"/>
      <c r="D88" s="449"/>
      <c r="E88" s="449"/>
      <c r="F88" s="449"/>
      <c r="G88" s="449"/>
      <c r="H88" s="449"/>
      <c r="I88" s="449"/>
      <c r="L88" s="449"/>
      <c r="M88" s="449"/>
      <c r="N88" s="449"/>
      <c r="O88" s="449"/>
      <c r="P88" s="449"/>
      <c r="Q88" s="449"/>
    </row>
    <row r="89" spans="2:17">
      <c r="B89" s="449"/>
      <c r="C89" s="449"/>
      <c r="D89" s="449"/>
      <c r="E89" s="449"/>
      <c r="F89" s="449"/>
      <c r="G89" s="449"/>
      <c r="H89" s="449"/>
      <c r="I89" s="449"/>
      <c r="L89" s="449"/>
      <c r="M89" s="449"/>
      <c r="N89" s="449"/>
      <c r="O89" s="449"/>
      <c r="P89" s="449"/>
      <c r="Q89" s="449"/>
    </row>
    <row r="90" spans="2:17">
      <c r="B90" s="449"/>
      <c r="C90" s="449"/>
      <c r="D90" s="449"/>
      <c r="E90" s="449"/>
      <c r="F90" s="449"/>
      <c r="G90" s="449"/>
      <c r="H90" s="449"/>
      <c r="I90" s="449"/>
      <c r="L90" s="449"/>
      <c r="M90" s="449"/>
      <c r="N90" s="449"/>
      <c r="O90" s="449"/>
      <c r="P90" s="449"/>
      <c r="Q90" s="449"/>
    </row>
    <row r="91" spans="2:17">
      <c r="B91" s="449"/>
      <c r="C91" s="449"/>
      <c r="D91" s="449"/>
      <c r="E91" s="449"/>
      <c r="F91" s="449"/>
      <c r="G91" s="449"/>
      <c r="H91" s="449"/>
      <c r="I91" s="449"/>
      <c r="L91" s="449"/>
      <c r="M91" s="449"/>
      <c r="N91" s="449"/>
      <c r="O91" s="449"/>
      <c r="P91" s="449"/>
      <c r="Q91" s="449"/>
    </row>
    <row r="92" spans="2:17">
      <c r="B92" s="449"/>
      <c r="C92" s="449"/>
      <c r="D92" s="449"/>
      <c r="E92" s="449"/>
      <c r="F92" s="449"/>
      <c r="G92" s="449"/>
      <c r="H92" s="449"/>
      <c r="I92" s="449"/>
      <c r="L92" s="449"/>
      <c r="M92" s="449"/>
      <c r="N92" s="449"/>
      <c r="O92" s="449"/>
      <c r="P92" s="449"/>
      <c r="Q92" s="449"/>
    </row>
    <row r="93" spans="2:17">
      <c r="B93" s="449"/>
      <c r="C93" s="449"/>
      <c r="D93" s="449"/>
      <c r="E93" s="449"/>
      <c r="F93" s="449"/>
      <c r="G93" s="449"/>
      <c r="H93" s="449"/>
      <c r="I93" s="449"/>
      <c r="L93" s="449"/>
      <c r="M93" s="449"/>
      <c r="N93" s="449"/>
      <c r="O93" s="449"/>
      <c r="P93" s="449"/>
      <c r="Q93" s="449"/>
    </row>
    <row r="94" spans="2:17">
      <c r="B94" s="449"/>
      <c r="C94" s="449"/>
      <c r="D94" s="449"/>
      <c r="E94" s="449"/>
      <c r="F94" s="449"/>
      <c r="G94" s="449"/>
      <c r="H94" s="449"/>
      <c r="I94" s="449"/>
      <c r="L94" s="449"/>
      <c r="M94" s="449"/>
      <c r="N94" s="449"/>
      <c r="O94" s="449"/>
      <c r="P94" s="449"/>
      <c r="Q94" s="449"/>
    </row>
    <row r="95" spans="2:17">
      <c r="B95" s="449"/>
      <c r="C95" s="449"/>
      <c r="D95" s="449"/>
      <c r="E95" s="449"/>
      <c r="F95" s="449"/>
      <c r="G95" s="449"/>
      <c r="H95" s="449"/>
      <c r="I95" s="449"/>
      <c r="L95" s="449"/>
      <c r="M95" s="449"/>
      <c r="N95" s="449"/>
      <c r="O95" s="449"/>
      <c r="P95" s="449"/>
      <c r="Q95" s="449"/>
    </row>
    <row r="96" spans="2:17">
      <c r="B96" s="449"/>
      <c r="C96" s="449"/>
      <c r="D96" s="449"/>
      <c r="E96" s="449"/>
      <c r="F96" s="449"/>
      <c r="G96" s="449"/>
      <c r="H96" s="449"/>
      <c r="I96" s="449"/>
      <c r="L96" s="449"/>
      <c r="M96" s="449"/>
      <c r="N96" s="449"/>
      <c r="O96" s="449"/>
      <c r="P96" s="449"/>
      <c r="Q96" s="449"/>
    </row>
    <row r="97" spans="2:17">
      <c r="B97" s="449"/>
      <c r="C97" s="449"/>
      <c r="D97" s="449"/>
      <c r="E97" s="449"/>
      <c r="F97" s="449"/>
      <c r="G97" s="449"/>
      <c r="H97" s="449"/>
      <c r="I97" s="449"/>
      <c r="L97" s="449"/>
      <c r="M97" s="449"/>
      <c r="N97" s="449"/>
      <c r="O97" s="449"/>
      <c r="P97" s="449"/>
      <c r="Q97" s="449"/>
    </row>
    <row r="98" spans="2:17">
      <c r="B98" s="449"/>
      <c r="C98" s="449"/>
      <c r="D98" s="449"/>
      <c r="E98" s="449"/>
      <c r="F98" s="449"/>
      <c r="G98" s="449"/>
      <c r="H98" s="449"/>
      <c r="I98" s="449"/>
      <c r="L98" s="449"/>
      <c r="M98" s="449"/>
      <c r="N98" s="449"/>
      <c r="O98" s="449"/>
      <c r="P98" s="449"/>
      <c r="Q98" s="449"/>
    </row>
    <row r="99" spans="2:17">
      <c r="B99" s="449"/>
      <c r="C99" s="449"/>
      <c r="D99" s="449"/>
      <c r="E99" s="449"/>
      <c r="F99" s="449"/>
      <c r="G99" s="449"/>
      <c r="H99" s="449"/>
      <c r="I99" s="449"/>
      <c r="L99" s="449"/>
      <c r="M99" s="449"/>
      <c r="N99" s="449"/>
      <c r="O99" s="449"/>
      <c r="P99" s="449"/>
      <c r="Q99" s="449"/>
    </row>
    <row r="100" spans="2:17">
      <c r="B100" s="449"/>
      <c r="C100" s="449"/>
      <c r="D100" s="449"/>
      <c r="E100" s="449"/>
      <c r="F100" s="449"/>
      <c r="G100" s="449"/>
      <c r="H100" s="449"/>
      <c r="I100" s="449"/>
      <c r="L100" s="449"/>
      <c r="M100" s="449"/>
      <c r="N100" s="449"/>
      <c r="O100" s="449"/>
      <c r="P100" s="449"/>
      <c r="Q100" s="449"/>
    </row>
    <row r="101" spans="2:17">
      <c r="B101" s="449"/>
      <c r="C101" s="449"/>
      <c r="D101" s="449"/>
      <c r="E101" s="449"/>
      <c r="F101" s="449"/>
      <c r="G101" s="449"/>
      <c r="H101" s="449"/>
      <c r="I101" s="449"/>
      <c r="L101" s="449"/>
      <c r="M101" s="449"/>
      <c r="N101" s="449"/>
      <c r="O101" s="449"/>
      <c r="P101" s="449"/>
      <c r="Q101" s="449"/>
    </row>
    <row r="102" spans="2:17">
      <c r="B102" s="449"/>
      <c r="C102" s="449"/>
      <c r="D102" s="449"/>
      <c r="E102" s="449"/>
      <c r="F102" s="449"/>
      <c r="G102" s="449"/>
      <c r="H102" s="449"/>
      <c r="I102" s="449"/>
      <c r="L102" s="449"/>
      <c r="M102" s="449"/>
      <c r="N102" s="449"/>
      <c r="O102" s="449"/>
      <c r="P102" s="449"/>
      <c r="Q102" s="449"/>
    </row>
    <row r="103" spans="2:17">
      <c r="B103" s="449"/>
      <c r="C103" s="449"/>
      <c r="D103" s="449"/>
      <c r="E103" s="449"/>
      <c r="F103" s="449"/>
      <c r="G103" s="449"/>
      <c r="H103" s="449"/>
      <c r="I103" s="449"/>
      <c r="L103" s="449"/>
      <c r="M103" s="449"/>
      <c r="N103" s="449"/>
      <c r="O103" s="449"/>
      <c r="P103" s="449"/>
      <c r="Q103" s="449"/>
    </row>
    <row r="104" spans="2:17">
      <c r="B104" s="449"/>
      <c r="C104" s="449"/>
      <c r="D104" s="449"/>
      <c r="E104" s="449"/>
      <c r="F104" s="449"/>
      <c r="G104" s="449"/>
      <c r="H104" s="449"/>
      <c r="I104" s="449"/>
      <c r="L104" s="449"/>
      <c r="M104" s="449"/>
      <c r="N104" s="449"/>
      <c r="O104" s="449"/>
      <c r="P104" s="449"/>
      <c r="Q104" s="449"/>
    </row>
    <row r="105" spans="2:17">
      <c r="B105" s="449"/>
      <c r="C105" s="449"/>
      <c r="D105" s="449"/>
      <c r="E105" s="449"/>
      <c r="F105" s="449"/>
      <c r="G105" s="449"/>
      <c r="H105" s="449"/>
      <c r="I105" s="449"/>
      <c r="L105" s="449"/>
      <c r="M105" s="449"/>
      <c r="N105" s="449"/>
      <c r="O105" s="449"/>
      <c r="P105" s="449"/>
      <c r="Q105" s="449"/>
    </row>
    <row r="106" spans="2:17">
      <c r="B106" s="449"/>
      <c r="C106" s="449"/>
      <c r="D106" s="449"/>
      <c r="E106" s="449"/>
      <c r="F106" s="449"/>
      <c r="G106" s="449"/>
      <c r="H106" s="449"/>
      <c r="I106" s="449"/>
      <c r="L106" s="449"/>
      <c r="M106" s="449"/>
      <c r="N106" s="449"/>
      <c r="O106" s="449"/>
      <c r="P106" s="449"/>
      <c r="Q106" s="449"/>
    </row>
    <row r="107" spans="2:17">
      <c r="B107" s="449"/>
      <c r="C107" s="449"/>
      <c r="D107" s="449"/>
      <c r="E107" s="449"/>
      <c r="F107" s="449"/>
      <c r="G107" s="449"/>
      <c r="H107" s="449"/>
      <c r="I107" s="449"/>
      <c r="L107" s="449"/>
      <c r="M107" s="449"/>
      <c r="N107" s="449"/>
      <c r="O107" s="449"/>
      <c r="P107" s="449"/>
      <c r="Q107" s="449"/>
    </row>
    <row r="108" spans="2:17">
      <c r="B108" s="449"/>
      <c r="C108" s="449"/>
      <c r="D108" s="449"/>
      <c r="E108" s="449"/>
      <c r="F108" s="449"/>
      <c r="G108" s="449"/>
      <c r="H108" s="449"/>
      <c r="I108" s="449"/>
      <c r="L108" s="449"/>
      <c r="M108" s="449"/>
      <c r="N108" s="449"/>
      <c r="O108" s="449"/>
      <c r="P108" s="449"/>
      <c r="Q108" s="449"/>
    </row>
    <row r="109" spans="2:17">
      <c r="B109" s="449"/>
      <c r="C109" s="449"/>
      <c r="D109" s="449"/>
      <c r="E109" s="449"/>
      <c r="F109" s="449"/>
      <c r="G109" s="449"/>
      <c r="H109" s="449"/>
      <c r="I109" s="449"/>
      <c r="L109" s="449"/>
      <c r="M109" s="449"/>
      <c r="N109" s="449"/>
      <c r="O109" s="449"/>
      <c r="P109" s="449"/>
      <c r="Q109" s="449"/>
    </row>
    <row r="110" spans="2:17">
      <c r="B110" s="449"/>
      <c r="C110" s="449"/>
      <c r="D110" s="449"/>
      <c r="E110" s="449"/>
      <c r="F110" s="449"/>
      <c r="G110" s="449"/>
      <c r="H110" s="449"/>
      <c r="I110" s="449"/>
      <c r="L110" s="449"/>
      <c r="M110" s="449"/>
      <c r="N110" s="449"/>
      <c r="O110" s="449"/>
      <c r="P110" s="449"/>
      <c r="Q110" s="449"/>
    </row>
    <row r="111" spans="2:17">
      <c r="B111" s="449"/>
      <c r="C111" s="449"/>
      <c r="D111" s="449"/>
      <c r="E111" s="449"/>
      <c r="F111" s="449"/>
      <c r="G111" s="449"/>
      <c r="H111" s="449"/>
      <c r="I111" s="449"/>
      <c r="L111" s="449"/>
      <c r="M111" s="449"/>
      <c r="N111" s="449"/>
      <c r="O111" s="449"/>
      <c r="P111" s="449"/>
      <c r="Q111" s="449"/>
    </row>
    <row r="112" spans="2:17">
      <c r="B112" s="449"/>
      <c r="C112" s="449"/>
      <c r="D112" s="449"/>
      <c r="E112" s="449"/>
      <c r="F112" s="449"/>
      <c r="G112" s="449"/>
      <c r="H112" s="449"/>
      <c r="I112" s="449"/>
      <c r="L112" s="449"/>
      <c r="M112" s="449"/>
      <c r="N112" s="449"/>
      <c r="O112" s="449"/>
      <c r="P112" s="449"/>
      <c r="Q112" s="449"/>
    </row>
    <row r="113" spans="2:17">
      <c r="B113" s="449"/>
      <c r="C113" s="449"/>
      <c r="D113" s="449"/>
      <c r="E113" s="449"/>
      <c r="F113" s="449"/>
      <c r="G113" s="449"/>
      <c r="H113" s="449"/>
      <c r="I113" s="449"/>
      <c r="L113" s="449"/>
      <c r="M113" s="449"/>
      <c r="N113" s="449"/>
      <c r="O113" s="449"/>
      <c r="P113" s="449"/>
      <c r="Q113" s="449"/>
    </row>
    <row r="114" spans="2:17">
      <c r="B114" s="449"/>
      <c r="C114" s="449"/>
      <c r="D114" s="449"/>
      <c r="E114" s="449"/>
      <c r="F114" s="449"/>
      <c r="G114" s="449"/>
      <c r="H114" s="449"/>
      <c r="I114" s="449"/>
      <c r="L114" s="449"/>
      <c r="M114" s="449"/>
      <c r="N114" s="449"/>
      <c r="O114" s="449"/>
      <c r="P114" s="449"/>
      <c r="Q114" s="449"/>
    </row>
    <row r="115" spans="2:17">
      <c r="B115" s="449"/>
      <c r="C115" s="449"/>
      <c r="D115" s="449"/>
      <c r="E115" s="449"/>
      <c r="F115" s="449"/>
      <c r="G115" s="449"/>
      <c r="H115" s="449"/>
      <c r="I115" s="449"/>
      <c r="L115" s="449"/>
      <c r="M115" s="449"/>
      <c r="N115" s="449"/>
      <c r="O115" s="449"/>
      <c r="P115" s="449"/>
      <c r="Q115" s="449"/>
    </row>
    <row r="116" spans="2:17">
      <c r="B116" s="449"/>
      <c r="C116" s="449"/>
      <c r="D116" s="449"/>
      <c r="E116" s="449"/>
      <c r="F116" s="449"/>
      <c r="G116" s="449"/>
      <c r="H116" s="449"/>
      <c r="I116" s="449"/>
      <c r="L116" s="449"/>
      <c r="M116" s="449"/>
      <c r="N116" s="449"/>
      <c r="O116" s="449"/>
      <c r="P116" s="449"/>
      <c r="Q116" s="449"/>
    </row>
    <row r="117" spans="2:17">
      <c r="B117" s="449"/>
      <c r="C117" s="449"/>
      <c r="D117" s="449"/>
      <c r="E117" s="449"/>
      <c r="F117" s="449"/>
      <c r="G117" s="449"/>
      <c r="H117" s="449"/>
      <c r="I117" s="449"/>
      <c r="L117" s="449"/>
      <c r="M117" s="449"/>
      <c r="N117" s="449"/>
      <c r="O117" s="449"/>
      <c r="P117" s="449"/>
      <c r="Q117" s="449"/>
    </row>
    <row r="118" spans="2:17">
      <c r="B118" s="449"/>
      <c r="C118" s="449"/>
      <c r="D118" s="449"/>
      <c r="E118" s="449"/>
      <c r="F118" s="449"/>
      <c r="G118" s="449"/>
      <c r="H118" s="449"/>
      <c r="I118" s="449"/>
      <c r="L118" s="449"/>
      <c r="M118" s="449"/>
      <c r="N118" s="449"/>
      <c r="O118" s="449"/>
      <c r="P118" s="449"/>
      <c r="Q118" s="449"/>
    </row>
    <row r="119" spans="2:17">
      <c r="B119" s="449"/>
      <c r="C119" s="449"/>
      <c r="D119" s="449"/>
      <c r="E119" s="449"/>
      <c r="F119" s="449"/>
      <c r="G119" s="449"/>
      <c r="H119" s="449"/>
      <c r="I119" s="449"/>
      <c r="L119" s="449"/>
      <c r="M119" s="449"/>
      <c r="N119" s="449"/>
      <c r="O119" s="449"/>
      <c r="P119" s="449"/>
      <c r="Q119" s="449"/>
    </row>
    <row r="120" spans="2:17">
      <c r="B120" s="449"/>
      <c r="C120" s="449"/>
      <c r="D120" s="449"/>
      <c r="E120" s="449"/>
      <c r="F120" s="449"/>
      <c r="G120" s="449"/>
      <c r="H120" s="449"/>
      <c r="I120" s="449"/>
      <c r="L120" s="449"/>
      <c r="M120" s="449"/>
      <c r="N120" s="449"/>
      <c r="O120" s="449"/>
      <c r="P120" s="449"/>
      <c r="Q120" s="449"/>
    </row>
    <row r="121" spans="2:17">
      <c r="B121" s="449"/>
      <c r="C121" s="449"/>
      <c r="D121" s="449"/>
      <c r="E121" s="449"/>
      <c r="F121" s="449"/>
      <c r="G121" s="449"/>
      <c r="H121" s="449"/>
      <c r="I121" s="449"/>
      <c r="L121" s="449"/>
      <c r="M121" s="449"/>
      <c r="N121" s="449"/>
      <c r="O121" s="449"/>
      <c r="P121" s="449"/>
      <c r="Q121" s="449"/>
    </row>
    <row r="122" spans="2:17">
      <c r="B122" s="449"/>
      <c r="C122" s="449"/>
      <c r="D122" s="449"/>
      <c r="E122" s="449"/>
      <c r="F122" s="449"/>
      <c r="G122" s="449"/>
      <c r="H122" s="449"/>
      <c r="I122" s="449"/>
      <c r="L122" s="449"/>
      <c r="M122" s="449"/>
      <c r="N122" s="449"/>
      <c r="O122" s="449"/>
      <c r="P122" s="449"/>
      <c r="Q122" s="449"/>
    </row>
    <row r="123" spans="2:17">
      <c r="B123" s="449"/>
      <c r="C123" s="449"/>
      <c r="D123" s="449"/>
      <c r="E123" s="449"/>
      <c r="F123" s="449"/>
      <c r="G123" s="449"/>
      <c r="H123" s="449"/>
      <c r="I123" s="449"/>
      <c r="L123" s="449"/>
      <c r="M123" s="449"/>
      <c r="N123" s="449"/>
      <c r="O123" s="449"/>
      <c r="P123" s="449"/>
      <c r="Q123" s="449"/>
    </row>
    <row r="124" spans="2:17">
      <c r="B124" s="449"/>
      <c r="C124" s="449"/>
      <c r="D124" s="449"/>
      <c r="E124" s="449"/>
      <c r="F124" s="449"/>
      <c r="G124" s="449"/>
      <c r="H124" s="449"/>
      <c r="I124" s="449"/>
      <c r="L124" s="449"/>
      <c r="M124" s="449"/>
      <c r="N124" s="449"/>
      <c r="O124" s="449"/>
      <c r="P124" s="449"/>
      <c r="Q124" s="449"/>
    </row>
    <row r="125" spans="2:17">
      <c r="B125" s="449"/>
      <c r="C125" s="449"/>
      <c r="D125" s="449"/>
      <c r="E125" s="449"/>
      <c r="F125" s="449"/>
      <c r="G125" s="449"/>
      <c r="H125" s="449"/>
      <c r="I125" s="449"/>
      <c r="L125" s="449"/>
      <c r="M125" s="449"/>
      <c r="N125" s="449"/>
      <c r="O125" s="449"/>
      <c r="P125" s="449"/>
      <c r="Q125" s="449"/>
    </row>
    <row r="126" spans="2:17">
      <c r="B126" s="449"/>
      <c r="C126" s="449"/>
      <c r="D126" s="449"/>
      <c r="E126" s="449"/>
      <c r="F126" s="449"/>
      <c r="G126" s="449"/>
      <c r="H126" s="449"/>
      <c r="I126" s="449"/>
      <c r="L126" s="449"/>
      <c r="M126" s="449"/>
      <c r="N126" s="449"/>
      <c r="O126" s="449"/>
      <c r="P126" s="449"/>
      <c r="Q126" s="449"/>
    </row>
    <row r="127" spans="2:17">
      <c r="B127" s="449"/>
      <c r="C127" s="449"/>
      <c r="D127" s="449"/>
      <c r="E127" s="449"/>
      <c r="F127" s="449"/>
      <c r="G127" s="449"/>
      <c r="H127" s="449"/>
      <c r="I127" s="449"/>
      <c r="L127" s="449"/>
      <c r="M127" s="449"/>
      <c r="N127" s="449"/>
      <c r="O127" s="449"/>
      <c r="P127" s="449"/>
      <c r="Q127" s="449"/>
    </row>
    <row r="128" spans="2:17">
      <c r="B128" s="449"/>
      <c r="C128" s="449"/>
      <c r="D128" s="449"/>
      <c r="E128" s="449"/>
      <c r="F128" s="449"/>
      <c r="G128" s="449"/>
      <c r="H128" s="449"/>
      <c r="I128" s="449"/>
      <c r="L128" s="449"/>
      <c r="M128" s="449"/>
      <c r="N128" s="449"/>
      <c r="O128" s="449"/>
      <c r="P128" s="449"/>
      <c r="Q128" s="449"/>
    </row>
    <row r="129" spans="2:17">
      <c r="B129" s="449"/>
      <c r="C129" s="449"/>
      <c r="D129" s="449"/>
      <c r="E129" s="449"/>
      <c r="F129" s="449"/>
      <c r="G129" s="449"/>
      <c r="H129" s="449"/>
      <c r="I129" s="449"/>
      <c r="L129" s="449"/>
      <c r="M129" s="449"/>
      <c r="N129" s="449"/>
      <c r="O129" s="449"/>
      <c r="P129" s="449"/>
      <c r="Q129" s="449"/>
    </row>
    <row r="130" spans="2:17">
      <c r="B130" s="449"/>
      <c r="C130" s="449"/>
      <c r="D130" s="449"/>
      <c r="E130" s="449"/>
      <c r="F130" s="449"/>
      <c r="G130" s="449"/>
      <c r="H130" s="449"/>
      <c r="I130" s="449"/>
      <c r="L130" s="449"/>
      <c r="M130" s="449"/>
      <c r="N130" s="449"/>
      <c r="O130" s="449"/>
      <c r="P130" s="449"/>
      <c r="Q130" s="449"/>
    </row>
    <row r="131" spans="2:17">
      <c r="B131" s="449"/>
      <c r="C131" s="449"/>
      <c r="D131" s="449"/>
      <c r="E131" s="449"/>
      <c r="F131" s="449"/>
      <c r="G131" s="449"/>
      <c r="H131" s="449"/>
      <c r="I131" s="449"/>
      <c r="L131" s="449"/>
      <c r="M131" s="449"/>
      <c r="N131" s="449"/>
      <c r="O131" s="449"/>
      <c r="P131" s="449"/>
      <c r="Q131" s="449"/>
    </row>
    <row r="132" spans="2:17">
      <c r="B132" s="449"/>
      <c r="C132" s="449"/>
      <c r="D132" s="449"/>
      <c r="E132" s="449"/>
      <c r="F132" s="449"/>
      <c r="G132" s="449"/>
      <c r="H132" s="449"/>
      <c r="I132" s="449"/>
      <c r="L132" s="449"/>
      <c r="M132" s="449"/>
      <c r="N132" s="449"/>
      <c r="O132" s="449"/>
      <c r="P132" s="449"/>
      <c r="Q132" s="449"/>
    </row>
    <row r="133" spans="2:17">
      <c r="B133" s="449"/>
      <c r="C133" s="449"/>
      <c r="D133" s="449"/>
      <c r="E133" s="449"/>
      <c r="F133" s="449"/>
      <c r="G133" s="449"/>
      <c r="H133" s="449"/>
      <c r="I133" s="449"/>
      <c r="L133" s="449"/>
      <c r="M133" s="449"/>
      <c r="N133" s="449"/>
      <c r="O133" s="449"/>
      <c r="P133" s="449"/>
      <c r="Q133" s="449"/>
    </row>
    <row r="134" spans="2:17">
      <c r="B134" s="449"/>
      <c r="C134" s="449"/>
      <c r="D134" s="449"/>
      <c r="E134" s="449"/>
      <c r="F134" s="449"/>
      <c r="G134" s="449"/>
      <c r="H134" s="449"/>
      <c r="I134" s="449"/>
      <c r="L134" s="449"/>
      <c r="M134" s="449"/>
      <c r="N134" s="449"/>
      <c r="O134" s="449"/>
      <c r="P134" s="449"/>
      <c r="Q134" s="449"/>
    </row>
    <row r="135" spans="2:17">
      <c r="B135" s="449"/>
      <c r="C135" s="449"/>
      <c r="D135" s="449"/>
      <c r="E135" s="449"/>
      <c r="F135" s="449"/>
      <c r="G135" s="449"/>
      <c r="H135" s="449"/>
      <c r="I135" s="449"/>
      <c r="L135" s="449"/>
      <c r="M135" s="449"/>
      <c r="N135" s="449"/>
      <c r="O135" s="449"/>
      <c r="P135" s="449"/>
      <c r="Q135" s="449"/>
    </row>
    <row r="136" spans="2:17">
      <c r="B136" s="449"/>
      <c r="C136" s="449"/>
      <c r="D136" s="449"/>
      <c r="E136" s="449"/>
      <c r="F136" s="449"/>
      <c r="G136" s="449"/>
      <c r="H136" s="449"/>
      <c r="I136" s="449"/>
      <c r="L136" s="449"/>
      <c r="M136" s="449"/>
      <c r="N136" s="449"/>
      <c r="O136" s="449"/>
      <c r="P136" s="449"/>
      <c r="Q136" s="449"/>
    </row>
    <row r="137" spans="2:17">
      <c r="B137" s="449"/>
      <c r="C137" s="449"/>
      <c r="D137" s="449"/>
      <c r="E137" s="449"/>
      <c r="F137" s="449"/>
      <c r="G137" s="449"/>
      <c r="H137" s="449"/>
      <c r="I137" s="449"/>
      <c r="L137" s="449"/>
      <c r="M137" s="449"/>
      <c r="N137" s="449"/>
      <c r="O137" s="449"/>
      <c r="P137" s="449"/>
      <c r="Q137" s="449"/>
    </row>
    <row r="138" spans="2:17">
      <c r="B138" s="449"/>
      <c r="C138" s="449"/>
      <c r="D138" s="449"/>
      <c r="E138" s="449"/>
      <c r="F138" s="449"/>
      <c r="G138" s="449"/>
      <c r="H138" s="449"/>
      <c r="I138" s="449"/>
      <c r="L138" s="449"/>
      <c r="M138" s="449"/>
      <c r="N138" s="449"/>
      <c r="O138" s="449"/>
      <c r="P138" s="449"/>
      <c r="Q138" s="449"/>
    </row>
    <row r="139" spans="2:17">
      <c r="B139" s="449"/>
      <c r="C139" s="449"/>
      <c r="D139" s="449"/>
      <c r="E139" s="449"/>
      <c r="F139" s="449"/>
      <c r="G139" s="449"/>
      <c r="H139" s="449"/>
      <c r="I139" s="449"/>
      <c r="L139" s="449"/>
      <c r="M139" s="449"/>
      <c r="N139" s="449"/>
      <c r="O139" s="449"/>
      <c r="P139" s="449"/>
      <c r="Q139" s="449"/>
    </row>
    <row r="140" spans="2:17">
      <c r="B140" s="449"/>
      <c r="C140" s="449"/>
      <c r="D140" s="449"/>
      <c r="E140" s="449"/>
      <c r="F140" s="449"/>
      <c r="G140" s="449"/>
      <c r="H140" s="449"/>
      <c r="I140" s="449"/>
      <c r="L140" s="449"/>
      <c r="M140" s="449"/>
      <c r="N140" s="449"/>
      <c r="O140" s="449"/>
      <c r="P140" s="449"/>
      <c r="Q140" s="449"/>
    </row>
    <row r="141" spans="2:17">
      <c r="B141" s="449"/>
      <c r="C141" s="449"/>
      <c r="D141" s="449"/>
      <c r="E141" s="449"/>
      <c r="F141" s="449"/>
      <c r="G141" s="449"/>
      <c r="H141" s="449"/>
      <c r="I141" s="449"/>
      <c r="L141" s="449"/>
      <c r="M141" s="449"/>
      <c r="N141" s="449"/>
      <c r="O141" s="449"/>
      <c r="P141" s="449"/>
      <c r="Q141" s="449"/>
    </row>
    <row r="142" spans="2:17">
      <c r="B142" s="449"/>
      <c r="C142" s="449"/>
      <c r="D142" s="449"/>
      <c r="E142" s="449"/>
      <c r="F142" s="449"/>
      <c r="G142" s="449"/>
      <c r="H142" s="449"/>
      <c r="I142" s="449"/>
      <c r="L142" s="449"/>
      <c r="M142" s="449"/>
      <c r="N142" s="449"/>
      <c r="O142" s="449"/>
      <c r="P142" s="449"/>
      <c r="Q142" s="449"/>
    </row>
    <row r="143" spans="2:17">
      <c r="B143" s="449"/>
      <c r="C143" s="449"/>
      <c r="D143" s="449"/>
      <c r="E143" s="449"/>
      <c r="F143" s="449"/>
      <c r="G143" s="449"/>
      <c r="H143" s="449"/>
      <c r="I143" s="449"/>
      <c r="L143" s="449"/>
      <c r="M143" s="449"/>
      <c r="N143" s="449"/>
      <c r="O143" s="449"/>
      <c r="P143" s="449"/>
      <c r="Q143" s="449"/>
    </row>
    <row r="144" spans="2:17">
      <c r="B144" s="449"/>
      <c r="C144" s="449"/>
      <c r="D144" s="449"/>
      <c r="E144" s="449"/>
      <c r="F144" s="449"/>
      <c r="G144" s="449"/>
      <c r="H144" s="449"/>
      <c r="I144" s="449"/>
      <c r="L144" s="449"/>
      <c r="M144" s="449"/>
      <c r="N144" s="449"/>
      <c r="O144" s="449"/>
      <c r="P144" s="449"/>
      <c r="Q144" s="449"/>
    </row>
    <row r="145" spans="2:17">
      <c r="B145" s="449"/>
      <c r="C145" s="449"/>
      <c r="D145" s="449"/>
      <c r="E145" s="449"/>
      <c r="F145" s="449"/>
      <c r="G145" s="449"/>
      <c r="H145" s="449"/>
      <c r="I145" s="449"/>
      <c r="L145" s="449"/>
      <c r="M145" s="449"/>
      <c r="N145" s="449"/>
      <c r="O145" s="449"/>
      <c r="P145" s="449"/>
      <c r="Q145" s="449"/>
    </row>
    <row r="146" spans="2:17">
      <c r="B146" s="449"/>
      <c r="C146" s="449"/>
      <c r="D146" s="449"/>
      <c r="E146" s="449"/>
      <c r="F146" s="449"/>
      <c r="G146" s="449"/>
      <c r="H146" s="449"/>
      <c r="I146" s="449"/>
      <c r="L146" s="449"/>
      <c r="M146" s="449"/>
      <c r="N146" s="449"/>
      <c r="O146" s="449"/>
      <c r="P146" s="449"/>
      <c r="Q146" s="449"/>
    </row>
    <row r="147" spans="2:17">
      <c r="B147" s="449"/>
      <c r="C147" s="449"/>
      <c r="D147" s="449"/>
      <c r="E147" s="449"/>
      <c r="F147" s="449"/>
      <c r="G147" s="449"/>
      <c r="H147" s="449"/>
      <c r="I147" s="449"/>
      <c r="L147" s="449"/>
      <c r="M147" s="449"/>
      <c r="N147" s="449"/>
      <c r="O147" s="449"/>
      <c r="P147" s="449"/>
      <c r="Q147" s="449"/>
    </row>
    <row r="148" spans="2:17">
      <c r="B148" s="449"/>
      <c r="C148" s="449"/>
      <c r="D148" s="449"/>
      <c r="E148" s="449"/>
      <c r="F148" s="449"/>
      <c r="G148" s="449"/>
      <c r="H148" s="449"/>
      <c r="I148" s="449"/>
      <c r="L148" s="449"/>
      <c r="M148" s="449"/>
      <c r="N148" s="449"/>
      <c r="O148" s="449"/>
      <c r="P148" s="449"/>
      <c r="Q148" s="449"/>
    </row>
    <row r="149" spans="2:17">
      <c r="B149" s="449"/>
      <c r="C149" s="449"/>
      <c r="D149" s="449"/>
      <c r="E149" s="449"/>
      <c r="F149" s="449"/>
      <c r="G149" s="449"/>
      <c r="H149" s="449"/>
      <c r="I149" s="449"/>
      <c r="L149" s="449"/>
      <c r="M149" s="449"/>
      <c r="N149" s="449"/>
      <c r="O149" s="449"/>
      <c r="P149" s="449"/>
      <c r="Q149" s="449"/>
    </row>
    <row r="150" spans="2:17">
      <c r="B150" s="449"/>
      <c r="C150" s="449"/>
      <c r="D150" s="449"/>
      <c r="E150" s="449"/>
      <c r="F150" s="449"/>
      <c r="G150" s="449"/>
      <c r="H150" s="449"/>
      <c r="I150" s="449"/>
      <c r="L150" s="449"/>
      <c r="M150" s="449"/>
      <c r="N150" s="449"/>
      <c r="O150" s="449"/>
      <c r="P150" s="449"/>
      <c r="Q150" s="449"/>
    </row>
    <row r="151" spans="2:17">
      <c r="B151" s="449"/>
      <c r="C151" s="449"/>
      <c r="D151" s="449"/>
      <c r="E151" s="449"/>
      <c r="F151" s="449"/>
      <c r="G151" s="449"/>
      <c r="H151" s="449"/>
      <c r="I151" s="449"/>
      <c r="L151" s="449"/>
      <c r="M151" s="449"/>
      <c r="N151" s="449"/>
      <c r="O151" s="449"/>
      <c r="P151" s="449"/>
      <c r="Q151" s="449"/>
    </row>
    <row r="152" spans="2:17">
      <c r="B152" s="449"/>
      <c r="C152" s="449"/>
      <c r="D152" s="449"/>
      <c r="E152" s="449"/>
      <c r="F152" s="449"/>
      <c r="G152" s="449"/>
      <c r="H152" s="449"/>
      <c r="I152" s="449"/>
      <c r="L152" s="449"/>
      <c r="M152" s="449"/>
      <c r="N152" s="449"/>
      <c r="O152" s="449"/>
      <c r="P152" s="449"/>
      <c r="Q152" s="449"/>
    </row>
    <row r="153" spans="2:17">
      <c r="B153" s="449"/>
      <c r="C153" s="449"/>
      <c r="D153" s="449"/>
      <c r="E153" s="449"/>
      <c r="F153" s="449"/>
      <c r="G153" s="449"/>
      <c r="H153" s="449"/>
      <c r="I153" s="449"/>
      <c r="L153" s="449"/>
      <c r="M153" s="449"/>
      <c r="N153" s="449"/>
      <c r="O153" s="449"/>
      <c r="P153" s="449"/>
      <c r="Q153" s="449"/>
    </row>
    <row r="154" spans="2:17">
      <c r="B154" s="449"/>
      <c r="C154" s="449"/>
      <c r="D154" s="449"/>
      <c r="E154" s="449"/>
      <c r="F154" s="449"/>
      <c r="G154" s="449"/>
      <c r="H154" s="449"/>
      <c r="I154" s="449"/>
      <c r="L154" s="449"/>
      <c r="M154" s="449"/>
      <c r="N154" s="449"/>
      <c r="O154" s="449"/>
      <c r="P154" s="449"/>
      <c r="Q154" s="449"/>
    </row>
    <row r="155" spans="2:17">
      <c r="B155" s="449"/>
      <c r="C155" s="449"/>
      <c r="D155" s="449"/>
      <c r="E155" s="449"/>
      <c r="F155" s="449"/>
      <c r="G155" s="449"/>
      <c r="H155" s="449"/>
      <c r="I155" s="449"/>
      <c r="L155" s="449"/>
      <c r="M155" s="449"/>
      <c r="N155" s="449"/>
      <c r="O155" s="449"/>
      <c r="P155" s="449"/>
      <c r="Q155" s="449"/>
    </row>
    <row r="156" spans="2:17">
      <c r="B156" s="449"/>
      <c r="C156" s="449"/>
      <c r="D156" s="449"/>
      <c r="E156" s="449"/>
      <c r="F156" s="449"/>
      <c r="G156" s="449"/>
      <c r="H156" s="449"/>
      <c r="I156" s="449"/>
      <c r="L156" s="449"/>
      <c r="M156" s="449"/>
      <c r="N156" s="449"/>
      <c r="O156" s="449"/>
      <c r="P156" s="449"/>
      <c r="Q156" s="449"/>
    </row>
    <row r="157" spans="2:17">
      <c r="B157" s="449"/>
      <c r="C157" s="449"/>
      <c r="D157" s="449"/>
      <c r="E157" s="449"/>
      <c r="F157" s="449"/>
      <c r="G157" s="449"/>
      <c r="H157" s="449"/>
      <c r="I157" s="449"/>
      <c r="L157" s="449"/>
      <c r="M157" s="449"/>
      <c r="N157" s="449"/>
      <c r="O157" s="449"/>
      <c r="P157" s="449"/>
      <c r="Q157" s="449"/>
    </row>
    <row r="158" spans="2:17">
      <c r="B158" s="449"/>
      <c r="C158" s="449"/>
      <c r="D158" s="449"/>
      <c r="E158" s="449"/>
      <c r="F158" s="449"/>
      <c r="G158" s="449"/>
      <c r="H158" s="449"/>
      <c r="I158" s="449"/>
      <c r="L158" s="449"/>
      <c r="M158" s="449"/>
      <c r="N158" s="449"/>
      <c r="O158" s="449"/>
      <c r="P158" s="449"/>
      <c r="Q158" s="449"/>
    </row>
    <row r="159" spans="2:17">
      <c r="B159" s="449"/>
      <c r="C159" s="449"/>
      <c r="D159" s="449"/>
      <c r="E159" s="449"/>
      <c r="F159" s="449"/>
      <c r="G159" s="449"/>
      <c r="H159" s="449"/>
      <c r="I159" s="449"/>
      <c r="L159" s="449"/>
      <c r="M159" s="449"/>
      <c r="N159" s="449"/>
      <c r="O159" s="449"/>
      <c r="P159" s="449"/>
      <c r="Q159" s="449"/>
    </row>
    <row r="160" spans="2:17">
      <c r="B160" s="449"/>
      <c r="C160" s="449"/>
      <c r="D160" s="449"/>
      <c r="E160" s="449"/>
      <c r="F160" s="449"/>
      <c r="G160" s="449"/>
      <c r="H160" s="449"/>
      <c r="I160" s="449"/>
      <c r="L160" s="449"/>
      <c r="M160" s="449"/>
      <c r="N160" s="449"/>
      <c r="O160" s="449"/>
      <c r="P160" s="449"/>
      <c r="Q160" s="449"/>
    </row>
    <row r="161" spans="2:17">
      <c r="B161" s="449"/>
      <c r="C161" s="449"/>
      <c r="D161" s="449"/>
      <c r="E161" s="449"/>
      <c r="F161" s="449"/>
      <c r="G161" s="449"/>
      <c r="H161" s="449"/>
      <c r="I161" s="449"/>
      <c r="L161" s="449"/>
      <c r="M161" s="449"/>
      <c r="N161" s="449"/>
      <c r="O161" s="449"/>
      <c r="P161" s="449"/>
      <c r="Q161" s="449"/>
    </row>
    <row r="162" spans="2:17">
      <c r="B162" s="449"/>
      <c r="C162" s="449"/>
      <c r="D162" s="449"/>
      <c r="E162" s="449"/>
      <c r="F162" s="449"/>
      <c r="G162" s="449"/>
      <c r="H162" s="449"/>
      <c r="I162" s="449"/>
      <c r="L162" s="449"/>
      <c r="M162" s="449"/>
      <c r="N162" s="449"/>
      <c r="O162" s="449"/>
      <c r="P162" s="449"/>
      <c r="Q162" s="449"/>
    </row>
    <row r="163" spans="2:17">
      <c r="B163" s="449"/>
      <c r="C163" s="449"/>
      <c r="D163" s="449"/>
      <c r="E163" s="449"/>
      <c r="F163" s="449"/>
      <c r="G163" s="449"/>
      <c r="H163" s="449"/>
      <c r="I163" s="449"/>
      <c r="L163" s="449"/>
      <c r="M163" s="449"/>
      <c r="N163" s="449"/>
      <c r="O163" s="449"/>
      <c r="P163" s="449"/>
      <c r="Q163" s="449"/>
    </row>
    <row r="164" spans="2:17">
      <c r="B164" s="449"/>
      <c r="C164" s="449"/>
      <c r="D164" s="449"/>
      <c r="E164" s="449"/>
      <c r="F164" s="449"/>
      <c r="G164" s="449"/>
      <c r="H164" s="449"/>
      <c r="I164" s="449"/>
      <c r="L164" s="449"/>
      <c r="M164" s="449"/>
      <c r="N164" s="449"/>
      <c r="O164" s="449"/>
      <c r="P164" s="449"/>
      <c r="Q164" s="449"/>
    </row>
    <row r="165" spans="2:17">
      <c r="B165" s="449"/>
      <c r="C165" s="449"/>
      <c r="D165" s="449"/>
      <c r="E165" s="449"/>
      <c r="F165" s="449"/>
      <c r="G165" s="449"/>
      <c r="H165" s="449"/>
      <c r="I165" s="449"/>
      <c r="L165" s="449"/>
      <c r="M165" s="449"/>
      <c r="N165" s="449"/>
      <c r="O165" s="449"/>
      <c r="P165" s="449"/>
      <c r="Q165" s="449"/>
    </row>
    <row r="166" spans="2:17">
      <c r="B166" s="449"/>
      <c r="C166" s="449"/>
      <c r="D166" s="449"/>
      <c r="E166" s="449"/>
      <c r="F166" s="449"/>
      <c r="G166" s="449"/>
      <c r="H166" s="449"/>
      <c r="I166" s="449"/>
      <c r="L166" s="449"/>
      <c r="M166" s="449"/>
      <c r="N166" s="449"/>
      <c r="O166" s="449"/>
      <c r="P166" s="449"/>
      <c r="Q166" s="449"/>
    </row>
    <row r="167" spans="2:17">
      <c r="B167" s="449"/>
      <c r="C167" s="449"/>
      <c r="D167" s="449"/>
      <c r="E167" s="449"/>
      <c r="F167" s="449"/>
      <c r="G167" s="449"/>
      <c r="H167" s="449"/>
      <c r="I167" s="449"/>
      <c r="L167" s="449"/>
      <c r="M167" s="449"/>
      <c r="N167" s="449"/>
      <c r="O167" s="449"/>
      <c r="P167" s="449"/>
      <c r="Q167" s="449"/>
    </row>
    <row r="168" spans="2:17">
      <c r="B168" s="449"/>
      <c r="C168" s="449"/>
      <c r="D168" s="449"/>
      <c r="E168" s="449"/>
      <c r="F168" s="449"/>
      <c r="G168" s="449"/>
      <c r="H168" s="449"/>
      <c r="I168" s="449"/>
      <c r="L168" s="449"/>
      <c r="M168" s="449"/>
      <c r="N168" s="449"/>
      <c r="O168" s="449"/>
      <c r="P168" s="449"/>
      <c r="Q168" s="449"/>
    </row>
    <row r="169" spans="2:17">
      <c r="B169" s="449"/>
      <c r="C169" s="449"/>
      <c r="D169" s="449"/>
      <c r="E169" s="449"/>
      <c r="F169" s="449"/>
      <c r="G169" s="449"/>
      <c r="H169" s="449"/>
      <c r="I169" s="449"/>
      <c r="L169" s="449"/>
      <c r="M169" s="449"/>
      <c r="N169" s="449"/>
      <c r="O169" s="449"/>
      <c r="P169" s="449"/>
      <c r="Q169" s="449"/>
    </row>
    <row r="170" spans="2:17">
      <c r="B170" s="449"/>
      <c r="C170" s="449"/>
      <c r="D170" s="449"/>
      <c r="E170" s="449"/>
      <c r="F170" s="449"/>
      <c r="G170" s="449"/>
      <c r="H170" s="449"/>
      <c r="I170" s="449"/>
      <c r="L170" s="449"/>
      <c r="M170" s="449"/>
      <c r="N170" s="449"/>
      <c r="O170" s="449"/>
      <c r="P170" s="449"/>
      <c r="Q170" s="449"/>
    </row>
    <row r="171" spans="2:17">
      <c r="B171" s="449"/>
      <c r="C171" s="449"/>
      <c r="D171" s="449"/>
      <c r="E171" s="449"/>
      <c r="F171" s="449"/>
      <c r="G171" s="449"/>
      <c r="H171" s="449"/>
      <c r="I171" s="449"/>
      <c r="L171" s="449"/>
      <c r="M171" s="449"/>
      <c r="N171" s="449"/>
      <c r="O171" s="449"/>
      <c r="P171" s="449"/>
      <c r="Q171" s="449"/>
    </row>
    <row r="172" spans="2:17">
      <c r="B172" s="449"/>
      <c r="C172" s="449"/>
      <c r="D172" s="449"/>
      <c r="E172" s="449"/>
      <c r="F172" s="449"/>
      <c r="G172" s="449"/>
      <c r="H172" s="449"/>
      <c r="I172" s="449"/>
      <c r="L172" s="449"/>
      <c r="M172" s="449"/>
      <c r="N172" s="449"/>
      <c r="O172" s="449"/>
      <c r="P172" s="449"/>
      <c r="Q172" s="449"/>
    </row>
    <row r="173" spans="2:17">
      <c r="B173" s="449"/>
      <c r="C173" s="449"/>
      <c r="D173" s="449"/>
      <c r="E173" s="449"/>
      <c r="F173" s="449"/>
      <c r="G173" s="449"/>
      <c r="H173" s="449"/>
      <c r="I173" s="449"/>
      <c r="L173" s="449"/>
      <c r="M173" s="449"/>
      <c r="N173" s="449"/>
      <c r="O173" s="449"/>
      <c r="P173" s="449"/>
      <c r="Q173" s="449"/>
    </row>
    <row r="174" spans="2:17">
      <c r="B174" s="449"/>
      <c r="C174" s="449"/>
      <c r="D174" s="449"/>
      <c r="E174" s="449"/>
      <c r="F174" s="449"/>
      <c r="G174" s="449"/>
      <c r="H174" s="449"/>
      <c r="I174" s="449"/>
      <c r="L174" s="449"/>
      <c r="M174" s="449"/>
      <c r="N174" s="449"/>
      <c r="O174" s="449"/>
      <c r="P174" s="449"/>
      <c r="Q174" s="449"/>
    </row>
    <row r="175" spans="2:17">
      <c r="B175" s="449"/>
      <c r="C175" s="449"/>
      <c r="D175" s="449"/>
      <c r="E175" s="449"/>
      <c r="F175" s="449"/>
      <c r="G175" s="449"/>
      <c r="H175" s="449"/>
      <c r="I175" s="449"/>
      <c r="L175" s="449"/>
      <c r="M175" s="449"/>
      <c r="N175" s="449"/>
      <c r="O175" s="449"/>
      <c r="P175" s="449"/>
      <c r="Q175" s="449"/>
    </row>
    <row r="176" spans="2:17">
      <c r="B176" s="449"/>
      <c r="C176" s="449"/>
      <c r="D176" s="449"/>
      <c r="E176" s="449"/>
      <c r="F176" s="449"/>
      <c r="G176" s="449"/>
      <c r="H176" s="449"/>
      <c r="I176" s="449"/>
      <c r="L176" s="449"/>
      <c r="M176" s="449"/>
      <c r="N176" s="449"/>
      <c r="O176" s="449"/>
      <c r="P176" s="449"/>
      <c r="Q176" s="449"/>
    </row>
    <row r="177" spans="2:17">
      <c r="B177" s="449"/>
      <c r="C177" s="449"/>
      <c r="D177" s="449"/>
      <c r="E177" s="449"/>
      <c r="F177" s="449"/>
      <c r="G177" s="449"/>
      <c r="H177" s="449"/>
      <c r="I177" s="449"/>
      <c r="L177" s="449"/>
      <c r="M177" s="449"/>
      <c r="N177" s="449"/>
      <c r="O177" s="449"/>
      <c r="P177" s="449"/>
      <c r="Q177" s="449"/>
    </row>
    <row r="178" spans="2:17">
      <c r="B178" s="449"/>
      <c r="C178" s="449"/>
      <c r="D178" s="449"/>
      <c r="E178" s="449"/>
      <c r="F178" s="449"/>
      <c r="G178" s="449"/>
      <c r="H178" s="449"/>
      <c r="I178" s="449"/>
      <c r="L178" s="449"/>
      <c r="M178" s="449"/>
      <c r="N178" s="449"/>
      <c r="O178" s="449"/>
      <c r="P178" s="449"/>
      <c r="Q178" s="449"/>
    </row>
    <row r="179" spans="2:17">
      <c r="B179" s="449"/>
      <c r="C179" s="449"/>
      <c r="D179" s="449"/>
      <c r="E179" s="449"/>
      <c r="F179" s="449"/>
      <c r="G179" s="449"/>
      <c r="H179" s="449"/>
      <c r="I179" s="449"/>
      <c r="L179" s="449"/>
      <c r="M179" s="449"/>
      <c r="N179" s="449"/>
      <c r="O179" s="449"/>
      <c r="P179" s="449"/>
      <c r="Q179" s="449"/>
    </row>
    <row r="180" spans="2:17">
      <c r="B180" s="449"/>
      <c r="C180" s="449"/>
      <c r="D180" s="449"/>
      <c r="E180" s="449"/>
      <c r="F180" s="449"/>
      <c r="G180" s="449"/>
      <c r="H180" s="449"/>
      <c r="I180" s="449"/>
      <c r="L180" s="449"/>
      <c r="M180" s="449"/>
      <c r="N180" s="449"/>
      <c r="O180" s="449"/>
      <c r="P180" s="449"/>
      <c r="Q180" s="449"/>
    </row>
    <row r="181" spans="2:17">
      <c r="B181" s="449"/>
      <c r="C181" s="449"/>
      <c r="D181" s="449"/>
      <c r="E181" s="449"/>
      <c r="F181" s="449"/>
      <c r="G181" s="449"/>
      <c r="H181" s="449"/>
      <c r="I181" s="449"/>
      <c r="L181" s="449"/>
      <c r="M181" s="449"/>
      <c r="N181" s="449"/>
      <c r="O181" s="449"/>
      <c r="P181" s="449"/>
      <c r="Q181" s="449"/>
    </row>
    <row r="182" spans="2:17">
      <c r="B182" s="449"/>
      <c r="C182" s="449"/>
      <c r="D182" s="449"/>
      <c r="E182" s="449"/>
      <c r="F182" s="449"/>
      <c r="G182" s="449"/>
      <c r="H182" s="449"/>
      <c r="I182" s="449"/>
      <c r="L182" s="449"/>
      <c r="M182" s="449"/>
      <c r="N182" s="449"/>
      <c r="O182" s="449"/>
      <c r="P182" s="449"/>
      <c r="Q182" s="449"/>
    </row>
    <row r="183" spans="2:17">
      <c r="B183" s="449"/>
      <c r="C183" s="449"/>
      <c r="D183" s="449"/>
      <c r="E183" s="449"/>
      <c r="F183" s="449"/>
      <c r="G183" s="449"/>
      <c r="H183" s="449"/>
      <c r="I183" s="449"/>
      <c r="L183" s="449"/>
      <c r="M183" s="449"/>
      <c r="N183" s="449"/>
      <c r="O183" s="449"/>
      <c r="P183" s="449"/>
      <c r="Q183" s="449"/>
    </row>
    <row r="184" spans="2:17">
      <c r="B184" s="449"/>
      <c r="C184" s="449"/>
      <c r="D184" s="449"/>
      <c r="E184" s="449"/>
      <c r="F184" s="449"/>
      <c r="G184" s="449"/>
      <c r="H184" s="449"/>
      <c r="I184" s="449"/>
      <c r="L184" s="449"/>
      <c r="M184" s="449"/>
      <c r="N184" s="449"/>
      <c r="O184" s="449"/>
      <c r="P184" s="449"/>
      <c r="Q184" s="449"/>
    </row>
    <row r="185" spans="2:17">
      <c r="B185" s="449"/>
      <c r="C185" s="449"/>
      <c r="D185" s="449"/>
      <c r="E185" s="449"/>
      <c r="F185" s="449"/>
      <c r="G185" s="449"/>
      <c r="H185" s="449"/>
      <c r="I185" s="449"/>
      <c r="L185" s="449"/>
      <c r="M185" s="449"/>
      <c r="N185" s="449"/>
      <c r="O185" s="449"/>
      <c r="P185" s="449"/>
      <c r="Q185" s="449"/>
    </row>
    <row r="186" spans="2:17">
      <c r="B186" s="449"/>
      <c r="C186" s="449"/>
      <c r="D186" s="449"/>
      <c r="E186" s="449"/>
      <c r="F186" s="449"/>
      <c r="G186" s="449"/>
      <c r="H186" s="449"/>
      <c r="I186" s="449"/>
      <c r="L186" s="449"/>
      <c r="M186" s="449"/>
      <c r="N186" s="449"/>
      <c r="O186" s="449"/>
      <c r="P186" s="449"/>
      <c r="Q186" s="449"/>
    </row>
    <row r="187" spans="2:17">
      <c r="B187" s="449"/>
      <c r="C187" s="449"/>
      <c r="D187" s="449"/>
      <c r="E187" s="449"/>
      <c r="F187" s="449"/>
      <c r="G187" s="449"/>
      <c r="H187" s="449"/>
      <c r="I187" s="449"/>
      <c r="L187" s="449"/>
      <c r="M187" s="449"/>
      <c r="N187" s="449"/>
      <c r="O187" s="449"/>
      <c r="P187" s="449"/>
      <c r="Q187" s="449"/>
    </row>
    <row r="188" spans="2:17">
      <c r="B188" s="449"/>
      <c r="C188" s="449"/>
      <c r="D188" s="449"/>
      <c r="E188" s="449"/>
      <c r="F188" s="449"/>
      <c r="G188" s="449"/>
      <c r="H188" s="449"/>
      <c r="I188" s="449"/>
      <c r="L188" s="449"/>
      <c r="M188" s="449"/>
      <c r="N188" s="449"/>
      <c r="O188" s="449"/>
      <c r="P188" s="449"/>
      <c r="Q188" s="449"/>
    </row>
    <row r="189" spans="2:17">
      <c r="B189" s="449"/>
      <c r="C189" s="449"/>
      <c r="D189" s="449"/>
      <c r="E189" s="449"/>
      <c r="F189" s="449"/>
      <c r="G189" s="449"/>
      <c r="H189" s="449"/>
      <c r="I189" s="449"/>
      <c r="L189" s="449"/>
      <c r="M189" s="449"/>
      <c r="N189" s="449"/>
      <c r="O189" s="449"/>
      <c r="P189" s="449"/>
      <c r="Q189" s="449"/>
    </row>
    <row r="190" spans="2:17">
      <c r="B190" s="449"/>
      <c r="C190" s="449"/>
      <c r="D190" s="449"/>
      <c r="E190" s="449"/>
      <c r="F190" s="449"/>
      <c r="G190" s="449"/>
      <c r="H190" s="449"/>
      <c r="I190" s="449"/>
      <c r="L190" s="449"/>
      <c r="M190" s="449"/>
      <c r="N190" s="449"/>
      <c r="O190" s="449"/>
      <c r="P190" s="449"/>
      <c r="Q190" s="449"/>
    </row>
    <row r="191" spans="2:17">
      <c r="B191" s="449"/>
      <c r="C191" s="449"/>
      <c r="D191" s="449"/>
      <c r="E191" s="449"/>
      <c r="F191" s="449"/>
      <c r="G191" s="449"/>
      <c r="H191" s="449"/>
      <c r="I191" s="449"/>
      <c r="L191" s="449"/>
      <c r="M191" s="449"/>
      <c r="N191" s="449"/>
      <c r="O191" s="449"/>
      <c r="P191" s="449"/>
      <c r="Q191" s="449"/>
    </row>
    <row r="192" spans="2:17">
      <c r="B192" s="449"/>
      <c r="C192" s="449"/>
      <c r="D192" s="449"/>
      <c r="E192" s="449"/>
      <c r="F192" s="449"/>
      <c r="G192" s="449"/>
      <c r="H192" s="449"/>
      <c r="I192" s="449"/>
      <c r="L192" s="449"/>
      <c r="M192" s="449"/>
      <c r="N192" s="449"/>
      <c r="O192" s="449"/>
      <c r="P192" s="449"/>
      <c r="Q192" s="449"/>
    </row>
    <row r="193" spans="2:17">
      <c r="B193" s="449"/>
      <c r="C193" s="449"/>
      <c r="D193" s="449"/>
      <c r="E193" s="449"/>
      <c r="F193" s="449"/>
      <c r="G193" s="449"/>
      <c r="H193" s="449"/>
      <c r="I193" s="449"/>
      <c r="L193" s="449"/>
      <c r="M193" s="449"/>
      <c r="N193" s="449"/>
      <c r="O193" s="449"/>
      <c r="P193" s="449"/>
      <c r="Q193" s="449"/>
    </row>
    <row r="194" spans="2:17">
      <c r="B194" s="449"/>
      <c r="C194" s="449"/>
      <c r="D194" s="449"/>
      <c r="E194" s="449"/>
      <c r="F194" s="449"/>
      <c r="G194" s="449"/>
      <c r="H194" s="449"/>
      <c r="I194" s="449"/>
      <c r="L194" s="449"/>
      <c r="M194" s="449"/>
      <c r="N194" s="449"/>
      <c r="O194" s="449"/>
      <c r="P194" s="449"/>
      <c r="Q194" s="449"/>
    </row>
    <row r="195" spans="2:17">
      <c r="B195" s="449"/>
      <c r="C195" s="449"/>
      <c r="D195" s="449"/>
      <c r="E195" s="449"/>
      <c r="F195" s="449"/>
      <c r="G195" s="449"/>
      <c r="H195" s="449"/>
      <c r="I195" s="449"/>
      <c r="L195" s="449"/>
      <c r="M195" s="449"/>
      <c r="N195" s="449"/>
      <c r="O195" s="449"/>
      <c r="P195" s="449"/>
      <c r="Q195" s="449"/>
    </row>
    <row r="196" spans="2:17">
      <c r="B196" s="449"/>
      <c r="C196" s="449"/>
      <c r="D196" s="449"/>
      <c r="E196" s="449"/>
      <c r="F196" s="449"/>
      <c r="G196" s="449"/>
      <c r="H196" s="449"/>
      <c r="I196" s="449"/>
      <c r="L196" s="449"/>
      <c r="M196" s="449"/>
      <c r="N196" s="449"/>
      <c r="O196" s="449"/>
      <c r="P196" s="449"/>
      <c r="Q196" s="449"/>
    </row>
    <row r="197" spans="2:17">
      <c r="B197" s="449"/>
      <c r="C197" s="449"/>
      <c r="D197" s="449"/>
      <c r="E197" s="449"/>
      <c r="F197" s="449"/>
      <c r="G197" s="449"/>
      <c r="H197" s="449"/>
      <c r="I197" s="449"/>
      <c r="L197" s="449"/>
      <c r="M197" s="449"/>
      <c r="N197" s="449"/>
      <c r="O197" s="449"/>
      <c r="P197" s="449"/>
      <c r="Q197" s="449"/>
    </row>
    <row r="198" spans="2:17">
      <c r="B198" s="449"/>
      <c r="C198" s="449"/>
      <c r="D198" s="449"/>
      <c r="E198" s="449"/>
      <c r="F198" s="449"/>
      <c r="G198" s="449"/>
      <c r="H198" s="449"/>
      <c r="I198" s="449"/>
      <c r="L198" s="449"/>
      <c r="M198" s="449"/>
      <c r="N198" s="449"/>
      <c r="O198" s="449"/>
      <c r="P198" s="449"/>
      <c r="Q198" s="449"/>
    </row>
    <row r="199" spans="2:17">
      <c r="B199" s="449"/>
      <c r="C199" s="449"/>
      <c r="D199" s="449"/>
      <c r="E199" s="449"/>
      <c r="F199" s="449"/>
      <c r="G199" s="449"/>
      <c r="H199" s="449"/>
      <c r="I199" s="449"/>
      <c r="L199" s="449"/>
      <c r="M199" s="449"/>
      <c r="N199" s="449"/>
      <c r="O199" s="449"/>
      <c r="P199" s="449"/>
      <c r="Q199" s="449"/>
    </row>
    <row r="200" spans="2:17">
      <c r="B200" s="449"/>
      <c r="C200" s="449"/>
      <c r="D200" s="449"/>
      <c r="E200" s="449"/>
      <c r="F200" s="449"/>
      <c r="G200" s="449"/>
      <c r="H200" s="449"/>
      <c r="I200" s="449"/>
      <c r="L200" s="449"/>
      <c r="M200" s="449"/>
      <c r="N200" s="449"/>
      <c r="O200" s="449"/>
      <c r="P200" s="449"/>
      <c r="Q200" s="449"/>
    </row>
    <row r="201" spans="2:17">
      <c r="B201" s="449"/>
      <c r="C201" s="449"/>
      <c r="D201" s="449"/>
      <c r="E201" s="449"/>
      <c r="F201" s="449"/>
      <c r="G201" s="449"/>
      <c r="H201" s="449"/>
      <c r="I201" s="449"/>
      <c r="L201" s="449"/>
      <c r="M201" s="449"/>
      <c r="N201" s="449"/>
      <c r="O201" s="449"/>
      <c r="P201" s="449"/>
      <c r="Q201" s="449"/>
    </row>
    <row r="202" spans="2:17">
      <c r="B202" s="449"/>
      <c r="C202" s="449"/>
      <c r="D202" s="449"/>
      <c r="E202" s="449"/>
      <c r="F202" s="449"/>
      <c r="G202" s="449"/>
      <c r="H202" s="449"/>
      <c r="I202" s="449"/>
      <c r="L202" s="449"/>
      <c r="M202" s="449"/>
      <c r="N202" s="449"/>
      <c r="O202" s="449"/>
      <c r="P202" s="449"/>
      <c r="Q202" s="449"/>
    </row>
    <row r="203" spans="2:17">
      <c r="B203" s="449"/>
      <c r="C203" s="449"/>
      <c r="D203" s="449"/>
      <c r="E203" s="449"/>
      <c r="F203" s="449"/>
      <c r="G203" s="449"/>
      <c r="H203" s="449"/>
      <c r="I203" s="449"/>
      <c r="L203" s="449"/>
      <c r="M203" s="449"/>
      <c r="N203" s="449"/>
      <c r="O203" s="449"/>
      <c r="P203" s="449"/>
      <c r="Q203" s="449"/>
    </row>
    <row r="204" spans="2:17">
      <c r="B204" s="449"/>
      <c r="C204" s="449"/>
      <c r="D204" s="449"/>
      <c r="E204" s="449"/>
      <c r="F204" s="449"/>
      <c r="G204" s="449"/>
      <c r="H204" s="449"/>
      <c r="I204" s="449"/>
      <c r="L204" s="449"/>
      <c r="M204" s="449"/>
      <c r="N204" s="449"/>
      <c r="O204" s="449"/>
      <c r="P204" s="449"/>
      <c r="Q204" s="449"/>
    </row>
    <row r="205" spans="2:17">
      <c r="B205" s="449"/>
      <c r="C205" s="449"/>
      <c r="D205" s="449"/>
      <c r="E205" s="449"/>
      <c r="F205" s="449"/>
      <c r="G205" s="449"/>
      <c r="H205" s="449"/>
      <c r="I205" s="449"/>
      <c r="L205" s="449"/>
      <c r="M205" s="449"/>
      <c r="N205" s="449"/>
      <c r="O205" s="449"/>
      <c r="P205" s="449"/>
      <c r="Q205" s="449"/>
    </row>
    <row r="206" spans="2:17">
      <c r="B206" s="449"/>
      <c r="C206" s="449"/>
      <c r="D206" s="449"/>
      <c r="E206" s="449"/>
      <c r="F206" s="449"/>
      <c r="G206" s="449"/>
      <c r="H206" s="449"/>
      <c r="I206" s="449"/>
      <c r="L206" s="449"/>
      <c r="M206" s="449"/>
      <c r="N206" s="449"/>
      <c r="O206" s="449"/>
      <c r="P206" s="449"/>
      <c r="Q206" s="449"/>
    </row>
    <row r="207" spans="2:17">
      <c r="B207" s="449"/>
      <c r="C207" s="449"/>
      <c r="D207" s="449"/>
      <c r="E207" s="449"/>
      <c r="F207" s="449"/>
      <c r="G207" s="449"/>
      <c r="H207" s="449"/>
      <c r="I207" s="449"/>
      <c r="L207" s="449"/>
      <c r="M207" s="449"/>
      <c r="N207" s="449"/>
      <c r="O207" s="449"/>
      <c r="P207" s="449"/>
      <c r="Q207" s="449"/>
    </row>
    <row r="208" spans="2:17">
      <c r="B208" s="449"/>
      <c r="C208" s="449"/>
      <c r="D208" s="449"/>
      <c r="E208" s="449"/>
      <c r="F208" s="449"/>
      <c r="G208" s="449"/>
      <c r="H208" s="449"/>
      <c r="I208" s="449"/>
      <c r="L208" s="449"/>
      <c r="M208" s="449"/>
      <c r="N208" s="449"/>
      <c r="O208" s="449"/>
      <c r="P208" s="449"/>
      <c r="Q208" s="449"/>
    </row>
    <row r="209" spans="2:17">
      <c r="B209" s="449"/>
      <c r="C209" s="449"/>
      <c r="D209" s="449"/>
      <c r="E209" s="449"/>
      <c r="F209" s="449"/>
      <c r="G209" s="449"/>
      <c r="H209" s="449"/>
      <c r="I209" s="449"/>
      <c r="L209" s="449"/>
      <c r="M209" s="449"/>
      <c r="N209" s="449"/>
      <c r="O209" s="449"/>
      <c r="P209" s="449"/>
      <c r="Q209" s="449"/>
    </row>
    <row r="210" spans="2:17">
      <c r="B210" s="449"/>
      <c r="C210" s="449"/>
      <c r="D210" s="449"/>
      <c r="E210" s="449"/>
      <c r="F210" s="449"/>
      <c r="G210" s="449"/>
      <c r="H210" s="449"/>
      <c r="I210" s="449"/>
      <c r="L210" s="449"/>
      <c r="M210" s="449"/>
      <c r="N210" s="449"/>
      <c r="O210" s="449"/>
      <c r="P210" s="449"/>
      <c r="Q210" s="449"/>
    </row>
    <row r="211" spans="2:17">
      <c r="B211" s="449"/>
      <c r="C211" s="449"/>
      <c r="D211" s="449"/>
      <c r="E211" s="449"/>
      <c r="F211" s="449"/>
      <c r="G211" s="449"/>
      <c r="H211" s="449"/>
      <c r="I211" s="449"/>
      <c r="L211" s="449"/>
      <c r="M211" s="449"/>
      <c r="N211" s="449"/>
      <c r="O211" s="449"/>
      <c r="P211" s="449"/>
      <c r="Q211" s="449"/>
    </row>
    <row r="212" spans="2:17">
      <c r="B212" s="449"/>
      <c r="C212" s="449"/>
      <c r="D212" s="449"/>
      <c r="E212" s="449"/>
      <c r="F212" s="449"/>
      <c r="G212" s="449"/>
      <c r="H212" s="449"/>
      <c r="I212" s="449"/>
      <c r="L212" s="449"/>
      <c r="M212" s="449"/>
      <c r="N212" s="449"/>
      <c r="O212" s="449"/>
      <c r="P212" s="449"/>
      <c r="Q212" s="449"/>
    </row>
    <row r="213" spans="2:17">
      <c r="B213" s="449"/>
      <c r="C213" s="449"/>
      <c r="D213" s="449"/>
      <c r="E213" s="449"/>
      <c r="F213" s="449"/>
      <c r="G213" s="449"/>
      <c r="H213" s="449"/>
      <c r="I213" s="449"/>
      <c r="L213" s="449"/>
      <c r="M213" s="449"/>
      <c r="N213" s="449"/>
      <c r="O213" s="449"/>
      <c r="P213" s="449"/>
      <c r="Q213" s="449"/>
    </row>
    <row r="214" spans="2:17">
      <c r="B214" s="449"/>
      <c r="C214" s="449"/>
      <c r="D214" s="449"/>
      <c r="E214" s="449"/>
      <c r="F214" s="449"/>
      <c r="G214" s="449"/>
      <c r="H214" s="449"/>
      <c r="I214" s="449"/>
      <c r="L214" s="449"/>
      <c r="M214" s="449"/>
      <c r="N214" s="449"/>
      <c r="O214" s="449"/>
      <c r="P214" s="449"/>
      <c r="Q214" s="449"/>
    </row>
    <row r="215" spans="2:17">
      <c r="B215" s="449"/>
      <c r="C215" s="449"/>
      <c r="D215" s="449"/>
      <c r="E215" s="449"/>
      <c r="F215" s="449"/>
      <c r="G215" s="449"/>
      <c r="H215" s="449"/>
      <c r="I215" s="449"/>
      <c r="L215" s="449"/>
      <c r="M215" s="449"/>
      <c r="N215" s="449"/>
      <c r="O215" s="449"/>
      <c r="P215" s="449"/>
      <c r="Q215" s="449"/>
    </row>
    <row r="216" spans="2:17">
      <c r="B216" s="449"/>
      <c r="C216" s="449"/>
      <c r="D216" s="449"/>
      <c r="E216" s="449"/>
      <c r="F216" s="449"/>
      <c r="G216" s="449"/>
      <c r="H216" s="449"/>
      <c r="I216" s="449"/>
      <c r="L216" s="449"/>
      <c r="M216" s="449"/>
      <c r="N216" s="449"/>
      <c r="O216" s="449"/>
      <c r="P216" s="449"/>
      <c r="Q216" s="449"/>
    </row>
    <row r="217" spans="2:17">
      <c r="B217" s="449"/>
      <c r="C217" s="449"/>
      <c r="D217" s="449"/>
      <c r="E217" s="449"/>
      <c r="F217" s="449"/>
      <c r="G217" s="449"/>
      <c r="H217" s="449"/>
      <c r="I217" s="449"/>
      <c r="L217" s="449"/>
      <c r="M217" s="449"/>
      <c r="N217" s="449"/>
      <c r="O217" s="449"/>
      <c r="P217" s="449"/>
      <c r="Q217" s="449"/>
    </row>
    <row r="218" spans="2:17">
      <c r="B218" s="449"/>
      <c r="C218" s="449"/>
      <c r="D218" s="449"/>
      <c r="E218" s="449"/>
      <c r="F218" s="449"/>
      <c r="G218" s="449"/>
      <c r="H218" s="449"/>
      <c r="I218" s="449"/>
      <c r="L218" s="449"/>
      <c r="M218" s="449"/>
      <c r="N218" s="449"/>
      <c r="O218" s="449"/>
      <c r="P218" s="449"/>
      <c r="Q218" s="449"/>
    </row>
    <row r="219" spans="2:17">
      <c r="B219" s="449"/>
      <c r="C219" s="449"/>
      <c r="D219" s="449"/>
      <c r="E219" s="449"/>
      <c r="F219" s="449"/>
      <c r="G219" s="449"/>
      <c r="H219" s="449"/>
      <c r="I219" s="449"/>
      <c r="L219" s="449"/>
      <c r="M219" s="449"/>
      <c r="N219" s="449"/>
      <c r="O219" s="449"/>
      <c r="P219" s="449"/>
      <c r="Q219" s="449"/>
    </row>
    <row r="220" spans="2:17">
      <c r="B220" s="449"/>
      <c r="C220" s="449"/>
      <c r="D220" s="449"/>
      <c r="E220" s="449"/>
      <c r="F220" s="449"/>
      <c r="G220" s="449"/>
      <c r="H220" s="449"/>
      <c r="I220" s="449"/>
      <c r="L220" s="449"/>
      <c r="M220" s="449"/>
      <c r="N220" s="449"/>
      <c r="O220" s="449"/>
      <c r="P220" s="449"/>
      <c r="Q220" s="449"/>
    </row>
    <row r="221" spans="2:17">
      <c r="B221" s="449"/>
      <c r="C221" s="449"/>
      <c r="D221" s="449"/>
      <c r="E221" s="449"/>
      <c r="F221" s="449"/>
      <c r="G221" s="449"/>
      <c r="H221" s="449"/>
      <c r="I221" s="449"/>
      <c r="L221" s="449"/>
      <c r="M221" s="449"/>
      <c r="N221" s="449"/>
      <c r="O221" s="449"/>
      <c r="P221" s="449"/>
      <c r="Q221" s="449"/>
    </row>
    <row r="222" spans="2:17">
      <c r="B222" s="449"/>
      <c r="C222" s="449"/>
      <c r="D222" s="449"/>
      <c r="E222" s="449"/>
      <c r="F222" s="449"/>
      <c r="G222" s="449"/>
      <c r="H222" s="449"/>
      <c r="I222" s="449"/>
      <c r="L222" s="449"/>
      <c r="M222" s="449"/>
      <c r="N222" s="449"/>
      <c r="O222" s="449"/>
      <c r="P222" s="449"/>
      <c r="Q222" s="449"/>
    </row>
    <row r="223" spans="2:17">
      <c r="B223" s="449"/>
      <c r="C223" s="449"/>
      <c r="D223" s="449"/>
      <c r="E223" s="449"/>
      <c r="F223" s="449"/>
      <c r="G223" s="449"/>
      <c r="H223" s="449"/>
      <c r="I223" s="449"/>
      <c r="L223" s="449"/>
      <c r="M223" s="449"/>
      <c r="N223" s="449"/>
      <c r="O223" s="449"/>
      <c r="P223" s="449"/>
      <c r="Q223" s="449"/>
    </row>
    <row r="224" spans="2:17">
      <c r="B224" s="449"/>
      <c r="C224" s="449"/>
      <c r="D224" s="449"/>
      <c r="E224" s="449"/>
      <c r="F224" s="449"/>
      <c r="G224" s="449"/>
      <c r="H224" s="449"/>
      <c r="I224" s="449"/>
      <c r="L224" s="449"/>
      <c r="M224" s="449"/>
      <c r="N224" s="449"/>
      <c r="O224" s="449"/>
      <c r="P224" s="449"/>
      <c r="Q224" s="449"/>
    </row>
    <row r="225" spans="2:17">
      <c r="B225" s="449"/>
      <c r="C225" s="449"/>
      <c r="D225" s="449"/>
      <c r="E225" s="449"/>
      <c r="F225" s="449"/>
      <c r="G225" s="449"/>
      <c r="H225" s="449"/>
      <c r="I225" s="449"/>
      <c r="L225" s="449"/>
      <c r="M225" s="449"/>
      <c r="N225" s="449"/>
      <c r="O225" s="449"/>
      <c r="P225" s="449"/>
      <c r="Q225" s="449"/>
    </row>
    <row r="226" spans="2:17">
      <c r="B226" s="449"/>
      <c r="C226" s="449"/>
      <c r="D226" s="449"/>
      <c r="E226" s="449"/>
      <c r="F226" s="449"/>
      <c r="G226" s="449"/>
      <c r="H226" s="449"/>
      <c r="I226" s="449"/>
      <c r="L226" s="449"/>
      <c r="M226" s="449"/>
      <c r="N226" s="449"/>
      <c r="O226" s="449"/>
      <c r="P226" s="449"/>
      <c r="Q226" s="449"/>
    </row>
    <row r="227" spans="2:17">
      <c r="B227" s="449"/>
      <c r="C227" s="449"/>
      <c r="D227" s="449"/>
      <c r="E227" s="449"/>
      <c r="F227" s="449"/>
      <c r="G227" s="449"/>
      <c r="H227" s="449"/>
      <c r="I227" s="449"/>
      <c r="L227" s="449"/>
      <c r="M227" s="449"/>
      <c r="N227" s="449"/>
      <c r="O227" s="449"/>
      <c r="P227" s="449"/>
      <c r="Q227" s="449"/>
    </row>
    <row r="228" spans="2:17">
      <c r="B228" s="449"/>
      <c r="C228" s="449"/>
      <c r="D228" s="449"/>
      <c r="E228" s="449"/>
      <c r="F228" s="449"/>
      <c r="G228" s="449"/>
      <c r="H228" s="449"/>
      <c r="I228" s="449"/>
      <c r="L228" s="449"/>
      <c r="M228" s="449"/>
      <c r="N228" s="449"/>
      <c r="O228" s="449"/>
      <c r="P228" s="449"/>
      <c r="Q228" s="449"/>
    </row>
    <row r="229" spans="2:17">
      <c r="B229" s="449"/>
      <c r="C229" s="449"/>
      <c r="D229" s="449"/>
      <c r="E229" s="449"/>
      <c r="F229" s="449"/>
      <c r="G229" s="449"/>
      <c r="H229" s="449"/>
      <c r="I229" s="449"/>
      <c r="L229" s="449"/>
      <c r="M229" s="449"/>
      <c r="N229" s="449"/>
      <c r="O229" s="449"/>
      <c r="P229" s="449"/>
      <c r="Q229" s="449"/>
    </row>
    <row r="230" spans="2:17">
      <c r="B230" s="449"/>
      <c r="C230" s="449"/>
      <c r="D230" s="449"/>
      <c r="E230" s="449"/>
      <c r="F230" s="449"/>
      <c r="G230" s="449"/>
      <c r="H230" s="449"/>
      <c r="I230" s="449"/>
      <c r="L230" s="449"/>
      <c r="M230" s="449"/>
      <c r="N230" s="449"/>
      <c r="O230" s="449"/>
      <c r="P230" s="449"/>
      <c r="Q230" s="449"/>
    </row>
    <row r="231" spans="2:17">
      <c r="B231" s="449"/>
      <c r="C231" s="449"/>
      <c r="D231" s="449"/>
      <c r="E231" s="449"/>
      <c r="F231" s="449"/>
      <c r="G231" s="449"/>
      <c r="H231" s="449"/>
      <c r="I231" s="449"/>
      <c r="L231" s="449"/>
      <c r="M231" s="449"/>
      <c r="N231" s="449"/>
      <c r="O231" s="449"/>
      <c r="P231" s="449"/>
      <c r="Q231" s="449"/>
    </row>
    <row r="232" spans="2:17">
      <c r="B232" s="449"/>
      <c r="C232" s="449"/>
      <c r="D232" s="449"/>
      <c r="E232" s="449"/>
      <c r="F232" s="449"/>
      <c r="G232" s="449"/>
      <c r="H232" s="449"/>
      <c r="I232" s="449"/>
      <c r="L232" s="449"/>
      <c r="M232" s="449"/>
      <c r="N232" s="449"/>
      <c r="O232" s="449"/>
      <c r="P232" s="449"/>
      <c r="Q232" s="449"/>
    </row>
    <row r="233" spans="2:17">
      <c r="B233" s="449"/>
      <c r="C233" s="449"/>
      <c r="D233" s="449"/>
      <c r="E233" s="449"/>
      <c r="F233" s="449"/>
      <c r="G233" s="449"/>
      <c r="H233" s="449"/>
      <c r="I233" s="449"/>
      <c r="L233" s="449"/>
      <c r="M233" s="449"/>
      <c r="N233" s="449"/>
      <c r="O233" s="449"/>
      <c r="P233" s="449"/>
      <c r="Q233" s="449"/>
    </row>
    <row r="234" spans="2:17">
      <c r="B234" s="449"/>
      <c r="C234" s="449"/>
      <c r="D234" s="449"/>
      <c r="E234" s="449"/>
      <c r="F234" s="449"/>
      <c r="G234" s="449"/>
      <c r="H234" s="449"/>
      <c r="I234" s="449"/>
      <c r="L234" s="449"/>
      <c r="M234" s="449"/>
      <c r="N234" s="449"/>
      <c r="O234" s="449"/>
      <c r="P234" s="449"/>
      <c r="Q234" s="449"/>
    </row>
    <row r="235" spans="2:17">
      <c r="B235" s="449"/>
      <c r="C235" s="449"/>
      <c r="D235" s="449"/>
      <c r="E235" s="449"/>
      <c r="F235" s="449"/>
      <c r="G235" s="449"/>
      <c r="H235" s="449"/>
      <c r="I235" s="449"/>
      <c r="L235" s="449"/>
      <c r="M235" s="449"/>
      <c r="N235" s="449"/>
      <c r="O235" s="449"/>
      <c r="P235" s="449"/>
      <c r="Q235" s="449"/>
    </row>
    <row r="236" spans="2:17">
      <c r="B236" s="449"/>
      <c r="C236" s="449"/>
      <c r="D236" s="449"/>
      <c r="E236" s="449"/>
      <c r="F236" s="449"/>
      <c r="G236" s="449"/>
      <c r="H236" s="449"/>
      <c r="I236" s="449"/>
      <c r="L236" s="449"/>
      <c r="M236" s="449"/>
      <c r="N236" s="449"/>
      <c r="O236" s="449"/>
      <c r="P236" s="449"/>
      <c r="Q236" s="449"/>
    </row>
    <row r="237" spans="2:17">
      <c r="B237" s="449"/>
      <c r="C237" s="449"/>
      <c r="D237" s="449"/>
      <c r="E237" s="449"/>
      <c r="F237" s="449"/>
      <c r="G237" s="449"/>
      <c r="H237" s="449"/>
      <c r="I237" s="449"/>
      <c r="L237" s="449"/>
      <c r="M237" s="449"/>
      <c r="N237" s="449"/>
      <c r="O237" s="449"/>
      <c r="P237" s="449"/>
      <c r="Q237" s="449"/>
    </row>
    <row r="238" spans="2:17">
      <c r="B238" s="449"/>
      <c r="C238" s="449"/>
      <c r="D238" s="449"/>
      <c r="E238" s="449"/>
      <c r="F238" s="449"/>
      <c r="G238" s="449"/>
      <c r="H238" s="449"/>
      <c r="I238" s="449"/>
      <c r="L238" s="449"/>
      <c r="M238" s="449"/>
      <c r="N238" s="449"/>
      <c r="O238" s="449"/>
      <c r="P238" s="449"/>
      <c r="Q238" s="449"/>
    </row>
    <row r="239" spans="2:17">
      <c r="B239" s="449"/>
      <c r="C239" s="449"/>
      <c r="D239" s="449"/>
      <c r="E239" s="449"/>
      <c r="F239" s="449"/>
      <c r="G239" s="449"/>
      <c r="H239" s="449"/>
      <c r="I239" s="449"/>
      <c r="L239" s="449"/>
      <c r="M239" s="449"/>
      <c r="N239" s="449"/>
      <c r="O239" s="449"/>
      <c r="P239" s="449"/>
      <c r="Q239" s="449"/>
    </row>
    <row r="240" spans="2:17">
      <c r="B240" s="449"/>
      <c r="C240" s="449"/>
      <c r="D240" s="449"/>
      <c r="E240" s="449"/>
      <c r="F240" s="449"/>
      <c r="G240" s="449"/>
      <c r="H240" s="449"/>
      <c r="I240" s="449"/>
      <c r="L240" s="449"/>
      <c r="M240" s="449"/>
      <c r="N240" s="449"/>
      <c r="O240" s="449"/>
      <c r="P240" s="449"/>
      <c r="Q240" s="449"/>
    </row>
    <row r="241" spans="2:17">
      <c r="B241" s="449"/>
      <c r="C241" s="449"/>
      <c r="D241" s="449"/>
      <c r="E241" s="449"/>
      <c r="F241" s="449"/>
      <c r="G241" s="449"/>
      <c r="H241" s="449"/>
      <c r="I241" s="449"/>
      <c r="L241" s="449"/>
      <c r="M241" s="449"/>
      <c r="N241" s="449"/>
      <c r="O241" s="449"/>
      <c r="P241" s="449"/>
      <c r="Q241" s="449"/>
    </row>
    <row r="242" spans="2:17">
      <c r="B242" s="449"/>
      <c r="C242" s="449"/>
      <c r="D242" s="449"/>
      <c r="E242" s="449"/>
      <c r="F242" s="449"/>
      <c r="G242" s="449"/>
      <c r="H242" s="449"/>
      <c r="I242" s="449"/>
      <c r="L242" s="449"/>
      <c r="M242" s="449"/>
      <c r="N242" s="449"/>
      <c r="O242" s="449"/>
      <c r="P242" s="449"/>
      <c r="Q242" s="449"/>
    </row>
    <row r="243" spans="2:17">
      <c r="B243" s="449"/>
      <c r="C243" s="449"/>
      <c r="D243" s="449"/>
      <c r="E243" s="449"/>
      <c r="F243" s="449"/>
      <c r="G243" s="449"/>
      <c r="H243" s="449"/>
      <c r="I243" s="449"/>
      <c r="L243" s="449"/>
      <c r="M243" s="449"/>
      <c r="N243" s="449"/>
      <c r="O243" s="449"/>
      <c r="P243" s="449"/>
      <c r="Q243" s="449"/>
    </row>
    <row r="244" spans="2:17">
      <c r="B244" s="449"/>
      <c r="C244" s="449"/>
      <c r="D244" s="449"/>
      <c r="E244" s="449"/>
      <c r="F244" s="449"/>
      <c r="G244" s="449"/>
      <c r="H244" s="449"/>
      <c r="I244" s="449"/>
      <c r="L244" s="449"/>
      <c r="M244" s="449"/>
      <c r="N244" s="449"/>
      <c r="O244" s="449"/>
      <c r="P244" s="449"/>
      <c r="Q244" s="449"/>
    </row>
    <row r="245" spans="2:17">
      <c r="B245" s="449"/>
      <c r="C245" s="449"/>
      <c r="D245" s="449"/>
      <c r="E245" s="449"/>
      <c r="F245" s="449"/>
      <c r="G245" s="449"/>
      <c r="H245" s="449"/>
      <c r="I245" s="449"/>
      <c r="L245" s="449"/>
      <c r="M245" s="449"/>
      <c r="N245" s="449"/>
      <c r="O245" s="449"/>
      <c r="P245" s="449"/>
      <c r="Q245" s="449"/>
    </row>
    <row r="246" spans="2:17">
      <c r="B246" s="449"/>
      <c r="C246" s="449"/>
      <c r="D246" s="449"/>
      <c r="E246" s="449"/>
      <c r="F246" s="449"/>
      <c r="G246" s="449"/>
      <c r="H246" s="449"/>
      <c r="I246" s="449"/>
      <c r="L246" s="449"/>
      <c r="M246" s="449"/>
      <c r="N246" s="449"/>
      <c r="O246" s="449"/>
      <c r="P246" s="449"/>
      <c r="Q246" s="449"/>
    </row>
    <row r="247" spans="2:17">
      <c r="B247" s="449"/>
      <c r="C247" s="449"/>
      <c r="D247" s="449"/>
      <c r="E247" s="449"/>
      <c r="F247" s="449"/>
      <c r="G247" s="449"/>
      <c r="H247" s="449"/>
      <c r="I247" s="449"/>
      <c r="L247" s="449"/>
      <c r="M247" s="449"/>
      <c r="N247" s="449"/>
      <c r="O247" s="449"/>
      <c r="P247" s="449"/>
      <c r="Q247" s="449"/>
    </row>
    <row r="248" spans="2:17">
      <c r="B248" s="449"/>
      <c r="C248" s="449"/>
      <c r="D248" s="449"/>
      <c r="E248" s="449"/>
      <c r="F248" s="449"/>
      <c r="G248" s="449"/>
      <c r="H248" s="449"/>
      <c r="I248" s="449"/>
      <c r="L248" s="449"/>
      <c r="M248" s="449"/>
      <c r="N248" s="449"/>
      <c r="O248" s="449"/>
      <c r="P248" s="449"/>
      <c r="Q248" s="449"/>
    </row>
    <row r="249" spans="2:17">
      <c r="B249" s="449"/>
      <c r="C249" s="449"/>
      <c r="D249" s="449"/>
      <c r="E249" s="449"/>
      <c r="F249" s="449"/>
      <c r="G249" s="449"/>
      <c r="H249" s="449"/>
      <c r="I249" s="449"/>
      <c r="L249" s="449"/>
      <c r="M249" s="449"/>
      <c r="N249" s="449"/>
      <c r="O249" s="449"/>
      <c r="P249" s="449"/>
      <c r="Q249" s="449"/>
    </row>
    <row r="250" spans="2:17">
      <c r="B250" s="449"/>
      <c r="C250" s="449"/>
      <c r="D250" s="449"/>
      <c r="E250" s="449"/>
      <c r="F250" s="449"/>
      <c r="G250" s="449"/>
      <c r="H250" s="449"/>
      <c r="I250" s="449"/>
      <c r="L250" s="449"/>
      <c r="M250" s="449"/>
      <c r="N250" s="449"/>
      <c r="O250" s="449"/>
      <c r="P250" s="449"/>
      <c r="Q250" s="449"/>
    </row>
    <row r="251" spans="2:17">
      <c r="B251" s="449"/>
      <c r="C251" s="449"/>
      <c r="D251" s="449"/>
      <c r="E251" s="449"/>
      <c r="F251" s="449"/>
      <c r="G251" s="449"/>
      <c r="H251" s="449"/>
      <c r="I251" s="449"/>
      <c r="L251" s="449"/>
      <c r="M251" s="449"/>
      <c r="N251" s="449"/>
      <c r="O251" s="449"/>
      <c r="P251" s="449"/>
      <c r="Q251" s="449"/>
    </row>
    <row r="252" spans="2:17">
      <c r="B252" s="449"/>
      <c r="C252" s="449"/>
      <c r="D252" s="449"/>
      <c r="E252" s="449"/>
      <c r="F252" s="449"/>
      <c r="G252" s="449"/>
      <c r="H252" s="449"/>
      <c r="I252" s="449"/>
      <c r="L252" s="449"/>
      <c r="M252" s="449"/>
      <c r="N252" s="449"/>
      <c r="O252" s="449"/>
      <c r="P252" s="449"/>
      <c r="Q252" s="449"/>
    </row>
    <row r="253" spans="2:17">
      <c r="B253" s="449"/>
      <c r="C253" s="449"/>
      <c r="D253" s="449"/>
      <c r="E253" s="449"/>
      <c r="F253" s="449"/>
      <c r="G253" s="449"/>
      <c r="H253" s="449"/>
      <c r="I253" s="449"/>
      <c r="L253" s="449"/>
      <c r="M253" s="449"/>
      <c r="N253" s="449"/>
      <c r="O253" s="449"/>
      <c r="P253" s="449"/>
      <c r="Q253" s="449"/>
    </row>
    <row r="254" spans="2:17">
      <c r="B254" s="449"/>
      <c r="C254" s="449"/>
      <c r="D254" s="449"/>
      <c r="E254" s="449"/>
      <c r="F254" s="449"/>
      <c r="G254" s="449"/>
      <c r="H254" s="449"/>
      <c r="I254" s="449"/>
      <c r="L254" s="449"/>
      <c r="M254" s="449"/>
      <c r="N254" s="449"/>
      <c r="O254" s="449"/>
      <c r="P254" s="449"/>
      <c r="Q254" s="449"/>
    </row>
    <row r="255" spans="2:17">
      <c r="B255" s="449"/>
      <c r="C255" s="449"/>
      <c r="D255" s="449"/>
      <c r="E255" s="449"/>
      <c r="F255" s="449"/>
      <c r="G255" s="449"/>
      <c r="H255" s="449"/>
      <c r="I255" s="449"/>
      <c r="L255" s="449"/>
      <c r="M255" s="449"/>
      <c r="N255" s="449"/>
      <c r="O255" s="449"/>
      <c r="P255" s="449"/>
      <c r="Q255" s="449"/>
    </row>
    <row r="256" spans="2:17">
      <c r="B256" s="449"/>
      <c r="C256" s="449"/>
      <c r="D256" s="449"/>
      <c r="E256" s="449"/>
      <c r="F256" s="449"/>
      <c r="G256" s="449"/>
      <c r="H256" s="449"/>
      <c r="I256" s="449"/>
      <c r="L256" s="449"/>
      <c r="M256" s="449"/>
      <c r="N256" s="449"/>
      <c r="O256" s="449"/>
      <c r="P256" s="449"/>
      <c r="Q256" s="449"/>
    </row>
    <row r="257" spans="2:17">
      <c r="B257" s="449"/>
      <c r="C257" s="449"/>
      <c r="D257" s="449"/>
      <c r="E257" s="449"/>
      <c r="F257" s="449"/>
      <c r="G257" s="449"/>
      <c r="H257" s="449"/>
      <c r="I257" s="449"/>
      <c r="L257" s="449"/>
      <c r="M257" s="449"/>
      <c r="N257" s="449"/>
      <c r="O257" s="449"/>
      <c r="P257" s="449"/>
      <c r="Q257" s="449"/>
    </row>
    <row r="258" spans="2:17">
      <c r="B258" s="449"/>
      <c r="C258" s="449"/>
      <c r="D258" s="449"/>
      <c r="E258" s="449"/>
      <c r="F258" s="449"/>
      <c r="G258" s="449"/>
      <c r="H258" s="449"/>
      <c r="I258" s="449"/>
      <c r="L258" s="449"/>
      <c r="M258" s="449"/>
      <c r="N258" s="449"/>
      <c r="O258" s="449"/>
      <c r="P258" s="449"/>
      <c r="Q258" s="449"/>
    </row>
    <row r="259" spans="2:17">
      <c r="B259" s="449"/>
      <c r="C259" s="449"/>
      <c r="D259" s="449"/>
      <c r="E259" s="449"/>
      <c r="F259" s="449"/>
      <c r="G259" s="449"/>
      <c r="H259" s="449"/>
      <c r="I259" s="449"/>
      <c r="L259" s="449"/>
      <c r="M259" s="449"/>
      <c r="N259" s="449"/>
      <c r="O259" s="449"/>
      <c r="P259" s="449"/>
      <c r="Q259" s="449"/>
    </row>
    <row r="260" spans="2:17">
      <c r="B260" s="449"/>
      <c r="C260" s="449"/>
      <c r="D260" s="449"/>
      <c r="E260" s="449"/>
      <c r="F260" s="449"/>
      <c r="G260" s="449"/>
      <c r="H260" s="449"/>
      <c r="I260" s="449"/>
      <c r="L260" s="449"/>
      <c r="M260" s="449"/>
      <c r="N260" s="449"/>
      <c r="O260" s="449"/>
      <c r="P260" s="449"/>
      <c r="Q260" s="449"/>
    </row>
    <row r="261" spans="2:17">
      <c r="B261" s="449"/>
      <c r="C261" s="449"/>
      <c r="D261" s="449"/>
      <c r="E261" s="449"/>
      <c r="F261" s="449"/>
      <c r="G261" s="449"/>
      <c r="H261" s="449"/>
      <c r="I261" s="449"/>
      <c r="L261" s="449"/>
      <c r="M261" s="449"/>
      <c r="N261" s="449"/>
      <c r="O261" s="449"/>
      <c r="P261" s="449"/>
      <c r="Q261" s="449"/>
    </row>
    <row r="262" spans="2:17">
      <c r="B262" s="449"/>
      <c r="C262" s="449"/>
      <c r="D262" s="449"/>
      <c r="E262" s="449"/>
      <c r="F262" s="449"/>
      <c r="G262" s="449"/>
      <c r="H262" s="449"/>
      <c r="I262" s="449"/>
      <c r="L262" s="449"/>
      <c r="M262" s="449"/>
      <c r="N262" s="449"/>
      <c r="O262" s="449"/>
      <c r="P262" s="449"/>
      <c r="Q262" s="449"/>
    </row>
    <row r="263" spans="2:17">
      <c r="B263" s="449"/>
      <c r="C263" s="449"/>
      <c r="D263" s="449"/>
      <c r="E263" s="449"/>
      <c r="F263" s="449"/>
      <c r="G263" s="449"/>
      <c r="H263" s="449"/>
      <c r="I263" s="449"/>
      <c r="L263" s="449"/>
      <c r="M263" s="449"/>
      <c r="N263" s="449"/>
      <c r="O263" s="449"/>
      <c r="P263" s="449"/>
      <c r="Q263" s="449"/>
    </row>
    <row r="264" spans="2:17">
      <c r="B264" s="449"/>
      <c r="C264" s="449"/>
      <c r="D264" s="449"/>
      <c r="E264" s="449"/>
      <c r="F264" s="449"/>
      <c r="G264" s="449"/>
      <c r="H264" s="449"/>
      <c r="I264" s="449"/>
      <c r="L264" s="449"/>
      <c r="M264" s="449"/>
      <c r="N264" s="449"/>
      <c r="O264" s="449"/>
      <c r="P264" s="449"/>
      <c r="Q264" s="449"/>
    </row>
    <row r="265" spans="2:17">
      <c r="B265" s="449"/>
      <c r="C265" s="449"/>
      <c r="D265" s="449"/>
      <c r="E265" s="449"/>
      <c r="F265" s="449"/>
      <c r="G265" s="449"/>
      <c r="H265" s="449"/>
      <c r="I265" s="449"/>
      <c r="L265" s="449"/>
      <c r="M265" s="449"/>
      <c r="N265" s="449"/>
      <c r="O265" s="449"/>
      <c r="P265" s="449"/>
      <c r="Q265" s="449"/>
    </row>
    <row r="266" spans="2:17">
      <c r="B266" s="449"/>
      <c r="C266" s="449"/>
      <c r="D266" s="449"/>
      <c r="E266" s="449"/>
      <c r="F266" s="449"/>
      <c r="G266" s="449"/>
      <c r="H266" s="449"/>
      <c r="I266" s="449"/>
      <c r="L266" s="449"/>
      <c r="M266" s="449"/>
      <c r="N266" s="449"/>
      <c r="O266" s="449"/>
      <c r="P266" s="449"/>
      <c r="Q266" s="449"/>
    </row>
    <row r="267" spans="2:17">
      <c r="B267" s="449"/>
      <c r="C267" s="449"/>
      <c r="D267" s="449"/>
      <c r="E267" s="449"/>
      <c r="F267" s="449"/>
      <c r="G267" s="449"/>
      <c r="H267" s="449"/>
      <c r="I267" s="449"/>
      <c r="L267" s="449"/>
      <c r="M267" s="449"/>
      <c r="N267" s="449"/>
      <c r="O267" s="449"/>
      <c r="P267" s="449"/>
      <c r="Q267" s="449"/>
    </row>
    <row r="268" spans="2:17">
      <c r="B268" s="449"/>
      <c r="C268" s="449"/>
      <c r="D268" s="449"/>
      <c r="E268" s="449"/>
      <c r="F268" s="449"/>
      <c r="G268" s="449"/>
      <c r="H268" s="449"/>
      <c r="I268" s="449"/>
      <c r="L268" s="449"/>
      <c r="M268" s="449"/>
      <c r="N268" s="449"/>
      <c r="O268" s="449"/>
      <c r="P268" s="449"/>
      <c r="Q268" s="449"/>
    </row>
    <row r="269" spans="2:17">
      <c r="B269" s="449"/>
      <c r="C269" s="449"/>
      <c r="D269" s="449"/>
      <c r="E269" s="449"/>
      <c r="F269" s="449"/>
      <c r="G269" s="449"/>
      <c r="H269" s="449"/>
      <c r="I269" s="449"/>
      <c r="L269" s="449"/>
      <c r="M269" s="449"/>
      <c r="N269" s="449"/>
      <c r="O269" s="449"/>
      <c r="P269" s="449"/>
      <c r="Q269" s="449"/>
    </row>
    <row r="270" spans="2:17">
      <c r="B270" s="449"/>
      <c r="C270" s="449"/>
      <c r="D270" s="449"/>
      <c r="E270" s="449"/>
      <c r="F270" s="449"/>
      <c r="G270" s="449"/>
      <c r="H270" s="449"/>
      <c r="I270" s="449"/>
      <c r="L270" s="449"/>
      <c r="M270" s="449"/>
      <c r="N270" s="449"/>
      <c r="O270" s="449"/>
      <c r="P270" s="449"/>
      <c r="Q270" s="449"/>
    </row>
    <row r="271" spans="2:17">
      <c r="B271" s="449"/>
      <c r="C271" s="449"/>
      <c r="D271" s="449"/>
      <c r="E271" s="449"/>
      <c r="F271" s="449"/>
      <c r="G271" s="449"/>
      <c r="H271" s="449"/>
      <c r="I271" s="449"/>
      <c r="L271" s="449"/>
      <c r="M271" s="449"/>
      <c r="N271" s="449"/>
      <c r="O271" s="449"/>
      <c r="P271" s="449"/>
      <c r="Q271" s="449"/>
    </row>
    <row r="272" spans="2:17">
      <c r="B272" s="449"/>
      <c r="C272" s="449"/>
      <c r="D272" s="449"/>
      <c r="E272" s="449"/>
      <c r="F272" s="449"/>
      <c r="G272" s="449"/>
      <c r="H272" s="449"/>
      <c r="I272" s="449"/>
      <c r="L272" s="449"/>
      <c r="M272" s="449"/>
      <c r="N272" s="449"/>
      <c r="O272" s="449"/>
      <c r="P272" s="449"/>
      <c r="Q272" s="449"/>
    </row>
    <row r="273" spans="2:17">
      <c r="B273" s="449"/>
      <c r="C273" s="449"/>
      <c r="D273" s="449"/>
      <c r="E273" s="449"/>
      <c r="F273" s="449"/>
      <c r="G273" s="449"/>
      <c r="H273" s="449"/>
      <c r="I273" s="449"/>
      <c r="L273" s="449"/>
      <c r="M273" s="449"/>
      <c r="N273" s="449"/>
      <c r="O273" s="449"/>
      <c r="P273" s="449"/>
      <c r="Q273" s="449"/>
    </row>
    <row r="274" spans="2:17">
      <c r="B274" s="449"/>
      <c r="C274" s="449"/>
      <c r="D274" s="449"/>
      <c r="E274" s="449"/>
      <c r="F274" s="449"/>
      <c r="G274" s="449"/>
      <c r="H274" s="449"/>
      <c r="I274" s="449"/>
      <c r="L274" s="449"/>
      <c r="M274" s="449"/>
      <c r="N274" s="449"/>
      <c r="O274" s="449"/>
      <c r="P274" s="449"/>
      <c r="Q274" s="449"/>
    </row>
    <row r="275" spans="2:17">
      <c r="B275" s="449"/>
      <c r="C275" s="449"/>
      <c r="D275" s="449"/>
      <c r="E275" s="449"/>
      <c r="F275" s="449"/>
      <c r="G275" s="449"/>
      <c r="H275" s="449"/>
      <c r="I275" s="449"/>
      <c r="L275" s="449"/>
      <c r="M275" s="449"/>
      <c r="N275" s="449"/>
      <c r="O275" s="449"/>
      <c r="P275" s="449"/>
      <c r="Q275" s="449"/>
    </row>
    <row r="276" spans="2:17">
      <c r="B276" s="449"/>
      <c r="C276" s="449"/>
      <c r="D276" s="449"/>
      <c r="E276" s="449"/>
      <c r="F276" s="449"/>
      <c r="G276" s="449"/>
      <c r="H276" s="449"/>
      <c r="I276" s="449"/>
      <c r="L276" s="449"/>
      <c r="M276" s="449"/>
      <c r="N276" s="449"/>
      <c r="O276" s="449"/>
      <c r="P276" s="449"/>
      <c r="Q276" s="449"/>
    </row>
    <row r="277" spans="2:17">
      <c r="B277" s="449"/>
      <c r="C277" s="449"/>
      <c r="D277" s="449"/>
      <c r="E277" s="449"/>
      <c r="F277" s="449"/>
      <c r="G277" s="449"/>
      <c r="H277" s="449"/>
      <c r="I277" s="449"/>
      <c r="L277" s="449"/>
      <c r="M277" s="449"/>
      <c r="N277" s="449"/>
      <c r="O277" s="449"/>
      <c r="P277" s="449"/>
      <c r="Q277" s="449"/>
    </row>
    <row r="278" spans="2:17">
      <c r="B278" s="449"/>
      <c r="C278" s="449"/>
      <c r="D278" s="449"/>
      <c r="E278" s="449"/>
      <c r="F278" s="449"/>
      <c r="G278" s="449"/>
      <c r="H278" s="449"/>
      <c r="I278" s="449"/>
      <c r="L278" s="449"/>
      <c r="M278" s="449"/>
      <c r="N278" s="449"/>
      <c r="O278" s="449"/>
      <c r="P278" s="449"/>
      <c r="Q278" s="449"/>
    </row>
    <row r="279" spans="2:17">
      <c r="B279" s="449"/>
      <c r="C279" s="449"/>
      <c r="D279" s="449"/>
      <c r="E279" s="449"/>
      <c r="F279" s="449"/>
      <c r="G279" s="449"/>
      <c r="H279" s="449"/>
      <c r="I279" s="449"/>
      <c r="L279" s="449"/>
      <c r="M279" s="449"/>
      <c r="N279" s="449"/>
      <c r="O279" s="449"/>
      <c r="P279" s="449"/>
      <c r="Q279" s="449"/>
    </row>
    <row r="280" spans="2:17">
      <c r="B280" s="449"/>
      <c r="C280" s="449"/>
      <c r="D280" s="449"/>
      <c r="E280" s="449"/>
      <c r="F280" s="449"/>
      <c r="G280" s="449"/>
      <c r="H280" s="449"/>
      <c r="I280" s="449"/>
      <c r="L280" s="449"/>
      <c r="M280" s="449"/>
      <c r="N280" s="449"/>
      <c r="O280" s="449"/>
      <c r="P280" s="449"/>
      <c r="Q280" s="449"/>
    </row>
    <row r="281" spans="2:17">
      <c r="B281" s="449"/>
      <c r="C281" s="449"/>
      <c r="D281" s="449"/>
      <c r="E281" s="449"/>
      <c r="F281" s="449"/>
      <c r="G281" s="449"/>
      <c r="H281" s="449"/>
      <c r="I281" s="449"/>
      <c r="L281" s="449"/>
      <c r="M281" s="449"/>
      <c r="N281" s="449"/>
      <c r="O281" s="449"/>
      <c r="P281" s="449"/>
      <c r="Q281" s="449"/>
    </row>
    <row r="282" spans="2:17">
      <c r="B282" s="449"/>
      <c r="C282" s="449"/>
      <c r="D282" s="449"/>
      <c r="E282" s="449"/>
      <c r="F282" s="449"/>
      <c r="G282" s="449"/>
      <c r="H282" s="449"/>
      <c r="I282" s="449"/>
      <c r="L282" s="449"/>
      <c r="M282" s="449"/>
      <c r="N282" s="449"/>
      <c r="O282" s="449"/>
      <c r="P282" s="449"/>
      <c r="Q282" s="449"/>
    </row>
    <row r="283" spans="2:17">
      <c r="B283" s="449"/>
      <c r="C283" s="449"/>
      <c r="D283" s="449"/>
      <c r="E283" s="449"/>
      <c r="F283" s="449"/>
      <c r="G283" s="449"/>
      <c r="H283" s="449"/>
      <c r="I283" s="449"/>
      <c r="L283" s="449"/>
      <c r="M283" s="449"/>
      <c r="N283" s="449"/>
      <c r="O283" s="449"/>
      <c r="P283" s="449"/>
      <c r="Q283" s="449"/>
    </row>
    <row r="284" spans="2:17">
      <c r="B284" s="449"/>
      <c r="C284" s="449"/>
      <c r="D284" s="449"/>
      <c r="E284" s="449"/>
      <c r="F284" s="449"/>
      <c r="G284" s="449"/>
      <c r="H284" s="449"/>
      <c r="I284" s="449"/>
      <c r="L284" s="449"/>
      <c r="M284" s="449"/>
      <c r="N284" s="449"/>
      <c r="O284" s="449"/>
      <c r="P284" s="449"/>
      <c r="Q284" s="449"/>
    </row>
    <row r="285" spans="2:17">
      <c r="B285" s="449"/>
      <c r="C285" s="449"/>
      <c r="D285" s="449"/>
      <c r="E285" s="449"/>
      <c r="F285" s="449"/>
      <c r="G285" s="449"/>
      <c r="H285" s="449"/>
      <c r="I285" s="449"/>
      <c r="L285" s="449"/>
      <c r="M285" s="449"/>
      <c r="N285" s="449"/>
      <c r="O285" s="449"/>
      <c r="P285" s="449"/>
      <c r="Q285" s="449"/>
    </row>
    <row r="286" spans="2:17">
      <c r="B286" s="449"/>
      <c r="C286" s="449"/>
      <c r="D286" s="449"/>
      <c r="E286" s="449"/>
      <c r="F286" s="449"/>
      <c r="G286" s="449"/>
      <c r="H286" s="449"/>
      <c r="I286" s="449"/>
      <c r="L286" s="449"/>
      <c r="M286" s="449"/>
      <c r="N286" s="449"/>
      <c r="O286" s="449"/>
      <c r="P286" s="449"/>
      <c r="Q286" s="449"/>
    </row>
    <row r="287" spans="2:17">
      <c r="B287" s="449"/>
      <c r="C287" s="449"/>
      <c r="D287" s="449"/>
      <c r="E287" s="449"/>
      <c r="F287" s="449"/>
      <c r="G287" s="449"/>
      <c r="H287" s="449"/>
      <c r="I287" s="449"/>
      <c r="L287" s="449"/>
      <c r="M287" s="449"/>
      <c r="N287" s="449"/>
      <c r="O287" s="449"/>
      <c r="P287" s="449"/>
      <c r="Q287" s="449"/>
    </row>
    <row r="288" spans="2:17">
      <c r="B288" s="449"/>
      <c r="C288" s="449"/>
      <c r="D288" s="449"/>
      <c r="E288" s="449"/>
      <c r="F288" s="449"/>
      <c r="G288" s="449"/>
      <c r="H288" s="449"/>
      <c r="I288" s="449"/>
      <c r="L288" s="449"/>
      <c r="M288" s="449"/>
      <c r="N288" s="449"/>
      <c r="O288" s="449"/>
      <c r="P288" s="449"/>
      <c r="Q288" s="449"/>
    </row>
    <row r="289" spans="2:17">
      <c r="B289" s="449"/>
      <c r="C289" s="449"/>
      <c r="D289" s="449"/>
      <c r="E289" s="449"/>
      <c r="F289" s="449"/>
      <c r="G289" s="449"/>
      <c r="H289" s="449"/>
      <c r="I289" s="449"/>
      <c r="L289" s="449"/>
      <c r="M289" s="449"/>
      <c r="N289" s="449"/>
      <c r="O289" s="449"/>
      <c r="P289" s="449"/>
      <c r="Q289" s="449"/>
    </row>
    <row r="290" spans="2:17">
      <c r="B290" s="449"/>
      <c r="C290" s="449"/>
      <c r="D290" s="449"/>
      <c r="E290" s="449"/>
      <c r="F290" s="449"/>
      <c r="G290" s="449"/>
      <c r="H290" s="449"/>
      <c r="I290" s="449"/>
      <c r="L290" s="449"/>
      <c r="M290" s="449"/>
      <c r="N290" s="449"/>
      <c r="O290" s="449"/>
      <c r="P290" s="449"/>
      <c r="Q290" s="449"/>
    </row>
    <row r="291" spans="2:17">
      <c r="B291" s="449"/>
      <c r="C291" s="449"/>
      <c r="D291" s="449"/>
      <c r="E291" s="449"/>
      <c r="F291" s="449"/>
      <c r="G291" s="449"/>
      <c r="H291" s="449"/>
      <c r="I291" s="449"/>
      <c r="L291" s="449"/>
      <c r="M291" s="449"/>
      <c r="N291" s="449"/>
      <c r="O291" s="449"/>
      <c r="P291" s="449"/>
      <c r="Q291" s="449"/>
    </row>
    <row r="292" spans="2:17">
      <c r="B292" s="449"/>
      <c r="C292" s="449"/>
      <c r="D292" s="449"/>
      <c r="E292" s="449"/>
      <c r="F292" s="449"/>
      <c r="G292" s="449"/>
      <c r="H292" s="449"/>
      <c r="I292" s="449"/>
      <c r="L292" s="449"/>
      <c r="M292" s="449"/>
      <c r="N292" s="449"/>
      <c r="O292" s="449"/>
      <c r="P292" s="449"/>
      <c r="Q292" s="449"/>
    </row>
    <row r="293" spans="2:17">
      <c r="B293" s="449"/>
      <c r="C293" s="449"/>
      <c r="D293" s="449"/>
      <c r="E293" s="449"/>
      <c r="F293" s="449"/>
      <c r="G293" s="449"/>
      <c r="H293" s="449"/>
      <c r="I293" s="449"/>
      <c r="L293" s="449"/>
      <c r="M293" s="449"/>
      <c r="N293" s="449"/>
      <c r="O293" s="449"/>
      <c r="P293" s="449"/>
      <c r="Q293" s="449"/>
    </row>
    <row r="294" spans="2:17">
      <c r="B294" s="449"/>
      <c r="C294" s="449"/>
      <c r="D294" s="449"/>
      <c r="E294" s="449"/>
      <c r="F294" s="449"/>
      <c r="G294" s="449"/>
      <c r="H294" s="449"/>
      <c r="I294" s="449"/>
      <c r="L294" s="449"/>
      <c r="M294" s="449"/>
      <c r="N294" s="449"/>
      <c r="O294" s="449"/>
      <c r="P294" s="449"/>
      <c r="Q294" s="449"/>
    </row>
    <row r="295" spans="2:17">
      <c r="B295" s="449"/>
      <c r="C295" s="449"/>
      <c r="D295" s="449"/>
      <c r="E295" s="449"/>
      <c r="F295" s="449"/>
      <c r="G295" s="449"/>
      <c r="H295" s="449"/>
      <c r="I295" s="449"/>
      <c r="L295" s="449"/>
      <c r="M295" s="449"/>
      <c r="N295" s="449"/>
      <c r="O295" s="449"/>
      <c r="P295" s="449"/>
      <c r="Q295" s="449"/>
    </row>
    <row r="296" spans="2:17">
      <c r="B296" s="449"/>
      <c r="C296" s="449"/>
      <c r="D296" s="449"/>
      <c r="E296" s="449"/>
      <c r="F296" s="449"/>
      <c r="G296" s="449"/>
      <c r="H296" s="449"/>
      <c r="I296" s="449"/>
      <c r="L296" s="449"/>
      <c r="M296" s="449"/>
      <c r="N296" s="449"/>
      <c r="O296" s="449"/>
      <c r="P296" s="449"/>
      <c r="Q296" s="449"/>
    </row>
    <row r="297" spans="2:17">
      <c r="B297" s="449"/>
      <c r="C297" s="449"/>
      <c r="D297" s="449"/>
      <c r="E297" s="449"/>
      <c r="F297" s="449"/>
      <c r="G297" s="449"/>
      <c r="H297" s="449"/>
      <c r="I297" s="449"/>
      <c r="L297" s="449"/>
      <c r="M297" s="449"/>
      <c r="N297" s="449"/>
      <c r="O297" s="449"/>
      <c r="P297" s="449"/>
      <c r="Q297" s="449"/>
    </row>
    <row r="298" spans="2:17">
      <c r="B298" s="449"/>
      <c r="C298" s="449"/>
      <c r="D298" s="449"/>
      <c r="E298" s="449"/>
      <c r="F298" s="449"/>
      <c r="G298" s="449"/>
      <c r="H298" s="449"/>
      <c r="I298" s="449"/>
      <c r="L298" s="449"/>
      <c r="M298" s="449"/>
      <c r="N298" s="449"/>
      <c r="O298" s="449"/>
      <c r="P298" s="449"/>
      <c r="Q298" s="449"/>
    </row>
    <row r="299" spans="2:17">
      <c r="B299" s="449"/>
      <c r="C299" s="449"/>
      <c r="D299" s="449"/>
      <c r="E299" s="449"/>
      <c r="F299" s="449"/>
      <c r="G299" s="449"/>
      <c r="H299" s="449"/>
      <c r="I299" s="449"/>
      <c r="L299" s="449"/>
      <c r="M299" s="449"/>
      <c r="N299" s="449"/>
      <c r="O299" s="449"/>
      <c r="P299" s="449"/>
      <c r="Q299" s="449"/>
    </row>
    <row r="300" spans="2:17">
      <c r="B300" s="449"/>
      <c r="C300" s="449"/>
      <c r="D300" s="449"/>
      <c r="E300" s="449"/>
      <c r="F300" s="449"/>
      <c r="G300" s="449"/>
      <c r="H300" s="449"/>
      <c r="I300" s="449"/>
      <c r="L300" s="449"/>
      <c r="M300" s="449"/>
      <c r="N300" s="449"/>
      <c r="O300" s="449"/>
      <c r="P300" s="449"/>
      <c r="Q300" s="449"/>
    </row>
    <row r="301" spans="2:17">
      <c r="B301" s="449"/>
      <c r="C301" s="449"/>
      <c r="D301" s="449"/>
      <c r="E301" s="449"/>
      <c r="F301" s="449"/>
      <c r="G301" s="449"/>
      <c r="H301" s="449"/>
      <c r="I301" s="449"/>
      <c r="L301" s="449"/>
      <c r="M301" s="449"/>
      <c r="N301" s="449"/>
      <c r="O301" s="449"/>
      <c r="P301" s="449"/>
      <c r="Q301" s="449"/>
    </row>
    <row r="302" spans="2:17">
      <c r="B302" s="449"/>
      <c r="C302" s="449"/>
      <c r="D302" s="449"/>
      <c r="E302" s="449"/>
      <c r="F302" s="449"/>
      <c r="G302" s="449"/>
      <c r="H302" s="449"/>
      <c r="I302" s="449"/>
      <c r="L302" s="449"/>
      <c r="M302" s="449"/>
      <c r="N302" s="449"/>
      <c r="O302" s="449"/>
      <c r="P302" s="449"/>
      <c r="Q302" s="449"/>
    </row>
    <row r="303" spans="2:17">
      <c r="B303" s="449"/>
      <c r="C303" s="449"/>
      <c r="D303" s="449"/>
      <c r="E303" s="449"/>
      <c r="F303" s="449"/>
      <c r="G303" s="449"/>
      <c r="H303" s="449"/>
      <c r="I303" s="449"/>
      <c r="L303" s="449"/>
      <c r="M303" s="449"/>
      <c r="N303" s="449"/>
      <c r="O303" s="449"/>
      <c r="P303" s="449"/>
      <c r="Q303" s="449"/>
    </row>
    <row r="304" spans="2:17">
      <c r="B304" s="449"/>
      <c r="C304" s="449"/>
      <c r="D304" s="449"/>
      <c r="E304" s="449"/>
      <c r="F304" s="449"/>
      <c r="G304" s="449"/>
      <c r="H304" s="449"/>
      <c r="I304" s="449"/>
      <c r="L304" s="449"/>
      <c r="M304" s="449"/>
      <c r="N304" s="449"/>
      <c r="O304" s="449"/>
      <c r="P304" s="449"/>
      <c r="Q304" s="449"/>
    </row>
    <row r="305" spans="2:17">
      <c r="B305" s="449"/>
      <c r="C305" s="449"/>
      <c r="D305" s="449"/>
      <c r="E305" s="449"/>
      <c r="F305" s="449"/>
      <c r="G305" s="449"/>
      <c r="H305" s="449"/>
      <c r="I305" s="449"/>
      <c r="L305" s="449"/>
      <c r="M305" s="449"/>
      <c r="N305" s="449"/>
      <c r="O305" s="449"/>
      <c r="P305" s="449"/>
      <c r="Q305" s="449"/>
    </row>
    <row r="306" spans="2:17">
      <c r="B306" s="449"/>
      <c r="C306" s="449"/>
      <c r="D306" s="449"/>
      <c r="E306" s="449"/>
      <c r="F306" s="449"/>
      <c r="G306" s="449"/>
      <c r="H306" s="449"/>
      <c r="I306" s="449"/>
      <c r="L306" s="449"/>
      <c r="M306" s="449"/>
      <c r="N306" s="449"/>
      <c r="O306" s="449"/>
      <c r="P306" s="449"/>
      <c r="Q306" s="449"/>
    </row>
    <row r="307" spans="2:17">
      <c r="B307" s="449"/>
      <c r="C307" s="449"/>
      <c r="D307" s="449"/>
      <c r="E307" s="449"/>
      <c r="F307" s="449"/>
      <c r="G307" s="449"/>
      <c r="H307" s="449"/>
      <c r="I307" s="449"/>
      <c r="L307" s="449"/>
      <c r="M307" s="449"/>
      <c r="N307" s="449"/>
      <c r="O307" s="449"/>
      <c r="P307" s="449"/>
      <c r="Q307" s="449"/>
    </row>
    <row r="308" spans="2:17">
      <c r="B308" s="449"/>
      <c r="C308" s="449"/>
      <c r="D308" s="449"/>
      <c r="E308" s="449"/>
      <c r="F308" s="449"/>
      <c r="G308" s="449"/>
      <c r="H308" s="449"/>
      <c r="I308" s="449"/>
      <c r="L308" s="449"/>
      <c r="M308" s="449"/>
      <c r="N308" s="449"/>
      <c r="O308" s="449"/>
      <c r="P308" s="449"/>
      <c r="Q308" s="449"/>
    </row>
    <row r="309" spans="2:17">
      <c r="B309" s="449"/>
      <c r="C309" s="449"/>
      <c r="D309" s="449"/>
      <c r="E309" s="449"/>
      <c r="F309" s="449"/>
      <c r="G309" s="449"/>
      <c r="H309" s="449"/>
      <c r="I309" s="449"/>
      <c r="L309" s="449"/>
      <c r="M309" s="449"/>
      <c r="N309" s="449"/>
      <c r="O309" s="449"/>
      <c r="P309" s="449"/>
      <c r="Q309" s="449"/>
    </row>
    <row r="310" spans="2:17">
      <c r="B310" s="449"/>
      <c r="C310" s="449"/>
      <c r="D310" s="449"/>
      <c r="E310" s="449"/>
      <c r="F310" s="449"/>
      <c r="G310" s="449"/>
      <c r="H310" s="449"/>
      <c r="I310" s="449"/>
      <c r="L310" s="449"/>
      <c r="M310" s="449"/>
      <c r="N310" s="449"/>
      <c r="O310" s="449"/>
      <c r="P310" s="449"/>
      <c r="Q310" s="449"/>
    </row>
    <row r="311" spans="2:17">
      <c r="B311" s="449"/>
      <c r="C311" s="449"/>
      <c r="D311" s="449"/>
      <c r="E311" s="449"/>
      <c r="F311" s="449"/>
      <c r="G311" s="449"/>
      <c r="H311" s="449"/>
      <c r="I311" s="449"/>
      <c r="L311" s="449"/>
      <c r="M311" s="449"/>
      <c r="N311" s="449"/>
      <c r="O311" s="449"/>
      <c r="P311" s="449"/>
      <c r="Q311" s="449"/>
    </row>
    <row r="312" spans="2:17">
      <c r="B312" s="449"/>
      <c r="C312" s="449"/>
      <c r="D312" s="449"/>
      <c r="E312" s="449"/>
      <c r="F312" s="449"/>
      <c r="G312" s="449"/>
      <c r="H312" s="449"/>
      <c r="I312" s="449"/>
      <c r="L312" s="449"/>
      <c r="M312" s="449"/>
      <c r="N312" s="449"/>
      <c r="O312" s="449"/>
      <c r="P312" s="449"/>
      <c r="Q312" s="449"/>
    </row>
    <row r="313" spans="2:17">
      <c r="B313" s="449"/>
      <c r="C313" s="449"/>
      <c r="D313" s="449"/>
      <c r="E313" s="449"/>
      <c r="F313" s="449"/>
      <c r="G313" s="449"/>
      <c r="H313" s="449"/>
      <c r="I313" s="449"/>
      <c r="L313" s="449"/>
      <c r="M313" s="449"/>
      <c r="N313" s="449"/>
      <c r="O313" s="449"/>
      <c r="P313" s="449"/>
      <c r="Q313" s="449"/>
    </row>
    <row r="314" spans="2:17">
      <c r="B314" s="449"/>
      <c r="C314" s="449"/>
      <c r="D314" s="449"/>
      <c r="E314" s="449"/>
      <c r="F314" s="449"/>
      <c r="G314" s="449"/>
      <c r="H314" s="449"/>
      <c r="I314" s="449"/>
      <c r="L314" s="449"/>
      <c r="M314" s="449"/>
      <c r="N314" s="449"/>
      <c r="O314" s="449"/>
      <c r="P314" s="449"/>
      <c r="Q314" s="449"/>
    </row>
    <row r="315" spans="2:17">
      <c r="B315" s="449"/>
      <c r="C315" s="449"/>
      <c r="D315" s="449"/>
      <c r="E315" s="449"/>
      <c r="F315" s="449"/>
      <c r="G315" s="449"/>
      <c r="H315" s="449"/>
      <c r="I315" s="449"/>
      <c r="L315" s="449"/>
      <c r="M315" s="449"/>
      <c r="N315" s="449"/>
      <c r="O315" s="449"/>
      <c r="P315" s="449"/>
      <c r="Q315" s="449"/>
    </row>
    <row r="316" spans="2:17">
      <c r="B316" s="449"/>
      <c r="C316" s="449"/>
      <c r="D316" s="449"/>
      <c r="E316" s="449"/>
      <c r="F316" s="449"/>
      <c r="G316" s="449"/>
      <c r="H316" s="449"/>
      <c r="I316" s="449"/>
      <c r="L316" s="449"/>
      <c r="M316" s="449"/>
      <c r="N316" s="449"/>
      <c r="O316" s="449"/>
      <c r="P316" s="449"/>
      <c r="Q316" s="449"/>
    </row>
    <row r="317" spans="2:17">
      <c r="B317" s="449"/>
      <c r="C317" s="449"/>
      <c r="D317" s="449"/>
      <c r="E317" s="449"/>
      <c r="F317" s="449"/>
      <c r="G317" s="449"/>
      <c r="H317" s="449"/>
      <c r="I317" s="449"/>
      <c r="L317" s="449"/>
      <c r="M317" s="449"/>
      <c r="N317" s="449"/>
      <c r="O317" s="449"/>
      <c r="P317" s="449"/>
      <c r="Q317" s="449"/>
    </row>
    <row r="318" spans="2:17">
      <c r="B318" s="449"/>
      <c r="C318" s="449"/>
      <c r="D318" s="449"/>
      <c r="E318" s="449"/>
      <c r="F318" s="449"/>
      <c r="G318" s="449"/>
      <c r="H318" s="449"/>
      <c r="I318" s="449"/>
      <c r="L318" s="449"/>
      <c r="M318" s="449"/>
      <c r="N318" s="449"/>
      <c r="O318" s="449"/>
      <c r="P318" s="449"/>
      <c r="Q318" s="449"/>
    </row>
    <row r="319" spans="2:17">
      <c r="B319" s="449"/>
      <c r="C319" s="449"/>
      <c r="D319" s="449"/>
      <c r="E319" s="449"/>
      <c r="F319" s="449"/>
      <c r="G319" s="449"/>
      <c r="H319" s="449"/>
      <c r="I319" s="449"/>
      <c r="L319" s="449"/>
      <c r="M319" s="449"/>
      <c r="N319" s="449"/>
      <c r="O319" s="449"/>
      <c r="P319" s="449"/>
      <c r="Q319" s="449"/>
    </row>
    <row r="320" spans="2:17">
      <c r="B320" s="449"/>
      <c r="C320" s="449"/>
      <c r="D320" s="449"/>
      <c r="E320" s="449"/>
      <c r="F320" s="449"/>
      <c r="G320" s="449"/>
      <c r="H320" s="449"/>
      <c r="I320" s="449"/>
      <c r="L320" s="449"/>
      <c r="M320" s="449"/>
      <c r="N320" s="449"/>
      <c r="O320" s="449"/>
      <c r="P320" s="449"/>
      <c r="Q320" s="449"/>
    </row>
    <row r="321" spans="2:17">
      <c r="B321" s="449"/>
      <c r="C321" s="449"/>
      <c r="D321" s="449"/>
      <c r="E321" s="449"/>
      <c r="F321" s="449"/>
      <c r="G321" s="449"/>
      <c r="H321" s="449"/>
      <c r="I321" s="449"/>
      <c r="L321" s="449"/>
      <c r="M321" s="449"/>
      <c r="N321" s="449"/>
      <c r="O321" s="449"/>
      <c r="P321" s="449"/>
      <c r="Q321" s="449"/>
    </row>
    <row r="322" spans="2:17">
      <c r="B322" s="449"/>
      <c r="C322" s="449"/>
      <c r="D322" s="449"/>
      <c r="E322" s="449"/>
      <c r="F322" s="449"/>
      <c r="G322" s="449"/>
      <c r="H322" s="449"/>
      <c r="I322" s="449"/>
      <c r="L322" s="449"/>
      <c r="M322" s="449"/>
      <c r="N322" s="449"/>
      <c r="O322" s="449"/>
      <c r="P322" s="449"/>
      <c r="Q322" s="449"/>
    </row>
    <row r="323" spans="2:17">
      <c r="B323" s="449"/>
      <c r="C323" s="449"/>
      <c r="D323" s="449"/>
      <c r="E323" s="449"/>
      <c r="F323" s="449"/>
      <c r="G323" s="449"/>
      <c r="H323" s="449"/>
      <c r="I323" s="449"/>
      <c r="L323" s="449"/>
      <c r="M323" s="449"/>
      <c r="N323" s="449"/>
      <c r="O323" s="449"/>
      <c r="P323" s="449"/>
      <c r="Q323" s="449"/>
    </row>
    <row r="324" spans="2:17">
      <c r="B324" s="449"/>
      <c r="C324" s="449"/>
      <c r="D324" s="449"/>
      <c r="E324" s="449"/>
      <c r="F324" s="449"/>
      <c r="G324" s="449"/>
      <c r="H324" s="449"/>
      <c r="I324" s="449"/>
      <c r="L324" s="449"/>
      <c r="M324" s="449"/>
      <c r="N324" s="449"/>
      <c r="O324" s="449"/>
      <c r="P324" s="449"/>
      <c r="Q324" s="449"/>
    </row>
    <row r="325" spans="2:17">
      <c r="B325" s="449"/>
      <c r="C325" s="449"/>
      <c r="D325" s="449"/>
      <c r="E325" s="449"/>
      <c r="F325" s="449"/>
      <c r="G325" s="449"/>
      <c r="H325" s="449"/>
      <c r="I325" s="449"/>
      <c r="L325" s="449"/>
      <c r="M325" s="449"/>
      <c r="N325" s="449"/>
      <c r="O325" s="449"/>
      <c r="P325" s="449"/>
      <c r="Q325" s="449"/>
    </row>
    <row r="326" spans="2:17">
      <c r="B326" s="449"/>
      <c r="C326" s="449"/>
      <c r="D326" s="449"/>
      <c r="E326" s="449"/>
      <c r="F326" s="449"/>
      <c r="G326" s="449"/>
      <c r="H326" s="449"/>
      <c r="I326" s="449"/>
      <c r="L326" s="449"/>
      <c r="M326" s="449"/>
      <c r="N326" s="449"/>
      <c r="O326" s="449"/>
      <c r="P326" s="449"/>
      <c r="Q326" s="449"/>
    </row>
    <row r="327" spans="2:17">
      <c r="B327" s="449"/>
      <c r="C327" s="449"/>
      <c r="D327" s="449"/>
      <c r="E327" s="449"/>
      <c r="F327" s="449"/>
      <c r="G327" s="449"/>
      <c r="H327" s="449"/>
      <c r="I327" s="449"/>
      <c r="L327" s="449"/>
      <c r="M327" s="449"/>
      <c r="N327" s="449"/>
      <c r="O327" s="449"/>
      <c r="P327" s="449"/>
      <c r="Q327" s="449"/>
    </row>
    <row r="328" spans="2:17">
      <c r="B328" s="449"/>
      <c r="C328" s="449"/>
      <c r="D328" s="449"/>
      <c r="E328" s="449"/>
      <c r="F328" s="449"/>
      <c r="G328" s="449"/>
      <c r="H328" s="449"/>
      <c r="I328" s="449"/>
      <c r="L328" s="449"/>
      <c r="M328" s="449"/>
      <c r="N328" s="449"/>
      <c r="O328" s="449"/>
      <c r="P328" s="449"/>
      <c r="Q328" s="449"/>
    </row>
    <row r="329" spans="2:17">
      <c r="B329" s="449"/>
      <c r="C329" s="449"/>
      <c r="D329" s="449"/>
      <c r="E329" s="449"/>
      <c r="F329" s="449"/>
      <c r="G329" s="449"/>
      <c r="H329" s="449"/>
      <c r="I329" s="449"/>
      <c r="L329" s="449"/>
      <c r="M329" s="449"/>
      <c r="N329" s="449"/>
      <c r="O329" s="449"/>
      <c r="P329" s="449"/>
      <c r="Q329" s="449"/>
    </row>
    <row r="330" spans="2:17">
      <c r="B330" s="449"/>
      <c r="C330" s="449"/>
      <c r="D330" s="449"/>
      <c r="E330" s="449"/>
      <c r="F330" s="449"/>
      <c r="G330" s="449"/>
      <c r="H330" s="449"/>
      <c r="I330" s="449"/>
      <c r="L330" s="449"/>
      <c r="M330" s="449"/>
      <c r="N330" s="449"/>
      <c r="O330" s="449"/>
      <c r="P330" s="449"/>
      <c r="Q330" s="449"/>
    </row>
    <row r="331" spans="2:17">
      <c r="B331" s="449"/>
      <c r="C331" s="449"/>
      <c r="D331" s="449"/>
      <c r="E331" s="449"/>
      <c r="F331" s="449"/>
      <c r="G331" s="449"/>
      <c r="H331" s="449"/>
      <c r="I331" s="449"/>
      <c r="L331" s="449"/>
      <c r="M331" s="449"/>
      <c r="N331" s="449"/>
      <c r="O331" s="449"/>
      <c r="P331" s="449"/>
      <c r="Q331" s="449"/>
    </row>
    <row r="332" spans="2:17">
      <c r="B332" s="449"/>
      <c r="C332" s="449"/>
      <c r="D332" s="449"/>
      <c r="E332" s="449"/>
      <c r="F332" s="449"/>
      <c r="G332" s="449"/>
      <c r="H332" s="449"/>
      <c r="I332" s="449"/>
      <c r="L332" s="449"/>
      <c r="M332" s="449"/>
      <c r="N332" s="449"/>
      <c r="O332" s="449"/>
      <c r="P332" s="449"/>
      <c r="Q332" s="449"/>
    </row>
    <row r="333" spans="2:17">
      <c r="B333" s="449"/>
      <c r="C333" s="449"/>
      <c r="D333" s="449"/>
      <c r="E333" s="449"/>
      <c r="F333" s="449"/>
      <c r="G333" s="449"/>
      <c r="H333" s="449"/>
      <c r="I333" s="449"/>
      <c r="L333" s="449"/>
      <c r="M333" s="449"/>
      <c r="N333" s="449"/>
      <c r="O333" s="449"/>
      <c r="P333" s="449"/>
      <c r="Q333" s="449"/>
    </row>
    <row r="334" spans="2:17">
      <c r="B334" s="449"/>
      <c r="C334" s="449"/>
      <c r="D334" s="449"/>
      <c r="E334" s="449"/>
      <c r="F334" s="449"/>
      <c r="G334" s="449"/>
      <c r="H334" s="449"/>
      <c r="I334" s="449"/>
      <c r="L334" s="449"/>
      <c r="M334" s="449"/>
      <c r="N334" s="449"/>
      <c r="O334" s="449"/>
      <c r="P334" s="449"/>
      <c r="Q334" s="449"/>
    </row>
    <row r="335" spans="2:17">
      <c r="B335" s="449"/>
      <c r="C335" s="449"/>
      <c r="D335" s="449"/>
      <c r="E335" s="449"/>
      <c r="F335" s="449"/>
      <c r="G335" s="449"/>
      <c r="H335" s="449"/>
      <c r="I335" s="449"/>
      <c r="L335" s="449"/>
      <c r="M335" s="449"/>
      <c r="N335" s="449"/>
      <c r="O335" s="449"/>
      <c r="P335" s="449"/>
      <c r="Q335" s="449"/>
    </row>
    <row r="336" spans="2:17">
      <c r="B336" s="449"/>
      <c r="C336" s="449"/>
      <c r="D336" s="449"/>
      <c r="E336" s="449"/>
      <c r="F336" s="449"/>
      <c r="G336" s="449"/>
      <c r="H336" s="449"/>
      <c r="I336" s="449"/>
      <c r="L336" s="449"/>
      <c r="M336" s="449"/>
      <c r="N336" s="449"/>
      <c r="O336" s="449"/>
      <c r="P336" s="449"/>
      <c r="Q336" s="449"/>
    </row>
    <row r="337" spans="2:17">
      <c r="B337" s="449"/>
      <c r="C337" s="449"/>
      <c r="D337" s="449"/>
      <c r="E337" s="449"/>
      <c r="F337" s="449"/>
      <c r="G337" s="449"/>
      <c r="H337" s="449"/>
      <c r="I337" s="449"/>
      <c r="L337" s="449"/>
      <c r="M337" s="449"/>
      <c r="N337" s="449"/>
      <c r="O337" s="449"/>
      <c r="P337" s="449"/>
      <c r="Q337" s="449"/>
    </row>
    <row r="338" spans="2:17">
      <c r="B338" s="449"/>
      <c r="C338" s="449"/>
      <c r="D338" s="449"/>
      <c r="E338" s="449"/>
      <c r="F338" s="449"/>
      <c r="G338" s="449"/>
      <c r="H338" s="449"/>
      <c r="I338" s="449"/>
      <c r="L338" s="449"/>
      <c r="M338" s="449"/>
      <c r="N338" s="449"/>
      <c r="O338" s="449"/>
      <c r="P338" s="449"/>
      <c r="Q338" s="449"/>
    </row>
    <row r="339" spans="2:17">
      <c r="B339" s="449"/>
      <c r="C339" s="449"/>
      <c r="D339" s="449"/>
      <c r="E339" s="449"/>
      <c r="F339" s="449"/>
      <c r="G339" s="449"/>
      <c r="H339" s="449"/>
      <c r="I339" s="449"/>
      <c r="L339" s="449"/>
      <c r="M339" s="449"/>
      <c r="N339" s="449"/>
      <c r="O339" s="449"/>
      <c r="P339" s="449"/>
      <c r="Q339" s="449"/>
    </row>
    <row r="340" spans="2:17">
      <c r="B340" s="449"/>
      <c r="C340" s="449"/>
      <c r="D340" s="449"/>
      <c r="E340" s="449"/>
      <c r="F340" s="449"/>
      <c r="G340" s="449"/>
      <c r="H340" s="449"/>
      <c r="I340" s="449"/>
      <c r="L340" s="449"/>
      <c r="M340" s="449"/>
      <c r="N340" s="449"/>
      <c r="O340" s="449"/>
      <c r="P340" s="449"/>
      <c r="Q340" s="449"/>
    </row>
    <row r="341" spans="2:17">
      <c r="B341" s="449"/>
      <c r="C341" s="449"/>
      <c r="D341" s="449"/>
      <c r="E341" s="449"/>
      <c r="F341" s="449"/>
      <c r="G341" s="449"/>
      <c r="H341" s="449"/>
      <c r="I341" s="449"/>
      <c r="L341" s="449"/>
      <c r="M341" s="449"/>
      <c r="N341" s="449"/>
      <c r="O341" s="449"/>
      <c r="P341" s="449"/>
      <c r="Q341" s="449"/>
    </row>
    <row r="342" spans="2:17">
      <c r="B342" s="449"/>
      <c r="C342" s="449"/>
      <c r="D342" s="449"/>
      <c r="E342" s="449"/>
      <c r="F342" s="449"/>
      <c r="G342" s="449"/>
      <c r="H342" s="449"/>
      <c r="I342" s="449"/>
      <c r="L342" s="449"/>
      <c r="M342" s="449"/>
      <c r="N342" s="449"/>
      <c r="O342" s="449"/>
      <c r="P342" s="449"/>
      <c r="Q342" s="449"/>
    </row>
    <row r="343" spans="2:17">
      <c r="B343" s="449"/>
      <c r="C343" s="449"/>
      <c r="D343" s="449"/>
      <c r="E343" s="449"/>
      <c r="F343" s="449"/>
      <c r="G343" s="449"/>
      <c r="H343" s="449"/>
      <c r="I343" s="449"/>
      <c r="L343" s="449"/>
      <c r="M343" s="449"/>
      <c r="N343" s="449"/>
      <c r="O343" s="449"/>
      <c r="P343" s="449"/>
      <c r="Q343" s="449"/>
    </row>
    <row r="344" spans="2:17">
      <c r="B344" s="449"/>
      <c r="C344" s="449"/>
      <c r="D344" s="449"/>
      <c r="E344" s="449"/>
      <c r="F344" s="449"/>
      <c r="G344" s="449"/>
      <c r="H344" s="449"/>
      <c r="I344" s="449"/>
      <c r="L344" s="449"/>
      <c r="M344" s="449"/>
      <c r="N344" s="449"/>
      <c r="O344" s="449"/>
      <c r="P344" s="449"/>
      <c r="Q344" s="449"/>
    </row>
    <row r="345" spans="2:17">
      <c r="B345" s="449"/>
      <c r="C345" s="449"/>
      <c r="D345" s="449"/>
      <c r="E345" s="449"/>
      <c r="F345" s="449"/>
      <c r="G345" s="449"/>
      <c r="H345" s="449"/>
      <c r="I345" s="449"/>
      <c r="L345" s="449"/>
      <c r="M345" s="449"/>
      <c r="N345" s="449"/>
      <c r="O345" s="449"/>
      <c r="P345" s="449"/>
      <c r="Q345" s="449"/>
    </row>
    <row r="346" spans="2:17">
      <c r="B346" s="449"/>
      <c r="C346" s="449"/>
      <c r="D346" s="449"/>
      <c r="E346" s="449"/>
      <c r="F346" s="449"/>
      <c r="G346" s="449"/>
      <c r="H346" s="449"/>
      <c r="I346" s="449"/>
      <c r="L346" s="449"/>
      <c r="M346" s="449"/>
      <c r="N346" s="449"/>
      <c r="O346" s="449"/>
      <c r="P346" s="449"/>
      <c r="Q346" s="449"/>
    </row>
    <row r="347" spans="2:17">
      <c r="B347" s="449"/>
      <c r="C347" s="449"/>
      <c r="D347" s="449"/>
      <c r="E347" s="449"/>
      <c r="F347" s="449"/>
      <c r="G347" s="449"/>
      <c r="H347" s="449"/>
      <c r="I347" s="449"/>
      <c r="L347" s="449"/>
      <c r="M347" s="449"/>
      <c r="N347" s="449"/>
      <c r="O347" s="449"/>
      <c r="P347" s="449"/>
      <c r="Q347" s="449"/>
    </row>
    <row r="348" spans="2:17">
      <c r="B348" s="449"/>
      <c r="C348" s="449"/>
      <c r="D348" s="449"/>
      <c r="E348" s="449"/>
      <c r="F348" s="449"/>
      <c r="G348" s="449"/>
      <c r="H348" s="449"/>
      <c r="I348" s="449"/>
      <c r="L348" s="449"/>
      <c r="M348" s="449"/>
      <c r="N348" s="449"/>
      <c r="O348" s="449"/>
      <c r="P348" s="449"/>
      <c r="Q348" s="449"/>
    </row>
    <row r="349" spans="2:17">
      <c r="B349" s="449"/>
      <c r="C349" s="449"/>
      <c r="D349" s="449"/>
      <c r="E349" s="449"/>
      <c r="F349" s="449"/>
      <c r="G349" s="449"/>
      <c r="H349" s="449"/>
      <c r="I349" s="449"/>
      <c r="L349" s="449"/>
      <c r="M349" s="449"/>
      <c r="N349" s="449"/>
      <c r="O349" s="449"/>
      <c r="P349" s="449"/>
      <c r="Q349" s="449"/>
    </row>
    <row r="350" spans="2:17">
      <c r="B350" s="449"/>
      <c r="C350" s="449"/>
      <c r="D350" s="449"/>
      <c r="E350" s="449"/>
      <c r="F350" s="449"/>
      <c r="G350" s="449"/>
      <c r="H350" s="449"/>
      <c r="I350" s="449"/>
      <c r="L350" s="449"/>
      <c r="M350" s="449"/>
      <c r="N350" s="449"/>
      <c r="O350" s="449"/>
      <c r="P350" s="449"/>
      <c r="Q350" s="449"/>
    </row>
    <row r="351" spans="2:17">
      <c r="B351" s="449"/>
      <c r="C351" s="449"/>
      <c r="D351" s="449"/>
      <c r="E351" s="449"/>
      <c r="F351" s="449"/>
      <c r="G351" s="449"/>
      <c r="H351" s="449"/>
      <c r="I351" s="449"/>
      <c r="L351" s="449"/>
      <c r="M351" s="449"/>
      <c r="N351" s="449"/>
      <c r="O351" s="449"/>
      <c r="P351" s="449"/>
      <c r="Q351" s="449"/>
    </row>
    <row r="352" spans="2:17">
      <c r="B352" s="449"/>
      <c r="C352" s="449"/>
      <c r="D352" s="449"/>
      <c r="E352" s="449"/>
      <c r="F352" s="449"/>
      <c r="G352" s="449"/>
      <c r="H352" s="449"/>
      <c r="I352" s="449"/>
      <c r="L352" s="449"/>
      <c r="M352" s="449"/>
      <c r="N352" s="449"/>
      <c r="O352" s="449"/>
      <c r="P352" s="449"/>
      <c r="Q352" s="449"/>
    </row>
    <row r="353" spans="2:17">
      <c r="B353" s="449"/>
      <c r="C353" s="449"/>
      <c r="D353" s="449"/>
      <c r="E353" s="449"/>
      <c r="F353" s="449"/>
      <c r="G353" s="449"/>
      <c r="H353" s="449"/>
      <c r="I353" s="449"/>
      <c r="L353" s="449"/>
      <c r="M353" s="449"/>
      <c r="N353" s="449"/>
      <c r="O353" s="449"/>
      <c r="P353" s="449"/>
      <c r="Q353" s="449"/>
    </row>
    <row r="354" spans="2:17">
      <c r="B354" s="449"/>
      <c r="C354" s="449"/>
      <c r="D354" s="449"/>
      <c r="E354" s="449"/>
      <c r="F354" s="449"/>
      <c r="G354" s="449"/>
      <c r="H354" s="449"/>
      <c r="I354" s="449"/>
      <c r="L354" s="449"/>
      <c r="M354" s="449"/>
      <c r="N354" s="449"/>
      <c r="O354" s="449"/>
      <c r="P354" s="449"/>
      <c r="Q354" s="449"/>
    </row>
    <row r="355" spans="2:17">
      <c r="B355" s="449"/>
      <c r="C355" s="449"/>
      <c r="D355" s="449"/>
      <c r="E355" s="449"/>
      <c r="F355" s="449"/>
      <c r="G355" s="449"/>
      <c r="H355" s="449"/>
      <c r="I355" s="449"/>
      <c r="L355" s="449"/>
      <c r="M355" s="449"/>
      <c r="N355" s="449"/>
      <c r="O355" s="449"/>
      <c r="P355" s="449"/>
      <c r="Q355" s="449"/>
    </row>
    <row r="356" spans="2:17">
      <c r="B356" s="449"/>
      <c r="C356" s="449"/>
      <c r="D356" s="449"/>
      <c r="E356" s="449"/>
      <c r="F356" s="449"/>
      <c r="G356" s="449"/>
      <c r="H356" s="449"/>
      <c r="I356" s="449"/>
      <c r="L356" s="449"/>
      <c r="M356" s="449"/>
      <c r="N356" s="449"/>
      <c r="O356" s="449"/>
      <c r="P356" s="449"/>
      <c r="Q356" s="449"/>
    </row>
    <row r="357" spans="2:17">
      <c r="B357" s="449"/>
      <c r="C357" s="449"/>
      <c r="D357" s="449"/>
      <c r="E357" s="449"/>
      <c r="F357" s="449"/>
      <c r="G357" s="449"/>
      <c r="H357" s="449"/>
      <c r="I357" s="449"/>
      <c r="L357" s="449"/>
      <c r="M357" s="449"/>
      <c r="N357" s="449"/>
      <c r="O357" s="449"/>
      <c r="P357" s="449"/>
      <c r="Q357" s="449"/>
    </row>
    <row r="358" spans="2:17">
      <c r="B358" s="449"/>
      <c r="C358" s="449"/>
      <c r="D358" s="449"/>
      <c r="E358" s="449"/>
      <c r="F358" s="449"/>
      <c r="G358" s="449"/>
      <c r="H358" s="449"/>
      <c r="I358" s="449"/>
      <c r="L358" s="449"/>
      <c r="M358" s="449"/>
      <c r="N358" s="449"/>
      <c r="O358" s="449"/>
      <c r="P358" s="449"/>
      <c r="Q358" s="449"/>
    </row>
    <row r="359" spans="2:17">
      <c r="B359" s="449"/>
      <c r="C359" s="449"/>
      <c r="D359" s="449"/>
      <c r="E359" s="449"/>
      <c r="F359" s="449"/>
      <c r="G359" s="449"/>
      <c r="H359" s="449"/>
      <c r="I359" s="449"/>
      <c r="L359" s="449"/>
      <c r="M359" s="449"/>
      <c r="N359" s="449"/>
      <c r="O359" s="449"/>
      <c r="P359" s="449"/>
      <c r="Q359" s="449"/>
    </row>
    <row r="360" spans="2:17">
      <c r="B360" s="449"/>
      <c r="C360" s="449"/>
      <c r="D360" s="449"/>
      <c r="E360" s="449"/>
      <c r="F360" s="449"/>
      <c r="G360" s="449"/>
      <c r="H360" s="449"/>
      <c r="I360" s="449"/>
      <c r="L360" s="449"/>
      <c r="M360" s="449"/>
      <c r="N360" s="449"/>
      <c r="O360" s="449"/>
      <c r="P360" s="449"/>
      <c r="Q360" s="449"/>
    </row>
    <row r="361" spans="2:17">
      <c r="B361" s="449"/>
      <c r="C361" s="449"/>
      <c r="D361" s="449"/>
      <c r="E361" s="449"/>
      <c r="F361" s="449"/>
      <c r="G361" s="449"/>
      <c r="H361" s="449"/>
      <c r="I361" s="449"/>
      <c r="L361" s="449"/>
      <c r="M361" s="449"/>
      <c r="N361" s="449"/>
      <c r="O361" s="449"/>
      <c r="P361" s="449"/>
      <c r="Q361" s="449"/>
    </row>
    <row r="362" spans="2:17">
      <c r="B362" s="449"/>
      <c r="C362" s="449"/>
      <c r="D362" s="449"/>
      <c r="E362" s="449"/>
      <c r="F362" s="449"/>
      <c r="G362" s="449"/>
      <c r="H362" s="449"/>
      <c r="I362" s="449"/>
      <c r="L362" s="449"/>
      <c r="M362" s="449"/>
      <c r="N362" s="449"/>
      <c r="O362" s="449"/>
      <c r="P362" s="449"/>
      <c r="Q362" s="449"/>
    </row>
    <row r="363" spans="2:17">
      <c r="B363" s="449"/>
      <c r="C363" s="449"/>
      <c r="D363" s="449"/>
      <c r="E363" s="449"/>
      <c r="F363" s="449"/>
      <c r="G363" s="449"/>
      <c r="H363" s="449"/>
      <c r="I363" s="449"/>
      <c r="L363" s="449"/>
      <c r="M363" s="449"/>
      <c r="N363" s="449"/>
      <c r="O363" s="449"/>
      <c r="P363" s="449"/>
      <c r="Q363" s="449"/>
    </row>
    <row r="364" spans="2:17">
      <c r="B364" s="449"/>
      <c r="C364" s="449"/>
      <c r="D364" s="449"/>
      <c r="E364" s="449"/>
      <c r="F364" s="449"/>
      <c r="G364" s="449"/>
      <c r="H364" s="449"/>
      <c r="I364" s="449"/>
      <c r="L364" s="449"/>
      <c r="M364" s="449"/>
      <c r="N364" s="449"/>
      <c r="O364" s="449"/>
      <c r="P364" s="449"/>
      <c r="Q364" s="449"/>
    </row>
    <row r="365" spans="2:17">
      <c r="B365" s="449"/>
      <c r="C365" s="449"/>
      <c r="D365" s="449"/>
      <c r="E365" s="449"/>
      <c r="F365" s="449"/>
      <c r="G365" s="449"/>
      <c r="H365" s="449"/>
      <c r="I365" s="449"/>
      <c r="L365" s="449"/>
      <c r="M365" s="449"/>
      <c r="N365" s="449"/>
      <c r="O365" s="449"/>
      <c r="P365" s="449"/>
      <c r="Q365" s="449"/>
    </row>
    <row r="366" spans="2:17">
      <c r="B366" s="449"/>
      <c r="C366" s="449"/>
      <c r="D366" s="449"/>
      <c r="E366" s="449"/>
      <c r="F366" s="449"/>
      <c r="G366" s="449"/>
      <c r="H366" s="449"/>
      <c r="I366" s="449"/>
      <c r="L366" s="449"/>
      <c r="M366" s="449"/>
      <c r="N366" s="449"/>
      <c r="O366" s="449"/>
      <c r="P366" s="449"/>
      <c r="Q366" s="449"/>
    </row>
    <row r="367" spans="2:17">
      <c r="B367" s="449"/>
      <c r="C367" s="449"/>
      <c r="D367" s="449"/>
      <c r="E367" s="449"/>
      <c r="F367" s="449"/>
      <c r="G367" s="449"/>
      <c r="H367" s="449"/>
      <c r="I367" s="449"/>
      <c r="L367" s="449"/>
      <c r="M367" s="449"/>
      <c r="N367" s="449"/>
      <c r="O367" s="449"/>
      <c r="P367" s="449"/>
      <c r="Q367" s="449"/>
    </row>
    <row r="368" spans="2:17">
      <c r="B368" s="449"/>
      <c r="C368" s="449"/>
      <c r="D368" s="449"/>
      <c r="E368" s="449"/>
      <c r="F368" s="449"/>
      <c r="G368" s="449"/>
      <c r="H368" s="449"/>
      <c r="I368" s="449"/>
      <c r="L368" s="449"/>
      <c r="M368" s="449"/>
      <c r="N368" s="449"/>
      <c r="O368" s="449"/>
      <c r="P368" s="449"/>
      <c r="Q368" s="449"/>
    </row>
    <row r="369" spans="2:17">
      <c r="B369" s="449"/>
      <c r="C369" s="449"/>
      <c r="D369" s="449"/>
      <c r="E369" s="449"/>
      <c r="F369" s="449"/>
      <c r="G369" s="449"/>
      <c r="H369" s="449"/>
      <c r="I369" s="449"/>
      <c r="L369" s="449"/>
      <c r="M369" s="449"/>
      <c r="N369" s="449"/>
      <c r="O369" s="449"/>
      <c r="P369" s="449"/>
      <c r="Q369" s="449"/>
    </row>
    <row r="370" spans="2:17">
      <c r="B370" s="449"/>
      <c r="C370" s="449"/>
      <c r="D370" s="449"/>
      <c r="E370" s="449"/>
      <c r="F370" s="449"/>
      <c r="G370" s="449"/>
      <c r="H370" s="449"/>
      <c r="I370" s="449"/>
      <c r="L370" s="449"/>
      <c r="M370" s="449"/>
      <c r="N370" s="449"/>
      <c r="O370" s="449"/>
      <c r="P370" s="449"/>
      <c r="Q370" s="449"/>
    </row>
    <row r="371" spans="2:17">
      <c r="B371" s="449"/>
      <c r="C371" s="449"/>
      <c r="D371" s="449"/>
      <c r="E371" s="449"/>
      <c r="F371" s="449"/>
      <c r="G371" s="449"/>
      <c r="H371" s="449"/>
      <c r="I371" s="449"/>
      <c r="L371" s="449"/>
      <c r="M371" s="449"/>
      <c r="N371" s="449"/>
      <c r="O371" s="449"/>
      <c r="P371" s="449"/>
      <c r="Q371" s="449"/>
    </row>
    <row r="372" spans="2:17">
      <c r="B372" s="449"/>
      <c r="C372" s="449"/>
      <c r="D372" s="449"/>
      <c r="E372" s="449"/>
      <c r="F372" s="449"/>
      <c r="G372" s="449"/>
      <c r="H372" s="449"/>
      <c r="I372" s="449"/>
      <c r="L372" s="449"/>
      <c r="M372" s="449"/>
      <c r="N372" s="449"/>
      <c r="O372" s="449"/>
      <c r="P372" s="449"/>
      <c r="Q372" s="449"/>
    </row>
    <row r="373" spans="2:17">
      <c r="B373" s="449"/>
      <c r="C373" s="449"/>
      <c r="D373" s="449"/>
      <c r="E373" s="449"/>
      <c r="F373" s="449"/>
      <c r="G373" s="449"/>
      <c r="H373" s="449"/>
      <c r="I373" s="449"/>
      <c r="L373" s="449"/>
      <c r="M373" s="449"/>
      <c r="N373" s="449"/>
      <c r="O373" s="449"/>
      <c r="P373" s="449"/>
      <c r="Q373" s="449"/>
    </row>
    <row r="374" spans="2:17">
      <c r="B374" s="449"/>
      <c r="C374" s="449"/>
      <c r="D374" s="449"/>
      <c r="E374" s="449"/>
      <c r="F374" s="449"/>
      <c r="G374" s="449"/>
      <c r="H374" s="449"/>
      <c r="I374" s="449"/>
      <c r="L374" s="449"/>
      <c r="M374" s="449"/>
      <c r="N374" s="449"/>
      <c r="O374" s="449"/>
      <c r="P374" s="449"/>
      <c r="Q374" s="449"/>
    </row>
    <row r="375" spans="2:17">
      <c r="B375" s="449"/>
      <c r="C375" s="449"/>
      <c r="D375" s="449"/>
      <c r="E375" s="449"/>
      <c r="F375" s="449"/>
      <c r="G375" s="449"/>
      <c r="H375" s="449"/>
      <c r="I375" s="449"/>
      <c r="L375" s="449"/>
      <c r="M375" s="449"/>
      <c r="N375" s="449"/>
      <c r="O375" s="449"/>
      <c r="P375" s="449"/>
      <c r="Q375" s="449"/>
    </row>
    <row r="376" spans="2:17">
      <c r="B376" s="449"/>
      <c r="C376" s="449"/>
      <c r="D376" s="449"/>
      <c r="E376" s="449"/>
      <c r="F376" s="449"/>
      <c r="G376" s="449"/>
      <c r="H376" s="449"/>
      <c r="I376" s="449"/>
      <c r="L376" s="449"/>
      <c r="M376" s="449"/>
      <c r="N376" s="449"/>
      <c r="O376" s="449"/>
      <c r="P376" s="449"/>
      <c r="Q376" s="449"/>
    </row>
    <row r="377" spans="2:17">
      <c r="B377" s="449"/>
      <c r="C377" s="449"/>
      <c r="D377" s="449"/>
      <c r="E377" s="449"/>
      <c r="F377" s="449"/>
      <c r="G377" s="449"/>
      <c r="H377" s="449"/>
      <c r="I377" s="449"/>
      <c r="L377" s="449"/>
      <c r="M377" s="449"/>
      <c r="N377" s="449"/>
      <c r="O377" s="449"/>
      <c r="P377" s="449"/>
      <c r="Q377" s="449"/>
    </row>
    <row r="378" spans="2:17">
      <c r="B378" s="449"/>
      <c r="C378" s="449"/>
      <c r="D378" s="449"/>
      <c r="E378" s="449"/>
      <c r="F378" s="449"/>
      <c r="G378" s="449"/>
      <c r="H378" s="449"/>
      <c r="I378" s="449"/>
      <c r="L378" s="449"/>
      <c r="M378" s="449"/>
      <c r="N378" s="449"/>
      <c r="O378" s="449"/>
      <c r="P378" s="449"/>
      <c r="Q378" s="449"/>
    </row>
    <row r="379" spans="2:17">
      <c r="B379" s="449"/>
      <c r="C379" s="449"/>
      <c r="D379" s="449"/>
      <c r="E379" s="449"/>
      <c r="F379" s="449"/>
      <c r="G379" s="449"/>
      <c r="H379" s="449"/>
      <c r="I379" s="449"/>
      <c r="L379" s="449"/>
      <c r="M379" s="449"/>
      <c r="N379" s="449"/>
      <c r="O379" s="449"/>
      <c r="P379" s="449"/>
      <c r="Q379" s="449"/>
    </row>
    <row r="380" spans="2:17">
      <c r="B380" s="449"/>
      <c r="C380" s="449"/>
      <c r="D380" s="449"/>
      <c r="E380" s="449"/>
      <c r="F380" s="449"/>
      <c r="G380" s="449"/>
      <c r="H380" s="449"/>
      <c r="I380" s="449"/>
      <c r="L380" s="449"/>
      <c r="M380" s="449"/>
      <c r="N380" s="449"/>
      <c r="O380" s="449"/>
      <c r="P380" s="449"/>
      <c r="Q380" s="449"/>
    </row>
    <row r="381" spans="2:17">
      <c r="B381" s="449"/>
      <c r="C381" s="449"/>
      <c r="D381" s="449"/>
      <c r="E381" s="449"/>
      <c r="F381" s="449"/>
      <c r="G381" s="449"/>
      <c r="H381" s="449"/>
      <c r="I381" s="449"/>
      <c r="L381" s="449"/>
      <c r="M381" s="449"/>
      <c r="N381" s="449"/>
      <c r="O381" s="449"/>
      <c r="P381" s="449"/>
      <c r="Q381" s="449"/>
    </row>
    <row r="382" spans="2:17">
      <c r="B382" s="449"/>
      <c r="C382" s="449"/>
      <c r="D382" s="449"/>
      <c r="E382" s="449"/>
      <c r="F382" s="449"/>
      <c r="G382" s="449"/>
      <c r="H382" s="449"/>
      <c r="I382" s="449"/>
      <c r="L382" s="449"/>
      <c r="M382" s="449"/>
      <c r="N382" s="449"/>
      <c r="O382" s="449"/>
      <c r="P382" s="449"/>
      <c r="Q382" s="449"/>
    </row>
    <row r="383" spans="2:17">
      <c r="B383" s="449"/>
      <c r="C383" s="449"/>
      <c r="D383" s="449"/>
      <c r="E383" s="449"/>
      <c r="F383" s="449"/>
      <c r="G383" s="449"/>
      <c r="H383" s="449"/>
      <c r="I383" s="449"/>
      <c r="L383" s="449"/>
      <c r="M383" s="449"/>
      <c r="N383" s="449"/>
      <c r="O383" s="449"/>
      <c r="P383" s="449"/>
      <c r="Q383" s="449"/>
    </row>
    <row r="384" spans="2:17">
      <c r="B384" s="449"/>
      <c r="C384" s="449"/>
      <c r="D384" s="449"/>
      <c r="E384" s="449"/>
      <c r="F384" s="449"/>
      <c r="G384" s="449"/>
      <c r="H384" s="449"/>
      <c r="I384" s="449"/>
      <c r="L384" s="449"/>
      <c r="M384" s="449"/>
      <c r="N384" s="449"/>
      <c r="O384" s="449"/>
      <c r="P384" s="449"/>
      <c r="Q384" s="449"/>
    </row>
    <row r="385" spans="2:17">
      <c r="B385" s="449"/>
      <c r="C385" s="449"/>
      <c r="D385" s="449"/>
      <c r="E385" s="449"/>
      <c r="F385" s="449"/>
      <c r="G385" s="449"/>
      <c r="H385" s="449"/>
      <c r="I385" s="449"/>
      <c r="L385" s="449"/>
      <c r="M385" s="449"/>
      <c r="N385" s="449"/>
      <c r="O385" s="449"/>
      <c r="P385" s="449"/>
      <c r="Q385" s="449"/>
    </row>
    <row r="386" spans="2:17">
      <c r="B386" s="449"/>
      <c r="C386" s="449"/>
      <c r="D386" s="449"/>
      <c r="E386" s="449"/>
      <c r="F386" s="449"/>
      <c r="G386" s="449"/>
      <c r="H386" s="449"/>
      <c r="I386" s="449"/>
      <c r="L386" s="449"/>
      <c r="M386" s="449"/>
      <c r="N386" s="449"/>
      <c r="O386" s="449"/>
      <c r="P386" s="449"/>
      <c r="Q386" s="449"/>
    </row>
    <row r="387" spans="2:17">
      <c r="B387" s="449"/>
      <c r="C387" s="449"/>
      <c r="D387" s="449"/>
      <c r="E387" s="449"/>
      <c r="F387" s="449"/>
      <c r="G387" s="449"/>
      <c r="H387" s="449"/>
      <c r="I387" s="449"/>
      <c r="L387" s="449"/>
      <c r="M387" s="449"/>
      <c r="N387" s="449"/>
      <c r="O387" s="449"/>
      <c r="P387" s="449"/>
      <c r="Q387" s="449"/>
    </row>
    <row r="388" spans="2:17">
      <c r="B388" s="449"/>
      <c r="C388" s="449"/>
      <c r="D388" s="449"/>
      <c r="E388" s="449"/>
      <c r="F388" s="449"/>
      <c r="G388" s="449"/>
      <c r="H388" s="449"/>
      <c r="I388" s="449"/>
      <c r="L388" s="449"/>
      <c r="M388" s="449"/>
      <c r="N388" s="449"/>
      <c r="O388" s="449"/>
      <c r="P388" s="449"/>
      <c r="Q388" s="449"/>
    </row>
    <row r="389" spans="2:17">
      <c r="B389" s="449"/>
      <c r="C389" s="449"/>
      <c r="D389" s="449"/>
      <c r="E389" s="449"/>
      <c r="F389" s="449"/>
      <c r="G389" s="449"/>
      <c r="H389" s="449"/>
      <c r="I389" s="449"/>
      <c r="L389" s="449"/>
      <c r="M389" s="449"/>
      <c r="N389" s="449"/>
      <c r="O389" s="449"/>
      <c r="P389" s="449"/>
      <c r="Q389" s="449"/>
    </row>
    <row r="390" spans="2:17">
      <c r="B390" s="449"/>
      <c r="C390" s="449"/>
      <c r="D390" s="449"/>
      <c r="E390" s="449"/>
      <c r="F390" s="449"/>
      <c r="G390" s="449"/>
      <c r="H390" s="449"/>
      <c r="I390" s="449"/>
      <c r="L390" s="449"/>
      <c r="M390" s="449"/>
      <c r="N390" s="449"/>
      <c r="O390" s="449"/>
      <c r="P390" s="449"/>
      <c r="Q390" s="449"/>
    </row>
    <row r="391" spans="2:17">
      <c r="B391" s="449"/>
      <c r="C391" s="449"/>
      <c r="D391" s="449"/>
      <c r="E391" s="449"/>
      <c r="F391" s="449"/>
      <c r="G391" s="449"/>
      <c r="H391" s="449"/>
      <c r="I391" s="449"/>
      <c r="L391" s="449"/>
      <c r="M391" s="449"/>
      <c r="N391" s="449"/>
      <c r="O391" s="449"/>
      <c r="P391" s="449"/>
      <c r="Q391" s="449"/>
    </row>
    <row r="392" spans="2:17">
      <c r="B392" s="449"/>
      <c r="C392" s="449"/>
      <c r="D392" s="449"/>
      <c r="E392" s="449"/>
      <c r="F392" s="449"/>
      <c r="G392" s="449"/>
      <c r="H392" s="449"/>
      <c r="I392" s="449"/>
      <c r="L392" s="449"/>
      <c r="M392" s="449"/>
      <c r="N392" s="449"/>
      <c r="O392" s="449"/>
      <c r="P392" s="449"/>
      <c r="Q392" s="449"/>
    </row>
    <row r="393" spans="2:17">
      <c r="B393" s="449"/>
      <c r="C393" s="449"/>
      <c r="D393" s="449"/>
      <c r="E393" s="449"/>
      <c r="F393" s="449"/>
      <c r="G393" s="449"/>
      <c r="H393" s="449"/>
      <c r="I393" s="449"/>
      <c r="L393" s="449"/>
      <c r="M393" s="449"/>
      <c r="N393" s="449"/>
      <c r="O393" s="449"/>
      <c r="P393" s="449"/>
      <c r="Q393" s="449"/>
    </row>
    <row r="394" spans="2:17">
      <c r="B394" s="449"/>
      <c r="C394" s="449"/>
      <c r="D394" s="449"/>
      <c r="E394" s="449"/>
      <c r="F394" s="449"/>
      <c r="G394" s="449"/>
      <c r="H394" s="449"/>
      <c r="I394" s="449"/>
      <c r="L394" s="449"/>
      <c r="M394" s="449"/>
      <c r="N394" s="449"/>
      <c r="O394" s="449"/>
      <c r="P394" s="449"/>
      <c r="Q394" s="449"/>
    </row>
    <row r="395" spans="2:17">
      <c r="B395" s="449"/>
      <c r="C395" s="449"/>
      <c r="D395" s="449"/>
      <c r="E395" s="449"/>
      <c r="F395" s="449"/>
      <c r="G395" s="449"/>
      <c r="H395" s="449"/>
      <c r="I395" s="449"/>
      <c r="L395" s="449"/>
      <c r="M395" s="449"/>
      <c r="N395" s="449"/>
      <c r="O395" s="449"/>
      <c r="P395" s="449"/>
      <c r="Q395" s="449"/>
    </row>
    <row r="396" spans="2:17">
      <c r="B396" s="449"/>
      <c r="C396" s="449"/>
      <c r="D396" s="449"/>
      <c r="E396" s="449"/>
      <c r="F396" s="449"/>
      <c r="G396" s="449"/>
      <c r="H396" s="449"/>
      <c r="I396" s="449"/>
      <c r="L396" s="449"/>
      <c r="M396" s="449"/>
      <c r="N396" s="449"/>
      <c r="O396" s="449"/>
      <c r="P396" s="449"/>
      <c r="Q396" s="449"/>
    </row>
    <row r="397" spans="2:17">
      <c r="B397" s="449"/>
      <c r="C397" s="449"/>
      <c r="D397" s="449"/>
      <c r="E397" s="449"/>
      <c r="F397" s="449"/>
      <c r="G397" s="449"/>
      <c r="H397" s="449"/>
      <c r="I397" s="449"/>
      <c r="L397" s="449"/>
      <c r="M397" s="449"/>
      <c r="N397" s="449"/>
      <c r="O397" s="449"/>
      <c r="P397" s="449"/>
      <c r="Q397" s="449"/>
    </row>
    <row r="398" spans="2:17">
      <c r="B398" s="449"/>
      <c r="C398" s="449"/>
      <c r="D398" s="449"/>
      <c r="E398" s="449"/>
      <c r="F398" s="449"/>
      <c r="G398" s="449"/>
      <c r="H398" s="449"/>
      <c r="I398" s="449"/>
      <c r="L398" s="449"/>
      <c r="M398" s="449"/>
      <c r="N398" s="449"/>
      <c r="O398" s="449"/>
      <c r="P398" s="449"/>
      <c r="Q398" s="449"/>
    </row>
    <row r="399" spans="2:17">
      <c r="B399" s="449"/>
      <c r="C399" s="449"/>
      <c r="D399" s="449"/>
      <c r="E399" s="449"/>
      <c r="F399" s="449"/>
      <c r="G399" s="449"/>
      <c r="H399" s="449"/>
      <c r="I399" s="449"/>
      <c r="L399" s="449"/>
      <c r="M399" s="449"/>
      <c r="N399" s="449"/>
      <c r="O399" s="449"/>
      <c r="P399" s="449"/>
      <c r="Q399" s="449"/>
    </row>
    <row r="400" spans="2:17">
      <c r="B400" s="449"/>
      <c r="C400" s="449"/>
      <c r="D400" s="449"/>
      <c r="E400" s="449"/>
      <c r="F400" s="449"/>
      <c r="G400" s="449"/>
      <c r="H400" s="449"/>
      <c r="I400" s="449"/>
      <c r="L400" s="449"/>
      <c r="M400" s="449"/>
      <c r="N400" s="449"/>
      <c r="O400" s="449"/>
      <c r="P400" s="449"/>
      <c r="Q400" s="449"/>
    </row>
    <row r="401" spans="2:17">
      <c r="B401" s="449"/>
      <c r="C401" s="449"/>
      <c r="D401" s="449"/>
      <c r="E401" s="449"/>
      <c r="F401" s="449"/>
      <c r="G401" s="449"/>
      <c r="H401" s="449"/>
      <c r="I401" s="449"/>
      <c r="L401" s="449"/>
      <c r="M401" s="449"/>
      <c r="N401" s="449"/>
      <c r="O401" s="449"/>
      <c r="P401" s="449"/>
      <c r="Q401" s="449"/>
    </row>
    <row r="402" spans="2:17">
      <c r="B402" s="449"/>
      <c r="C402" s="449"/>
      <c r="D402" s="449"/>
      <c r="E402" s="449"/>
      <c r="F402" s="449"/>
      <c r="G402" s="449"/>
      <c r="H402" s="449"/>
      <c r="I402" s="449"/>
      <c r="L402" s="449"/>
      <c r="M402" s="449"/>
      <c r="N402" s="449"/>
      <c r="O402" s="449"/>
      <c r="P402" s="449"/>
      <c r="Q402" s="449"/>
    </row>
    <row r="403" spans="2:17">
      <c r="B403" s="449"/>
      <c r="C403" s="449"/>
      <c r="D403" s="449"/>
      <c r="E403" s="449"/>
      <c r="F403" s="449"/>
      <c r="G403" s="449"/>
      <c r="H403" s="449"/>
      <c r="I403" s="449"/>
      <c r="L403" s="449"/>
      <c r="M403" s="449"/>
      <c r="N403" s="449"/>
      <c r="O403" s="449"/>
      <c r="P403" s="449"/>
      <c r="Q403" s="449"/>
    </row>
    <row r="404" spans="2:17">
      <c r="B404" s="449"/>
      <c r="C404" s="449"/>
      <c r="D404" s="449"/>
      <c r="E404" s="449"/>
      <c r="F404" s="449"/>
      <c r="G404" s="449"/>
      <c r="H404" s="449"/>
      <c r="I404" s="449"/>
      <c r="L404" s="449"/>
      <c r="M404" s="449"/>
      <c r="N404" s="449"/>
      <c r="O404" s="449"/>
      <c r="P404" s="449"/>
      <c r="Q404" s="449"/>
    </row>
    <row r="405" spans="2:17">
      <c r="B405" s="449"/>
      <c r="C405" s="449"/>
      <c r="D405" s="449"/>
      <c r="E405" s="449"/>
      <c r="F405" s="449"/>
      <c r="G405" s="449"/>
      <c r="H405" s="449"/>
      <c r="I405" s="449"/>
      <c r="L405" s="449"/>
      <c r="M405" s="449"/>
      <c r="N405" s="449"/>
      <c r="O405" s="449"/>
      <c r="P405" s="449"/>
      <c r="Q405" s="449"/>
    </row>
    <row r="406" spans="2:17">
      <c r="B406" s="449"/>
      <c r="C406" s="449"/>
      <c r="D406" s="449"/>
      <c r="E406" s="449"/>
      <c r="F406" s="449"/>
      <c r="G406" s="449"/>
      <c r="H406" s="449"/>
      <c r="I406" s="449"/>
      <c r="L406" s="449"/>
      <c r="M406" s="449"/>
      <c r="N406" s="449"/>
      <c r="O406" s="449"/>
      <c r="P406" s="449"/>
      <c r="Q406" s="449"/>
    </row>
    <row r="407" spans="2:17">
      <c r="B407" s="449"/>
      <c r="C407" s="449"/>
      <c r="D407" s="449"/>
      <c r="E407" s="449"/>
      <c r="F407" s="449"/>
      <c r="G407" s="449"/>
      <c r="H407" s="449"/>
      <c r="I407" s="449"/>
      <c r="L407" s="449"/>
      <c r="M407" s="449"/>
      <c r="N407" s="449"/>
      <c r="O407" s="449"/>
      <c r="P407" s="449"/>
      <c r="Q407" s="449"/>
    </row>
    <row r="408" spans="2:17">
      <c r="B408" s="449"/>
      <c r="C408" s="449"/>
      <c r="D408" s="449"/>
      <c r="E408" s="449"/>
      <c r="F408" s="449"/>
      <c r="G408" s="449"/>
      <c r="H408" s="449"/>
      <c r="I408" s="449"/>
      <c r="L408" s="449"/>
      <c r="M408" s="449"/>
      <c r="N408" s="449"/>
      <c r="O408" s="449"/>
      <c r="P408" s="449"/>
      <c r="Q408" s="449"/>
    </row>
    <row r="409" spans="2:17">
      <c r="B409" s="449"/>
      <c r="C409" s="449"/>
      <c r="D409" s="449"/>
      <c r="E409" s="449"/>
      <c r="F409" s="449"/>
      <c r="G409" s="449"/>
      <c r="H409" s="449"/>
      <c r="I409" s="449"/>
      <c r="L409" s="449"/>
      <c r="M409" s="449"/>
      <c r="N409" s="449"/>
      <c r="O409" s="449"/>
      <c r="P409" s="449"/>
      <c r="Q409" s="449"/>
    </row>
    <row r="410" spans="2:17">
      <c r="B410" s="449"/>
      <c r="C410" s="449"/>
      <c r="D410" s="449"/>
      <c r="E410" s="449"/>
      <c r="F410" s="449"/>
      <c r="G410" s="449"/>
      <c r="H410" s="449"/>
      <c r="I410" s="449"/>
      <c r="L410" s="449"/>
      <c r="M410" s="449"/>
      <c r="N410" s="449"/>
      <c r="O410" s="449"/>
      <c r="P410" s="449"/>
      <c r="Q410" s="449"/>
    </row>
    <row r="411" spans="2:17">
      <c r="B411" s="449"/>
      <c r="C411" s="449"/>
      <c r="D411" s="449"/>
      <c r="E411" s="449"/>
      <c r="F411" s="449"/>
      <c r="G411" s="449"/>
      <c r="H411" s="449"/>
      <c r="I411" s="449"/>
      <c r="L411" s="449"/>
      <c r="M411" s="449"/>
      <c r="N411" s="449"/>
      <c r="O411" s="449"/>
      <c r="P411" s="449"/>
      <c r="Q411" s="449"/>
    </row>
    <row r="412" spans="2:17">
      <c r="B412" s="449"/>
      <c r="C412" s="449"/>
      <c r="D412" s="449"/>
      <c r="E412" s="449"/>
      <c r="F412" s="449"/>
      <c r="G412" s="449"/>
      <c r="H412" s="449"/>
      <c r="I412" s="449"/>
      <c r="L412" s="449"/>
      <c r="M412" s="449"/>
      <c r="N412" s="449"/>
      <c r="O412" s="449"/>
      <c r="P412" s="449"/>
      <c r="Q412" s="449"/>
    </row>
    <row r="413" spans="2:17">
      <c r="B413" s="449"/>
      <c r="C413" s="449"/>
      <c r="D413" s="449"/>
      <c r="E413" s="449"/>
      <c r="F413" s="449"/>
      <c r="G413" s="449"/>
      <c r="H413" s="449"/>
      <c r="I413" s="449"/>
      <c r="L413" s="449"/>
      <c r="M413" s="449"/>
      <c r="N413" s="449"/>
      <c r="O413" s="449"/>
      <c r="P413" s="449"/>
      <c r="Q413" s="449"/>
    </row>
    <row r="414" spans="2:17">
      <c r="B414" s="449"/>
      <c r="C414" s="449"/>
      <c r="D414" s="449"/>
      <c r="E414" s="449"/>
      <c r="F414" s="449"/>
      <c r="G414" s="449"/>
      <c r="H414" s="449"/>
      <c r="I414" s="449"/>
      <c r="L414" s="449"/>
      <c r="M414" s="449"/>
      <c r="N414" s="449"/>
      <c r="O414" s="449"/>
      <c r="P414" s="449"/>
      <c r="Q414" s="449"/>
    </row>
    <row r="415" spans="2:17">
      <c r="B415" s="449"/>
      <c r="C415" s="449"/>
      <c r="D415" s="449"/>
      <c r="E415" s="449"/>
      <c r="F415" s="449"/>
      <c r="G415" s="449"/>
      <c r="H415" s="449"/>
      <c r="I415" s="449"/>
      <c r="L415" s="449"/>
      <c r="M415" s="449"/>
      <c r="N415" s="449"/>
      <c r="O415" s="449"/>
      <c r="P415" s="449"/>
      <c r="Q415" s="449"/>
    </row>
    <row r="416" spans="2:17">
      <c r="B416" s="449"/>
      <c r="C416" s="449"/>
      <c r="D416" s="449"/>
      <c r="E416" s="449"/>
      <c r="F416" s="449"/>
      <c r="G416" s="449"/>
      <c r="H416" s="449"/>
      <c r="I416" s="449"/>
      <c r="L416" s="449"/>
      <c r="M416" s="449"/>
      <c r="N416" s="449"/>
      <c r="O416" s="449"/>
      <c r="P416" s="449"/>
      <c r="Q416" s="449"/>
    </row>
    <row r="417" spans="2:17">
      <c r="B417" s="449"/>
      <c r="C417" s="449"/>
      <c r="D417" s="449"/>
      <c r="E417" s="449"/>
      <c r="F417" s="449"/>
      <c r="G417" s="449"/>
      <c r="H417" s="449"/>
      <c r="I417" s="449"/>
      <c r="L417" s="449"/>
      <c r="M417" s="449"/>
      <c r="N417" s="449"/>
      <c r="O417" s="449"/>
      <c r="P417" s="449"/>
      <c r="Q417" s="449"/>
    </row>
    <row r="418" spans="2:17">
      <c r="B418" s="449"/>
      <c r="C418" s="449"/>
      <c r="D418" s="449"/>
      <c r="E418" s="449"/>
      <c r="F418" s="449"/>
      <c r="G418" s="449"/>
      <c r="H418" s="449"/>
      <c r="I418" s="449"/>
      <c r="L418" s="449"/>
      <c r="M418" s="449"/>
      <c r="N418" s="449"/>
      <c r="O418" s="449"/>
      <c r="P418" s="449"/>
      <c r="Q418" s="449"/>
    </row>
    <row r="419" spans="2:17">
      <c r="B419" s="449"/>
      <c r="C419" s="449"/>
      <c r="D419" s="449"/>
      <c r="E419" s="449"/>
      <c r="F419" s="449"/>
      <c r="G419" s="449"/>
      <c r="H419" s="449"/>
      <c r="I419" s="449"/>
      <c r="L419" s="449"/>
      <c r="M419" s="449"/>
      <c r="N419" s="449"/>
      <c r="O419" s="449"/>
      <c r="P419" s="449"/>
      <c r="Q419" s="449"/>
    </row>
    <row r="420" spans="2:17">
      <c r="B420" s="449"/>
      <c r="C420" s="449"/>
      <c r="D420" s="449"/>
      <c r="E420" s="449"/>
      <c r="F420" s="449"/>
      <c r="G420" s="449"/>
      <c r="H420" s="449"/>
      <c r="I420" s="449"/>
      <c r="L420" s="449"/>
      <c r="M420" s="449"/>
      <c r="N420" s="449"/>
      <c r="O420" s="449"/>
      <c r="P420" s="449"/>
      <c r="Q420" s="449"/>
    </row>
    <row r="421" spans="2:17">
      <c r="B421" s="449"/>
      <c r="C421" s="449"/>
      <c r="D421" s="449"/>
      <c r="E421" s="449"/>
      <c r="F421" s="449"/>
      <c r="G421" s="449"/>
      <c r="H421" s="449"/>
      <c r="I421" s="449"/>
      <c r="L421" s="449"/>
      <c r="M421" s="449"/>
      <c r="N421" s="449"/>
      <c r="O421" s="449"/>
      <c r="P421" s="449"/>
      <c r="Q421" s="449"/>
    </row>
    <row r="422" spans="2:17">
      <c r="B422" s="449"/>
      <c r="C422" s="449"/>
      <c r="D422" s="449"/>
      <c r="E422" s="449"/>
      <c r="F422" s="449"/>
      <c r="G422" s="449"/>
      <c r="H422" s="449"/>
      <c r="I422" s="449"/>
      <c r="L422" s="449"/>
      <c r="M422" s="449"/>
      <c r="N422" s="449"/>
      <c r="O422" s="449"/>
      <c r="P422" s="449"/>
      <c r="Q422" s="449"/>
    </row>
    <row r="423" spans="2:17">
      <c r="B423" s="449"/>
      <c r="C423" s="449"/>
      <c r="D423" s="449"/>
      <c r="E423" s="449"/>
      <c r="F423" s="449"/>
      <c r="G423" s="449"/>
      <c r="H423" s="449"/>
      <c r="I423" s="449"/>
      <c r="L423" s="449"/>
      <c r="M423" s="449"/>
      <c r="N423" s="449"/>
      <c r="O423" s="449"/>
      <c r="P423" s="449"/>
      <c r="Q423" s="449"/>
    </row>
    <row r="424" spans="2:17">
      <c r="B424" s="449"/>
      <c r="C424" s="449"/>
      <c r="D424" s="449"/>
      <c r="E424" s="449"/>
      <c r="F424" s="449"/>
      <c r="G424" s="449"/>
      <c r="H424" s="449"/>
      <c r="I424" s="449"/>
      <c r="L424" s="449"/>
      <c r="M424" s="449"/>
      <c r="N424" s="449"/>
      <c r="O424" s="449"/>
      <c r="P424" s="449"/>
      <c r="Q424" s="449"/>
    </row>
    <row r="425" spans="2:17">
      <c r="B425" s="449"/>
      <c r="C425" s="449"/>
      <c r="D425" s="449"/>
      <c r="E425" s="449"/>
      <c r="F425" s="449"/>
      <c r="G425" s="449"/>
      <c r="H425" s="449"/>
      <c r="I425" s="449"/>
      <c r="L425" s="449"/>
      <c r="M425" s="449"/>
      <c r="N425" s="449"/>
      <c r="O425" s="449"/>
      <c r="P425" s="449"/>
      <c r="Q425" s="449"/>
    </row>
    <row r="426" spans="2:17">
      <c r="B426" s="449"/>
      <c r="C426" s="449"/>
      <c r="D426" s="449"/>
      <c r="E426" s="449"/>
      <c r="F426" s="449"/>
      <c r="G426" s="449"/>
      <c r="H426" s="449"/>
      <c r="I426" s="449"/>
      <c r="L426" s="449"/>
      <c r="M426" s="449"/>
      <c r="N426" s="449"/>
      <c r="O426" s="449"/>
      <c r="P426" s="449"/>
      <c r="Q426" s="449"/>
    </row>
    <row r="427" spans="2:17">
      <c r="B427" s="449"/>
      <c r="C427" s="449"/>
      <c r="D427" s="449"/>
      <c r="E427" s="449"/>
      <c r="F427" s="449"/>
      <c r="G427" s="449"/>
      <c r="H427" s="449"/>
      <c r="I427" s="449"/>
      <c r="L427" s="449"/>
      <c r="M427" s="449"/>
      <c r="N427" s="449"/>
      <c r="O427" s="449"/>
      <c r="P427" s="449"/>
      <c r="Q427" s="449"/>
    </row>
    <row r="428" spans="2:17">
      <c r="B428" s="449"/>
      <c r="C428" s="449"/>
      <c r="D428" s="449"/>
      <c r="E428" s="449"/>
      <c r="F428" s="449"/>
      <c r="G428" s="449"/>
      <c r="H428" s="449"/>
      <c r="I428" s="449"/>
      <c r="L428" s="449"/>
      <c r="M428" s="449"/>
      <c r="N428" s="449"/>
      <c r="O428" s="449"/>
      <c r="P428" s="449"/>
      <c r="Q428" s="449"/>
    </row>
    <row r="429" spans="2:17">
      <c r="B429" s="449"/>
      <c r="C429" s="449"/>
      <c r="D429" s="449"/>
      <c r="E429" s="449"/>
      <c r="F429" s="449"/>
      <c r="G429" s="449"/>
      <c r="H429" s="449"/>
      <c r="I429" s="449"/>
      <c r="L429" s="449"/>
      <c r="M429" s="449"/>
      <c r="N429" s="449"/>
      <c r="O429" s="449"/>
      <c r="P429" s="449"/>
      <c r="Q429" s="449"/>
    </row>
    <row r="430" spans="2:17">
      <c r="B430" s="449"/>
      <c r="C430" s="449"/>
      <c r="D430" s="449"/>
      <c r="E430" s="449"/>
      <c r="F430" s="449"/>
      <c r="G430" s="449"/>
      <c r="H430" s="449"/>
      <c r="I430" s="449"/>
      <c r="L430" s="449"/>
      <c r="M430" s="449"/>
      <c r="N430" s="449"/>
      <c r="O430" s="449"/>
      <c r="P430" s="449"/>
      <c r="Q430" s="449"/>
    </row>
    <row r="431" spans="2:17">
      <c r="B431" s="449"/>
      <c r="C431" s="449"/>
      <c r="D431" s="449"/>
      <c r="E431" s="449"/>
      <c r="F431" s="449"/>
      <c r="G431" s="449"/>
      <c r="H431" s="449"/>
      <c r="I431" s="449"/>
      <c r="L431" s="449"/>
      <c r="M431" s="449"/>
      <c r="N431" s="449"/>
      <c r="O431" s="449"/>
      <c r="P431" s="449"/>
      <c r="Q431" s="449"/>
    </row>
    <row r="432" spans="2:17">
      <c r="B432" s="449"/>
      <c r="C432" s="449"/>
      <c r="D432" s="449"/>
      <c r="E432" s="449"/>
      <c r="F432" s="449"/>
      <c r="G432" s="449"/>
      <c r="H432" s="449"/>
      <c r="I432" s="449"/>
      <c r="L432" s="449"/>
      <c r="M432" s="449"/>
      <c r="N432" s="449"/>
      <c r="O432" s="449"/>
      <c r="P432" s="449"/>
      <c r="Q432" s="449"/>
    </row>
    <row r="433" spans="2:17">
      <c r="B433" s="449"/>
      <c r="C433" s="449"/>
      <c r="D433" s="449"/>
      <c r="E433" s="449"/>
      <c r="F433" s="449"/>
      <c r="G433" s="449"/>
      <c r="H433" s="449"/>
      <c r="I433" s="449"/>
      <c r="L433" s="449"/>
      <c r="M433" s="449"/>
      <c r="N433" s="449"/>
      <c r="O433" s="449"/>
      <c r="P433" s="449"/>
      <c r="Q433" s="449"/>
    </row>
    <row r="434" spans="2:17">
      <c r="B434" s="449"/>
      <c r="C434" s="449"/>
      <c r="D434" s="449"/>
      <c r="E434" s="449"/>
      <c r="F434" s="449"/>
      <c r="G434" s="449"/>
      <c r="H434" s="449"/>
      <c r="I434" s="449"/>
      <c r="L434" s="449"/>
      <c r="M434" s="449"/>
      <c r="N434" s="449"/>
      <c r="O434" s="449"/>
      <c r="P434" s="449"/>
      <c r="Q434" s="449"/>
    </row>
    <row r="435" spans="2:17">
      <c r="B435" s="449"/>
      <c r="C435" s="449"/>
      <c r="D435" s="449"/>
      <c r="E435" s="449"/>
      <c r="F435" s="449"/>
      <c r="G435" s="449"/>
      <c r="H435" s="449"/>
      <c r="I435" s="449"/>
      <c r="L435" s="449"/>
      <c r="M435" s="449"/>
      <c r="N435" s="449"/>
      <c r="O435" s="449"/>
      <c r="P435" s="449"/>
      <c r="Q435" s="449"/>
    </row>
    <row r="436" spans="2:17">
      <c r="B436" s="449"/>
      <c r="C436" s="449"/>
      <c r="D436" s="449"/>
      <c r="E436" s="449"/>
      <c r="F436" s="449"/>
      <c r="G436" s="449"/>
      <c r="H436" s="449"/>
      <c r="I436" s="449"/>
      <c r="L436" s="449"/>
      <c r="M436" s="449"/>
      <c r="N436" s="449"/>
      <c r="O436" s="449"/>
      <c r="P436" s="449"/>
      <c r="Q436" s="449"/>
    </row>
    <row r="437" spans="2:17">
      <c r="B437" s="449"/>
      <c r="C437" s="449"/>
      <c r="D437" s="449"/>
      <c r="E437" s="449"/>
      <c r="F437" s="449"/>
      <c r="G437" s="449"/>
      <c r="H437" s="449"/>
      <c r="I437" s="449"/>
      <c r="L437" s="449"/>
      <c r="M437" s="449"/>
      <c r="N437" s="449"/>
      <c r="O437" s="449"/>
      <c r="P437" s="449"/>
      <c r="Q437" s="449"/>
    </row>
    <row r="438" spans="2:17">
      <c r="B438" s="449"/>
      <c r="C438" s="449"/>
      <c r="D438" s="449"/>
      <c r="E438" s="449"/>
      <c r="F438" s="449"/>
      <c r="G438" s="449"/>
      <c r="H438" s="449"/>
      <c r="I438" s="449"/>
      <c r="L438" s="449"/>
      <c r="M438" s="449"/>
      <c r="N438" s="449"/>
      <c r="O438" s="449"/>
      <c r="P438" s="449"/>
      <c r="Q438" s="449"/>
    </row>
    <row r="439" spans="2:17">
      <c r="B439" s="449"/>
      <c r="C439" s="449"/>
      <c r="D439" s="449"/>
      <c r="E439" s="449"/>
      <c r="F439" s="449"/>
      <c r="G439" s="449"/>
      <c r="H439" s="449"/>
      <c r="I439" s="449"/>
      <c r="L439" s="449"/>
      <c r="M439" s="449"/>
      <c r="N439" s="449"/>
      <c r="O439" s="449"/>
      <c r="P439" s="449"/>
      <c r="Q439" s="449"/>
    </row>
    <row r="440" spans="2:17">
      <c r="B440" s="449"/>
      <c r="C440" s="449"/>
      <c r="D440" s="449"/>
      <c r="E440" s="449"/>
      <c r="F440" s="449"/>
      <c r="G440" s="449"/>
      <c r="H440" s="449"/>
      <c r="I440" s="449"/>
      <c r="L440" s="449"/>
      <c r="M440" s="449"/>
      <c r="N440" s="449"/>
      <c r="O440" s="449"/>
      <c r="P440" s="449"/>
      <c r="Q440" s="449"/>
    </row>
    <row r="441" spans="2:17">
      <c r="B441" s="449"/>
      <c r="C441" s="449"/>
      <c r="D441" s="449"/>
      <c r="E441" s="449"/>
      <c r="F441" s="449"/>
      <c r="G441" s="449"/>
      <c r="H441" s="449"/>
      <c r="I441" s="449"/>
      <c r="L441" s="449"/>
      <c r="M441" s="449"/>
      <c r="N441" s="449"/>
      <c r="O441" s="449"/>
      <c r="P441" s="449"/>
      <c r="Q441" s="449"/>
    </row>
    <row r="442" spans="2:17">
      <c r="B442" s="449"/>
      <c r="C442" s="449"/>
      <c r="D442" s="449"/>
      <c r="E442" s="449"/>
      <c r="F442" s="449"/>
      <c r="G442" s="449"/>
      <c r="H442" s="449"/>
      <c r="I442" s="449"/>
      <c r="L442" s="449"/>
      <c r="M442" s="449"/>
      <c r="N442" s="449"/>
      <c r="O442" s="449"/>
      <c r="P442" s="449"/>
      <c r="Q442" s="449"/>
    </row>
    <row r="443" spans="2:17">
      <c r="B443" s="449"/>
      <c r="C443" s="449"/>
      <c r="D443" s="449"/>
      <c r="E443" s="449"/>
      <c r="F443" s="449"/>
      <c r="G443" s="449"/>
      <c r="H443" s="449"/>
      <c r="I443" s="449"/>
      <c r="L443" s="449"/>
      <c r="M443" s="449"/>
      <c r="N443" s="449"/>
      <c r="O443" s="449"/>
      <c r="P443" s="449"/>
      <c r="Q443" s="449"/>
    </row>
  </sheetData>
  <mergeCells count="19">
    <mergeCell ref="A3:A4"/>
    <mergeCell ref="A5:A7"/>
    <mergeCell ref="A8:A10"/>
    <mergeCell ref="A1:A2"/>
    <mergeCell ref="B16:E16"/>
    <mergeCell ref="B3:B4"/>
    <mergeCell ref="B8:B10"/>
    <mergeCell ref="C5:C7"/>
    <mergeCell ref="B5:B7"/>
    <mergeCell ref="C1:C2"/>
    <mergeCell ref="B1:B2"/>
    <mergeCell ref="L1:T1"/>
    <mergeCell ref="D1:K1"/>
    <mergeCell ref="C8:C10"/>
    <mergeCell ref="I32:T32"/>
    <mergeCell ref="B12:E12"/>
    <mergeCell ref="B13:E13"/>
    <mergeCell ref="B14:E14"/>
    <mergeCell ref="B15:E15"/>
  </mergeCells>
  <pageMargins left="0.7" right="0.7" top="0.75" bottom="0.75" header="0.3" footer="0.3"/>
  <pageSetup scale="65"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36"/>
  <sheetViews>
    <sheetView topLeftCell="B1" workbookViewId="0">
      <selection activeCell="N12" sqref="N12"/>
    </sheetView>
  </sheetViews>
  <sheetFormatPr defaultRowHeight="15"/>
  <cols>
    <col min="1" max="1" width="5" style="450" bestFit="1" customWidth="1"/>
    <col min="2" max="2" width="16.140625" style="452" bestFit="1" customWidth="1"/>
    <col min="3" max="3" width="10.42578125" style="453" bestFit="1" customWidth="1"/>
    <col min="4" max="4" width="8.42578125" style="452" bestFit="1" customWidth="1"/>
    <col min="5" max="5" width="6.28515625" style="477" bestFit="1" customWidth="1"/>
    <col min="6" max="6" width="9.28515625" style="452" hidden="1" customWidth="1"/>
    <col min="7" max="7" width="13.85546875" style="431" bestFit="1" customWidth="1"/>
    <col min="8" max="8" width="13.85546875" style="454" bestFit="1" customWidth="1"/>
    <col min="9" max="9" width="9.140625" style="449" bestFit="1" customWidth="1"/>
    <col min="10" max="10" width="6.28515625" style="477" bestFit="1" customWidth="1"/>
    <col min="11" max="12" width="12.7109375" style="449" bestFit="1" customWidth="1"/>
    <col min="13" max="13" width="18.140625" style="449" bestFit="1" customWidth="1"/>
    <col min="14" max="14" width="5" style="450" bestFit="1" customWidth="1"/>
    <col min="15" max="15" width="16.140625" style="452" bestFit="1" customWidth="1"/>
    <col min="16" max="16" width="10.5703125" style="453" bestFit="1" customWidth="1"/>
    <col min="17" max="17" width="6" style="452" bestFit="1" customWidth="1"/>
    <col min="18" max="18" width="6.28515625" style="477" bestFit="1" customWidth="1"/>
    <col min="19" max="20" width="13.85546875" style="431" bestFit="1" customWidth="1"/>
    <col min="21" max="21" width="15.28515625" style="449" bestFit="1" customWidth="1"/>
    <col min="22" max="22" width="6.28515625" style="477" bestFit="1" customWidth="1"/>
    <col min="23" max="24" width="13.85546875" style="449" bestFit="1" customWidth="1"/>
    <col min="25" max="25" width="17" style="449" bestFit="1" customWidth="1"/>
    <col min="26" max="26" width="18.28515625" style="449" hidden="1" customWidth="1"/>
    <col min="27" max="27" width="12.140625" style="449" hidden="1" customWidth="1"/>
    <col min="28" max="16384" width="9.140625" style="449"/>
  </cols>
  <sheetData>
    <row r="1" spans="1:37">
      <c r="A1" s="970" t="s">
        <v>7</v>
      </c>
      <c r="B1" s="971" t="s">
        <v>708</v>
      </c>
      <c r="C1" s="972" t="s">
        <v>722</v>
      </c>
      <c r="D1" s="972"/>
      <c r="E1" s="972"/>
      <c r="F1" s="972"/>
      <c r="G1" s="972"/>
      <c r="H1" s="972"/>
      <c r="I1" s="972"/>
      <c r="J1" s="972"/>
      <c r="K1" s="972"/>
      <c r="L1" s="972"/>
      <c r="M1" s="972"/>
      <c r="N1" s="970" t="s">
        <v>7</v>
      </c>
      <c r="O1" s="971" t="s">
        <v>708</v>
      </c>
      <c r="P1" s="973" t="s">
        <v>723</v>
      </c>
      <c r="Q1" s="973"/>
      <c r="R1" s="973"/>
      <c r="S1" s="973"/>
      <c r="T1" s="973"/>
      <c r="U1" s="973"/>
      <c r="V1" s="973"/>
      <c r="W1" s="973"/>
      <c r="X1" s="973"/>
      <c r="Y1" s="973"/>
      <c r="Z1" s="449" t="s">
        <v>316</v>
      </c>
      <c r="AA1" s="448">
        <v>23600</v>
      </c>
    </row>
    <row r="2" spans="1:37" ht="42.75">
      <c r="A2" s="970"/>
      <c r="B2" s="971"/>
      <c r="C2" s="487" t="s">
        <v>259</v>
      </c>
      <c r="D2" s="487" t="s">
        <v>345</v>
      </c>
      <c r="E2" s="476" t="s">
        <v>8</v>
      </c>
      <c r="F2" s="487"/>
      <c r="G2" s="487" t="s">
        <v>346</v>
      </c>
      <c r="H2" s="487" t="s">
        <v>315</v>
      </c>
      <c r="I2" s="487" t="s">
        <v>724</v>
      </c>
      <c r="J2" s="476" t="s">
        <v>8</v>
      </c>
      <c r="K2" s="487" t="s">
        <v>725</v>
      </c>
      <c r="L2" s="487" t="s">
        <v>315</v>
      </c>
      <c r="M2" s="435" t="s">
        <v>404</v>
      </c>
      <c r="N2" s="970"/>
      <c r="O2" s="971"/>
      <c r="P2" s="487" t="s">
        <v>259</v>
      </c>
      <c r="Q2" s="487" t="s">
        <v>349</v>
      </c>
      <c r="R2" s="476" t="s">
        <v>8</v>
      </c>
      <c r="S2" s="487" t="s">
        <v>705</v>
      </c>
      <c r="T2" s="487" t="s">
        <v>315</v>
      </c>
      <c r="U2" s="487" t="s">
        <v>724</v>
      </c>
      <c r="V2" s="476" t="s">
        <v>8</v>
      </c>
      <c r="W2" s="487" t="s">
        <v>725</v>
      </c>
      <c r="X2" s="487" t="s">
        <v>315</v>
      </c>
      <c r="Y2" s="435" t="s">
        <v>404</v>
      </c>
      <c r="Z2" s="449" t="s">
        <v>317</v>
      </c>
      <c r="AA2" s="449">
        <v>26650</v>
      </c>
    </row>
    <row r="3" spans="1:37" ht="30">
      <c r="A3" s="970">
        <v>1</v>
      </c>
      <c r="B3" s="971" t="s">
        <v>719</v>
      </c>
      <c r="C3" s="505" t="s">
        <v>261</v>
      </c>
      <c r="D3" s="505" t="s">
        <v>214</v>
      </c>
      <c r="E3" s="506">
        <v>1</v>
      </c>
      <c r="F3" s="505"/>
      <c r="G3" s="507">
        <v>1750256500</v>
      </c>
      <c r="H3" s="507">
        <f>E3*G3</f>
        <v>1750256500</v>
      </c>
      <c r="I3" s="498" t="s">
        <v>726</v>
      </c>
      <c r="J3" s="497">
        <v>1</v>
      </c>
      <c r="K3" s="499">
        <v>5151999000</v>
      </c>
      <c r="L3" s="499">
        <f>J3*K3</f>
        <v>5151999000</v>
      </c>
      <c r="M3" s="503" t="s">
        <v>727</v>
      </c>
      <c r="N3" s="970">
        <v>1</v>
      </c>
      <c r="O3" s="971" t="s">
        <v>719</v>
      </c>
      <c r="P3" s="505" t="s">
        <v>704</v>
      </c>
      <c r="Q3" s="505" t="s">
        <v>343</v>
      </c>
      <c r="R3" s="506">
        <v>1</v>
      </c>
      <c r="S3" s="508">
        <v>4594509000</v>
      </c>
      <c r="T3" s="507">
        <f t="shared" ref="T3:T9" si="0">R3*S3</f>
        <v>4594509000</v>
      </c>
      <c r="U3" s="498"/>
      <c r="V3" s="497"/>
      <c r="W3" s="499"/>
      <c r="X3" s="499"/>
      <c r="Y3" s="498" t="s">
        <v>716</v>
      </c>
    </row>
    <row r="4" spans="1:37" s="450" customFormat="1" ht="30">
      <c r="A4" s="970"/>
      <c r="B4" s="971"/>
      <c r="C4" s="505" t="s">
        <v>715</v>
      </c>
      <c r="D4" s="505" t="s">
        <v>214</v>
      </c>
      <c r="E4" s="506">
        <v>1</v>
      </c>
      <c r="F4" s="505"/>
      <c r="G4" s="507">
        <v>1799959000</v>
      </c>
      <c r="H4" s="507">
        <f t="shared" ref="H4:H8" si="1">E4*G4</f>
        <v>1799959000</v>
      </c>
      <c r="I4" s="498"/>
      <c r="J4" s="497"/>
      <c r="K4" s="499"/>
      <c r="L4" s="499"/>
      <c r="M4" s="503" t="s">
        <v>727</v>
      </c>
      <c r="N4" s="970"/>
      <c r="O4" s="971"/>
      <c r="P4" s="505" t="s">
        <v>412</v>
      </c>
      <c r="Q4" s="505" t="s">
        <v>343</v>
      </c>
      <c r="R4" s="506">
        <v>1</v>
      </c>
      <c r="S4" s="507">
        <v>2270700000</v>
      </c>
      <c r="T4" s="507">
        <f t="shared" si="0"/>
        <v>2270700000</v>
      </c>
      <c r="U4" s="496" t="s">
        <v>412</v>
      </c>
      <c r="V4" s="497">
        <v>1</v>
      </c>
      <c r="W4" s="499">
        <v>14402961000</v>
      </c>
      <c r="X4" s="499">
        <f>V4*W4</f>
        <v>14402961000</v>
      </c>
      <c r="Y4" s="503" t="s">
        <v>727</v>
      </c>
    </row>
    <row r="5" spans="1:37" s="450" customFormat="1" ht="30">
      <c r="A5" s="970">
        <v>2</v>
      </c>
      <c r="B5" s="971" t="s">
        <v>720</v>
      </c>
      <c r="C5" s="505" t="s">
        <v>715</v>
      </c>
      <c r="D5" s="505" t="s">
        <v>214</v>
      </c>
      <c r="E5" s="506">
        <v>2</v>
      </c>
      <c r="F5" s="505"/>
      <c r="G5" s="507">
        <v>1799959000</v>
      </c>
      <c r="H5" s="507">
        <f t="shared" si="1"/>
        <v>3599918000</v>
      </c>
      <c r="I5" s="498"/>
      <c r="J5" s="497"/>
      <c r="K5" s="499"/>
      <c r="L5" s="499"/>
      <c r="M5" s="503" t="s">
        <v>727</v>
      </c>
      <c r="N5" s="970">
        <v>2</v>
      </c>
      <c r="O5" s="971" t="s">
        <v>720</v>
      </c>
      <c r="P5" s="500" t="s">
        <v>265</v>
      </c>
      <c r="Q5" s="496" t="s">
        <v>343</v>
      </c>
      <c r="R5" s="497">
        <v>1</v>
      </c>
      <c r="S5" s="504">
        <v>1058400000</v>
      </c>
      <c r="T5" s="499">
        <f t="shared" si="0"/>
        <v>1058400000</v>
      </c>
      <c r="U5" s="500" t="s">
        <v>265</v>
      </c>
      <c r="V5" s="497">
        <v>1</v>
      </c>
      <c r="W5" s="499">
        <v>4413150000</v>
      </c>
      <c r="X5" s="499">
        <f>V5*W5</f>
        <v>4413150000</v>
      </c>
      <c r="Y5" s="503" t="s">
        <v>727</v>
      </c>
    </row>
    <row r="6" spans="1:37" s="450" customFormat="1">
      <c r="A6" s="970"/>
      <c r="B6" s="971"/>
      <c r="C6" s="496"/>
      <c r="D6" s="496"/>
      <c r="E6" s="497"/>
      <c r="F6" s="496"/>
      <c r="G6" s="499"/>
      <c r="H6" s="499"/>
      <c r="I6" s="498"/>
      <c r="J6" s="497"/>
      <c r="K6" s="499"/>
      <c r="L6" s="499"/>
      <c r="M6" s="503"/>
      <c r="N6" s="970"/>
      <c r="O6" s="971"/>
      <c r="P6" s="500" t="s">
        <v>412</v>
      </c>
      <c r="Q6" s="496" t="s">
        <v>343</v>
      </c>
      <c r="R6" s="497">
        <v>1</v>
      </c>
      <c r="S6" s="499">
        <v>4442310000</v>
      </c>
      <c r="T6" s="499">
        <f t="shared" si="0"/>
        <v>4442310000</v>
      </c>
      <c r="U6" s="498"/>
      <c r="V6" s="497"/>
      <c r="W6" s="499"/>
      <c r="X6" s="499"/>
      <c r="Y6" s="498"/>
    </row>
    <row r="7" spans="1:37" s="450" customFormat="1">
      <c r="A7" s="970"/>
      <c r="B7" s="971"/>
      <c r="C7" s="496"/>
      <c r="D7" s="496"/>
      <c r="E7" s="497"/>
      <c r="F7" s="496"/>
      <c r="G7" s="499"/>
      <c r="H7" s="499"/>
      <c r="I7" s="498"/>
      <c r="J7" s="497"/>
      <c r="K7" s="499"/>
      <c r="L7" s="499"/>
      <c r="M7" s="503"/>
      <c r="N7" s="970"/>
      <c r="O7" s="971"/>
      <c r="P7" s="500" t="s">
        <v>430</v>
      </c>
      <c r="Q7" s="496" t="s">
        <v>343</v>
      </c>
      <c r="R7" s="497">
        <v>1</v>
      </c>
      <c r="S7" s="110">
        <v>1026000000</v>
      </c>
      <c r="T7" s="499">
        <f t="shared" si="0"/>
        <v>1026000000</v>
      </c>
      <c r="U7" s="498"/>
      <c r="V7" s="497"/>
      <c r="W7" s="499"/>
      <c r="X7" s="499"/>
      <c r="Y7" s="498" t="s">
        <v>716</v>
      </c>
    </row>
    <row r="8" spans="1:37" s="450" customFormat="1" ht="30">
      <c r="A8" s="970">
        <v>3</v>
      </c>
      <c r="B8" s="971" t="s">
        <v>721</v>
      </c>
      <c r="C8" s="496" t="s">
        <v>319</v>
      </c>
      <c r="D8" s="496" t="s">
        <v>214</v>
      </c>
      <c r="E8" s="497">
        <v>1</v>
      </c>
      <c r="F8" s="496"/>
      <c r="G8" s="499">
        <v>28818379000</v>
      </c>
      <c r="H8" s="499">
        <f t="shared" si="1"/>
        <v>28818379000</v>
      </c>
      <c r="I8" s="498"/>
      <c r="J8" s="497"/>
      <c r="K8" s="499"/>
      <c r="L8" s="499"/>
      <c r="M8" s="503" t="s">
        <v>727</v>
      </c>
      <c r="N8" s="970">
        <v>3</v>
      </c>
      <c r="O8" s="971" t="s">
        <v>721</v>
      </c>
      <c r="P8" s="505" t="s">
        <v>412</v>
      </c>
      <c r="Q8" s="505" t="s">
        <v>343</v>
      </c>
      <c r="R8" s="506">
        <v>1</v>
      </c>
      <c r="S8" s="508">
        <v>11526624000</v>
      </c>
      <c r="T8" s="507">
        <f t="shared" si="0"/>
        <v>11526624000</v>
      </c>
      <c r="U8" s="498"/>
      <c r="V8" s="497"/>
      <c r="W8" s="499"/>
      <c r="X8" s="499"/>
      <c r="Y8" s="498" t="s">
        <v>716</v>
      </c>
    </row>
    <row r="9" spans="1:37" s="450" customFormat="1" ht="75">
      <c r="A9" s="970"/>
      <c r="B9" s="971"/>
      <c r="C9" s="139"/>
      <c r="D9" s="139"/>
      <c r="E9" s="139"/>
      <c r="F9" s="139"/>
      <c r="G9" s="139"/>
      <c r="H9" s="139"/>
      <c r="I9" s="498"/>
      <c r="J9" s="139"/>
      <c r="K9" s="499"/>
      <c r="L9" s="499"/>
      <c r="M9" s="503"/>
      <c r="N9" s="970"/>
      <c r="O9" s="971"/>
      <c r="P9" s="505" t="s">
        <v>338</v>
      </c>
      <c r="Q9" s="505" t="s">
        <v>343</v>
      </c>
      <c r="R9" s="506">
        <v>2</v>
      </c>
      <c r="S9" s="508">
        <v>856764000</v>
      </c>
      <c r="T9" s="507">
        <f t="shared" si="0"/>
        <v>1713528000</v>
      </c>
      <c r="U9" s="498"/>
      <c r="V9" s="139"/>
      <c r="W9" s="499"/>
      <c r="X9" s="499"/>
      <c r="Y9" s="494" t="s">
        <v>717</v>
      </c>
      <c r="AC9" s="501" t="s">
        <v>412</v>
      </c>
      <c r="AD9" s="496" t="s">
        <v>343</v>
      </c>
      <c r="AE9" s="497">
        <v>1</v>
      </c>
      <c r="AF9" s="497"/>
      <c r="AG9" s="110">
        <v>11526624000</v>
      </c>
      <c r="AH9" s="499">
        <f t="shared" ref="AH9" si="2">AE9*AG9</f>
        <v>11526624000</v>
      </c>
      <c r="AI9" s="498"/>
      <c r="AJ9" s="498"/>
      <c r="AK9" s="498" t="s">
        <v>716</v>
      </c>
    </row>
    <row r="10" spans="1:37" ht="30">
      <c r="A10" s="493">
        <v>4</v>
      </c>
      <c r="B10" s="432" t="s">
        <v>718</v>
      </c>
      <c r="C10" s="505" t="s">
        <v>333</v>
      </c>
      <c r="D10" s="505" t="s">
        <v>214</v>
      </c>
      <c r="E10" s="506">
        <v>1</v>
      </c>
      <c r="F10" s="505"/>
      <c r="G10" s="507">
        <v>8742963500</v>
      </c>
      <c r="H10" s="507">
        <f>E10*G10</f>
        <v>8742963500</v>
      </c>
      <c r="I10" s="169"/>
      <c r="J10" s="497"/>
      <c r="K10" s="499"/>
      <c r="L10" s="499"/>
      <c r="M10" s="503" t="s">
        <v>727</v>
      </c>
      <c r="N10" s="493">
        <v>4</v>
      </c>
      <c r="O10" s="432" t="s">
        <v>718</v>
      </c>
      <c r="P10" s="175"/>
      <c r="Q10" s="487"/>
      <c r="R10" s="472"/>
      <c r="S10" s="499"/>
      <c r="T10" s="499"/>
      <c r="U10" s="169"/>
      <c r="V10" s="497"/>
      <c r="W10" s="499"/>
      <c r="X10" s="499"/>
      <c r="Y10" s="135"/>
    </row>
    <row r="11" spans="1:37">
      <c r="C11" s="500" t="s">
        <v>265</v>
      </c>
      <c r="D11" s="496" t="s">
        <v>343</v>
      </c>
      <c r="E11" s="497">
        <v>1</v>
      </c>
      <c r="F11" s="504">
        <v>1058400000</v>
      </c>
      <c r="G11" s="499">
        <f t="shared" ref="G11" si="3">E11*F11</f>
        <v>1058400000</v>
      </c>
    </row>
    <row r="24" spans="2:25" s="449" customFormat="1">
      <c r="B24" s="452"/>
      <c r="C24" s="453"/>
      <c r="D24" s="452"/>
      <c r="E24" s="477"/>
      <c r="F24" s="452"/>
      <c r="G24" s="431"/>
      <c r="H24" s="454"/>
      <c r="J24" s="477"/>
      <c r="N24" s="450"/>
      <c r="O24" s="452"/>
      <c r="P24" s="452"/>
      <c r="Q24" s="452"/>
      <c r="R24" s="477"/>
      <c r="S24" s="452"/>
      <c r="T24" s="431"/>
      <c r="V24" s="477"/>
    </row>
    <row r="25" spans="2:25" s="449" customFormat="1">
      <c r="B25" s="452"/>
      <c r="C25" s="453"/>
      <c r="D25" s="452"/>
      <c r="E25" s="477"/>
      <c r="F25" s="452"/>
      <c r="G25" s="431"/>
      <c r="H25" s="959" t="s">
        <v>702</v>
      </c>
      <c r="I25" s="959"/>
      <c r="J25" s="959"/>
      <c r="K25" s="959"/>
      <c r="L25" s="959"/>
      <c r="M25" s="959"/>
      <c r="N25" s="959"/>
      <c r="O25" s="959"/>
      <c r="P25" s="959"/>
      <c r="Q25" s="959"/>
      <c r="R25" s="959"/>
      <c r="S25" s="959"/>
      <c r="T25" s="959"/>
      <c r="U25" s="959"/>
      <c r="V25" s="959"/>
      <c r="W25" s="959"/>
      <c r="X25" s="959"/>
      <c r="Y25" s="959"/>
    </row>
    <row r="27" spans="2:25" s="449" customFormat="1">
      <c r="N27" s="450"/>
    </row>
    <row r="28" spans="2:25" s="449" customFormat="1">
      <c r="N28" s="450"/>
    </row>
    <row r="29" spans="2:25" s="449" customFormat="1">
      <c r="N29" s="450"/>
    </row>
    <row r="30" spans="2:25" s="449" customFormat="1">
      <c r="N30" s="450"/>
    </row>
    <row r="31" spans="2:25" s="449" customFormat="1">
      <c r="N31" s="450"/>
    </row>
    <row r="32" spans="2:25" s="449" customFormat="1">
      <c r="N32" s="450"/>
    </row>
    <row r="33" spans="14:14" s="449" customFormat="1">
      <c r="N33" s="450"/>
    </row>
    <row r="34" spans="14:14" s="449" customFormat="1">
      <c r="N34" s="450"/>
    </row>
    <row r="35" spans="14:14" s="449" customFormat="1">
      <c r="N35" s="450"/>
    </row>
    <row r="36" spans="14:14" s="449" customFormat="1">
      <c r="N36" s="450"/>
    </row>
    <row r="37" spans="14:14" s="449" customFormat="1">
      <c r="N37" s="450"/>
    </row>
    <row r="38" spans="14:14" s="449" customFormat="1">
      <c r="N38" s="450"/>
    </row>
    <row r="39" spans="14:14" s="449" customFormat="1">
      <c r="N39" s="450"/>
    </row>
    <row r="40" spans="14:14" s="449" customFormat="1">
      <c r="N40" s="450"/>
    </row>
    <row r="41" spans="14:14" s="449" customFormat="1">
      <c r="N41" s="450"/>
    </row>
    <row r="42" spans="14:14" s="449" customFormat="1">
      <c r="N42" s="450"/>
    </row>
    <row r="43" spans="14:14" s="449" customFormat="1">
      <c r="N43" s="450"/>
    </row>
    <row r="44" spans="14:14" s="449" customFormat="1">
      <c r="N44" s="450"/>
    </row>
    <row r="45" spans="14:14" s="449" customFormat="1">
      <c r="N45" s="450"/>
    </row>
    <row r="46" spans="14:14" s="449" customFormat="1">
      <c r="N46" s="450"/>
    </row>
    <row r="47" spans="14:14" s="449" customFormat="1">
      <c r="N47" s="450"/>
    </row>
    <row r="48" spans="14:14" s="449" customFormat="1">
      <c r="N48" s="450"/>
    </row>
    <row r="49" spans="14:14" s="449" customFormat="1">
      <c r="N49" s="450"/>
    </row>
    <row r="50" spans="14:14" s="449" customFormat="1">
      <c r="N50" s="450"/>
    </row>
    <row r="51" spans="14:14" s="449" customFormat="1">
      <c r="N51" s="450"/>
    </row>
    <row r="52" spans="14:14" s="449" customFormat="1">
      <c r="N52" s="450"/>
    </row>
    <row r="53" spans="14:14" s="449" customFormat="1">
      <c r="N53" s="450"/>
    </row>
    <row r="54" spans="14:14" s="449" customFormat="1">
      <c r="N54" s="450"/>
    </row>
    <row r="55" spans="14:14" s="449" customFormat="1">
      <c r="N55" s="450"/>
    </row>
    <row r="56" spans="14:14" s="449" customFormat="1">
      <c r="N56" s="450"/>
    </row>
    <row r="57" spans="14:14" s="449" customFormat="1">
      <c r="N57" s="450"/>
    </row>
    <row r="58" spans="14:14" s="449" customFormat="1">
      <c r="N58" s="450"/>
    </row>
    <row r="59" spans="14:14" s="449" customFormat="1">
      <c r="N59" s="450"/>
    </row>
    <row r="60" spans="14:14" s="449" customFormat="1">
      <c r="N60" s="450"/>
    </row>
    <row r="61" spans="14:14" s="449" customFormat="1">
      <c r="N61" s="450"/>
    </row>
    <row r="62" spans="14:14" s="449" customFormat="1">
      <c r="N62" s="450"/>
    </row>
    <row r="63" spans="14:14" s="449" customFormat="1">
      <c r="N63" s="450"/>
    </row>
    <row r="64" spans="14:14" s="449" customFormat="1">
      <c r="N64" s="450"/>
    </row>
    <row r="65" spans="14:14" s="449" customFormat="1">
      <c r="N65" s="450"/>
    </row>
    <row r="66" spans="14:14" s="449" customFormat="1">
      <c r="N66" s="450"/>
    </row>
    <row r="67" spans="14:14" s="449" customFormat="1">
      <c r="N67" s="450"/>
    </row>
    <row r="68" spans="14:14" s="449" customFormat="1">
      <c r="N68" s="450"/>
    </row>
    <row r="69" spans="14:14" s="449" customFormat="1">
      <c r="N69" s="450"/>
    </row>
    <row r="70" spans="14:14" s="449" customFormat="1">
      <c r="N70" s="450"/>
    </row>
    <row r="71" spans="14:14" s="449" customFormat="1">
      <c r="N71" s="450"/>
    </row>
    <row r="72" spans="14:14" s="449" customFormat="1">
      <c r="N72" s="450"/>
    </row>
    <row r="73" spans="14:14" s="449" customFormat="1">
      <c r="N73" s="450"/>
    </row>
    <row r="74" spans="14:14" s="449" customFormat="1">
      <c r="N74" s="450"/>
    </row>
    <row r="75" spans="14:14" s="449" customFormat="1">
      <c r="N75" s="450"/>
    </row>
    <row r="76" spans="14:14" s="449" customFormat="1">
      <c r="N76" s="450"/>
    </row>
    <row r="77" spans="14:14" s="449" customFormat="1">
      <c r="N77" s="450"/>
    </row>
    <row r="78" spans="14:14" s="449" customFormat="1">
      <c r="N78" s="450"/>
    </row>
    <row r="79" spans="14:14" s="449" customFormat="1">
      <c r="N79" s="450"/>
    </row>
    <row r="80" spans="14:14" s="449" customFormat="1">
      <c r="N80" s="450"/>
    </row>
    <row r="81" spans="14:14" s="449" customFormat="1">
      <c r="N81" s="450"/>
    </row>
    <row r="82" spans="14:14" s="449" customFormat="1">
      <c r="N82" s="450"/>
    </row>
    <row r="83" spans="14:14" s="449" customFormat="1">
      <c r="N83" s="450"/>
    </row>
    <row r="84" spans="14:14" s="449" customFormat="1">
      <c r="N84" s="450"/>
    </row>
    <row r="85" spans="14:14" s="449" customFormat="1">
      <c r="N85" s="450"/>
    </row>
    <row r="86" spans="14:14" s="449" customFormat="1">
      <c r="N86" s="450"/>
    </row>
    <row r="87" spans="14:14" s="449" customFormat="1">
      <c r="N87" s="450"/>
    </row>
    <row r="88" spans="14:14" s="449" customFormat="1">
      <c r="N88" s="450"/>
    </row>
    <row r="89" spans="14:14" s="449" customFormat="1">
      <c r="N89" s="450"/>
    </row>
    <row r="90" spans="14:14" s="449" customFormat="1">
      <c r="N90" s="450"/>
    </row>
    <row r="91" spans="14:14" s="449" customFormat="1">
      <c r="N91" s="450"/>
    </row>
    <row r="92" spans="14:14" s="449" customFormat="1">
      <c r="N92" s="450"/>
    </row>
    <row r="93" spans="14:14" s="449" customFormat="1">
      <c r="N93" s="450"/>
    </row>
    <row r="94" spans="14:14" s="449" customFormat="1">
      <c r="N94" s="450"/>
    </row>
    <row r="95" spans="14:14" s="449" customFormat="1">
      <c r="N95" s="450"/>
    </row>
    <row r="96" spans="14:14" s="449" customFormat="1">
      <c r="N96" s="450"/>
    </row>
    <row r="97" spans="14:14" s="449" customFormat="1">
      <c r="N97" s="450"/>
    </row>
    <row r="98" spans="14:14" s="449" customFormat="1">
      <c r="N98" s="450"/>
    </row>
    <row r="99" spans="14:14" s="449" customFormat="1">
      <c r="N99" s="450"/>
    </row>
    <row r="100" spans="14:14" s="449" customFormat="1">
      <c r="N100" s="450"/>
    </row>
    <row r="101" spans="14:14" s="449" customFormat="1">
      <c r="N101" s="450"/>
    </row>
    <row r="102" spans="14:14" s="449" customFormat="1">
      <c r="N102" s="450"/>
    </row>
    <row r="103" spans="14:14" s="449" customFormat="1">
      <c r="N103" s="450"/>
    </row>
    <row r="104" spans="14:14" s="449" customFormat="1">
      <c r="N104" s="450"/>
    </row>
    <row r="105" spans="14:14" s="449" customFormat="1">
      <c r="N105" s="450"/>
    </row>
    <row r="106" spans="14:14" s="449" customFormat="1">
      <c r="N106" s="450"/>
    </row>
    <row r="107" spans="14:14" s="449" customFormat="1">
      <c r="N107" s="450"/>
    </row>
    <row r="108" spans="14:14" s="449" customFormat="1">
      <c r="N108" s="450"/>
    </row>
    <row r="109" spans="14:14" s="449" customFormat="1">
      <c r="N109" s="450"/>
    </row>
    <row r="110" spans="14:14" s="449" customFormat="1">
      <c r="N110" s="450"/>
    </row>
    <row r="111" spans="14:14" s="449" customFormat="1">
      <c r="N111" s="450"/>
    </row>
    <row r="112" spans="14:14" s="449" customFormat="1">
      <c r="N112" s="450"/>
    </row>
    <row r="113" spans="14:14" s="449" customFormat="1">
      <c r="N113" s="450"/>
    </row>
    <row r="114" spans="14:14" s="449" customFormat="1">
      <c r="N114" s="450"/>
    </row>
    <row r="115" spans="14:14" s="449" customFormat="1">
      <c r="N115" s="450"/>
    </row>
    <row r="116" spans="14:14" s="449" customFormat="1">
      <c r="N116" s="450"/>
    </row>
    <row r="117" spans="14:14" s="449" customFormat="1">
      <c r="N117" s="450"/>
    </row>
    <row r="118" spans="14:14" s="449" customFormat="1">
      <c r="N118" s="450"/>
    </row>
    <row r="119" spans="14:14" s="449" customFormat="1">
      <c r="N119" s="450"/>
    </row>
    <row r="120" spans="14:14" s="449" customFormat="1">
      <c r="N120" s="450"/>
    </row>
    <row r="121" spans="14:14" s="449" customFormat="1">
      <c r="N121" s="450"/>
    </row>
    <row r="122" spans="14:14" s="449" customFormat="1">
      <c r="N122" s="450"/>
    </row>
    <row r="123" spans="14:14" s="449" customFormat="1">
      <c r="N123" s="450"/>
    </row>
    <row r="124" spans="14:14" s="449" customFormat="1">
      <c r="N124" s="450"/>
    </row>
    <row r="125" spans="14:14" s="449" customFormat="1">
      <c r="N125" s="450"/>
    </row>
    <row r="126" spans="14:14" s="449" customFormat="1">
      <c r="N126" s="450"/>
    </row>
    <row r="127" spans="14:14" s="449" customFormat="1">
      <c r="N127" s="450"/>
    </row>
    <row r="128" spans="14:14" s="449" customFormat="1">
      <c r="N128" s="450"/>
    </row>
    <row r="129" spans="14:14" s="449" customFormat="1">
      <c r="N129" s="450"/>
    </row>
    <row r="130" spans="14:14" s="449" customFormat="1">
      <c r="N130" s="450"/>
    </row>
    <row r="131" spans="14:14" s="449" customFormat="1">
      <c r="N131" s="450"/>
    </row>
    <row r="132" spans="14:14" s="449" customFormat="1">
      <c r="N132" s="450"/>
    </row>
    <row r="133" spans="14:14" s="449" customFormat="1">
      <c r="N133" s="450"/>
    </row>
    <row r="134" spans="14:14" s="449" customFormat="1">
      <c r="N134" s="450"/>
    </row>
    <row r="135" spans="14:14" s="449" customFormat="1">
      <c r="N135" s="450"/>
    </row>
    <row r="136" spans="14:14" s="449" customFormat="1">
      <c r="N136" s="450"/>
    </row>
    <row r="137" spans="14:14" s="449" customFormat="1">
      <c r="N137" s="450"/>
    </row>
    <row r="138" spans="14:14" s="449" customFormat="1">
      <c r="N138" s="450"/>
    </row>
    <row r="139" spans="14:14" s="449" customFormat="1">
      <c r="N139" s="450"/>
    </row>
    <row r="140" spans="14:14" s="449" customFormat="1">
      <c r="N140" s="450"/>
    </row>
    <row r="141" spans="14:14" s="449" customFormat="1">
      <c r="N141" s="450"/>
    </row>
    <row r="142" spans="14:14" s="449" customFormat="1">
      <c r="N142" s="450"/>
    </row>
    <row r="143" spans="14:14" s="449" customFormat="1">
      <c r="N143" s="450"/>
    </row>
    <row r="144" spans="14:14" s="449" customFormat="1">
      <c r="N144" s="450"/>
    </row>
    <row r="145" spans="14:14" s="449" customFormat="1">
      <c r="N145" s="450"/>
    </row>
    <row r="146" spans="14:14" s="449" customFormat="1">
      <c r="N146" s="450"/>
    </row>
    <row r="147" spans="14:14" s="449" customFormat="1">
      <c r="N147" s="450"/>
    </row>
    <row r="148" spans="14:14" s="449" customFormat="1">
      <c r="N148" s="450"/>
    </row>
    <row r="149" spans="14:14" s="449" customFormat="1">
      <c r="N149" s="450"/>
    </row>
    <row r="150" spans="14:14" s="449" customFormat="1">
      <c r="N150" s="450"/>
    </row>
    <row r="151" spans="14:14" s="449" customFormat="1">
      <c r="N151" s="450"/>
    </row>
    <row r="152" spans="14:14" s="449" customFormat="1">
      <c r="N152" s="450"/>
    </row>
    <row r="153" spans="14:14" s="449" customFormat="1">
      <c r="N153" s="450"/>
    </row>
    <row r="154" spans="14:14" s="449" customFormat="1">
      <c r="N154" s="450"/>
    </row>
    <row r="155" spans="14:14" s="449" customFormat="1">
      <c r="N155" s="450"/>
    </row>
    <row r="156" spans="14:14" s="449" customFormat="1">
      <c r="N156" s="450"/>
    </row>
    <row r="157" spans="14:14" s="449" customFormat="1">
      <c r="N157" s="450"/>
    </row>
    <row r="158" spans="14:14" s="449" customFormat="1">
      <c r="N158" s="450"/>
    </row>
    <row r="159" spans="14:14" s="449" customFormat="1">
      <c r="N159" s="450"/>
    </row>
    <row r="160" spans="14:14" s="449" customFormat="1">
      <c r="N160" s="450"/>
    </row>
    <row r="161" spans="14:14" s="449" customFormat="1">
      <c r="N161" s="450"/>
    </row>
    <row r="162" spans="14:14" s="449" customFormat="1">
      <c r="N162" s="450"/>
    </row>
    <row r="163" spans="14:14" s="449" customFormat="1">
      <c r="N163" s="450"/>
    </row>
    <row r="164" spans="14:14" s="449" customFormat="1">
      <c r="N164" s="450"/>
    </row>
    <row r="165" spans="14:14" s="449" customFormat="1">
      <c r="N165" s="450"/>
    </row>
    <row r="166" spans="14:14" s="449" customFormat="1">
      <c r="N166" s="450"/>
    </row>
    <row r="167" spans="14:14" s="449" customFormat="1">
      <c r="N167" s="450"/>
    </row>
    <row r="168" spans="14:14" s="449" customFormat="1">
      <c r="N168" s="450"/>
    </row>
    <row r="169" spans="14:14" s="449" customFormat="1">
      <c r="N169" s="450"/>
    </row>
    <row r="170" spans="14:14" s="449" customFormat="1">
      <c r="N170" s="450"/>
    </row>
    <row r="171" spans="14:14" s="449" customFormat="1">
      <c r="N171" s="450"/>
    </row>
    <row r="172" spans="14:14" s="449" customFormat="1">
      <c r="N172" s="450"/>
    </row>
    <row r="173" spans="14:14" s="449" customFormat="1">
      <c r="N173" s="450"/>
    </row>
    <row r="174" spans="14:14" s="449" customFormat="1">
      <c r="N174" s="450"/>
    </row>
    <row r="175" spans="14:14" s="449" customFormat="1">
      <c r="N175" s="450"/>
    </row>
    <row r="176" spans="14:14" s="449" customFormat="1">
      <c r="N176" s="450"/>
    </row>
    <row r="177" spans="14:14" s="449" customFormat="1">
      <c r="N177" s="450"/>
    </row>
    <row r="178" spans="14:14" s="449" customFormat="1">
      <c r="N178" s="450"/>
    </row>
    <row r="179" spans="14:14" s="449" customFormat="1">
      <c r="N179" s="450"/>
    </row>
    <row r="180" spans="14:14" s="449" customFormat="1">
      <c r="N180" s="450"/>
    </row>
    <row r="181" spans="14:14" s="449" customFormat="1">
      <c r="N181" s="450"/>
    </row>
    <row r="182" spans="14:14" s="449" customFormat="1">
      <c r="N182" s="450"/>
    </row>
    <row r="183" spans="14:14" s="449" customFormat="1">
      <c r="N183" s="450"/>
    </row>
    <row r="184" spans="14:14" s="449" customFormat="1">
      <c r="N184" s="450"/>
    </row>
    <row r="185" spans="14:14" s="449" customFormat="1">
      <c r="N185" s="450"/>
    </row>
    <row r="186" spans="14:14" s="449" customFormat="1">
      <c r="N186" s="450"/>
    </row>
    <row r="187" spans="14:14" s="449" customFormat="1">
      <c r="N187" s="450"/>
    </row>
    <row r="188" spans="14:14" s="449" customFormat="1">
      <c r="N188" s="450"/>
    </row>
    <row r="189" spans="14:14" s="449" customFormat="1">
      <c r="N189" s="450"/>
    </row>
    <row r="190" spans="14:14" s="449" customFormat="1">
      <c r="N190" s="450"/>
    </row>
    <row r="191" spans="14:14" s="449" customFormat="1">
      <c r="N191" s="450"/>
    </row>
    <row r="192" spans="14:14" s="449" customFormat="1">
      <c r="N192" s="450"/>
    </row>
    <row r="193" spans="14:14" s="449" customFormat="1">
      <c r="N193" s="450"/>
    </row>
    <row r="194" spans="14:14" s="449" customFormat="1">
      <c r="N194" s="450"/>
    </row>
    <row r="195" spans="14:14" s="449" customFormat="1">
      <c r="N195" s="450"/>
    </row>
    <row r="196" spans="14:14" s="449" customFormat="1">
      <c r="N196" s="450"/>
    </row>
    <row r="197" spans="14:14" s="449" customFormat="1">
      <c r="N197" s="450"/>
    </row>
    <row r="198" spans="14:14" s="449" customFormat="1">
      <c r="N198" s="450"/>
    </row>
    <row r="199" spans="14:14" s="449" customFormat="1">
      <c r="N199" s="450"/>
    </row>
    <row r="200" spans="14:14" s="449" customFormat="1">
      <c r="N200" s="450"/>
    </row>
    <row r="201" spans="14:14" s="449" customFormat="1">
      <c r="N201" s="450"/>
    </row>
    <row r="202" spans="14:14" s="449" customFormat="1">
      <c r="N202" s="450"/>
    </row>
    <row r="203" spans="14:14" s="449" customFormat="1">
      <c r="N203" s="450"/>
    </row>
    <row r="204" spans="14:14" s="449" customFormat="1">
      <c r="N204" s="450"/>
    </row>
    <row r="205" spans="14:14" s="449" customFormat="1">
      <c r="N205" s="450"/>
    </row>
    <row r="206" spans="14:14" s="449" customFormat="1">
      <c r="N206" s="450"/>
    </row>
    <row r="207" spans="14:14" s="449" customFormat="1">
      <c r="N207" s="450"/>
    </row>
    <row r="208" spans="14:14" s="449" customFormat="1">
      <c r="N208" s="450"/>
    </row>
    <row r="209" spans="14:14" s="449" customFormat="1">
      <c r="N209" s="450"/>
    </row>
    <row r="210" spans="14:14" s="449" customFormat="1">
      <c r="N210" s="450"/>
    </row>
    <row r="211" spans="14:14" s="449" customFormat="1">
      <c r="N211" s="450"/>
    </row>
    <row r="212" spans="14:14" s="449" customFormat="1">
      <c r="N212" s="450"/>
    </row>
    <row r="213" spans="14:14" s="449" customFormat="1">
      <c r="N213" s="450"/>
    </row>
    <row r="214" spans="14:14" s="449" customFormat="1">
      <c r="N214" s="450"/>
    </row>
    <row r="215" spans="14:14" s="449" customFormat="1">
      <c r="N215" s="450"/>
    </row>
    <row r="216" spans="14:14" s="449" customFormat="1">
      <c r="N216" s="450"/>
    </row>
    <row r="217" spans="14:14" s="449" customFormat="1">
      <c r="N217" s="450"/>
    </row>
    <row r="218" spans="14:14" s="449" customFormat="1">
      <c r="N218" s="450"/>
    </row>
    <row r="219" spans="14:14" s="449" customFormat="1">
      <c r="N219" s="450"/>
    </row>
    <row r="220" spans="14:14" s="449" customFormat="1">
      <c r="N220" s="450"/>
    </row>
    <row r="221" spans="14:14" s="449" customFormat="1">
      <c r="N221" s="450"/>
    </row>
    <row r="222" spans="14:14" s="449" customFormat="1">
      <c r="N222" s="450"/>
    </row>
    <row r="223" spans="14:14" s="449" customFormat="1">
      <c r="N223" s="450"/>
    </row>
    <row r="224" spans="14:14" s="449" customFormat="1">
      <c r="N224" s="450"/>
    </row>
    <row r="225" spans="14:14" s="449" customFormat="1">
      <c r="N225" s="450"/>
    </row>
    <row r="226" spans="14:14" s="449" customFormat="1">
      <c r="N226" s="450"/>
    </row>
    <row r="227" spans="14:14" s="449" customFormat="1">
      <c r="N227" s="450"/>
    </row>
    <row r="228" spans="14:14" s="449" customFormat="1">
      <c r="N228" s="450"/>
    </row>
    <row r="229" spans="14:14" s="449" customFormat="1">
      <c r="N229" s="450"/>
    </row>
    <row r="230" spans="14:14" s="449" customFormat="1">
      <c r="N230" s="450"/>
    </row>
    <row r="231" spans="14:14" s="449" customFormat="1">
      <c r="N231" s="450"/>
    </row>
    <row r="232" spans="14:14" s="449" customFormat="1">
      <c r="N232" s="450"/>
    </row>
    <row r="233" spans="14:14" s="449" customFormat="1">
      <c r="N233" s="450"/>
    </row>
    <row r="234" spans="14:14" s="449" customFormat="1">
      <c r="N234" s="450"/>
    </row>
    <row r="235" spans="14:14" s="449" customFormat="1">
      <c r="N235" s="450"/>
    </row>
    <row r="236" spans="14:14" s="449" customFormat="1">
      <c r="N236" s="450"/>
    </row>
    <row r="237" spans="14:14" s="449" customFormat="1">
      <c r="N237" s="450"/>
    </row>
    <row r="238" spans="14:14" s="449" customFormat="1">
      <c r="N238" s="450"/>
    </row>
    <row r="239" spans="14:14" s="449" customFormat="1">
      <c r="N239" s="450"/>
    </row>
    <row r="240" spans="14:14" s="449" customFormat="1">
      <c r="N240" s="450"/>
    </row>
    <row r="241" spans="14:14" s="449" customFormat="1">
      <c r="N241" s="450"/>
    </row>
    <row r="242" spans="14:14" s="449" customFormat="1">
      <c r="N242" s="450"/>
    </row>
    <row r="243" spans="14:14" s="449" customFormat="1">
      <c r="N243" s="450"/>
    </row>
    <row r="244" spans="14:14" s="449" customFormat="1">
      <c r="N244" s="450"/>
    </row>
    <row r="245" spans="14:14" s="449" customFormat="1">
      <c r="N245" s="450"/>
    </row>
    <row r="246" spans="14:14" s="449" customFormat="1">
      <c r="N246" s="450"/>
    </row>
    <row r="247" spans="14:14" s="449" customFormat="1">
      <c r="N247" s="450"/>
    </row>
    <row r="248" spans="14:14" s="449" customFormat="1">
      <c r="N248" s="450"/>
    </row>
    <row r="249" spans="14:14" s="449" customFormat="1">
      <c r="N249" s="450"/>
    </row>
    <row r="250" spans="14:14" s="449" customFormat="1">
      <c r="N250" s="450"/>
    </row>
    <row r="251" spans="14:14" s="449" customFormat="1">
      <c r="N251" s="450"/>
    </row>
    <row r="252" spans="14:14" s="449" customFormat="1">
      <c r="N252" s="450"/>
    </row>
    <row r="253" spans="14:14" s="449" customFormat="1">
      <c r="N253" s="450"/>
    </row>
    <row r="254" spans="14:14" s="449" customFormat="1">
      <c r="N254" s="450"/>
    </row>
    <row r="255" spans="14:14" s="449" customFormat="1">
      <c r="N255" s="450"/>
    </row>
    <row r="256" spans="14:14" s="449" customFormat="1">
      <c r="N256" s="450"/>
    </row>
    <row r="257" spans="14:14" s="449" customFormat="1">
      <c r="N257" s="450"/>
    </row>
    <row r="258" spans="14:14" s="449" customFormat="1">
      <c r="N258" s="450"/>
    </row>
    <row r="259" spans="14:14" s="449" customFormat="1">
      <c r="N259" s="450"/>
    </row>
    <row r="260" spans="14:14" s="449" customFormat="1">
      <c r="N260" s="450"/>
    </row>
    <row r="261" spans="14:14" s="449" customFormat="1">
      <c r="N261" s="450"/>
    </row>
    <row r="262" spans="14:14" s="449" customFormat="1">
      <c r="N262" s="450"/>
    </row>
    <row r="263" spans="14:14" s="449" customFormat="1">
      <c r="N263" s="450"/>
    </row>
    <row r="264" spans="14:14" s="449" customFormat="1">
      <c r="N264" s="450"/>
    </row>
    <row r="265" spans="14:14" s="449" customFormat="1">
      <c r="N265" s="450"/>
    </row>
    <row r="266" spans="14:14" s="449" customFormat="1">
      <c r="N266" s="450"/>
    </row>
    <row r="267" spans="14:14" s="449" customFormat="1">
      <c r="N267" s="450"/>
    </row>
    <row r="268" spans="14:14" s="449" customFormat="1">
      <c r="N268" s="450"/>
    </row>
    <row r="269" spans="14:14" s="449" customFormat="1">
      <c r="N269" s="450"/>
    </row>
    <row r="270" spans="14:14" s="449" customFormat="1">
      <c r="N270" s="450"/>
    </row>
    <row r="271" spans="14:14" s="449" customFormat="1">
      <c r="N271" s="450"/>
    </row>
    <row r="272" spans="14:14" s="449" customFormat="1">
      <c r="N272" s="450"/>
    </row>
    <row r="273" spans="14:14" s="449" customFormat="1">
      <c r="N273" s="450"/>
    </row>
    <row r="274" spans="14:14" s="449" customFormat="1">
      <c r="N274" s="450"/>
    </row>
    <row r="275" spans="14:14" s="449" customFormat="1">
      <c r="N275" s="450"/>
    </row>
    <row r="276" spans="14:14" s="449" customFormat="1">
      <c r="N276" s="450"/>
    </row>
    <row r="277" spans="14:14" s="449" customFormat="1">
      <c r="N277" s="450"/>
    </row>
    <row r="278" spans="14:14" s="449" customFormat="1">
      <c r="N278" s="450"/>
    </row>
    <row r="279" spans="14:14" s="449" customFormat="1">
      <c r="N279" s="450"/>
    </row>
    <row r="280" spans="14:14" s="449" customFormat="1">
      <c r="N280" s="450"/>
    </row>
    <row r="281" spans="14:14" s="449" customFormat="1">
      <c r="N281" s="450"/>
    </row>
    <row r="282" spans="14:14" s="449" customFormat="1">
      <c r="N282" s="450"/>
    </row>
    <row r="283" spans="14:14" s="449" customFormat="1">
      <c r="N283" s="450"/>
    </row>
    <row r="284" spans="14:14" s="449" customFormat="1">
      <c r="N284" s="450"/>
    </row>
    <row r="285" spans="14:14" s="449" customFormat="1">
      <c r="N285" s="450"/>
    </row>
    <row r="286" spans="14:14" s="449" customFormat="1">
      <c r="N286" s="450"/>
    </row>
    <row r="287" spans="14:14" s="449" customFormat="1">
      <c r="N287" s="450"/>
    </row>
    <row r="288" spans="14:14" s="449" customFormat="1">
      <c r="N288" s="450"/>
    </row>
    <row r="289" spans="14:14" s="449" customFormat="1">
      <c r="N289" s="450"/>
    </row>
    <row r="290" spans="14:14" s="449" customFormat="1">
      <c r="N290" s="450"/>
    </row>
    <row r="291" spans="14:14" s="449" customFormat="1">
      <c r="N291" s="450"/>
    </row>
    <row r="292" spans="14:14" s="449" customFormat="1">
      <c r="N292" s="450"/>
    </row>
    <row r="293" spans="14:14" s="449" customFormat="1">
      <c r="N293" s="450"/>
    </row>
    <row r="294" spans="14:14" s="449" customFormat="1">
      <c r="N294" s="450"/>
    </row>
    <row r="295" spans="14:14" s="449" customFormat="1">
      <c r="N295" s="450"/>
    </row>
    <row r="296" spans="14:14" s="449" customFormat="1">
      <c r="N296" s="450"/>
    </row>
    <row r="297" spans="14:14" s="449" customFormat="1">
      <c r="N297" s="450"/>
    </row>
    <row r="298" spans="14:14" s="449" customFormat="1">
      <c r="N298" s="450"/>
    </row>
    <row r="299" spans="14:14" s="449" customFormat="1">
      <c r="N299" s="450"/>
    </row>
    <row r="300" spans="14:14" s="449" customFormat="1">
      <c r="N300" s="450"/>
    </row>
    <row r="301" spans="14:14" s="449" customFormat="1">
      <c r="N301" s="450"/>
    </row>
    <row r="302" spans="14:14" s="449" customFormat="1">
      <c r="N302" s="450"/>
    </row>
    <row r="303" spans="14:14" s="449" customFormat="1">
      <c r="N303" s="450"/>
    </row>
    <row r="304" spans="14:14" s="449" customFormat="1">
      <c r="N304" s="450"/>
    </row>
    <row r="305" spans="14:14" s="449" customFormat="1">
      <c r="N305" s="450"/>
    </row>
    <row r="306" spans="14:14" s="449" customFormat="1">
      <c r="N306" s="450"/>
    </row>
    <row r="307" spans="14:14" s="449" customFormat="1">
      <c r="N307" s="450"/>
    </row>
    <row r="308" spans="14:14" s="449" customFormat="1">
      <c r="N308" s="450"/>
    </row>
    <row r="309" spans="14:14" s="449" customFormat="1">
      <c r="N309" s="450"/>
    </row>
    <row r="310" spans="14:14" s="449" customFormat="1">
      <c r="N310" s="450"/>
    </row>
    <row r="311" spans="14:14" s="449" customFormat="1">
      <c r="N311" s="450"/>
    </row>
    <row r="312" spans="14:14" s="449" customFormat="1">
      <c r="N312" s="450"/>
    </row>
    <row r="313" spans="14:14" s="449" customFormat="1">
      <c r="N313" s="450"/>
    </row>
    <row r="314" spans="14:14" s="449" customFormat="1">
      <c r="N314" s="450"/>
    </row>
    <row r="315" spans="14:14" s="449" customFormat="1">
      <c r="N315" s="450"/>
    </row>
    <row r="316" spans="14:14" s="449" customFormat="1">
      <c r="N316" s="450"/>
    </row>
    <row r="317" spans="14:14" s="449" customFormat="1">
      <c r="N317" s="450"/>
    </row>
    <row r="318" spans="14:14" s="449" customFormat="1">
      <c r="N318" s="450"/>
    </row>
    <row r="319" spans="14:14" s="449" customFormat="1">
      <c r="N319" s="450"/>
    </row>
    <row r="320" spans="14:14" s="449" customFormat="1">
      <c r="N320" s="450"/>
    </row>
    <row r="321" spans="14:14" s="449" customFormat="1">
      <c r="N321" s="450"/>
    </row>
    <row r="322" spans="14:14" s="449" customFormat="1">
      <c r="N322" s="450"/>
    </row>
    <row r="323" spans="14:14" s="449" customFormat="1">
      <c r="N323" s="450"/>
    </row>
    <row r="324" spans="14:14" s="449" customFormat="1">
      <c r="N324" s="450"/>
    </row>
    <row r="325" spans="14:14" s="449" customFormat="1">
      <c r="N325" s="450"/>
    </row>
    <row r="326" spans="14:14" s="449" customFormat="1">
      <c r="N326" s="450"/>
    </row>
    <row r="327" spans="14:14" s="449" customFormat="1">
      <c r="N327" s="450"/>
    </row>
    <row r="328" spans="14:14" s="449" customFormat="1">
      <c r="N328" s="450"/>
    </row>
    <row r="329" spans="14:14" s="449" customFormat="1">
      <c r="N329" s="450"/>
    </row>
    <row r="330" spans="14:14" s="449" customFormat="1">
      <c r="N330" s="450"/>
    </row>
    <row r="331" spans="14:14" s="449" customFormat="1">
      <c r="N331" s="450"/>
    </row>
    <row r="332" spans="14:14" s="449" customFormat="1">
      <c r="N332" s="450"/>
    </row>
    <row r="333" spans="14:14" s="449" customFormat="1">
      <c r="N333" s="450"/>
    </row>
    <row r="334" spans="14:14" s="449" customFormat="1">
      <c r="N334" s="450"/>
    </row>
    <row r="335" spans="14:14" s="449" customFormat="1">
      <c r="N335" s="450"/>
    </row>
    <row r="336" spans="14:14" s="449" customFormat="1">
      <c r="N336" s="450"/>
    </row>
    <row r="337" spans="14:14" s="449" customFormat="1">
      <c r="N337" s="450"/>
    </row>
    <row r="338" spans="14:14" s="449" customFormat="1">
      <c r="N338" s="450"/>
    </row>
    <row r="339" spans="14:14" s="449" customFormat="1">
      <c r="N339" s="450"/>
    </row>
    <row r="340" spans="14:14" s="449" customFormat="1">
      <c r="N340" s="450"/>
    </row>
    <row r="341" spans="14:14" s="449" customFormat="1">
      <c r="N341" s="450"/>
    </row>
    <row r="342" spans="14:14" s="449" customFormat="1">
      <c r="N342" s="450"/>
    </row>
    <row r="343" spans="14:14" s="449" customFormat="1">
      <c r="N343" s="450"/>
    </row>
    <row r="344" spans="14:14" s="449" customFormat="1">
      <c r="N344" s="450"/>
    </row>
    <row r="345" spans="14:14" s="449" customFormat="1">
      <c r="N345" s="450"/>
    </row>
    <row r="346" spans="14:14" s="449" customFormat="1">
      <c r="N346" s="450"/>
    </row>
    <row r="347" spans="14:14" s="449" customFormat="1">
      <c r="N347" s="450"/>
    </row>
    <row r="348" spans="14:14" s="449" customFormat="1">
      <c r="N348" s="450"/>
    </row>
    <row r="349" spans="14:14" s="449" customFormat="1">
      <c r="N349" s="450"/>
    </row>
    <row r="350" spans="14:14" s="449" customFormat="1">
      <c r="N350" s="450"/>
    </row>
    <row r="351" spans="14:14" s="449" customFormat="1">
      <c r="N351" s="450"/>
    </row>
    <row r="352" spans="14:14" s="449" customFormat="1">
      <c r="N352" s="450"/>
    </row>
    <row r="353" spans="14:14" s="449" customFormat="1">
      <c r="N353" s="450"/>
    </row>
    <row r="354" spans="14:14" s="449" customFormat="1">
      <c r="N354" s="450"/>
    </row>
    <row r="355" spans="14:14" s="449" customFormat="1">
      <c r="N355" s="450"/>
    </row>
    <row r="356" spans="14:14" s="449" customFormat="1">
      <c r="N356" s="450"/>
    </row>
    <row r="357" spans="14:14" s="449" customFormat="1">
      <c r="N357" s="450"/>
    </row>
    <row r="358" spans="14:14" s="449" customFormat="1">
      <c r="N358" s="450"/>
    </row>
    <row r="359" spans="14:14" s="449" customFormat="1">
      <c r="N359" s="450"/>
    </row>
    <row r="360" spans="14:14" s="449" customFormat="1">
      <c r="N360" s="450"/>
    </row>
    <row r="361" spans="14:14" s="449" customFormat="1">
      <c r="N361" s="450"/>
    </row>
    <row r="362" spans="14:14" s="449" customFormat="1">
      <c r="N362" s="450"/>
    </row>
    <row r="363" spans="14:14" s="449" customFormat="1">
      <c r="N363" s="450"/>
    </row>
    <row r="364" spans="14:14" s="449" customFormat="1">
      <c r="N364" s="450"/>
    </row>
    <row r="365" spans="14:14" s="449" customFormat="1">
      <c r="N365" s="450"/>
    </row>
    <row r="366" spans="14:14" s="449" customFormat="1">
      <c r="N366" s="450"/>
    </row>
    <row r="367" spans="14:14" s="449" customFormat="1">
      <c r="N367" s="450"/>
    </row>
    <row r="368" spans="14:14" s="449" customFormat="1">
      <c r="N368" s="450"/>
    </row>
    <row r="369" spans="14:14" s="449" customFormat="1">
      <c r="N369" s="450"/>
    </row>
    <row r="370" spans="14:14" s="449" customFormat="1">
      <c r="N370" s="450"/>
    </row>
    <row r="371" spans="14:14" s="449" customFormat="1">
      <c r="N371" s="450"/>
    </row>
    <row r="372" spans="14:14" s="449" customFormat="1">
      <c r="N372" s="450"/>
    </row>
    <row r="373" spans="14:14" s="449" customFormat="1">
      <c r="N373" s="450"/>
    </row>
    <row r="374" spans="14:14" s="449" customFormat="1">
      <c r="N374" s="450"/>
    </row>
    <row r="375" spans="14:14" s="449" customFormat="1">
      <c r="N375" s="450"/>
    </row>
    <row r="376" spans="14:14" s="449" customFormat="1">
      <c r="N376" s="450"/>
    </row>
    <row r="377" spans="14:14" s="449" customFormat="1">
      <c r="N377" s="450"/>
    </row>
    <row r="378" spans="14:14" s="449" customFormat="1">
      <c r="N378" s="450"/>
    </row>
    <row r="379" spans="14:14" s="449" customFormat="1">
      <c r="N379" s="450"/>
    </row>
    <row r="380" spans="14:14" s="449" customFormat="1">
      <c r="N380" s="450"/>
    </row>
    <row r="381" spans="14:14" s="449" customFormat="1">
      <c r="N381" s="450"/>
    </row>
    <row r="382" spans="14:14" s="449" customFormat="1">
      <c r="N382" s="450"/>
    </row>
    <row r="383" spans="14:14" s="449" customFormat="1">
      <c r="N383" s="450"/>
    </row>
    <row r="384" spans="14:14" s="449" customFormat="1">
      <c r="N384" s="450"/>
    </row>
    <row r="385" spans="14:14" s="449" customFormat="1">
      <c r="N385" s="450"/>
    </row>
    <row r="386" spans="14:14" s="449" customFormat="1">
      <c r="N386" s="450"/>
    </row>
    <row r="387" spans="14:14" s="449" customFormat="1">
      <c r="N387" s="450"/>
    </row>
    <row r="388" spans="14:14" s="449" customFormat="1">
      <c r="N388" s="450"/>
    </row>
    <row r="389" spans="14:14" s="449" customFormat="1">
      <c r="N389" s="450"/>
    </row>
    <row r="390" spans="14:14" s="449" customFormat="1">
      <c r="N390" s="450"/>
    </row>
    <row r="391" spans="14:14" s="449" customFormat="1">
      <c r="N391" s="450"/>
    </row>
    <row r="392" spans="14:14" s="449" customFormat="1">
      <c r="N392" s="450"/>
    </row>
    <row r="393" spans="14:14" s="449" customFormat="1">
      <c r="N393" s="450"/>
    </row>
    <row r="394" spans="14:14" s="449" customFormat="1">
      <c r="N394" s="450"/>
    </row>
    <row r="395" spans="14:14" s="449" customFormat="1">
      <c r="N395" s="450"/>
    </row>
    <row r="396" spans="14:14" s="449" customFormat="1">
      <c r="N396" s="450"/>
    </row>
    <row r="397" spans="14:14" s="449" customFormat="1">
      <c r="N397" s="450"/>
    </row>
    <row r="398" spans="14:14" s="449" customFormat="1">
      <c r="N398" s="450"/>
    </row>
    <row r="399" spans="14:14" s="449" customFormat="1">
      <c r="N399" s="450"/>
    </row>
    <row r="400" spans="14:14" s="449" customFormat="1">
      <c r="N400" s="450"/>
    </row>
    <row r="401" spans="14:14" s="449" customFormat="1">
      <c r="N401" s="450"/>
    </row>
    <row r="402" spans="14:14" s="449" customFormat="1">
      <c r="N402" s="450"/>
    </row>
    <row r="403" spans="14:14" s="449" customFormat="1">
      <c r="N403" s="450"/>
    </row>
    <row r="404" spans="14:14" s="449" customFormat="1">
      <c r="N404" s="450"/>
    </row>
    <row r="405" spans="14:14" s="449" customFormat="1">
      <c r="N405" s="450"/>
    </row>
    <row r="406" spans="14:14" s="449" customFormat="1">
      <c r="N406" s="450"/>
    </row>
    <row r="407" spans="14:14" s="449" customFormat="1">
      <c r="N407" s="450"/>
    </row>
    <row r="408" spans="14:14" s="449" customFormat="1">
      <c r="N408" s="450"/>
    </row>
    <row r="409" spans="14:14" s="449" customFormat="1">
      <c r="N409" s="450"/>
    </row>
    <row r="410" spans="14:14" s="449" customFormat="1">
      <c r="N410" s="450"/>
    </row>
    <row r="411" spans="14:14" s="449" customFormat="1">
      <c r="N411" s="450"/>
    </row>
    <row r="412" spans="14:14" s="449" customFormat="1">
      <c r="N412" s="450"/>
    </row>
    <row r="413" spans="14:14" s="449" customFormat="1">
      <c r="N413" s="450"/>
    </row>
    <row r="414" spans="14:14" s="449" customFormat="1">
      <c r="N414" s="450"/>
    </row>
    <row r="415" spans="14:14" s="449" customFormat="1">
      <c r="N415" s="450"/>
    </row>
    <row r="416" spans="14:14" s="449" customFormat="1">
      <c r="N416" s="450"/>
    </row>
    <row r="417" spans="14:14" s="449" customFormat="1">
      <c r="N417" s="450"/>
    </row>
    <row r="418" spans="14:14" s="449" customFormat="1">
      <c r="N418" s="450"/>
    </row>
    <row r="419" spans="14:14" s="449" customFormat="1">
      <c r="N419" s="450"/>
    </row>
    <row r="420" spans="14:14" s="449" customFormat="1">
      <c r="N420" s="450"/>
    </row>
    <row r="421" spans="14:14" s="449" customFormat="1">
      <c r="N421" s="450"/>
    </row>
    <row r="422" spans="14:14" s="449" customFormat="1">
      <c r="N422" s="450"/>
    </row>
    <row r="423" spans="14:14" s="449" customFormat="1">
      <c r="N423" s="450"/>
    </row>
    <row r="424" spans="14:14" s="449" customFormat="1">
      <c r="N424" s="450"/>
    </row>
    <row r="425" spans="14:14" s="449" customFormat="1">
      <c r="N425" s="450"/>
    </row>
    <row r="426" spans="14:14" s="449" customFormat="1">
      <c r="N426" s="450"/>
    </row>
    <row r="427" spans="14:14" s="449" customFormat="1">
      <c r="N427" s="450"/>
    </row>
    <row r="428" spans="14:14" s="449" customFormat="1">
      <c r="N428" s="450"/>
    </row>
    <row r="429" spans="14:14" s="449" customFormat="1">
      <c r="N429" s="450"/>
    </row>
    <row r="430" spans="14:14" s="449" customFormat="1">
      <c r="N430" s="450"/>
    </row>
    <row r="431" spans="14:14" s="449" customFormat="1">
      <c r="N431" s="450"/>
    </row>
    <row r="432" spans="14:14" s="449" customFormat="1">
      <c r="N432" s="450"/>
    </row>
    <row r="433" spans="14:14" s="449" customFormat="1">
      <c r="N433" s="450"/>
    </row>
    <row r="434" spans="14:14" s="449" customFormat="1">
      <c r="N434" s="450"/>
    </row>
    <row r="435" spans="14:14" s="449" customFormat="1">
      <c r="N435" s="450"/>
    </row>
    <row r="436" spans="14:14" s="449" customFormat="1">
      <c r="N436" s="450"/>
    </row>
  </sheetData>
  <mergeCells count="19">
    <mergeCell ref="N8:N9"/>
    <mergeCell ref="O8:O9"/>
    <mergeCell ref="H25:Y25"/>
    <mergeCell ref="A5:A7"/>
    <mergeCell ref="B5:B7"/>
    <mergeCell ref="A8:A9"/>
    <mergeCell ref="B8:B9"/>
    <mergeCell ref="N5:N7"/>
    <mergeCell ref="O5:O7"/>
    <mergeCell ref="A1:A2"/>
    <mergeCell ref="B1:B2"/>
    <mergeCell ref="C1:M1"/>
    <mergeCell ref="P1:Y1"/>
    <mergeCell ref="A3:A4"/>
    <mergeCell ref="B3:B4"/>
    <mergeCell ref="N1:N2"/>
    <mergeCell ref="O1:O2"/>
    <mergeCell ref="N3:N4"/>
    <mergeCell ref="O3:O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7"/>
  <sheetViews>
    <sheetView workbookViewId="0">
      <selection activeCell="F17" sqref="F17"/>
    </sheetView>
  </sheetViews>
  <sheetFormatPr defaultRowHeight="18.75"/>
  <cols>
    <col min="1" max="1" width="9.28515625" style="515" bestFit="1" customWidth="1"/>
    <col min="2" max="2" width="15.42578125" style="515" bestFit="1" customWidth="1"/>
    <col min="3" max="3" width="21.28515625" style="515" bestFit="1" customWidth="1"/>
    <col min="4" max="4" width="27.42578125" style="515" bestFit="1" customWidth="1"/>
    <col min="5" max="5" width="17.85546875" style="515" bestFit="1" customWidth="1"/>
    <col min="6" max="6" width="41.28515625" style="515" customWidth="1"/>
    <col min="7" max="16384" width="9.140625" style="515"/>
  </cols>
  <sheetData>
    <row r="2" spans="1:6" ht="37.5">
      <c r="A2" s="521" t="s">
        <v>7</v>
      </c>
      <c r="B2" s="521" t="s">
        <v>447</v>
      </c>
      <c r="C2" s="522" t="s">
        <v>749</v>
      </c>
      <c r="D2" s="522" t="s">
        <v>748</v>
      </c>
      <c r="E2" s="522" t="s">
        <v>750</v>
      </c>
      <c r="F2" s="521" t="s">
        <v>404</v>
      </c>
    </row>
    <row r="3" spans="1:6">
      <c r="A3" s="518">
        <v>1</v>
      </c>
      <c r="B3" s="517" t="s">
        <v>261</v>
      </c>
      <c r="C3" s="519">
        <f>'1.Thiet bi'!F9</f>
        <v>0</v>
      </c>
      <c r="D3" s="517" t="s">
        <v>726</v>
      </c>
      <c r="E3" s="519">
        <v>5151999000</v>
      </c>
      <c r="F3" s="517" t="s">
        <v>751</v>
      </c>
    </row>
    <row r="4" spans="1:6">
      <c r="A4" s="518">
        <v>2</v>
      </c>
      <c r="B4" s="517" t="s">
        <v>715</v>
      </c>
      <c r="C4" s="519" t="e">
        <f>'1.Thiet bi'!#REF!</f>
        <v>#REF!</v>
      </c>
      <c r="D4" s="517" t="s">
        <v>715</v>
      </c>
      <c r="E4" s="519">
        <v>6164332000</v>
      </c>
      <c r="F4" s="517" t="s">
        <v>751</v>
      </c>
    </row>
    <row r="5" spans="1:6" hidden="1">
      <c r="A5" s="518">
        <v>3</v>
      </c>
      <c r="B5" s="517" t="s">
        <v>333</v>
      </c>
      <c r="C5" s="519" t="e">
        <f>'1.Thiet bi'!#REF!</f>
        <v>#REF!</v>
      </c>
      <c r="D5" s="517" t="s">
        <v>333</v>
      </c>
      <c r="E5" s="519"/>
      <c r="F5" s="517" t="s">
        <v>752</v>
      </c>
    </row>
    <row r="6" spans="1:6">
      <c r="A6" s="518">
        <v>3</v>
      </c>
      <c r="B6" s="517" t="s">
        <v>265</v>
      </c>
      <c r="C6" s="519" t="e">
        <f>'1.Thiet bi'!#REF!</f>
        <v>#REF!</v>
      </c>
      <c r="D6" s="517" t="s">
        <v>265</v>
      </c>
      <c r="E6" s="519">
        <v>4413150000</v>
      </c>
      <c r="F6" s="517" t="s">
        <v>752</v>
      </c>
    </row>
    <row r="7" spans="1:6">
      <c r="A7" s="518">
        <v>4</v>
      </c>
      <c r="B7" s="517" t="s">
        <v>747</v>
      </c>
      <c r="C7" s="519" t="e">
        <f>'1.Thiet bi'!#REF!</f>
        <v>#REF!</v>
      </c>
      <c r="D7" s="517" t="s">
        <v>747</v>
      </c>
      <c r="E7" s="519">
        <v>14402961000</v>
      </c>
      <c r="F7" s="520" t="s">
        <v>753</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34"/>
  <sheetViews>
    <sheetView workbookViewId="0">
      <selection activeCell="S14" sqref="S14"/>
    </sheetView>
  </sheetViews>
  <sheetFormatPr defaultRowHeight="15"/>
  <cols>
    <col min="1" max="1" width="5" style="528" bestFit="1" customWidth="1"/>
    <col min="2" max="2" width="16.140625" style="532" bestFit="1" customWidth="1"/>
    <col min="3" max="3" width="10.42578125" style="533" bestFit="1" customWidth="1"/>
    <col min="4" max="4" width="8.42578125" style="532" bestFit="1" customWidth="1"/>
    <col min="5" max="5" width="6.28515625" style="534" bestFit="1" customWidth="1"/>
    <col min="6" max="6" width="9.28515625" style="532" hidden="1" customWidth="1"/>
    <col min="7" max="7" width="13.85546875" style="535" bestFit="1" customWidth="1"/>
    <col min="8" max="8" width="13.85546875" style="536" bestFit="1" customWidth="1"/>
    <col min="9" max="9" width="18.140625" style="523" bestFit="1" customWidth="1"/>
    <col min="10" max="10" width="10.5703125" style="533" bestFit="1" customWidth="1"/>
    <col min="11" max="11" width="6" style="532" bestFit="1" customWidth="1"/>
    <col min="12" max="12" width="6.28515625" style="534" bestFit="1" customWidth="1"/>
    <col min="13" max="14" width="13.85546875" style="535" bestFit="1" customWidth="1"/>
    <col min="15" max="15" width="17" style="523" bestFit="1" customWidth="1"/>
    <col min="16" max="16" width="18.28515625" style="523" hidden="1" customWidth="1"/>
    <col min="17" max="17" width="12.140625" style="523" hidden="1" customWidth="1"/>
    <col min="18" max="16384" width="9.140625" style="523"/>
  </cols>
  <sheetData>
    <row r="1" spans="1:27">
      <c r="A1" s="974" t="s">
        <v>7</v>
      </c>
      <c r="B1" s="975" t="s">
        <v>708</v>
      </c>
      <c r="C1" s="976" t="s">
        <v>722</v>
      </c>
      <c r="D1" s="976"/>
      <c r="E1" s="976"/>
      <c r="F1" s="976"/>
      <c r="G1" s="976"/>
      <c r="H1" s="976"/>
      <c r="I1" s="976"/>
      <c r="J1" s="975" t="s">
        <v>723</v>
      </c>
      <c r="K1" s="975"/>
      <c r="L1" s="975"/>
      <c r="M1" s="975"/>
      <c r="N1" s="975"/>
      <c r="O1" s="975"/>
      <c r="P1" s="523" t="s">
        <v>316</v>
      </c>
      <c r="Q1" s="524">
        <v>23600</v>
      </c>
    </row>
    <row r="2" spans="1:27" ht="28.5">
      <c r="A2" s="974"/>
      <c r="B2" s="975"/>
      <c r="C2" s="542" t="s">
        <v>259</v>
      </c>
      <c r="D2" s="542" t="s">
        <v>345</v>
      </c>
      <c r="E2" s="543" t="s">
        <v>8</v>
      </c>
      <c r="F2" s="542"/>
      <c r="G2" s="542" t="s">
        <v>346</v>
      </c>
      <c r="H2" s="542" t="s">
        <v>315</v>
      </c>
      <c r="I2" s="544" t="s">
        <v>404</v>
      </c>
      <c r="J2" s="542" t="s">
        <v>259</v>
      </c>
      <c r="K2" s="542" t="s">
        <v>349</v>
      </c>
      <c r="L2" s="543" t="s">
        <v>8</v>
      </c>
      <c r="M2" s="542" t="s">
        <v>705</v>
      </c>
      <c r="N2" s="542" t="s">
        <v>315</v>
      </c>
      <c r="O2" s="544" t="s">
        <v>404</v>
      </c>
      <c r="P2" s="523" t="s">
        <v>317</v>
      </c>
      <c r="Q2" s="523">
        <v>26650</v>
      </c>
    </row>
    <row r="3" spans="1:27" ht="30" customHeight="1">
      <c r="A3" s="977">
        <v>1</v>
      </c>
      <c r="B3" s="978" t="s">
        <v>754</v>
      </c>
      <c r="C3" s="531" t="s">
        <v>261</v>
      </c>
      <c r="D3" s="531" t="s">
        <v>214</v>
      </c>
      <c r="E3" s="537">
        <v>1</v>
      </c>
      <c r="F3" s="531"/>
      <c r="G3" s="538">
        <v>1750256500</v>
      </c>
      <c r="H3" s="538">
        <f>E3*G3</f>
        <v>1750256500</v>
      </c>
      <c r="I3" s="539" t="s">
        <v>727</v>
      </c>
      <c r="J3" s="531" t="s">
        <v>704</v>
      </c>
      <c r="K3" s="531" t="s">
        <v>343</v>
      </c>
      <c r="L3" s="537">
        <v>1</v>
      </c>
      <c r="M3" s="320">
        <v>4594509000</v>
      </c>
      <c r="N3" s="538">
        <f t="shared" ref="N3:N7" si="0">L3*M3</f>
        <v>4594509000</v>
      </c>
      <c r="O3" s="540" t="s">
        <v>716</v>
      </c>
    </row>
    <row r="4" spans="1:27" s="528" customFormat="1" ht="30">
      <c r="A4" s="977"/>
      <c r="B4" s="978"/>
      <c r="C4" s="531" t="s">
        <v>715</v>
      </c>
      <c r="D4" s="531" t="s">
        <v>214</v>
      </c>
      <c r="E4" s="537">
        <v>2</v>
      </c>
      <c r="F4" s="531"/>
      <c r="G4" s="538">
        <v>1799959000</v>
      </c>
      <c r="H4" s="538">
        <f t="shared" ref="H4" si="1">E4*G4</f>
        <v>3599918000</v>
      </c>
      <c r="I4" s="539" t="s">
        <v>727</v>
      </c>
      <c r="J4" s="531" t="s">
        <v>412</v>
      </c>
      <c r="K4" s="531" t="s">
        <v>343</v>
      </c>
      <c r="L4" s="537">
        <v>1</v>
      </c>
      <c r="M4" s="538">
        <v>4442310000</v>
      </c>
      <c r="N4" s="538">
        <f t="shared" ref="N4:N5" si="2">L4*M4</f>
        <v>4442310000</v>
      </c>
      <c r="O4" s="540"/>
    </row>
    <row r="5" spans="1:27" s="528" customFormat="1" ht="30">
      <c r="A5" s="977"/>
      <c r="B5" s="978"/>
      <c r="C5" s="531"/>
      <c r="D5" s="531"/>
      <c r="E5" s="537"/>
      <c r="F5" s="531"/>
      <c r="G5" s="538"/>
      <c r="H5" s="538"/>
      <c r="I5" s="539" t="s">
        <v>727</v>
      </c>
      <c r="J5" s="531" t="s">
        <v>430</v>
      </c>
      <c r="K5" s="531" t="s">
        <v>343</v>
      </c>
      <c r="L5" s="537">
        <v>1</v>
      </c>
      <c r="M5" s="320">
        <v>1026000000</v>
      </c>
      <c r="N5" s="538">
        <f t="shared" si="2"/>
        <v>1026000000</v>
      </c>
      <c r="O5" s="540" t="s">
        <v>716</v>
      </c>
    </row>
    <row r="6" spans="1:27" s="528" customFormat="1" ht="30">
      <c r="A6" s="977">
        <v>3</v>
      </c>
      <c r="B6" s="978" t="s">
        <v>721</v>
      </c>
      <c r="C6" s="531" t="s">
        <v>319</v>
      </c>
      <c r="D6" s="531" t="s">
        <v>214</v>
      </c>
      <c r="E6" s="537">
        <v>1</v>
      </c>
      <c r="F6" s="531"/>
      <c r="G6" s="538">
        <v>28818379000</v>
      </c>
      <c r="H6" s="538">
        <f t="shared" ref="H6" si="3">E6*G6</f>
        <v>28818379000</v>
      </c>
      <c r="I6" s="539" t="s">
        <v>727</v>
      </c>
      <c r="J6" s="531" t="s">
        <v>412</v>
      </c>
      <c r="K6" s="531" t="s">
        <v>343</v>
      </c>
      <c r="L6" s="537">
        <v>1</v>
      </c>
      <c r="M6" s="320">
        <v>11526624000</v>
      </c>
      <c r="N6" s="538">
        <f t="shared" si="0"/>
        <v>11526624000</v>
      </c>
      <c r="O6" s="540" t="s">
        <v>716</v>
      </c>
    </row>
    <row r="7" spans="1:27" s="528" customFormat="1" ht="75">
      <c r="A7" s="977"/>
      <c r="B7" s="978"/>
      <c r="C7" s="531"/>
      <c r="D7" s="531"/>
      <c r="E7" s="537"/>
      <c r="F7" s="531"/>
      <c r="G7" s="538"/>
      <c r="H7" s="538"/>
      <c r="I7" s="539"/>
      <c r="J7" s="531" t="s">
        <v>338</v>
      </c>
      <c r="K7" s="531" t="s">
        <v>343</v>
      </c>
      <c r="L7" s="537">
        <v>4</v>
      </c>
      <c r="M7" s="320">
        <v>856764000</v>
      </c>
      <c r="N7" s="538">
        <f t="shared" si="0"/>
        <v>3427056000</v>
      </c>
      <c r="O7" s="529" t="s">
        <v>717</v>
      </c>
      <c r="S7" s="500"/>
      <c r="T7" s="500"/>
      <c r="U7" s="526"/>
      <c r="V7" s="526"/>
      <c r="W7" s="320"/>
      <c r="X7" s="527"/>
      <c r="Y7" s="525"/>
      <c r="Z7" s="525"/>
      <c r="AA7" s="525" t="s">
        <v>716</v>
      </c>
    </row>
    <row r="8" spans="1:27" ht="30">
      <c r="A8" s="977">
        <v>4</v>
      </c>
      <c r="B8" s="980" t="s">
        <v>718</v>
      </c>
      <c r="C8" s="531" t="s">
        <v>333</v>
      </c>
      <c r="D8" s="531" t="s">
        <v>214</v>
      </c>
      <c r="E8" s="537">
        <v>1</v>
      </c>
      <c r="F8" s="531"/>
      <c r="G8" s="538">
        <v>8742963500</v>
      </c>
      <c r="H8" s="538">
        <f>E8*G8</f>
        <v>8742963500</v>
      </c>
      <c r="I8" s="539" t="s">
        <v>727</v>
      </c>
      <c r="J8" s="531"/>
      <c r="K8" s="531"/>
      <c r="L8" s="537"/>
      <c r="M8" s="541"/>
      <c r="N8" s="538"/>
      <c r="O8" s="530"/>
      <c r="P8" s="539" t="s">
        <v>727</v>
      </c>
    </row>
    <row r="9" spans="1:27">
      <c r="A9" s="977"/>
      <c r="B9" s="980"/>
      <c r="C9" s="531"/>
      <c r="D9" s="531"/>
      <c r="E9" s="537"/>
      <c r="F9" s="541"/>
      <c r="G9" s="538"/>
      <c r="H9" s="530"/>
      <c r="I9" s="539"/>
      <c r="J9" s="531" t="s">
        <v>265</v>
      </c>
      <c r="K9" s="531" t="s">
        <v>343</v>
      </c>
      <c r="L9" s="537">
        <v>1</v>
      </c>
      <c r="M9" s="541">
        <v>1058400000</v>
      </c>
      <c r="N9" s="538">
        <f t="shared" ref="N9" si="4">L9*M9</f>
        <v>1058400000</v>
      </c>
      <c r="O9" s="530"/>
    </row>
    <row r="22" spans="1:15">
      <c r="A22" s="523"/>
      <c r="J22" s="532"/>
      <c r="M22" s="532"/>
    </row>
    <row r="23" spans="1:15">
      <c r="A23" s="523"/>
      <c r="H23" s="979" t="s">
        <v>702</v>
      </c>
      <c r="I23" s="979"/>
      <c r="J23" s="979"/>
      <c r="K23" s="979"/>
      <c r="L23" s="979"/>
      <c r="M23" s="979"/>
      <c r="N23" s="979"/>
      <c r="O23" s="979"/>
    </row>
    <row r="25" spans="1:15">
      <c r="A25" s="523"/>
      <c r="B25" s="523"/>
      <c r="C25" s="523"/>
      <c r="D25" s="523"/>
      <c r="E25" s="523"/>
      <c r="F25" s="523"/>
      <c r="G25" s="523"/>
      <c r="H25" s="523"/>
      <c r="J25" s="523"/>
      <c r="K25" s="523"/>
      <c r="L25" s="523"/>
      <c r="M25" s="523"/>
      <c r="N25" s="523"/>
    </row>
    <row r="26" spans="1:15">
      <c r="A26" s="523"/>
      <c r="B26" s="523"/>
      <c r="C26" s="523"/>
      <c r="D26" s="523"/>
      <c r="E26" s="523"/>
      <c r="F26" s="523"/>
      <c r="G26" s="523"/>
      <c r="H26" s="523"/>
      <c r="J26" s="523"/>
      <c r="K26" s="523"/>
      <c r="L26" s="523"/>
      <c r="M26" s="523"/>
      <c r="N26" s="523"/>
    </row>
    <row r="27" spans="1:15">
      <c r="A27" s="523"/>
      <c r="B27" s="523"/>
      <c r="C27" s="523"/>
      <c r="D27" s="523"/>
      <c r="E27" s="523"/>
      <c r="F27" s="523"/>
      <c r="G27" s="523"/>
      <c r="H27" s="523"/>
      <c r="J27" s="523"/>
      <c r="K27" s="523"/>
      <c r="L27" s="523"/>
      <c r="M27" s="523"/>
      <c r="N27" s="523"/>
    </row>
    <row r="28" spans="1:15">
      <c r="A28" s="523"/>
      <c r="B28" s="523"/>
      <c r="C28" s="523"/>
      <c r="D28" s="523"/>
      <c r="E28" s="523"/>
      <c r="F28" s="523"/>
      <c r="G28" s="523"/>
      <c r="H28" s="523"/>
      <c r="J28" s="523"/>
      <c r="K28" s="523"/>
      <c r="L28" s="523"/>
      <c r="M28" s="523"/>
      <c r="N28" s="523"/>
    </row>
    <row r="29" spans="1:15">
      <c r="A29" s="523"/>
      <c r="B29" s="523"/>
      <c r="C29" s="523"/>
      <c r="D29" s="523"/>
      <c r="E29" s="523"/>
      <c r="F29" s="523"/>
      <c r="G29" s="523"/>
      <c r="H29" s="523"/>
      <c r="J29" s="523"/>
      <c r="K29" s="523"/>
      <c r="L29" s="523"/>
      <c r="M29" s="523"/>
      <c r="N29" s="523"/>
    </row>
    <row r="30" spans="1:15">
      <c r="A30" s="523"/>
      <c r="B30" s="523"/>
      <c r="C30" s="523"/>
      <c r="D30" s="523"/>
      <c r="E30" s="523"/>
      <c r="F30" s="523"/>
      <c r="G30" s="523"/>
      <c r="H30" s="523"/>
      <c r="J30" s="523"/>
      <c r="K30" s="523"/>
      <c r="L30" s="523"/>
      <c r="M30" s="523"/>
      <c r="N30" s="523"/>
    </row>
    <row r="31" spans="1:15">
      <c r="A31" s="523"/>
      <c r="B31" s="523"/>
      <c r="C31" s="523"/>
      <c r="D31" s="523"/>
      <c r="E31" s="523"/>
      <c r="F31" s="523"/>
      <c r="G31" s="523"/>
      <c r="H31" s="523"/>
      <c r="J31" s="523"/>
      <c r="K31" s="523"/>
      <c r="L31" s="523"/>
      <c r="M31" s="523"/>
      <c r="N31" s="523"/>
    </row>
    <row r="32" spans="1:15">
      <c r="A32" s="523"/>
      <c r="B32" s="523"/>
      <c r="C32" s="523"/>
      <c r="D32" s="523"/>
      <c r="E32" s="523"/>
      <c r="F32" s="523"/>
      <c r="G32" s="523"/>
      <c r="H32" s="523"/>
      <c r="J32" s="523"/>
      <c r="K32" s="523"/>
      <c r="L32" s="523"/>
      <c r="M32" s="523"/>
      <c r="N32" s="523"/>
    </row>
    <row r="33" spans="1:14">
      <c r="A33" s="523"/>
      <c r="B33" s="523"/>
      <c r="C33" s="523"/>
      <c r="D33" s="523"/>
      <c r="E33" s="523"/>
      <c r="F33" s="523"/>
      <c r="G33" s="523"/>
      <c r="H33" s="523"/>
      <c r="J33" s="523"/>
      <c r="K33" s="523"/>
      <c r="L33" s="523"/>
      <c r="M33" s="523"/>
      <c r="N33" s="523"/>
    </row>
    <row r="34" spans="1:14">
      <c r="A34" s="523"/>
      <c r="B34" s="523"/>
      <c r="C34" s="523"/>
      <c r="D34" s="523"/>
      <c r="E34" s="523"/>
      <c r="F34" s="523"/>
      <c r="G34" s="523"/>
      <c r="H34" s="523"/>
      <c r="J34" s="523"/>
      <c r="K34" s="523"/>
      <c r="L34" s="523"/>
      <c r="M34" s="523"/>
      <c r="N34" s="523"/>
    </row>
    <row r="35" spans="1:14">
      <c r="A35" s="523"/>
      <c r="B35" s="523"/>
      <c r="C35" s="523"/>
      <c r="D35" s="523"/>
      <c r="E35" s="523"/>
      <c r="F35" s="523"/>
      <c r="G35" s="523"/>
      <c r="H35" s="523"/>
      <c r="J35" s="523"/>
      <c r="K35" s="523"/>
      <c r="L35" s="523"/>
      <c r="M35" s="523"/>
      <c r="N35" s="523"/>
    </row>
    <row r="36" spans="1:14">
      <c r="A36" s="523"/>
      <c r="B36" s="523"/>
      <c r="C36" s="523"/>
      <c r="D36" s="523"/>
      <c r="E36" s="523"/>
      <c r="F36" s="523"/>
      <c r="G36" s="523"/>
      <c r="H36" s="523"/>
      <c r="J36" s="523"/>
      <c r="K36" s="523"/>
      <c r="L36" s="523"/>
      <c r="M36" s="523"/>
      <c r="N36" s="523"/>
    </row>
    <row r="37" spans="1:14">
      <c r="A37" s="523"/>
      <c r="B37" s="523"/>
      <c r="C37" s="523"/>
      <c r="D37" s="523"/>
      <c r="E37" s="523"/>
      <c r="F37" s="523"/>
      <c r="G37" s="523"/>
      <c r="H37" s="523"/>
      <c r="J37" s="523"/>
      <c r="K37" s="523"/>
      <c r="L37" s="523"/>
      <c r="M37" s="523"/>
      <c r="N37" s="523"/>
    </row>
    <row r="38" spans="1:14">
      <c r="A38" s="523"/>
      <c r="B38" s="523"/>
      <c r="C38" s="523"/>
      <c r="D38" s="523"/>
      <c r="E38" s="523"/>
      <c r="F38" s="523"/>
      <c r="G38" s="523"/>
      <c r="H38" s="523"/>
      <c r="J38" s="523"/>
      <c r="K38" s="523"/>
      <c r="L38" s="523"/>
      <c r="M38" s="523"/>
      <c r="N38" s="523"/>
    </row>
    <row r="39" spans="1:14">
      <c r="A39" s="523"/>
      <c r="B39" s="523"/>
      <c r="C39" s="523"/>
      <c r="D39" s="523"/>
      <c r="E39" s="523"/>
      <c r="F39" s="523"/>
      <c r="G39" s="523"/>
      <c r="H39" s="523"/>
      <c r="J39" s="523"/>
      <c r="K39" s="523"/>
      <c r="L39" s="523"/>
      <c r="M39" s="523"/>
      <c r="N39" s="523"/>
    </row>
    <row r="40" spans="1:14">
      <c r="A40" s="523"/>
      <c r="B40" s="523"/>
      <c r="C40" s="523"/>
      <c r="D40" s="523"/>
      <c r="E40" s="523"/>
      <c r="F40" s="523"/>
      <c r="G40" s="523"/>
      <c r="H40" s="523"/>
      <c r="J40" s="523"/>
      <c r="K40" s="523"/>
      <c r="L40" s="523"/>
      <c r="M40" s="523"/>
      <c r="N40" s="523"/>
    </row>
    <row r="41" spans="1:14">
      <c r="A41" s="523"/>
      <c r="B41" s="523"/>
      <c r="C41" s="523"/>
      <c r="D41" s="523"/>
      <c r="E41" s="523"/>
      <c r="F41" s="523"/>
      <c r="G41" s="523"/>
      <c r="H41" s="523"/>
      <c r="J41" s="523"/>
      <c r="K41" s="523"/>
      <c r="L41" s="523"/>
      <c r="M41" s="523"/>
      <c r="N41" s="523"/>
    </row>
    <row r="42" spans="1:14">
      <c r="A42" s="523"/>
      <c r="B42" s="523"/>
      <c r="C42" s="523"/>
      <c r="D42" s="523"/>
      <c r="E42" s="523"/>
      <c r="F42" s="523"/>
      <c r="G42" s="523"/>
      <c r="H42" s="523"/>
      <c r="J42" s="523"/>
      <c r="K42" s="523"/>
      <c r="L42" s="523"/>
      <c r="M42" s="523"/>
      <c r="N42" s="523"/>
    </row>
    <row r="43" spans="1:14">
      <c r="A43" s="523"/>
      <c r="B43" s="523"/>
      <c r="C43" s="523"/>
      <c r="D43" s="523"/>
      <c r="E43" s="523"/>
      <c r="F43" s="523"/>
      <c r="G43" s="523"/>
      <c r="H43" s="523"/>
      <c r="J43" s="523"/>
      <c r="K43" s="523"/>
      <c r="L43" s="523"/>
      <c r="M43" s="523"/>
      <c r="N43" s="523"/>
    </row>
    <row r="44" spans="1:14">
      <c r="A44" s="523"/>
      <c r="B44" s="523"/>
      <c r="C44" s="523"/>
      <c r="D44" s="523"/>
      <c r="E44" s="523"/>
      <c r="F44" s="523"/>
      <c r="G44" s="523"/>
      <c r="H44" s="523"/>
      <c r="J44" s="523"/>
      <c r="K44" s="523"/>
      <c r="L44" s="523"/>
      <c r="M44" s="523"/>
      <c r="N44" s="523"/>
    </row>
    <row r="45" spans="1:14">
      <c r="A45" s="523"/>
      <c r="B45" s="523"/>
      <c r="C45" s="523"/>
      <c r="D45" s="523"/>
      <c r="E45" s="523"/>
      <c r="F45" s="523"/>
      <c r="G45" s="523"/>
      <c r="H45" s="523"/>
      <c r="J45" s="523"/>
      <c r="K45" s="523"/>
      <c r="L45" s="523"/>
      <c r="M45" s="523"/>
      <c r="N45" s="523"/>
    </row>
    <row r="46" spans="1:14">
      <c r="A46" s="523"/>
      <c r="B46" s="523"/>
      <c r="C46" s="523"/>
      <c r="D46" s="523"/>
      <c r="E46" s="523"/>
      <c r="F46" s="523"/>
      <c r="G46" s="523"/>
      <c r="H46" s="523"/>
      <c r="J46" s="523"/>
      <c r="K46" s="523"/>
      <c r="L46" s="523"/>
      <c r="M46" s="523"/>
      <c r="N46" s="523"/>
    </row>
    <row r="47" spans="1:14">
      <c r="A47" s="523"/>
      <c r="B47" s="523"/>
      <c r="C47" s="523"/>
      <c r="D47" s="523"/>
      <c r="E47" s="523"/>
      <c r="F47" s="523"/>
      <c r="G47" s="523"/>
      <c r="H47" s="523"/>
      <c r="J47" s="523"/>
      <c r="K47" s="523"/>
      <c r="L47" s="523"/>
      <c r="M47" s="523"/>
      <c r="N47" s="523"/>
    </row>
    <row r="48" spans="1:14">
      <c r="A48" s="523"/>
      <c r="B48" s="523"/>
      <c r="C48" s="523"/>
      <c r="D48" s="523"/>
      <c r="E48" s="523"/>
      <c r="F48" s="523"/>
      <c r="G48" s="523"/>
      <c r="H48" s="523"/>
      <c r="J48" s="523"/>
      <c r="K48" s="523"/>
      <c r="L48" s="523"/>
      <c r="M48" s="523"/>
      <c r="N48" s="523"/>
    </row>
    <row r="49" spans="1:14">
      <c r="A49" s="523"/>
      <c r="B49" s="523"/>
      <c r="C49" s="523"/>
      <c r="D49" s="523"/>
      <c r="E49" s="523"/>
      <c r="F49" s="523"/>
      <c r="G49" s="523"/>
      <c r="H49" s="523"/>
      <c r="J49" s="523"/>
      <c r="K49" s="523"/>
      <c r="L49" s="523"/>
      <c r="M49" s="523"/>
      <c r="N49" s="523"/>
    </row>
    <row r="50" spans="1:14">
      <c r="A50" s="523"/>
      <c r="B50" s="523"/>
      <c r="C50" s="523"/>
      <c r="D50" s="523"/>
      <c r="E50" s="523"/>
      <c r="F50" s="523"/>
      <c r="G50" s="523"/>
      <c r="H50" s="523"/>
      <c r="J50" s="523"/>
      <c r="K50" s="523"/>
      <c r="L50" s="523"/>
      <c r="M50" s="523"/>
      <c r="N50" s="523"/>
    </row>
    <row r="51" spans="1:14">
      <c r="A51" s="523"/>
      <c r="B51" s="523"/>
      <c r="C51" s="523"/>
      <c r="D51" s="523"/>
      <c r="E51" s="523"/>
      <c r="F51" s="523"/>
      <c r="G51" s="523"/>
      <c r="H51" s="523"/>
      <c r="J51" s="523"/>
      <c r="K51" s="523"/>
      <c r="L51" s="523"/>
      <c r="M51" s="523"/>
      <c r="N51" s="523"/>
    </row>
    <row r="52" spans="1:14">
      <c r="A52" s="523"/>
      <c r="B52" s="523"/>
      <c r="C52" s="523"/>
      <c r="D52" s="523"/>
      <c r="E52" s="523"/>
      <c r="F52" s="523"/>
      <c r="G52" s="523"/>
      <c r="H52" s="523"/>
      <c r="J52" s="523"/>
      <c r="K52" s="523"/>
      <c r="L52" s="523"/>
      <c r="M52" s="523"/>
      <c r="N52" s="523"/>
    </row>
    <row r="53" spans="1:14">
      <c r="A53" s="523"/>
      <c r="B53" s="523"/>
      <c r="C53" s="523"/>
      <c r="D53" s="523"/>
      <c r="E53" s="523"/>
      <c r="F53" s="523"/>
      <c r="G53" s="523"/>
      <c r="H53" s="523"/>
      <c r="J53" s="523"/>
      <c r="K53" s="523"/>
      <c r="L53" s="523"/>
      <c r="M53" s="523"/>
      <c r="N53" s="523"/>
    </row>
    <row r="54" spans="1:14">
      <c r="A54" s="523"/>
      <c r="B54" s="523"/>
      <c r="C54" s="523"/>
      <c r="D54" s="523"/>
      <c r="E54" s="523"/>
      <c r="F54" s="523"/>
      <c r="G54" s="523"/>
      <c r="H54" s="523"/>
      <c r="J54" s="523"/>
      <c r="K54" s="523"/>
      <c r="L54" s="523"/>
      <c r="M54" s="523"/>
      <c r="N54" s="523"/>
    </row>
    <row r="55" spans="1:14">
      <c r="A55" s="523"/>
      <c r="B55" s="523"/>
      <c r="C55" s="523"/>
      <c r="D55" s="523"/>
      <c r="E55" s="523"/>
      <c r="F55" s="523"/>
      <c r="G55" s="523"/>
      <c r="H55" s="523"/>
      <c r="J55" s="523"/>
      <c r="K55" s="523"/>
      <c r="L55" s="523"/>
      <c r="M55" s="523"/>
      <c r="N55" s="523"/>
    </row>
    <row r="56" spans="1:14">
      <c r="A56" s="523"/>
      <c r="B56" s="523"/>
      <c r="C56" s="523"/>
      <c r="D56" s="523"/>
      <c r="E56" s="523"/>
      <c r="F56" s="523"/>
      <c r="G56" s="523"/>
      <c r="H56" s="523"/>
      <c r="J56" s="523"/>
      <c r="K56" s="523"/>
      <c r="L56" s="523"/>
      <c r="M56" s="523"/>
      <c r="N56" s="523"/>
    </row>
    <row r="57" spans="1:14">
      <c r="A57" s="523"/>
      <c r="B57" s="523"/>
      <c r="C57" s="523"/>
      <c r="D57" s="523"/>
      <c r="E57" s="523"/>
      <c r="F57" s="523"/>
      <c r="G57" s="523"/>
      <c r="H57" s="523"/>
      <c r="J57" s="523"/>
      <c r="K57" s="523"/>
      <c r="L57" s="523"/>
      <c r="M57" s="523"/>
      <c r="N57" s="523"/>
    </row>
    <row r="58" spans="1:14">
      <c r="A58" s="523"/>
      <c r="B58" s="523"/>
      <c r="C58" s="523"/>
      <c r="D58" s="523"/>
      <c r="E58" s="523"/>
      <c r="F58" s="523"/>
      <c r="G58" s="523"/>
      <c r="H58" s="523"/>
      <c r="J58" s="523"/>
      <c r="K58" s="523"/>
      <c r="L58" s="523"/>
      <c r="M58" s="523"/>
      <c r="N58" s="523"/>
    </row>
    <row r="59" spans="1:14">
      <c r="A59" s="523"/>
      <c r="B59" s="523"/>
      <c r="C59" s="523"/>
      <c r="D59" s="523"/>
      <c r="E59" s="523"/>
      <c r="F59" s="523"/>
      <c r="G59" s="523"/>
      <c r="H59" s="523"/>
      <c r="J59" s="523"/>
      <c r="K59" s="523"/>
      <c r="L59" s="523"/>
      <c r="M59" s="523"/>
      <c r="N59" s="523"/>
    </row>
    <row r="60" spans="1:14">
      <c r="A60" s="523"/>
      <c r="B60" s="523"/>
      <c r="C60" s="523"/>
      <c r="D60" s="523"/>
      <c r="E60" s="523"/>
      <c r="F60" s="523"/>
      <c r="G60" s="523"/>
      <c r="H60" s="523"/>
      <c r="J60" s="523"/>
      <c r="K60" s="523"/>
      <c r="L60" s="523"/>
      <c r="M60" s="523"/>
      <c r="N60" s="523"/>
    </row>
    <row r="61" spans="1:14">
      <c r="A61" s="523"/>
      <c r="B61" s="523"/>
      <c r="C61" s="523"/>
      <c r="D61" s="523"/>
      <c r="E61" s="523"/>
      <c r="F61" s="523"/>
      <c r="G61" s="523"/>
      <c r="H61" s="523"/>
      <c r="J61" s="523"/>
      <c r="K61" s="523"/>
      <c r="L61" s="523"/>
      <c r="M61" s="523"/>
      <c r="N61" s="523"/>
    </row>
    <row r="62" spans="1:14">
      <c r="A62" s="523"/>
      <c r="B62" s="523"/>
      <c r="C62" s="523"/>
      <c r="D62" s="523"/>
      <c r="E62" s="523"/>
      <c r="F62" s="523"/>
      <c r="G62" s="523"/>
      <c r="H62" s="523"/>
      <c r="J62" s="523"/>
      <c r="K62" s="523"/>
      <c r="L62" s="523"/>
      <c r="M62" s="523"/>
      <c r="N62" s="523"/>
    </row>
    <row r="63" spans="1:14">
      <c r="A63" s="523"/>
      <c r="B63" s="523"/>
      <c r="C63" s="523"/>
      <c r="D63" s="523"/>
      <c r="E63" s="523"/>
      <c r="F63" s="523"/>
      <c r="G63" s="523"/>
      <c r="H63" s="523"/>
      <c r="J63" s="523"/>
      <c r="K63" s="523"/>
      <c r="L63" s="523"/>
      <c r="M63" s="523"/>
      <c r="N63" s="523"/>
    </row>
    <row r="64" spans="1:14">
      <c r="A64" s="523"/>
      <c r="B64" s="523"/>
      <c r="C64" s="523"/>
      <c r="D64" s="523"/>
      <c r="E64" s="523"/>
      <c r="F64" s="523"/>
      <c r="G64" s="523"/>
      <c r="H64" s="523"/>
      <c r="J64" s="523"/>
      <c r="K64" s="523"/>
      <c r="L64" s="523"/>
      <c r="M64" s="523"/>
      <c r="N64" s="523"/>
    </row>
    <row r="65" spans="1:14">
      <c r="A65" s="523"/>
      <c r="B65" s="523"/>
      <c r="C65" s="523"/>
      <c r="D65" s="523"/>
      <c r="E65" s="523"/>
      <c r="F65" s="523"/>
      <c r="G65" s="523"/>
      <c r="H65" s="523"/>
      <c r="J65" s="523"/>
      <c r="K65" s="523"/>
      <c r="L65" s="523"/>
      <c r="M65" s="523"/>
      <c r="N65" s="523"/>
    </row>
    <row r="66" spans="1:14">
      <c r="A66" s="523"/>
      <c r="B66" s="523"/>
      <c r="C66" s="523"/>
      <c r="D66" s="523"/>
      <c r="E66" s="523"/>
      <c r="F66" s="523"/>
      <c r="G66" s="523"/>
      <c r="H66" s="523"/>
      <c r="J66" s="523"/>
      <c r="K66" s="523"/>
      <c r="L66" s="523"/>
      <c r="M66" s="523"/>
      <c r="N66" s="523"/>
    </row>
    <row r="67" spans="1:14">
      <c r="A67" s="523"/>
      <c r="B67" s="523"/>
      <c r="C67" s="523"/>
      <c r="D67" s="523"/>
      <c r="E67" s="523"/>
      <c r="F67" s="523"/>
      <c r="G67" s="523"/>
      <c r="H67" s="523"/>
      <c r="J67" s="523"/>
      <c r="K67" s="523"/>
      <c r="L67" s="523"/>
      <c r="M67" s="523"/>
      <c r="N67" s="523"/>
    </row>
    <row r="68" spans="1:14">
      <c r="A68" s="523"/>
      <c r="B68" s="523"/>
      <c r="C68" s="523"/>
      <c r="D68" s="523"/>
      <c r="E68" s="523"/>
      <c r="F68" s="523"/>
      <c r="G68" s="523"/>
      <c r="H68" s="523"/>
      <c r="J68" s="523"/>
      <c r="K68" s="523"/>
      <c r="L68" s="523"/>
      <c r="M68" s="523"/>
      <c r="N68" s="523"/>
    </row>
    <row r="69" spans="1:14">
      <c r="A69" s="523"/>
      <c r="B69" s="523"/>
      <c r="C69" s="523"/>
      <c r="D69" s="523"/>
      <c r="E69" s="523"/>
      <c r="F69" s="523"/>
      <c r="G69" s="523"/>
      <c r="H69" s="523"/>
      <c r="J69" s="523"/>
      <c r="K69" s="523"/>
      <c r="L69" s="523"/>
      <c r="M69" s="523"/>
      <c r="N69" s="523"/>
    </row>
    <row r="70" spans="1:14">
      <c r="A70" s="523"/>
      <c r="B70" s="523"/>
      <c r="C70" s="523"/>
      <c r="D70" s="523"/>
      <c r="E70" s="523"/>
      <c r="F70" s="523"/>
      <c r="G70" s="523"/>
      <c r="H70" s="523"/>
      <c r="J70" s="523"/>
      <c r="K70" s="523"/>
      <c r="L70" s="523"/>
      <c r="M70" s="523"/>
      <c r="N70" s="523"/>
    </row>
    <row r="71" spans="1:14">
      <c r="A71" s="523"/>
      <c r="B71" s="523"/>
      <c r="C71" s="523"/>
      <c r="D71" s="523"/>
      <c r="E71" s="523"/>
      <c r="F71" s="523"/>
      <c r="G71" s="523"/>
      <c r="H71" s="523"/>
      <c r="J71" s="523"/>
      <c r="K71" s="523"/>
      <c r="L71" s="523"/>
      <c r="M71" s="523"/>
      <c r="N71" s="523"/>
    </row>
    <row r="72" spans="1:14">
      <c r="A72" s="523"/>
      <c r="B72" s="523"/>
      <c r="C72" s="523"/>
      <c r="D72" s="523"/>
      <c r="E72" s="523"/>
      <c r="F72" s="523"/>
      <c r="G72" s="523"/>
      <c r="H72" s="523"/>
      <c r="J72" s="523"/>
      <c r="K72" s="523"/>
      <c r="L72" s="523"/>
      <c r="M72" s="523"/>
      <c r="N72" s="523"/>
    </row>
    <row r="73" spans="1:14">
      <c r="A73" s="523"/>
      <c r="B73" s="523"/>
      <c r="C73" s="523"/>
      <c r="D73" s="523"/>
      <c r="E73" s="523"/>
      <c r="F73" s="523"/>
      <c r="G73" s="523"/>
      <c r="H73" s="523"/>
      <c r="J73" s="523"/>
      <c r="K73" s="523"/>
      <c r="L73" s="523"/>
      <c r="M73" s="523"/>
      <c r="N73" s="523"/>
    </row>
    <row r="74" spans="1:14">
      <c r="A74" s="523"/>
      <c r="B74" s="523"/>
      <c r="C74" s="523"/>
      <c r="D74" s="523"/>
      <c r="E74" s="523"/>
      <c r="F74" s="523"/>
      <c r="G74" s="523"/>
      <c r="H74" s="523"/>
      <c r="J74" s="523"/>
      <c r="K74" s="523"/>
      <c r="L74" s="523"/>
      <c r="M74" s="523"/>
      <c r="N74" s="523"/>
    </row>
    <row r="75" spans="1:14">
      <c r="A75" s="523"/>
      <c r="B75" s="523"/>
      <c r="C75" s="523"/>
      <c r="D75" s="523"/>
      <c r="E75" s="523"/>
      <c r="F75" s="523"/>
      <c r="G75" s="523"/>
      <c r="H75" s="523"/>
      <c r="J75" s="523"/>
      <c r="K75" s="523"/>
      <c r="L75" s="523"/>
      <c r="M75" s="523"/>
      <c r="N75" s="523"/>
    </row>
    <row r="76" spans="1:14">
      <c r="A76" s="523"/>
      <c r="B76" s="523"/>
      <c r="C76" s="523"/>
      <c r="D76" s="523"/>
      <c r="E76" s="523"/>
      <c r="F76" s="523"/>
      <c r="G76" s="523"/>
      <c r="H76" s="523"/>
      <c r="J76" s="523"/>
      <c r="K76" s="523"/>
      <c r="L76" s="523"/>
      <c r="M76" s="523"/>
      <c r="N76" s="523"/>
    </row>
    <row r="77" spans="1:14">
      <c r="A77" s="523"/>
      <c r="B77" s="523"/>
      <c r="C77" s="523"/>
      <c r="D77" s="523"/>
      <c r="E77" s="523"/>
      <c r="F77" s="523"/>
      <c r="G77" s="523"/>
      <c r="H77" s="523"/>
      <c r="J77" s="523"/>
      <c r="K77" s="523"/>
      <c r="L77" s="523"/>
      <c r="M77" s="523"/>
      <c r="N77" s="523"/>
    </row>
    <row r="78" spans="1:14">
      <c r="A78" s="523"/>
      <c r="B78" s="523"/>
      <c r="C78" s="523"/>
      <c r="D78" s="523"/>
      <c r="E78" s="523"/>
      <c r="F78" s="523"/>
      <c r="G78" s="523"/>
      <c r="H78" s="523"/>
      <c r="J78" s="523"/>
      <c r="K78" s="523"/>
      <c r="L78" s="523"/>
      <c r="M78" s="523"/>
      <c r="N78" s="523"/>
    </row>
    <row r="79" spans="1:14">
      <c r="A79" s="523"/>
      <c r="B79" s="523"/>
      <c r="C79" s="523"/>
      <c r="D79" s="523"/>
      <c r="E79" s="523"/>
      <c r="F79" s="523"/>
      <c r="G79" s="523"/>
      <c r="H79" s="523"/>
      <c r="J79" s="523"/>
      <c r="K79" s="523"/>
      <c r="L79" s="523"/>
      <c r="M79" s="523"/>
      <c r="N79" s="523"/>
    </row>
    <row r="80" spans="1:14">
      <c r="A80" s="523"/>
      <c r="B80" s="523"/>
      <c r="C80" s="523"/>
      <c r="D80" s="523"/>
      <c r="E80" s="523"/>
      <c r="F80" s="523"/>
      <c r="G80" s="523"/>
      <c r="H80" s="523"/>
      <c r="J80" s="523"/>
      <c r="K80" s="523"/>
      <c r="L80" s="523"/>
      <c r="M80" s="523"/>
      <c r="N80" s="523"/>
    </row>
    <row r="81" spans="1:14">
      <c r="A81" s="523"/>
      <c r="B81" s="523"/>
      <c r="C81" s="523"/>
      <c r="D81" s="523"/>
      <c r="E81" s="523"/>
      <c r="F81" s="523"/>
      <c r="G81" s="523"/>
      <c r="H81" s="523"/>
      <c r="J81" s="523"/>
      <c r="K81" s="523"/>
      <c r="L81" s="523"/>
      <c r="M81" s="523"/>
      <c r="N81" s="523"/>
    </row>
    <row r="82" spans="1:14">
      <c r="A82" s="523"/>
      <c r="B82" s="523"/>
      <c r="C82" s="523"/>
      <c r="D82" s="523"/>
      <c r="E82" s="523"/>
      <c r="F82" s="523"/>
      <c r="G82" s="523"/>
      <c r="H82" s="523"/>
      <c r="J82" s="523"/>
      <c r="K82" s="523"/>
      <c r="L82" s="523"/>
      <c r="M82" s="523"/>
      <c r="N82" s="523"/>
    </row>
    <row r="83" spans="1:14">
      <c r="A83" s="523"/>
      <c r="B83" s="523"/>
      <c r="C83" s="523"/>
      <c r="D83" s="523"/>
      <c r="E83" s="523"/>
      <c r="F83" s="523"/>
      <c r="G83" s="523"/>
      <c r="H83" s="523"/>
      <c r="J83" s="523"/>
      <c r="K83" s="523"/>
      <c r="L83" s="523"/>
      <c r="M83" s="523"/>
      <c r="N83" s="523"/>
    </row>
    <row r="84" spans="1:14">
      <c r="A84" s="523"/>
      <c r="B84" s="523"/>
      <c r="C84" s="523"/>
      <c r="D84" s="523"/>
      <c r="E84" s="523"/>
      <c r="F84" s="523"/>
      <c r="G84" s="523"/>
      <c r="H84" s="523"/>
      <c r="J84" s="523"/>
      <c r="K84" s="523"/>
      <c r="L84" s="523"/>
      <c r="M84" s="523"/>
      <c r="N84" s="523"/>
    </row>
    <row r="85" spans="1:14">
      <c r="A85" s="523"/>
      <c r="B85" s="523"/>
      <c r="C85" s="523"/>
      <c r="D85" s="523"/>
      <c r="E85" s="523"/>
      <c r="F85" s="523"/>
      <c r="G85" s="523"/>
      <c r="H85" s="523"/>
      <c r="J85" s="523"/>
      <c r="K85" s="523"/>
      <c r="L85" s="523"/>
      <c r="M85" s="523"/>
      <c r="N85" s="523"/>
    </row>
    <row r="86" spans="1:14">
      <c r="A86" s="523"/>
      <c r="B86" s="523"/>
      <c r="C86" s="523"/>
      <c r="D86" s="523"/>
      <c r="E86" s="523"/>
      <c r="F86" s="523"/>
      <c r="G86" s="523"/>
      <c r="H86" s="523"/>
      <c r="J86" s="523"/>
      <c r="K86" s="523"/>
      <c r="L86" s="523"/>
      <c r="M86" s="523"/>
      <c r="N86" s="523"/>
    </row>
    <row r="87" spans="1:14">
      <c r="A87" s="523"/>
      <c r="B87" s="523"/>
      <c r="C87" s="523"/>
      <c r="D87" s="523"/>
      <c r="E87" s="523"/>
      <c r="F87" s="523"/>
      <c r="G87" s="523"/>
      <c r="H87" s="523"/>
      <c r="J87" s="523"/>
      <c r="K87" s="523"/>
      <c r="L87" s="523"/>
      <c r="M87" s="523"/>
      <c r="N87" s="523"/>
    </row>
    <row r="88" spans="1:14">
      <c r="A88" s="523"/>
      <c r="B88" s="523"/>
      <c r="C88" s="523"/>
      <c r="D88" s="523"/>
      <c r="E88" s="523"/>
      <c r="F88" s="523"/>
      <c r="G88" s="523"/>
      <c r="H88" s="523"/>
      <c r="J88" s="523"/>
      <c r="K88" s="523"/>
      <c r="L88" s="523"/>
      <c r="M88" s="523"/>
      <c r="N88" s="523"/>
    </row>
    <row r="89" spans="1:14">
      <c r="A89" s="523"/>
      <c r="B89" s="523"/>
      <c r="C89" s="523"/>
      <c r="D89" s="523"/>
      <c r="E89" s="523"/>
      <c r="F89" s="523"/>
      <c r="G89" s="523"/>
      <c r="H89" s="523"/>
      <c r="J89" s="523"/>
      <c r="K89" s="523"/>
      <c r="L89" s="523"/>
      <c r="M89" s="523"/>
      <c r="N89" s="523"/>
    </row>
    <row r="90" spans="1:14">
      <c r="A90" s="523"/>
      <c r="B90" s="523"/>
      <c r="C90" s="523"/>
      <c r="D90" s="523"/>
      <c r="E90" s="523"/>
      <c r="F90" s="523"/>
      <c r="G90" s="523"/>
      <c r="H90" s="523"/>
      <c r="J90" s="523"/>
      <c r="K90" s="523"/>
      <c r="L90" s="523"/>
      <c r="M90" s="523"/>
      <c r="N90" s="523"/>
    </row>
    <row r="91" spans="1:14">
      <c r="A91" s="523"/>
      <c r="B91" s="523"/>
      <c r="C91" s="523"/>
      <c r="D91" s="523"/>
      <c r="E91" s="523"/>
      <c r="F91" s="523"/>
      <c r="G91" s="523"/>
      <c r="H91" s="523"/>
      <c r="J91" s="523"/>
      <c r="K91" s="523"/>
      <c r="L91" s="523"/>
      <c r="M91" s="523"/>
      <c r="N91" s="523"/>
    </row>
    <row r="92" spans="1:14">
      <c r="A92" s="523"/>
      <c r="B92" s="523"/>
      <c r="C92" s="523"/>
      <c r="D92" s="523"/>
      <c r="E92" s="523"/>
      <c r="F92" s="523"/>
      <c r="G92" s="523"/>
      <c r="H92" s="523"/>
      <c r="J92" s="523"/>
      <c r="K92" s="523"/>
      <c r="L92" s="523"/>
      <c r="M92" s="523"/>
      <c r="N92" s="523"/>
    </row>
    <row r="93" spans="1:14">
      <c r="A93" s="523"/>
      <c r="B93" s="523"/>
      <c r="C93" s="523"/>
      <c r="D93" s="523"/>
      <c r="E93" s="523"/>
      <c r="F93" s="523"/>
      <c r="G93" s="523"/>
      <c r="H93" s="523"/>
      <c r="J93" s="523"/>
      <c r="K93" s="523"/>
      <c r="L93" s="523"/>
      <c r="M93" s="523"/>
      <c r="N93" s="523"/>
    </row>
    <row r="94" spans="1:14">
      <c r="A94" s="523"/>
      <c r="B94" s="523"/>
      <c r="C94" s="523"/>
      <c r="D94" s="523"/>
      <c r="E94" s="523"/>
      <c r="F94" s="523"/>
      <c r="G94" s="523"/>
      <c r="H94" s="523"/>
      <c r="J94" s="523"/>
      <c r="K94" s="523"/>
      <c r="L94" s="523"/>
      <c r="M94" s="523"/>
      <c r="N94" s="523"/>
    </row>
    <row r="95" spans="1:14">
      <c r="A95" s="523"/>
      <c r="B95" s="523"/>
      <c r="C95" s="523"/>
      <c r="D95" s="523"/>
      <c r="E95" s="523"/>
      <c r="F95" s="523"/>
      <c r="G95" s="523"/>
      <c r="H95" s="523"/>
      <c r="J95" s="523"/>
      <c r="K95" s="523"/>
      <c r="L95" s="523"/>
      <c r="M95" s="523"/>
      <c r="N95" s="523"/>
    </row>
    <row r="96" spans="1:14">
      <c r="A96" s="523"/>
      <c r="B96" s="523"/>
      <c r="C96" s="523"/>
      <c r="D96" s="523"/>
      <c r="E96" s="523"/>
      <c r="F96" s="523"/>
      <c r="G96" s="523"/>
      <c r="H96" s="523"/>
      <c r="J96" s="523"/>
      <c r="K96" s="523"/>
      <c r="L96" s="523"/>
      <c r="M96" s="523"/>
      <c r="N96" s="523"/>
    </row>
    <row r="97" spans="1:14">
      <c r="A97" s="523"/>
      <c r="B97" s="523"/>
      <c r="C97" s="523"/>
      <c r="D97" s="523"/>
      <c r="E97" s="523"/>
      <c r="F97" s="523"/>
      <c r="G97" s="523"/>
      <c r="H97" s="523"/>
      <c r="J97" s="523"/>
      <c r="K97" s="523"/>
      <c r="L97" s="523"/>
      <c r="M97" s="523"/>
      <c r="N97" s="523"/>
    </row>
    <row r="98" spans="1:14">
      <c r="A98" s="523"/>
      <c r="B98" s="523"/>
      <c r="C98" s="523"/>
      <c r="D98" s="523"/>
      <c r="E98" s="523"/>
      <c r="F98" s="523"/>
      <c r="G98" s="523"/>
      <c r="H98" s="523"/>
      <c r="J98" s="523"/>
      <c r="K98" s="523"/>
      <c r="L98" s="523"/>
      <c r="M98" s="523"/>
      <c r="N98" s="523"/>
    </row>
    <row r="99" spans="1:14">
      <c r="A99" s="523"/>
      <c r="B99" s="523"/>
      <c r="C99" s="523"/>
      <c r="D99" s="523"/>
      <c r="E99" s="523"/>
      <c r="F99" s="523"/>
      <c r="G99" s="523"/>
      <c r="H99" s="523"/>
      <c r="J99" s="523"/>
      <c r="K99" s="523"/>
      <c r="L99" s="523"/>
      <c r="M99" s="523"/>
      <c r="N99" s="523"/>
    </row>
    <row r="100" spans="1:14">
      <c r="A100" s="523"/>
      <c r="B100" s="523"/>
      <c r="C100" s="523"/>
      <c r="D100" s="523"/>
      <c r="E100" s="523"/>
      <c r="F100" s="523"/>
      <c r="G100" s="523"/>
      <c r="H100" s="523"/>
      <c r="J100" s="523"/>
      <c r="K100" s="523"/>
      <c r="L100" s="523"/>
      <c r="M100" s="523"/>
      <c r="N100" s="523"/>
    </row>
    <row r="101" spans="1:14">
      <c r="A101" s="523"/>
      <c r="B101" s="523"/>
      <c r="C101" s="523"/>
      <c r="D101" s="523"/>
      <c r="E101" s="523"/>
      <c r="F101" s="523"/>
      <c r="G101" s="523"/>
      <c r="H101" s="523"/>
      <c r="J101" s="523"/>
      <c r="K101" s="523"/>
      <c r="L101" s="523"/>
      <c r="M101" s="523"/>
      <c r="N101" s="523"/>
    </row>
    <row r="102" spans="1:14">
      <c r="A102" s="523"/>
      <c r="B102" s="523"/>
      <c r="C102" s="523"/>
      <c r="D102" s="523"/>
      <c r="E102" s="523"/>
      <c r="F102" s="523"/>
      <c r="G102" s="523"/>
      <c r="H102" s="523"/>
      <c r="J102" s="523"/>
      <c r="K102" s="523"/>
      <c r="L102" s="523"/>
      <c r="M102" s="523"/>
      <c r="N102" s="523"/>
    </row>
    <row r="103" spans="1:14">
      <c r="A103" s="523"/>
      <c r="B103" s="523"/>
      <c r="C103" s="523"/>
      <c r="D103" s="523"/>
      <c r="E103" s="523"/>
      <c r="F103" s="523"/>
      <c r="G103" s="523"/>
      <c r="H103" s="523"/>
      <c r="J103" s="523"/>
      <c r="K103" s="523"/>
      <c r="L103" s="523"/>
      <c r="M103" s="523"/>
      <c r="N103" s="523"/>
    </row>
    <row r="104" spans="1:14">
      <c r="A104" s="523"/>
      <c r="B104" s="523"/>
      <c r="C104" s="523"/>
      <c r="D104" s="523"/>
      <c r="E104" s="523"/>
      <c r="F104" s="523"/>
      <c r="G104" s="523"/>
      <c r="H104" s="523"/>
      <c r="J104" s="523"/>
      <c r="K104" s="523"/>
      <c r="L104" s="523"/>
      <c r="M104" s="523"/>
      <c r="N104" s="523"/>
    </row>
    <row r="105" spans="1:14">
      <c r="A105" s="523"/>
      <c r="B105" s="523"/>
      <c r="C105" s="523"/>
      <c r="D105" s="523"/>
      <c r="E105" s="523"/>
      <c r="F105" s="523"/>
      <c r="G105" s="523"/>
      <c r="H105" s="523"/>
      <c r="J105" s="523"/>
      <c r="K105" s="523"/>
      <c r="L105" s="523"/>
      <c r="M105" s="523"/>
      <c r="N105" s="523"/>
    </row>
    <row r="106" spans="1:14">
      <c r="A106" s="523"/>
      <c r="B106" s="523"/>
      <c r="C106" s="523"/>
      <c r="D106" s="523"/>
      <c r="E106" s="523"/>
      <c r="F106" s="523"/>
      <c r="G106" s="523"/>
      <c r="H106" s="523"/>
      <c r="J106" s="523"/>
      <c r="K106" s="523"/>
      <c r="L106" s="523"/>
      <c r="M106" s="523"/>
      <c r="N106" s="523"/>
    </row>
    <row r="107" spans="1:14">
      <c r="A107" s="523"/>
      <c r="B107" s="523"/>
      <c r="C107" s="523"/>
      <c r="D107" s="523"/>
      <c r="E107" s="523"/>
      <c r="F107" s="523"/>
      <c r="G107" s="523"/>
      <c r="H107" s="523"/>
      <c r="J107" s="523"/>
      <c r="K107" s="523"/>
      <c r="L107" s="523"/>
      <c r="M107" s="523"/>
      <c r="N107" s="523"/>
    </row>
    <row r="108" spans="1:14">
      <c r="A108" s="523"/>
      <c r="B108" s="523"/>
      <c r="C108" s="523"/>
      <c r="D108" s="523"/>
      <c r="E108" s="523"/>
      <c r="F108" s="523"/>
      <c r="G108" s="523"/>
      <c r="H108" s="523"/>
      <c r="J108" s="523"/>
      <c r="K108" s="523"/>
      <c r="L108" s="523"/>
      <c r="M108" s="523"/>
      <c r="N108" s="523"/>
    </row>
    <row r="109" spans="1:14">
      <c r="A109" s="523"/>
      <c r="B109" s="523"/>
      <c r="C109" s="523"/>
      <c r="D109" s="523"/>
      <c r="E109" s="523"/>
      <c r="F109" s="523"/>
      <c r="G109" s="523"/>
      <c r="H109" s="523"/>
      <c r="J109" s="523"/>
      <c r="K109" s="523"/>
      <c r="L109" s="523"/>
      <c r="M109" s="523"/>
      <c r="N109" s="523"/>
    </row>
    <row r="110" spans="1:14">
      <c r="A110" s="523"/>
      <c r="B110" s="523"/>
      <c r="C110" s="523"/>
      <c r="D110" s="523"/>
      <c r="E110" s="523"/>
      <c r="F110" s="523"/>
      <c r="G110" s="523"/>
      <c r="H110" s="523"/>
      <c r="J110" s="523"/>
      <c r="K110" s="523"/>
      <c r="L110" s="523"/>
      <c r="M110" s="523"/>
      <c r="N110" s="523"/>
    </row>
    <row r="111" spans="1:14">
      <c r="A111" s="523"/>
      <c r="B111" s="523"/>
      <c r="C111" s="523"/>
      <c r="D111" s="523"/>
      <c r="E111" s="523"/>
      <c r="F111" s="523"/>
      <c r="G111" s="523"/>
      <c r="H111" s="523"/>
      <c r="J111" s="523"/>
      <c r="K111" s="523"/>
      <c r="L111" s="523"/>
      <c r="M111" s="523"/>
      <c r="N111" s="523"/>
    </row>
    <row r="112" spans="1:14">
      <c r="A112" s="523"/>
      <c r="B112" s="523"/>
      <c r="C112" s="523"/>
      <c r="D112" s="523"/>
      <c r="E112" s="523"/>
      <c r="F112" s="523"/>
      <c r="G112" s="523"/>
      <c r="H112" s="523"/>
      <c r="J112" s="523"/>
      <c r="K112" s="523"/>
      <c r="L112" s="523"/>
      <c r="M112" s="523"/>
      <c r="N112" s="523"/>
    </row>
    <row r="113" spans="1:14">
      <c r="A113" s="523"/>
      <c r="B113" s="523"/>
      <c r="C113" s="523"/>
      <c r="D113" s="523"/>
      <c r="E113" s="523"/>
      <c r="F113" s="523"/>
      <c r="G113" s="523"/>
      <c r="H113" s="523"/>
      <c r="J113" s="523"/>
      <c r="K113" s="523"/>
      <c r="L113" s="523"/>
      <c r="M113" s="523"/>
      <c r="N113" s="523"/>
    </row>
    <row r="114" spans="1:14">
      <c r="A114" s="523"/>
      <c r="B114" s="523"/>
      <c r="C114" s="523"/>
      <c r="D114" s="523"/>
      <c r="E114" s="523"/>
      <c r="F114" s="523"/>
      <c r="G114" s="523"/>
      <c r="H114" s="523"/>
      <c r="J114" s="523"/>
      <c r="K114" s="523"/>
      <c r="L114" s="523"/>
      <c r="M114" s="523"/>
      <c r="N114" s="523"/>
    </row>
    <row r="115" spans="1:14">
      <c r="A115" s="523"/>
      <c r="B115" s="523"/>
      <c r="C115" s="523"/>
      <c r="D115" s="523"/>
      <c r="E115" s="523"/>
      <c r="F115" s="523"/>
      <c r="G115" s="523"/>
      <c r="H115" s="523"/>
      <c r="J115" s="523"/>
      <c r="K115" s="523"/>
      <c r="L115" s="523"/>
      <c r="M115" s="523"/>
      <c r="N115" s="523"/>
    </row>
    <row r="116" spans="1:14">
      <c r="A116" s="523"/>
      <c r="B116" s="523"/>
      <c r="C116" s="523"/>
      <c r="D116" s="523"/>
      <c r="E116" s="523"/>
      <c r="F116" s="523"/>
      <c r="G116" s="523"/>
      <c r="H116" s="523"/>
      <c r="J116" s="523"/>
      <c r="K116" s="523"/>
      <c r="L116" s="523"/>
      <c r="M116" s="523"/>
      <c r="N116" s="523"/>
    </row>
    <row r="117" spans="1:14">
      <c r="A117" s="523"/>
      <c r="B117" s="523"/>
      <c r="C117" s="523"/>
      <c r="D117" s="523"/>
      <c r="E117" s="523"/>
      <c r="F117" s="523"/>
      <c r="G117" s="523"/>
      <c r="H117" s="523"/>
      <c r="J117" s="523"/>
      <c r="K117" s="523"/>
      <c r="L117" s="523"/>
      <c r="M117" s="523"/>
      <c r="N117" s="523"/>
    </row>
    <row r="118" spans="1:14">
      <c r="A118" s="523"/>
      <c r="B118" s="523"/>
      <c r="C118" s="523"/>
      <c r="D118" s="523"/>
      <c r="E118" s="523"/>
      <c r="F118" s="523"/>
      <c r="G118" s="523"/>
      <c r="H118" s="523"/>
      <c r="J118" s="523"/>
      <c r="K118" s="523"/>
      <c r="L118" s="523"/>
      <c r="M118" s="523"/>
      <c r="N118" s="523"/>
    </row>
    <row r="119" spans="1:14">
      <c r="A119" s="523"/>
      <c r="B119" s="523"/>
      <c r="C119" s="523"/>
      <c r="D119" s="523"/>
      <c r="E119" s="523"/>
      <c r="F119" s="523"/>
      <c r="G119" s="523"/>
      <c r="H119" s="523"/>
      <c r="J119" s="523"/>
      <c r="K119" s="523"/>
      <c r="L119" s="523"/>
      <c r="M119" s="523"/>
      <c r="N119" s="523"/>
    </row>
    <row r="120" spans="1:14">
      <c r="A120" s="523"/>
      <c r="B120" s="523"/>
      <c r="C120" s="523"/>
      <c r="D120" s="523"/>
      <c r="E120" s="523"/>
      <c r="F120" s="523"/>
      <c r="G120" s="523"/>
      <c r="H120" s="523"/>
      <c r="J120" s="523"/>
      <c r="K120" s="523"/>
      <c r="L120" s="523"/>
      <c r="M120" s="523"/>
      <c r="N120" s="523"/>
    </row>
    <row r="121" spans="1:14">
      <c r="A121" s="523"/>
      <c r="B121" s="523"/>
      <c r="C121" s="523"/>
      <c r="D121" s="523"/>
      <c r="E121" s="523"/>
      <c r="F121" s="523"/>
      <c r="G121" s="523"/>
      <c r="H121" s="523"/>
      <c r="J121" s="523"/>
      <c r="K121" s="523"/>
      <c r="L121" s="523"/>
      <c r="M121" s="523"/>
      <c r="N121" s="523"/>
    </row>
    <row r="122" spans="1:14">
      <c r="A122" s="523"/>
      <c r="B122" s="523"/>
      <c r="C122" s="523"/>
      <c r="D122" s="523"/>
      <c r="E122" s="523"/>
      <c r="F122" s="523"/>
      <c r="G122" s="523"/>
      <c r="H122" s="523"/>
      <c r="J122" s="523"/>
      <c r="K122" s="523"/>
      <c r="L122" s="523"/>
      <c r="M122" s="523"/>
      <c r="N122" s="523"/>
    </row>
    <row r="123" spans="1:14">
      <c r="A123" s="523"/>
      <c r="B123" s="523"/>
      <c r="C123" s="523"/>
      <c r="D123" s="523"/>
      <c r="E123" s="523"/>
      <c r="F123" s="523"/>
      <c r="G123" s="523"/>
      <c r="H123" s="523"/>
      <c r="J123" s="523"/>
      <c r="K123" s="523"/>
      <c r="L123" s="523"/>
      <c r="M123" s="523"/>
      <c r="N123" s="523"/>
    </row>
    <row r="124" spans="1:14">
      <c r="A124" s="523"/>
      <c r="B124" s="523"/>
      <c r="C124" s="523"/>
      <c r="D124" s="523"/>
      <c r="E124" s="523"/>
      <c r="F124" s="523"/>
      <c r="G124" s="523"/>
      <c r="H124" s="523"/>
      <c r="J124" s="523"/>
      <c r="K124" s="523"/>
      <c r="L124" s="523"/>
      <c r="M124" s="523"/>
      <c r="N124" s="523"/>
    </row>
    <row r="125" spans="1:14">
      <c r="A125" s="523"/>
      <c r="B125" s="523"/>
      <c r="C125" s="523"/>
      <c r="D125" s="523"/>
      <c r="E125" s="523"/>
      <c r="F125" s="523"/>
      <c r="G125" s="523"/>
      <c r="H125" s="523"/>
      <c r="J125" s="523"/>
      <c r="K125" s="523"/>
      <c r="L125" s="523"/>
      <c r="M125" s="523"/>
      <c r="N125" s="523"/>
    </row>
    <row r="126" spans="1:14">
      <c r="A126" s="523"/>
      <c r="B126" s="523"/>
      <c r="C126" s="523"/>
      <c r="D126" s="523"/>
      <c r="E126" s="523"/>
      <c r="F126" s="523"/>
      <c r="G126" s="523"/>
      <c r="H126" s="523"/>
      <c r="J126" s="523"/>
      <c r="K126" s="523"/>
      <c r="L126" s="523"/>
      <c r="M126" s="523"/>
      <c r="N126" s="523"/>
    </row>
    <row r="127" spans="1:14">
      <c r="A127" s="523"/>
      <c r="B127" s="523"/>
      <c r="C127" s="523"/>
      <c r="D127" s="523"/>
      <c r="E127" s="523"/>
      <c r="F127" s="523"/>
      <c r="G127" s="523"/>
      <c r="H127" s="523"/>
      <c r="J127" s="523"/>
      <c r="K127" s="523"/>
      <c r="L127" s="523"/>
      <c r="M127" s="523"/>
      <c r="N127" s="523"/>
    </row>
    <row r="128" spans="1:14">
      <c r="A128" s="523"/>
      <c r="B128" s="523"/>
      <c r="C128" s="523"/>
      <c r="D128" s="523"/>
      <c r="E128" s="523"/>
      <c r="F128" s="523"/>
      <c r="G128" s="523"/>
      <c r="H128" s="523"/>
      <c r="J128" s="523"/>
      <c r="K128" s="523"/>
      <c r="L128" s="523"/>
      <c r="M128" s="523"/>
      <c r="N128" s="523"/>
    </row>
    <row r="129" spans="1:14">
      <c r="A129" s="523"/>
      <c r="B129" s="523"/>
      <c r="C129" s="523"/>
      <c r="D129" s="523"/>
      <c r="E129" s="523"/>
      <c r="F129" s="523"/>
      <c r="G129" s="523"/>
      <c r="H129" s="523"/>
      <c r="J129" s="523"/>
      <c r="K129" s="523"/>
      <c r="L129" s="523"/>
      <c r="M129" s="523"/>
      <c r="N129" s="523"/>
    </row>
    <row r="130" spans="1:14">
      <c r="A130" s="523"/>
      <c r="B130" s="523"/>
      <c r="C130" s="523"/>
      <c r="D130" s="523"/>
      <c r="E130" s="523"/>
      <c r="F130" s="523"/>
      <c r="G130" s="523"/>
      <c r="H130" s="523"/>
      <c r="J130" s="523"/>
      <c r="K130" s="523"/>
      <c r="L130" s="523"/>
      <c r="M130" s="523"/>
      <c r="N130" s="523"/>
    </row>
    <row r="131" spans="1:14">
      <c r="A131" s="523"/>
      <c r="B131" s="523"/>
      <c r="C131" s="523"/>
      <c r="D131" s="523"/>
      <c r="E131" s="523"/>
      <c r="F131" s="523"/>
      <c r="G131" s="523"/>
      <c r="H131" s="523"/>
      <c r="J131" s="523"/>
      <c r="K131" s="523"/>
      <c r="L131" s="523"/>
      <c r="M131" s="523"/>
      <c r="N131" s="523"/>
    </row>
    <row r="132" spans="1:14">
      <c r="A132" s="523"/>
      <c r="B132" s="523"/>
      <c r="C132" s="523"/>
      <c r="D132" s="523"/>
      <c r="E132" s="523"/>
      <c r="F132" s="523"/>
      <c r="G132" s="523"/>
      <c r="H132" s="523"/>
      <c r="J132" s="523"/>
      <c r="K132" s="523"/>
      <c r="L132" s="523"/>
      <c r="M132" s="523"/>
      <c r="N132" s="523"/>
    </row>
    <row r="133" spans="1:14">
      <c r="A133" s="523"/>
      <c r="B133" s="523"/>
      <c r="C133" s="523"/>
      <c r="D133" s="523"/>
      <c r="E133" s="523"/>
      <c r="F133" s="523"/>
      <c r="G133" s="523"/>
      <c r="H133" s="523"/>
      <c r="J133" s="523"/>
      <c r="K133" s="523"/>
      <c r="L133" s="523"/>
      <c r="M133" s="523"/>
      <c r="N133" s="523"/>
    </row>
    <row r="134" spans="1:14">
      <c r="A134" s="523"/>
      <c r="B134" s="523"/>
      <c r="C134" s="523"/>
      <c r="D134" s="523"/>
      <c r="E134" s="523"/>
      <c r="F134" s="523"/>
      <c r="G134" s="523"/>
      <c r="H134" s="523"/>
      <c r="J134" s="523"/>
      <c r="K134" s="523"/>
      <c r="L134" s="523"/>
      <c r="M134" s="523"/>
      <c r="N134" s="523"/>
    </row>
    <row r="135" spans="1:14">
      <c r="A135" s="523"/>
      <c r="B135" s="523"/>
      <c r="C135" s="523"/>
      <c r="D135" s="523"/>
      <c r="E135" s="523"/>
      <c r="F135" s="523"/>
      <c r="G135" s="523"/>
      <c r="H135" s="523"/>
      <c r="J135" s="523"/>
      <c r="K135" s="523"/>
      <c r="L135" s="523"/>
      <c r="M135" s="523"/>
      <c r="N135" s="523"/>
    </row>
    <row r="136" spans="1:14">
      <c r="A136" s="523"/>
      <c r="B136" s="523"/>
      <c r="C136" s="523"/>
      <c r="D136" s="523"/>
      <c r="E136" s="523"/>
      <c r="F136" s="523"/>
      <c r="G136" s="523"/>
      <c r="H136" s="523"/>
      <c r="J136" s="523"/>
      <c r="K136" s="523"/>
      <c r="L136" s="523"/>
      <c r="M136" s="523"/>
      <c r="N136" s="523"/>
    </row>
    <row r="137" spans="1:14">
      <c r="A137" s="523"/>
      <c r="B137" s="523"/>
      <c r="C137" s="523"/>
      <c r="D137" s="523"/>
      <c r="E137" s="523"/>
      <c r="F137" s="523"/>
      <c r="G137" s="523"/>
      <c r="H137" s="523"/>
      <c r="J137" s="523"/>
      <c r="K137" s="523"/>
      <c r="L137" s="523"/>
      <c r="M137" s="523"/>
      <c r="N137" s="523"/>
    </row>
    <row r="138" spans="1:14">
      <c r="A138" s="523"/>
      <c r="B138" s="523"/>
      <c r="C138" s="523"/>
      <c r="D138" s="523"/>
      <c r="E138" s="523"/>
      <c r="F138" s="523"/>
      <c r="G138" s="523"/>
      <c r="H138" s="523"/>
      <c r="J138" s="523"/>
      <c r="K138" s="523"/>
      <c r="L138" s="523"/>
      <c r="M138" s="523"/>
      <c r="N138" s="523"/>
    </row>
    <row r="139" spans="1:14">
      <c r="A139" s="523"/>
      <c r="B139" s="523"/>
      <c r="C139" s="523"/>
      <c r="D139" s="523"/>
      <c r="E139" s="523"/>
      <c r="F139" s="523"/>
      <c r="G139" s="523"/>
      <c r="H139" s="523"/>
      <c r="J139" s="523"/>
      <c r="K139" s="523"/>
      <c r="L139" s="523"/>
      <c r="M139" s="523"/>
      <c r="N139" s="523"/>
    </row>
    <row r="140" spans="1:14">
      <c r="A140" s="523"/>
      <c r="B140" s="523"/>
      <c r="C140" s="523"/>
      <c r="D140" s="523"/>
      <c r="E140" s="523"/>
      <c r="F140" s="523"/>
      <c r="G140" s="523"/>
      <c r="H140" s="523"/>
      <c r="J140" s="523"/>
      <c r="K140" s="523"/>
      <c r="L140" s="523"/>
      <c r="M140" s="523"/>
      <c r="N140" s="523"/>
    </row>
    <row r="141" spans="1:14">
      <c r="A141" s="523"/>
      <c r="B141" s="523"/>
      <c r="C141" s="523"/>
      <c r="D141" s="523"/>
      <c r="E141" s="523"/>
      <c r="F141" s="523"/>
      <c r="G141" s="523"/>
      <c r="H141" s="523"/>
      <c r="J141" s="523"/>
      <c r="K141" s="523"/>
      <c r="L141" s="523"/>
      <c r="M141" s="523"/>
      <c r="N141" s="523"/>
    </row>
    <row r="142" spans="1:14">
      <c r="A142" s="523"/>
      <c r="B142" s="523"/>
      <c r="C142" s="523"/>
      <c r="D142" s="523"/>
      <c r="E142" s="523"/>
      <c r="F142" s="523"/>
      <c r="G142" s="523"/>
      <c r="H142" s="523"/>
      <c r="J142" s="523"/>
      <c r="K142" s="523"/>
      <c r="L142" s="523"/>
      <c r="M142" s="523"/>
      <c r="N142" s="523"/>
    </row>
    <row r="143" spans="1:14">
      <c r="A143" s="523"/>
      <c r="B143" s="523"/>
      <c r="C143" s="523"/>
      <c r="D143" s="523"/>
      <c r="E143" s="523"/>
      <c r="F143" s="523"/>
      <c r="G143" s="523"/>
      <c r="H143" s="523"/>
      <c r="J143" s="523"/>
      <c r="K143" s="523"/>
      <c r="L143" s="523"/>
      <c r="M143" s="523"/>
      <c r="N143" s="523"/>
    </row>
    <row r="144" spans="1:14">
      <c r="A144" s="523"/>
      <c r="B144" s="523"/>
      <c r="C144" s="523"/>
      <c r="D144" s="523"/>
      <c r="E144" s="523"/>
      <c r="F144" s="523"/>
      <c r="G144" s="523"/>
      <c r="H144" s="523"/>
      <c r="J144" s="523"/>
      <c r="K144" s="523"/>
      <c r="L144" s="523"/>
      <c r="M144" s="523"/>
      <c r="N144" s="523"/>
    </row>
    <row r="145" spans="1:14">
      <c r="A145" s="523"/>
      <c r="B145" s="523"/>
      <c r="C145" s="523"/>
      <c r="D145" s="523"/>
      <c r="E145" s="523"/>
      <c r="F145" s="523"/>
      <c r="G145" s="523"/>
      <c r="H145" s="523"/>
      <c r="J145" s="523"/>
      <c r="K145" s="523"/>
      <c r="L145" s="523"/>
      <c r="M145" s="523"/>
      <c r="N145" s="523"/>
    </row>
    <row r="146" spans="1:14">
      <c r="A146" s="523"/>
      <c r="B146" s="523"/>
      <c r="C146" s="523"/>
      <c r="D146" s="523"/>
      <c r="E146" s="523"/>
      <c r="F146" s="523"/>
      <c r="G146" s="523"/>
      <c r="H146" s="523"/>
      <c r="J146" s="523"/>
      <c r="K146" s="523"/>
      <c r="L146" s="523"/>
      <c r="M146" s="523"/>
      <c r="N146" s="523"/>
    </row>
    <row r="147" spans="1:14">
      <c r="A147" s="523"/>
      <c r="B147" s="523"/>
      <c r="C147" s="523"/>
      <c r="D147" s="523"/>
      <c r="E147" s="523"/>
      <c r="F147" s="523"/>
      <c r="G147" s="523"/>
      <c r="H147" s="523"/>
      <c r="J147" s="523"/>
      <c r="K147" s="523"/>
      <c r="L147" s="523"/>
      <c r="M147" s="523"/>
      <c r="N147" s="523"/>
    </row>
    <row r="148" spans="1:14">
      <c r="A148" s="523"/>
      <c r="B148" s="523"/>
      <c r="C148" s="523"/>
      <c r="D148" s="523"/>
      <c r="E148" s="523"/>
      <c r="F148" s="523"/>
      <c r="G148" s="523"/>
      <c r="H148" s="523"/>
      <c r="J148" s="523"/>
      <c r="K148" s="523"/>
      <c r="L148" s="523"/>
      <c r="M148" s="523"/>
      <c r="N148" s="523"/>
    </row>
    <row r="149" spans="1:14">
      <c r="A149" s="523"/>
      <c r="B149" s="523"/>
      <c r="C149" s="523"/>
      <c r="D149" s="523"/>
      <c r="E149" s="523"/>
      <c r="F149" s="523"/>
      <c r="G149" s="523"/>
      <c r="H149" s="523"/>
      <c r="J149" s="523"/>
      <c r="K149" s="523"/>
      <c r="L149" s="523"/>
      <c r="M149" s="523"/>
      <c r="N149" s="523"/>
    </row>
    <row r="150" spans="1:14">
      <c r="A150" s="523"/>
      <c r="B150" s="523"/>
      <c r="C150" s="523"/>
      <c r="D150" s="523"/>
      <c r="E150" s="523"/>
      <c r="F150" s="523"/>
      <c r="G150" s="523"/>
      <c r="H150" s="523"/>
      <c r="J150" s="523"/>
      <c r="K150" s="523"/>
      <c r="L150" s="523"/>
      <c r="M150" s="523"/>
      <c r="N150" s="523"/>
    </row>
    <row r="151" spans="1:14">
      <c r="A151" s="523"/>
      <c r="B151" s="523"/>
      <c r="C151" s="523"/>
      <c r="D151" s="523"/>
      <c r="E151" s="523"/>
      <c r="F151" s="523"/>
      <c r="G151" s="523"/>
      <c r="H151" s="523"/>
      <c r="J151" s="523"/>
      <c r="K151" s="523"/>
      <c r="L151" s="523"/>
      <c r="M151" s="523"/>
      <c r="N151" s="523"/>
    </row>
    <row r="152" spans="1:14">
      <c r="A152" s="523"/>
      <c r="B152" s="523"/>
      <c r="C152" s="523"/>
      <c r="D152" s="523"/>
      <c r="E152" s="523"/>
      <c r="F152" s="523"/>
      <c r="G152" s="523"/>
      <c r="H152" s="523"/>
      <c r="J152" s="523"/>
      <c r="K152" s="523"/>
      <c r="L152" s="523"/>
      <c r="M152" s="523"/>
      <c r="N152" s="523"/>
    </row>
    <row r="153" spans="1:14">
      <c r="A153" s="523"/>
      <c r="B153" s="523"/>
      <c r="C153" s="523"/>
      <c r="D153" s="523"/>
      <c r="E153" s="523"/>
      <c r="F153" s="523"/>
      <c r="G153" s="523"/>
      <c r="H153" s="523"/>
      <c r="J153" s="523"/>
      <c r="K153" s="523"/>
      <c r="L153" s="523"/>
      <c r="M153" s="523"/>
      <c r="N153" s="523"/>
    </row>
    <row r="154" spans="1:14">
      <c r="A154" s="523"/>
      <c r="B154" s="523"/>
      <c r="C154" s="523"/>
      <c r="D154" s="523"/>
      <c r="E154" s="523"/>
      <c r="F154" s="523"/>
      <c r="G154" s="523"/>
      <c r="H154" s="523"/>
      <c r="J154" s="523"/>
      <c r="K154" s="523"/>
      <c r="L154" s="523"/>
      <c r="M154" s="523"/>
      <c r="N154" s="523"/>
    </row>
    <row r="155" spans="1:14">
      <c r="A155" s="523"/>
      <c r="B155" s="523"/>
      <c r="C155" s="523"/>
      <c r="D155" s="523"/>
      <c r="E155" s="523"/>
      <c r="F155" s="523"/>
      <c r="G155" s="523"/>
      <c r="H155" s="523"/>
      <c r="J155" s="523"/>
      <c r="K155" s="523"/>
      <c r="L155" s="523"/>
      <c r="M155" s="523"/>
      <c r="N155" s="523"/>
    </row>
    <row r="156" spans="1:14">
      <c r="A156" s="523"/>
      <c r="B156" s="523"/>
      <c r="C156" s="523"/>
      <c r="D156" s="523"/>
      <c r="E156" s="523"/>
      <c r="F156" s="523"/>
      <c r="G156" s="523"/>
      <c r="H156" s="523"/>
      <c r="J156" s="523"/>
      <c r="K156" s="523"/>
      <c r="L156" s="523"/>
      <c r="M156" s="523"/>
      <c r="N156" s="523"/>
    </row>
    <row r="157" spans="1:14">
      <c r="A157" s="523"/>
      <c r="B157" s="523"/>
      <c r="C157" s="523"/>
      <c r="D157" s="523"/>
      <c r="E157" s="523"/>
      <c r="F157" s="523"/>
      <c r="G157" s="523"/>
      <c r="H157" s="523"/>
      <c r="J157" s="523"/>
      <c r="K157" s="523"/>
      <c r="L157" s="523"/>
      <c r="M157" s="523"/>
      <c r="N157" s="523"/>
    </row>
    <row r="158" spans="1:14">
      <c r="A158" s="523"/>
      <c r="B158" s="523"/>
      <c r="C158" s="523"/>
      <c r="D158" s="523"/>
      <c r="E158" s="523"/>
      <c r="F158" s="523"/>
      <c r="G158" s="523"/>
      <c r="H158" s="523"/>
      <c r="J158" s="523"/>
      <c r="K158" s="523"/>
      <c r="L158" s="523"/>
      <c r="M158" s="523"/>
      <c r="N158" s="523"/>
    </row>
    <row r="159" spans="1:14">
      <c r="A159" s="523"/>
      <c r="B159" s="523"/>
      <c r="C159" s="523"/>
      <c r="D159" s="523"/>
      <c r="E159" s="523"/>
      <c r="F159" s="523"/>
      <c r="G159" s="523"/>
      <c r="H159" s="523"/>
      <c r="J159" s="523"/>
      <c r="K159" s="523"/>
      <c r="L159" s="523"/>
      <c r="M159" s="523"/>
      <c r="N159" s="523"/>
    </row>
    <row r="160" spans="1:14">
      <c r="A160" s="523"/>
      <c r="B160" s="523"/>
      <c r="C160" s="523"/>
      <c r="D160" s="523"/>
      <c r="E160" s="523"/>
      <c r="F160" s="523"/>
      <c r="G160" s="523"/>
      <c r="H160" s="523"/>
      <c r="J160" s="523"/>
      <c r="K160" s="523"/>
      <c r="L160" s="523"/>
      <c r="M160" s="523"/>
      <c r="N160" s="523"/>
    </row>
    <row r="161" spans="1:14">
      <c r="A161" s="523"/>
      <c r="B161" s="523"/>
      <c r="C161" s="523"/>
      <c r="D161" s="523"/>
      <c r="E161" s="523"/>
      <c r="F161" s="523"/>
      <c r="G161" s="523"/>
      <c r="H161" s="523"/>
      <c r="J161" s="523"/>
      <c r="K161" s="523"/>
      <c r="L161" s="523"/>
      <c r="M161" s="523"/>
      <c r="N161" s="523"/>
    </row>
    <row r="162" spans="1:14">
      <c r="A162" s="523"/>
      <c r="B162" s="523"/>
      <c r="C162" s="523"/>
      <c r="D162" s="523"/>
      <c r="E162" s="523"/>
      <c r="F162" s="523"/>
      <c r="G162" s="523"/>
      <c r="H162" s="523"/>
      <c r="J162" s="523"/>
      <c r="K162" s="523"/>
      <c r="L162" s="523"/>
      <c r="M162" s="523"/>
      <c r="N162" s="523"/>
    </row>
    <row r="163" spans="1:14">
      <c r="A163" s="523"/>
      <c r="B163" s="523"/>
      <c r="C163" s="523"/>
      <c r="D163" s="523"/>
      <c r="E163" s="523"/>
      <c r="F163" s="523"/>
      <c r="G163" s="523"/>
      <c r="H163" s="523"/>
      <c r="J163" s="523"/>
      <c r="K163" s="523"/>
      <c r="L163" s="523"/>
      <c r="M163" s="523"/>
      <c r="N163" s="523"/>
    </row>
    <row r="164" spans="1:14">
      <c r="A164" s="523"/>
      <c r="B164" s="523"/>
      <c r="C164" s="523"/>
      <c r="D164" s="523"/>
      <c r="E164" s="523"/>
      <c r="F164" s="523"/>
      <c r="G164" s="523"/>
      <c r="H164" s="523"/>
      <c r="J164" s="523"/>
      <c r="K164" s="523"/>
      <c r="L164" s="523"/>
      <c r="M164" s="523"/>
      <c r="N164" s="523"/>
    </row>
    <row r="165" spans="1:14">
      <c r="A165" s="523"/>
      <c r="B165" s="523"/>
      <c r="C165" s="523"/>
      <c r="D165" s="523"/>
      <c r="E165" s="523"/>
      <c r="F165" s="523"/>
      <c r="G165" s="523"/>
      <c r="H165" s="523"/>
      <c r="J165" s="523"/>
      <c r="K165" s="523"/>
      <c r="L165" s="523"/>
      <c r="M165" s="523"/>
      <c r="N165" s="523"/>
    </row>
    <row r="166" spans="1:14">
      <c r="A166" s="523"/>
      <c r="B166" s="523"/>
      <c r="C166" s="523"/>
      <c r="D166" s="523"/>
      <c r="E166" s="523"/>
      <c r="F166" s="523"/>
      <c r="G166" s="523"/>
      <c r="H166" s="523"/>
      <c r="J166" s="523"/>
      <c r="K166" s="523"/>
      <c r="L166" s="523"/>
      <c r="M166" s="523"/>
      <c r="N166" s="523"/>
    </row>
    <row r="167" spans="1:14">
      <c r="A167" s="523"/>
      <c r="B167" s="523"/>
      <c r="C167" s="523"/>
      <c r="D167" s="523"/>
      <c r="E167" s="523"/>
      <c r="F167" s="523"/>
      <c r="G167" s="523"/>
      <c r="H167" s="523"/>
      <c r="J167" s="523"/>
      <c r="K167" s="523"/>
      <c r="L167" s="523"/>
      <c r="M167" s="523"/>
      <c r="N167" s="523"/>
    </row>
    <row r="168" spans="1:14">
      <c r="A168" s="523"/>
      <c r="B168" s="523"/>
      <c r="C168" s="523"/>
      <c r="D168" s="523"/>
      <c r="E168" s="523"/>
      <c r="F168" s="523"/>
      <c r="G168" s="523"/>
      <c r="H168" s="523"/>
      <c r="J168" s="523"/>
      <c r="K168" s="523"/>
      <c r="L168" s="523"/>
      <c r="M168" s="523"/>
      <c r="N168" s="523"/>
    </row>
    <row r="169" spans="1:14">
      <c r="A169" s="523"/>
      <c r="B169" s="523"/>
      <c r="C169" s="523"/>
      <c r="D169" s="523"/>
      <c r="E169" s="523"/>
      <c r="F169" s="523"/>
      <c r="G169" s="523"/>
      <c r="H169" s="523"/>
      <c r="J169" s="523"/>
      <c r="K169" s="523"/>
      <c r="L169" s="523"/>
      <c r="M169" s="523"/>
      <c r="N169" s="523"/>
    </row>
    <row r="170" spans="1:14">
      <c r="A170" s="523"/>
      <c r="B170" s="523"/>
      <c r="C170" s="523"/>
      <c r="D170" s="523"/>
      <c r="E170" s="523"/>
      <c r="F170" s="523"/>
      <c r="G170" s="523"/>
      <c r="H170" s="523"/>
      <c r="J170" s="523"/>
      <c r="K170" s="523"/>
      <c r="L170" s="523"/>
      <c r="M170" s="523"/>
      <c r="N170" s="523"/>
    </row>
    <row r="171" spans="1:14">
      <c r="A171" s="523"/>
      <c r="B171" s="523"/>
      <c r="C171" s="523"/>
      <c r="D171" s="523"/>
      <c r="E171" s="523"/>
      <c r="F171" s="523"/>
      <c r="G171" s="523"/>
      <c r="H171" s="523"/>
      <c r="J171" s="523"/>
      <c r="K171" s="523"/>
      <c r="L171" s="523"/>
      <c r="M171" s="523"/>
      <c r="N171" s="523"/>
    </row>
    <row r="172" spans="1:14">
      <c r="A172" s="523"/>
      <c r="B172" s="523"/>
      <c r="C172" s="523"/>
      <c r="D172" s="523"/>
      <c r="E172" s="523"/>
      <c r="F172" s="523"/>
      <c r="G172" s="523"/>
      <c r="H172" s="523"/>
      <c r="J172" s="523"/>
      <c r="K172" s="523"/>
      <c r="L172" s="523"/>
      <c r="M172" s="523"/>
      <c r="N172" s="523"/>
    </row>
    <row r="173" spans="1:14">
      <c r="A173" s="523"/>
      <c r="B173" s="523"/>
      <c r="C173" s="523"/>
      <c r="D173" s="523"/>
      <c r="E173" s="523"/>
      <c r="F173" s="523"/>
      <c r="G173" s="523"/>
      <c r="H173" s="523"/>
      <c r="J173" s="523"/>
      <c r="K173" s="523"/>
      <c r="L173" s="523"/>
      <c r="M173" s="523"/>
      <c r="N173" s="523"/>
    </row>
    <row r="174" spans="1:14">
      <c r="A174" s="523"/>
      <c r="B174" s="523"/>
      <c r="C174" s="523"/>
      <c r="D174" s="523"/>
      <c r="E174" s="523"/>
      <c r="F174" s="523"/>
      <c r="G174" s="523"/>
      <c r="H174" s="523"/>
      <c r="J174" s="523"/>
      <c r="K174" s="523"/>
      <c r="L174" s="523"/>
      <c r="M174" s="523"/>
      <c r="N174" s="523"/>
    </row>
    <row r="175" spans="1:14">
      <c r="A175" s="523"/>
      <c r="B175" s="523"/>
      <c r="C175" s="523"/>
      <c r="D175" s="523"/>
      <c r="E175" s="523"/>
      <c r="F175" s="523"/>
      <c r="G175" s="523"/>
      <c r="H175" s="523"/>
      <c r="J175" s="523"/>
      <c r="K175" s="523"/>
      <c r="L175" s="523"/>
      <c r="M175" s="523"/>
      <c r="N175" s="523"/>
    </row>
    <row r="176" spans="1:14">
      <c r="A176" s="523"/>
      <c r="B176" s="523"/>
      <c r="C176" s="523"/>
      <c r="D176" s="523"/>
      <c r="E176" s="523"/>
      <c r="F176" s="523"/>
      <c r="G176" s="523"/>
      <c r="H176" s="523"/>
      <c r="J176" s="523"/>
      <c r="K176" s="523"/>
      <c r="L176" s="523"/>
      <c r="M176" s="523"/>
      <c r="N176" s="523"/>
    </row>
    <row r="177" spans="1:14">
      <c r="A177" s="523"/>
      <c r="B177" s="523"/>
      <c r="C177" s="523"/>
      <c r="D177" s="523"/>
      <c r="E177" s="523"/>
      <c r="F177" s="523"/>
      <c r="G177" s="523"/>
      <c r="H177" s="523"/>
      <c r="J177" s="523"/>
      <c r="K177" s="523"/>
      <c r="L177" s="523"/>
      <c r="M177" s="523"/>
      <c r="N177" s="523"/>
    </row>
    <row r="178" spans="1:14">
      <c r="A178" s="523"/>
      <c r="B178" s="523"/>
      <c r="C178" s="523"/>
      <c r="D178" s="523"/>
      <c r="E178" s="523"/>
      <c r="F178" s="523"/>
      <c r="G178" s="523"/>
      <c r="H178" s="523"/>
      <c r="J178" s="523"/>
      <c r="K178" s="523"/>
      <c r="L178" s="523"/>
      <c r="M178" s="523"/>
      <c r="N178" s="523"/>
    </row>
    <row r="179" spans="1:14">
      <c r="A179" s="523"/>
      <c r="B179" s="523"/>
      <c r="C179" s="523"/>
      <c r="D179" s="523"/>
      <c r="E179" s="523"/>
      <c r="F179" s="523"/>
      <c r="G179" s="523"/>
      <c r="H179" s="523"/>
      <c r="J179" s="523"/>
      <c r="K179" s="523"/>
      <c r="L179" s="523"/>
      <c r="M179" s="523"/>
      <c r="N179" s="523"/>
    </row>
    <row r="180" spans="1:14">
      <c r="A180" s="523"/>
      <c r="B180" s="523"/>
      <c r="C180" s="523"/>
      <c r="D180" s="523"/>
      <c r="E180" s="523"/>
      <c r="F180" s="523"/>
      <c r="G180" s="523"/>
      <c r="H180" s="523"/>
      <c r="J180" s="523"/>
      <c r="K180" s="523"/>
      <c r="L180" s="523"/>
      <c r="M180" s="523"/>
      <c r="N180" s="523"/>
    </row>
    <row r="181" spans="1:14">
      <c r="A181" s="523"/>
      <c r="B181" s="523"/>
      <c r="C181" s="523"/>
      <c r="D181" s="523"/>
      <c r="E181" s="523"/>
      <c r="F181" s="523"/>
      <c r="G181" s="523"/>
      <c r="H181" s="523"/>
      <c r="J181" s="523"/>
      <c r="K181" s="523"/>
      <c r="L181" s="523"/>
      <c r="M181" s="523"/>
      <c r="N181" s="523"/>
    </row>
    <row r="182" spans="1:14">
      <c r="A182" s="523"/>
      <c r="B182" s="523"/>
      <c r="C182" s="523"/>
      <c r="D182" s="523"/>
      <c r="E182" s="523"/>
      <c r="F182" s="523"/>
      <c r="G182" s="523"/>
      <c r="H182" s="523"/>
      <c r="J182" s="523"/>
      <c r="K182" s="523"/>
      <c r="L182" s="523"/>
      <c r="M182" s="523"/>
      <c r="N182" s="523"/>
    </row>
    <row r="183" spans="1:14">
      <c r="A183" s="523"/>
      <c r="B183" s="523"/>
      <c r="C183" s="523"/>
      <c r="D183" s="523"/>
      <c r="E183" s="523"/>
      <c r="F183" s="523"/>
      <c r="G183" s="523"/>
      <c r="H183" s="523"/>
      <c r="J183" s="523"/>
      <c r="K183" s="523"/>
      <c r="L183" s="523"/>
      <c r="M183" s="523"/>
      <c r="N183" s="523"/>
    </row>
    <row r="184" spans="1:14">
      <c r="A184" s="523"/>
      <c r="B184" s="523"/>
      <c r="C184" s="523"/>
      <c r="D184" s="523"/>
      <c r="E184" s="523"/>
      <c r="F184" s="523"/>
      <c r="G184" s="523"/>
      <c r="H184" s="523"/>
      <c r="J184" s="523"/>
      <c r="K184" s="523"/>
      <c r="L184" s="523"/>
      <c r="M184" s="523"/>
      <c r="N184" s="523"/>
    </row>
    <row r="185" spans="1:14">
      <c r="A185" s="523"/>
      <c r="B185" s="523"/>
      <c r="C185" s="523"/>
      <c r="D185" s="523"/>
      <c r="E185" s="523"/>
      <c r="F185" s="523"/>
      <c r="G185" s="523"/>
      <c r="H185" s="523"/>
      <c r="J185" s="523"/>
      <c r="K185" s="523"/>
      <c r="L185" s="523"/>
      <c r="M185" s="523"/>
      <c r="N185" s="523"/>
    </row>
    <row r="186" spans="1:14">
      <c r="A186" s="523"/>
      <c r="B186" s="523"/>
      <c r="C186" s="523"/>
      <c r="D186" s="523"/>
      <c r="E186" s="523"/>
      <c r="F186" s="523"/>
      <c r="G186" s="523"/>
      <c r="H186" s="523"/>
      <c r="J186" s="523"/>
      <c r="K186" s="523"/>
      <c r="L186" s="523"/>
      <c r="M186" s="523"/>
      <c r="N186" s="523"/>
    </row>
    <row r="187" spans="1:14">
      <c r="A187" s="523"/>
      <c r="B187" s="523"/>
      <c r="C187" s="523"/>
      <c r="D187" s="523"/>
      <c r="E187" s="523"/>
      <c r="F187" s="523"/>
      <c r="G187" s="523"/>
      <c r="H187" s="523"/>
      <c r="J187" s="523"/>
      <c r="K187" s="523"/>
      <c r="L187" s="523"/>
      <c r="M187" s="523"/>
      <c r="N187" s="523"/>
    </row>
    <row r="188" spans="1:14">
      <c r="A188" s="523"/>
      <c r="B188" s="523"/>
      <c r="C188" s="523"/>
      <c r="D188" s="523"/>
      <c r="E188" s="523"/>
      <c r="F188" s="523"/>
      <c r="G188" s="523"/>
      <c r="H188" s="523"/>
      <c r="J188" s="523"/>
      <c r="K188" s="523"/>
      <c r="L188" s="523"/>
      <c r="M188" s="523"/>
      <c r="N188" s="523"/>
    </row>
    <row r="189" spans="1:14">
      <c r="A189" s="523"/>
      <c r="B189" s="523"/>
      <c r="C189" s="523"/>
      <c r="D189" s="523"/>
      <c r="E189" s="523"/>
      <c r="F189" s="523"/>
      <c r="G189" s="523"/>
      <c r="H189" s="523"/>
      <c r="J189" s="523"/>
      <c r="K189" s="523"/>
      <c r="L189" s="523"/>
      <c r="M189" s="523"/>
      <c r="N189" s="523"/>
    </row>
    <row r="190" spans="1:14">
      <c r="A190" s="523"/>
      <c r="B190" s="523"/>
      <c r="C190" s="523"/>
      <c r="D190" s="523"/>
      <c r="E190" s="523"/>
      <c r="F190" s="523"/>
      <c r="G190" s="523"/>
      <c r="H190" s="523"/>
      <c r="J190" s="523"/>
      <c r="K190" s="523"/>
      <c r="L190" s="523"/>
      <c r="M190" s="523"/>
      <c r="N190" s="523"/>
    </row>
    <row r="191" spans="1:14">
      <c r="A191" s="523"/>
      <c r="B191" s="523"/>
      <c r="C191" s="523"/>
      <c r="D191" s="523"/>
      <c r="E191" s="523"/>
      <c r="F191" s="523"/>
      <c r="G191" s="523"/>
      <c r="H191" s="523"/>
      <c r="J191" s="523"/>
      <c r="K191" s="523"/>
      <c r="L191" s="523"/>
      <c r="M191" s="523"/>
      <c r="N191" s="523"/>
    </row>
    <row r="192" spans="1:14">
      <c r="A192" s="523"/>
      <c r="B192" s="523"/>
      <c r="C192" s="523"/>
      <c r="D192" s="523"/>
      <c r="E192" s="523"/>
      <c r="F192" s="523"/>
      <c r="G192" s="523"/>
      <c r="H192" s="523"/>
      <c r="J192" s="523"/>
      <c r="K192" s="523"/>
      <c r="L192" s="523"/>
      <c r="M192" s="523"/>
      <c r="N192" s="523"/>
    </row>
    <row r="193" spans="1:14">
      <c r="A193" s="523"/>
      <c r="B193" s="523"/>
      <c r="C193" s="523"/>
      <c r="D193" s="523"/>
      <c r="E193" s="523"/>
      <c r="F193" s="523"/>
      <c r="G193" s="523"/>
      <c r="H193" s="523"/>
      <c r="J193" s="523"/>
      <c r="K193" s="523"/>
      <c r="L193" s="523"/>
      <c r="M193" s="523"/>
      <c r="N193" s="523"/>
    </row>
    <row r="194" spans="1:14">
      <c r="A194" s="523"/>
      <c r="B194" s="523"/>
      <c r="C194" s="523"/>
      <c r="D194" s="523"/>
      <c r="E194" s="523"/>
      <c r="F194" s="523"/>
      <c r="G194" s="523"/>
      <c r="H194" s="523"/>
      <c r="J194" s="523"/>
      <c r="K194" s="523"/>
      <c r="L194" s="523"/>
      <c r="M194" s="523"/>
      <c r="N194" s="523"/>
    </row>
    <row r="195" spans="1:14">
      <c r="A195" s="523"/>
      <c r="B195" s="523"/>
      <c r="C195" s="523"/>
      <c r="D195" s="523"/>
      <c r="E195" s="523"/>
      <c r="F195" s="523"/>
      <c r="G195" s="523"/>
      <c r="H195" s="523"/>
      <c r="J195" s="523"/>
      <c r="K195" s="523"/>
      <c r="L195" s="523"/>
      <c r="M195" s="523"/>
      <c r="N195" s="523"/>
    </row>
    <row r="196" spans="1:14">
      <c r="A196" s="523"/>
      <c r="B196" s="523"/>
      <c r="C196" s="523"/>
      <c r="D196" s="523"/>
      <c r="E196" s="523"/>
      <c r="F196" s="523"/>
      <c r="G196" s="523"/>
      <c r="H196" s="523"/>
      <c r="J196" s="523"/>
      <c r="K196" s="523"/>
      <c r="L196" s="523"/>
      <c r="M196" s="523"/>
      <c r="N196" s="523"/>
    </row>
    <row r="197" spans="1:14">
      <c r="A197" s="523"/>
      <c r="B197" s="523"/>
      <c r="C197" s="523"/>
      <c r="D197" s="523"/>
      <c r="E197" s="523"/>
      <c r="F197" s="523"/>
      <c r="G197" s="523"/>
      <c r="H197" s="523"/>
      <c r="J197" s="523"/>
      <c r="K197" s="523"/>
      <c r="L197" s="523"/>
      <c r="M197" s="523"/>
      <c r="N197" s="523"/>
    </row>
    <row r="198" spans="1:14">
      <c r="A198" s="523"/>
      <c r="B198" s="523"/>
      <c r="C198" s="523"/>
      <c r="D198" s="523"/>
      <c r="E198" s="523"/>
      <c r="F198" s="523"/>
      <c r="G198" s="523"/>
      <c r="H198" s="523"/>
      <c r="J198" s="523"/>
      <c r="K198" s="523"/>
      <c r="L198" s="523"/>
      <c r="M198" s="523"/>
      <c r="N198" s="523"/>
    </row>
    <row r="199" spans="1:14">
      <c r="A199" s="523"/>
      <c r="B199" s="523"/>
      <c r="C199" s="523"/>
      <c r="D199" s="523"/>
      <c r="E199" s="523"/>
      <c r="F199" s="523"/>
      <c r="G199" s="523"/>
      <c r="H199" s="523"/>
      <c r="J199" s="523"/>
      <c r="K199" s="523"/>
      <c r="L199" s="523"/>
      <c r="M199" s="523"/>
      <c r="N199" s="523"/>
    </row>
    <row r="200" spans="1:14">
      <c r="A200" s="523"/>
      <c r="B200" s="523"/>
      <c r="C200" s="523"/>
      <c r="D200" s="523"/>
      <c r="E200" s="523"/>
      <c r="F200" s="523"/>
      <c r="G200" s="523"/>
      <c r="H200" s="523"/>
      <c r="J200" s="523"/>
      <c r="K200" s="523"/>
      <c r="L200" s="523"/>
      <c r="M200" s="523"/>
      <c r="N200" s="523"/>
    </row>
    <row r="201" spans="1:14">
      <c r="A201" s="523"/>
      <c r="B201" s="523"/>
      <c r="C201" s="523"/>
      <c r="D201" s="523"/>
      <c r="E201" s="523"/>
      <c r="F201" s="523"/>
      <c r="G201" s="523"/>
      <c r="H201" s="523"/>
      <c r="J201" s="523"/>
      <c r="K201" s="523"/>
      <c r="L201" s="523"/>
      <c r="M201" s="523"/>
      <c r="N201" s="523"/>
    </row>
    <row r="202" spans="1:14">
      <c r="A202" s="523"/>
      <c r="B202" s="523"/>
      <c r="C202" s="523"/>
      <c r="D202" s="523"/>
      <c r="E202" s="523"/>
      <c r="F202" s="523"/>
      <c r="G202" s="523"/>
      <c r="H202" s="523"/>
      <c r="J202" s="523"/>
      <c r="K202" s="523"/>
      <c r="L202" s="523"/>
      <c r="M202" s="523"/>
      <c r="N202" s="523"/>
    </row>
    <row r="203" spans="1:14">
      <c r="A203" s="523"/>
      <c r="B203" s="523"/>
      <c r="C203" s="523"/>
      <c r="D203" s="523"/>
      <c r="E203" s="523"/>
      <c r="F203" s="523"/>
      <c r="G203" s="523"/>
      <c r="H203" s="523"/>
      <c r="J203" s="523"/>
      <c r="K203" s="523"/>
      <c r="L203" s="523"/>
      <c r="M203" s="523"/>
      <c r="N203" s="523"/>
    </row>
    <row r="204" spans="1:14">
      <c r="A204" s="523"/>
      <c r="B204" s="523"/>
      <c r="C204" s="523"/>
      <c r="D204" s="523"/>
      <c r="E204" s="523"/>
      <c r="F204" s="523"/>
      <c r="G204" s="523"/>
      <c r="H204" s="523"/>
      <c r="J204" s="523"/>
      <c r="K204" s="523"/>
      <c r="L204" s="523"/>
      <c r="M204" s="523"/>
      <c r="N204" s="523"/>
    </row>
    <row r="205" spans="1:14">
      <c r="A205" s="523"/>
      <c r="B205" s="523"/>
      <c r="C205" s="523"/>
      <c r="D205" s="523"/>
      <c r="E205" s="523"/>
      <c r="F205" s="523"/>
      <c r="G205" s="523"/>
      <c r="H205" s="523"/>
      <c r="J205" s="523"/>
      <c r="K205" s="523"/>
      <c r="L205" s="523"/>
      <c r="M205" s="523"/>
      <c r="N205" s="523"/>
    </row>
    <row r="206" spans="1:14">
      <c r="A206" s="523"/>
      <c r="B206" s="523"/>
      <c r="C206" s="523"/>
      <c r="D206" s="523"/>
      <c r="E206" s="523"/>
      <c r="F206" s="523"/>
      <c r="G206" s="523"/>
      <c r="H206" s="523"/>
      <c r="J206" s="523"/>
      <c r="K206" s="523"/>
      <c r="L206" s="523"/>
      <c r="M206" s="523"/>
      <c r="N206" s="523"/>
    </row>
    <row r="207" spans="1:14">
      <c r="A207" s="523"/>
      <c r="B207" s="523"/>
      <c r="C207" s="523"/>
      <c r="D207" s="523"/>
      <c r="E207" s="523"/>
      <c r="F207" s="523"/>
      <c r="G207" s="523"/>
      <c r="H207" s="523"/>
      <c r="J207" s="523"/>
      <c r="K207" s="523"/>
      <c r="L207" s="523"/>
      <c r="M207" s="523"/>
      <c r="N207" s="523"/>
    </row>
    <row r="208" spans="1:14">
      <c r="A208" s="523"/>
      <c r="B208" s="523"/>
      <c r="C208" s="523"/>
      <c r="D208" s="523"/>
      <c r="E208" s="523"/>
      <c r="F208" s="523"/>
      <c r="G208" s="523"/>
      <c r="H208" s="523"/>
      <c r="J208" s="523"/>
      <c r="K208" s="523"/>
      <c r="L208" s="523"/>
      <c r="M208" s="523"/>
      <c r="N208" s="523"/>
    </row>
    <row r="209" spans="1:14">
      <c r="A209" s="523"/>
      <c r="B209" s="523"/>
      <c r="C209" s="523"/>
      <c r="D209" s="523"/>
      <c r="E209" s="523"/>
      <c r="F209" s="523"/>
      <c r="G209" s="523"/>
      <c r="H209" s="523"/>
      <c r="J209" s="523"/>
      <c r="K209" s="523"/>
      <c r="L209" s="523"/>
      <c r="M209" s="523"/>
      <c r="N209" s="523"/>
    </row>
    <row r="210" spans="1:14">
      <c r="A210" s="523"/>
      <c r="B210" s="523"/>
      <c r="C210" s="523"/>
      <c r="D210" s="523"/>
      <c r="E210" s="523"/>
      <c r="F210" s="523"/>
      <c r="G210" s="523"/>
      <c r="H210" s="523"/>
      <c r="J210" s="523"/>
      <c r="K210" s="523"/>
      <c r="L210" s="523"/>
      <c r="M210" s="523"/>
      <c r="N210" s="523"/>
    </row>
    <row r="211" spans="1:14">
      <c r="A211" s="523"/>
      <c r="B211" s="523"/>
      <c r="C211" s="523"/>
      <c r="D211" s="523"/>
      <c r="E211" s="523"/>
      <c r="F211" s="523"/>
      <c r="G211" s="523"/>
      <c r="H211" s="523"/>
      <c r="J211" s="523"/>
      <c r="K211" s="523"/>
      <c r="L211" s="523"/>
      <c r="M211" s="523"/>
      <c r="N211" s="523"/>
    </row>
    <row r="212" spans="1:14">
      <c r="A212" s="523"/>
      <c r="B212" s="523"/>
      <c r="C212" s="523"/>
      <c r="D212" s="523"/>
      <c r="E212" s="523"/>
      <c r="F212" s="523"/>
      <c r="G212" s="523"/>
      <c r="H212" s="523"/>
      <c r="J212" s="523"/>
      <c r="K212" s="523"/>
      <c r="L212" s="523"/>
      <c r="M212" s="523"/>
      <c r="N212" s="523"/>
    </row>
    <row r="213" spans="1:14">
      <c r="A213" s="523"/>
      <c r="B213" s="523"/>
      <c r="C213" s="523"/>
      <c r="D213" s="523"/>
      <c r="E213" s="523"/>
      <c r="F213" s="523"/>
      <c r="G213" s="523"/>
      <c r="H213" s="523"/>
      <c r="J213" s="523"/>
      <c r="K213" s="523"/>
      <c r="L213" s="523"/>
      <c r="M213" s="523"/>
      <c r="N213" s="523"/>
    </row>
    <row r="214" spans="1:14">
      <c r="A214" s="523"/>
      <c r="B214" s="523"/>
      <c r="C214" s="523"/>
      <c r="D214" s="523"/>
      <c r="E214" s="523"/>
      <c r="F214" s="523"/>
      <c r="G214" s="523"/>
      <c r="H214" s="523"/>
      <c r="J214" s="523"/>
      <c r="K214" s="523"/>
      <c r="L214" s="523"/>
      <c r="M214" s="523"/>
      <c r="N214" s="523"/>
    </row>
    <row r="215" spans="1:14">
      <c r="A215" s="523"/>
      <c r="B215" s="523"/>
      <c r="C215" s="523"/>
      <c r="D215" s="523"/>
      <c r="E215" s="523"/>
      <c r="F215" s="523"/>
      <c r="G215" s="523"/>
      <c r="H215" s="523"/>
      <c r="J215" s="523"/>
      <c r="K215" s="523"/>
      <c r="L215" s="523"/>
      <c r="M215" s="523"/>
      <c r="N215" s="523"/>
    </row>
    <row r="216" spans="1:14">
      <c r="A216" s="523"/>
      <c r="B216" s="523"/>
      <c r="C216" s="523"/>
      <c r="D216" s="523"/>
      <c r="E216" s="523"/>
      <c r="F216" s="523"/>
      <c r="G216" s="523"/>
      <c r="H216" s="523"/>
      <c r="J216" s="523"/>
      <c r="K216" s="523"/>
      <c r="L216" s="523"/>
      <c r="M216" s="523"/>
      <c r="N216" s="523"/>
    </row>
    <row r="217" spans="1:14">
      <c r="A217" s="523"/>
      <c r="B217" s="523"/>
      <c r="C217" s="523"/>
      <c r="D217" s="523"/>
      <c r="E217" s="523"/>
      <c r="F217" s="523"/>
      <c r="G217" s="523"/>
      <c r="H217" s="523"/>
      <c r="J217" s="523"/>
      <c r="K217" s="523"/>
      <c r="L217" s="523"/>
      <c r="M217" s="523"/>
      <c r="N217" s="523"/>
    </row>
    <row r="218" spans="1:14">
      <c r="A218" s="523"/>
      <c r="B218" s="523"/>
      <c r="C218" s="523"/>
      <c r="D218" s="523"/>
      <c r="E218" s="523"/>
      <c r="F218" s="523"/>
      <c r="G218" s="523"/>
      <c r="H218" s="523"/>
      <c r="J218" s="523"/>
      <c r="K218" s="523"/>
      <c r="L218" s="523"/>
      <c r="M218" s="523"/>
      <c r="N218" s="523"/>
    </row>
    <row r="219" spans="1:14">
      <c r="A219" s="523"/>
      <c r="B219" s="523"/>
      <c r="C219" s="523"/>
      <c r="D219" s="523"/>
      <c r="E219" s="523"/>
      <c r="F219" s="523"/>
      <c r="G219" s="523"/>
      <c r="H219" s="523"/>
      <c r="J219" s="523"/>
      <c r="K219" s="523"/>
      <c r="L219" s="523"/>
      <c r="M219" s="523"/>
      <c r="N219" s="523"/>
    </row>
    <row r="220" spans="1:14">
      <c r="A220" s="523"/>
      <c r="B220" s="523"/>
      <c r="C220" s="523"/>
      <c r="D220" s="523"/>
      <c r="E220" s="523"/>
      <c r="F220" s="523"/>
      <c r="G220" s="523"/>
      <c r="H220" s="523"/>
      <c r="J220" s="523"/>
      <c r="K220" s="523"/>
      <c r="L220" s="523"/>
      <c r="M220" s="523"/>
      <c r="N220" s="523"/>
    </row>
    <row r="221" spans="1:14">
      <c r="A221" s="523"/>
      <c r="B221" s="523"/>
      <c r="C221" s="523"/>
      <c r="D221" s="523"/>
      <c r="E221" s="523"/>
      <c r="F221" s="523"/>
      <c r="G221" s="523"/>
      <c r="H221" s="523"/>
      <c r="J221" s="523"/>
      <c r="K221" s="523"/>
      <c r="L221" s="523"/>
      <c r="M221" s="523"/>
      <c r="N221" s="523"/>
    </row>
    <row r="222" spans="1:14">
      <c r="A222" s="523"/>
      <c r="B222" s="523"/>
      <c r="C222" s="523"/>
      <c r="D222" s="523"/>
      <c r="E222" s="523"/>
      <c r="F222" s="523"/>
      <c r="G222" s="523"/>
      <c r="H222" s="523"/>
      <c r="J222" s="523"/>
      <c r="K222" s="523"/>
      <c r="L222" s="523"/>
      <c r="M222" s="523"/>
      <c r="N222" s="523"/>
    </row>
    <row r="223" spans="1:14">
      <c r="A223" s="523"/>
      <c r="B223" s="523"/>
      <c r="C223" s="523"/>
      <c r="D223" s="523"/>
      <c r="E223" s="523"/>
      <c r="F223" s="523"/>
      <c r="G223" s="523"/>
      <c r="H223" s="523"/>
      <c r="J223" s="523"/>
      <c r="K223" s="523"/>
      <c r="L223" s="523"/>
      <c r="M223" s="523"/>
      <c r="N223" s="523"/>
    </row>
    <row r="224" spans="1:14">
      <c r="A224" s="523"/>
      <c r="B224" s="523"/>
      <c r="C224" s="523"/>
      <c r="D224" s="523"/>
      <c r="E224" s="523"/>
      <c r="F224" s="523"/>
      <c r="G224" s="523"/>
      <c r="H224" s="523"/>
      <c r="J224" s="523"/>
      <c r="K224" s="523"/>
      <c r="L224" s="523"/>
      <c r="M224" s="523"/>
      <c r="N224" s="523"/>
    </row>
    <row r="225" spans="1:14">
      <c r="A225" s="523"/>
      <c r="B225" s="523"/>
      <c r="C225" s="523"/>
      <c r="D225" s="523"/>
      <c r="E225" s="523"/>
      <c r="F225" s="523"/>
      <c r="G225" s="523"/>
      <c r="H225" s="523"/>
      <c r="J225" s="523"/>
      <c r="K225" s="523"/>
      <c r="L225" s="523"/>
      <c r="M225" s="523"/>
      <c r="N225" s="523"/>
    </row>
    <row r="226" spans="1:14">
      <c r="A226" s="523"/>
      <c r="B226" s="523"/>
      <c r="C226" s="523"/>
      <c r="D226" s="523"/>
      <c r="E226" s="523"/>
      <c r="F226" s="523"/>
      <c r="G226" s="523"/>
      <c r="H226" s="523"/>
      <c r="J226" s="523"/>
      <c r="K226" s="523"/>
      <c r="L226" s="523"/>
      <c r="M226" s="523"/>
      <c r="N226" s="523"/>
    </row>
    <row r="227" spans="1:14">
      <c r="A227" s="523"/>
      <c r="B227" s="523"/>
      <c r="C227" s="523"/>
      <c r="D227" s="523"/>
      <c r="E227" s="523"/>
      <c r="F227" s="523"/>
      <c r="G227" s="523"/>
      <c r="H227" s="523"/>
      <c r="J227" s="523"/>
      <c r="K227" s="523"/>
      <c r="L227" s="523"/>
      <c r="M227" s="523"/>
      <c r="N227" s="523"/>
    </row>
    <row r="228" spans="1:14">
      <c r="A228" s="523"/>
      <c r="B228" s="523"/>
      <c r="C228" s="523"/>
      <c r="D228" s="523"/>
      <c r="E228" s="523"/>
      <c r="F228" s="523"/>
      <c r="G228" s="523"/>
      <c r="H228" s="523"/>
      <c r="J228" s="523"/>
      <c r="K228" s="523"/>
      <c r="L228" s="523"/>
      <c r="M228" s="523"/>
      <c r="N228" s="523"/>
    </row>
    <row r="229" spans="1:14">
      <c r="A229" s="523"/>
      <c r="B229" s="523"/>
      <c r="C229" s="523"/>
      <c r="D229" s="523"/>
      <c r="E229" s="523"/>
      <c r="F229" s="523"/>
      <c r="G229" s="523"/>
      <c r="H229" s="523"/>
      <c r="J229" s="523"/>
      <c r="K229" s="523"/>
      <c r="L229" s="523"/>
      <c r="M229" s="523"/>
      <c r="N229" s="523"/>
    </row>
    <row r="230" spans="1:14">
      <c r="A230" s="523"/>
      <c r="B230" s="523"/>
      <c r="C230" s="523"/>
      <c r="D230" s="523"/>
      <c r="E230" s="523"/>
      <c r="F230" s="523"/>
      <c r="G230" s="523"/>
      <c r="H230" s="523"/>
      <c r="J230" s="523"/>
      <c r="K230" s="523"/>
      <c r="L230" s="523"/>
      <c r="M230" s="523"/>
      <c r="N230" s="523"/>
    </row>
    <row r="231" spans="1:14">
      <c r="A231" s="523"/>
      <c r="B231" s="523"/>
      <c r="C231" s="523"/>
      <c r="D231" s="523"/>
      <c r="E231" s="523"/>
      <c r="F231" s="523"/>
      <c r="G231" s="523"/>
      <c r="H231" s="523"/>
      <c r="J231" s="523"/>
      <c r="K231" s="523"/>
      <c r="L231" s="523"/>
      <c r="M231" s="523"/>
      <c r="N231" s="523"/>
    </row>
    <row r="232" spans="1:14">
      <c r="A232" s="523"/>
      <c r="B232" s="523"/>
      <c r="C232" s="523"/>
      <c r="D232" s="523"/>
      <c r="E232" s="523"/>
      <c r="F232" s="523"/>
      <c r="G232" s="523"/>
      <c r="H232" s="523"/>
      <c r="J232" s="523"/>
      <c r="K232" s="523"/>
      <c r="L232" s="523"/>
      <c r="M232" s="523"/>
      <c r="N232" s="523"/>
    </row>
    <row r="233" spans="1:14">
      <c r="A233" s="523"/>
      <c r="B233" s="523"/>
      <c r="C233" s="523"/>
      <c r="D233" s="523"/>
      <c r="E233" s="523"/>
      <c r="F233" s="523"/>
      <c r="G233" s="523"/>
      <c r="H233" s="523"/>
      <c r="J233" s="523"/>
      <c r="K233" s="523"/>
      <c r="L233" s="523"/>
      <c r="M233" s="523"/>
      <c r="N233" s="523"/>
    </row>
    <row r="234" spans="1:14">
      <c r="A234" s="523"/>
      <c r="B234" s="523"/>
      <c r="C234" s="523"/>
      <c r="D234" s="523"/>
      <c r="E234" s="523"/>
      <c r="F234" s="523"/>
      <c r="G234" s="523"/>
      <c r="H234" s="523"/>
      <c r="J234" s="523"/>
      <c r="K234" s="523"/>
      <c r="L234" s="523"/>
      <c r="M234" s="523"/>
      <c r="N234" s="523"/>
    </row>
    <row r="235" spans="1:14">
      <c r="A235" s="523"/>
      <c r="B235" s="523"/>
      <c r="C235" s="523"/>
      <c r="D235" s="523"/>
      <c r="E235" s="523"/>
      <c r="F235" s="523"/>
      <c r="G235" s="523"/>
      <c r="H235" s="523"/>
      <c r="J235" s="523"/>
      <c r="K235" s="523"/>
      <c r="L235" s="523"/>
      <c r="M235" s="523"/>
      <c r="N235" s="523"/>
    </row>
    <row r="236" spans="1:14">
      <c r="A236" s="523"/>
      <c r="B236" s="523"/>
      <c r="C236" s="523"/>
      <c r="D236" s="523"/>
      <c r="E236" s="523"/>
      <c r="F236" s="523"/>
      <c r="G236" s="523"/>
      <c r="H236" s="523"/>
      <c r="J236" s="523"/>
      <c r="K236" s="523"/>
      <c r="L236" s="523"/>
      <c r="M236" s="523"/>
      <c r="N236" s="523"/>
    </row>
    <row r="237" spans="1:14">
      <c r="A237" s="523"/>
      <c r="B237" s="523"/>
      <c r="C237" s="523"/>
      <c r="D237" s="523"/>
      <c r="E237" s="523"/>
      <c r="F237" s="523"/>
      <c r="G237" s="523"/>
      <c r="H237" s="523"/>
      <c r="J237" s="523"/>
      <c r="K237" s="523"/>
      <c r="L237" s="523"/>
      <c r="M237" s="523"/>
      <c r="N237" s="523"/>
    </row>
    <row r="238" spans="1:14">
      <c r="A238" s="523"/>
      <c r="B238" s="523"/>
      <c r="C238" s="523"/>
      <c r="D238" s="523"/>
      <c r="E238" s="523"/>
      <c r="F238" s="523"/>
      <c r="G238" s="523"/>
      <c r="H238" s="523"/>
      <c r="J238" s="523"/>
      <c r="K238" s="523"/>
      <c r="L238" s="523"/>
      <c r="M238" s="523"/>
      <c r="N238" s="523"/>
    </row>
    <row r="239" spans="1:14">
      <c r="A239" s="523"/>
      <c r="B239" s="523"/>
      <c r="C239" s="523"/>
      <c r="D239" s="523"/>
      <c r="E239" s="523"/>
      <c r="F239" s="523"/>
      <c r="G239" s="523"/>
      <c r="H239" s="523"/>
      <c r="J239" s="523"/>
      <c r="K239" s="523"/>
      <c r="L239" s="523"/>
      <c r="M239" s="523"/>
      <c r="N239" s="523"/>
    </row>
    <row r="240" spans="1:14">
      <c r="A240" s="523"/>
      <c r="B240" s="523"/>
      <c r="C240" s="523"/>
      <c r="D240" s="523"/>
      <c r="E240" s="523"/>
      <c r="F240" s="523"/>
      <c r="G240" s="523"/>
      <c r="H240" s="523"/>
      <c r="J240" s="523"/>
      <c r="K240" s="523"/>
      <c r="L240" s="523"/>
      <c r="M240" s="523"/>
      <c r="N240" s="523"/>
    </row>
    <row r="241" spans="1:14">
      <c r="A241" s="523"/>
      <c r="B241" s="523"/>
      <c r="C241" s="523"/>
      <c r="D241" s="523"/>
      <c r="E241" s="523"/>
      <c r="F241" s="523"/>
      <c r="G241" s="523"/>
      <c r="H241" s="523"/>
      <c r="J241" s="523"/>
      <c r="K241" s="523"/>
      <c r="L241" s="523"/>
      <c r="M241" s="523"/>
      <c r="N241" s="523"/>
    </row>
    <row r="242" spans="1:14">
      <c r="A242" s="523"/>
      <c r="B242" s="523"/>
      <c r="C242" s="523"/>
      <c r="D242" s="523"/>
      <c r="E242" s="523"/>
      <c r="F242" s="523"/>
      <c r="G242" s="523"/>
      <c r="H242" s="523"/>
      <c r="J242" s="523"/>
      <c r="K242" s="523"/>
      <c r="L242" s="523"/>
      <c r="M242" s="523"/>
      <c r="N242" s="523"/>
    </row>
    <row r="243" spans="1:14">
      <c r="A243" s="523"/>
      <c r="B243" s="523"/>
      <c r="C243" s="523"/>
      <c r="D243" s="523"/>
      <c r="E243" s="523"/>
      <c r="F243" s="523"/>
      <c r="G243" s="523"/>
      <c r="H243" s="523"/>
      <c r="J243" s="523"/>
      <c r="K243" s="523"/>
      <c r="L243" s="523"/>
      <c r="M243" s="523"/>
      <c r="N243" s="523"/>
    </row>
    <row r="244" spans="1:14">
      <c r="A244" s="523"/>
      <c r="B244" s="523"/>
      <c r="C244" s="523"/>
      <c r="D244" s="523"/>
      <c r="E244" s="523"/>
      <c r="F244" s="523"/>
      <c r="G244" s="523"/>
      <c r="H244" s="523"/>
      <c r="J244" s="523"/>
      <c r="K244" s="523"/>
      <c r="L244" s="523"/>
      <c r="M244" s="523"/>
      <c r="N244" s="523"/>
    </row>
    <row r="245" spans="1:14">
      <c r="A245" s="523"/>
      <c r="B245" s="523"/>
      <c r="C245" s="523"/>
      <c r="D245" s="523"/>
      <c r="E245" s="523"/>
      <c r="F245" s="523"/>
      <c r="G245" s="523"/>
      <c r="H245" s="523"/>
      <c r="J245" s="523"/>
      <c r="K245" s="523"/>
      <c r="L245" s="523"/>
      <c r="M245" s="523"/>
      <c r="N245" s="523"/>
    </row>
    <row r="246" spans="1:14">
      <c r="A246" s="523"/>
      <c r="B246" s="523"/>
      <c r="C246" s="523"/>
      <c r="D246" s="523"/>
      <c r="E246" s="523"/>
      <c r="F246" s="523"/>
      <c r="G246" s="523"/>
      <c r="H246" s="523"/>
      <c r="J246" s="523"/>
      <c r="K246" s="523"/>
      <c r="L246" s="523"/>
      <c r="M246" s="523"/>
      <c r="N246" s="523"/>
    </row>
    <row r="247" spans="1:14">
      <c r="A247" s="523"/>
      <c r="B247" s="523"/>
      <c r="C247" s="523"/>
      <c r="D247" s="523"/>
      <c r="E247" s="523"/>
      <c r="F247" s="523"/>
      <c r="G247" s="523"/>
      <c r="H247" s="523"/>
      <c r="J247" s="523"/>
      <c r="K247" s="523"/>
      <c r="L247" s="523"/>
      <c r="M247" s="523"/>
      <c r="N247" s="523"/>
    </row>
    <row r="248" spans="1:14">
      <c r="A248" s="523"/>
      <c r="B248" s="523"/>
      <c r="C248" s="523"/>
      <c r="D248" s="523"/>
      <c r="E248" s="523"/>
      <c r="F248" s="523"/>
      <c r="G248" s="523"/>
      <c r="H248" s="523"/>
      <c r="J248" s="523"/>
      <c r="K248" s="523"/>
      <c r="L248" s="523"/>
      <c r="M248" s="523"/>
      <c r="N248" s="523"/>
    </row>
    <row r="249" spans="1:14">
      <c r="A249" s="523"/>
      <c r="B249" s="523"/>
      <c r="C249" s="523"/>
      <c r="D249" s="523"/>
      <c r="E249" s="523"/>
      <c r="F249" s="523"/>
      <c r="G249" s="523"/>
      <c r="H249" s="523"/>
      <c r="J249" s="523"/>
      <c r="K249" s="523"/>
      <c r="L249" s="523"/>
      <c r="M249" s="523"/>
      <c r="N249" s="523"/>
    </row>
    <row r="250" spans="1:14">
      <c r="A250" s="523"/>
      <c r="B250" s="523"/>
      <c r="C250" s="523"/>
      <c r="D250" s="523"/>
      <c r="E250" s="523"/>
      <c r="F250" s="523"/>
      <c r="G250" s="523"/>
      <c r="H250" s="523"/>
      <c r="J250" s="523"/>
      <c r="K250" s="523"/>
      <c r="L250" s="523"/>
      <c r="M250" s="523"/>
      <c r="N250" s="523"/>
    </row>
    <row r="251" spans="1:14">
      <c r="A251" s="523"/>
      <c r="B251" s="523"/>
      <c r="C251" s="523"/>
      <c r="D251" s="523"/>
      <c r="E251" s="523"/>
      <c r="F251" s="523"/>
      <c r="G251" s="523"/>
      <c r="H251" s="523"/>
      <c r="J251" s="523"/>
      <c r="K251" s="523"/>
      <c r="L251" s="523"/>
      <c r="M251" s="523"/>
      <c r="N251" s="523"/>
    </row>
    <row r="252" spans="1:14">
      <c r="A252" s="523"/>
      <c r="B252" s="523"/>
      <c r="C252" s="523"/>
      <c r="D252" s="523"/>
      <c r="E252" s="523"/>
      <c r="F252" s="523"/>
      <c r="G252" s="523"/>
      <c r="H252" s="523"/>
      <c r="J252" s="523"/>
      <c r="K252" s="523"/>
      <c r="L252" s="523"/>
      <c r="M252" s="523"/>
      <c r="N252" s="523"/>
    </row>
    <row r="253" spans="1:14">
      <c r="A253" s="523"/>
      <c r="B253" s="523"/>
      <c r="C253" s="523"/>
      <c r="D253" s="523"/>
      <c r="E253" s="523"/>
      <c r="F253" s="523"/>
      <c r="G253" s="523"/>
      <c r="H253" s="523"/>
      <c r="J253" s="523"/>
      <c r="K253" s="523"/>
      <c r="L253" s="523"/>
      <c r="M253" s="523"/>
      <c r="N253" s="523"/>
    </row>
    <row r="254" spans="1:14">
      <c r="A254" s="523"/>
      <c r="B254" s="523"/>
      <c r="C254" s="523"/>
      <c r="D254" s="523"/>
      <c r="E254" s="523"/>
      <c r="F254" s="523"/>
      <c r="G254" s="523"/>
      <c r="H254" s="523"/>
      <c r="J254" s="523"/>
      <c r="K254" s="523"/>
      <c r="L254" s="523"/>
      <c r="M254" s="523"/>
      <c r="N254" s="523"/>
    </row>
    <row r="255" spans="1:14">
      <c r="A255" s="523"/>
      <c r="B255" s="523"/>
      <c r="C255" s="523"/>
      <c r="D255" s="523"/>
      <c r="E255" s="523"/>
      <c r="F255" s="523"/>
      <c r="G255" s="523"/>
      <c r="H255" s="523"/>
      <c r="J255" s="523"/>
      <c r="K255" s="523"/>
      <c r="L255" s="523"/>
      <c r="M255" s="523"/>
      <c r="N255" s="523"/>
    </row>
    <row r="256" spans="1:14">
      <c r="A256" s="523"/>
      <c r="B256" s="523"/>
      <c r="C256" s="523"/>
      <c r="D256" s="523"/>
      <c r="E256" s="523"/>
      <c r="F256" s="523"/>
      <c r="G256" s="523"/>
      <c r="H256" s="523"/>
      <c r="J256" s="523"/>
      <c r="K256" s="523"/>
      <c r="L256" s="523"/>
      <c r="M256" s="523"/>
      <c r="N256" s="523"/>
    </row>
    <row r="257" spans="1:14">
      <c r="A257" s="523"/>
      <c r="B257" s="523"/>
      <c r="C257" s="523"/>
      <c r="D257" s="523"/>
      <c r="E257" s="523"/>
      <c r="F257" s="523"/>
      <c r="G257" s="523"/>
      <c r="H257" s="523"/>
      <c r="J257" s="523"/>
      <c r="K257" s="523"/>
      <c r="L257" s="523"/>
      <c r="M257" s="523"/>
      <c r="N257" s="523"/>
    </row>
    <row r="258" spans="1:14">
      <c r="A258" s="523"/>
      <c r="B258" s="523"/>
      <c r="C258" s="523"/>
      <c r="D258" s="523"/>
      <c r="E258" s="523"/>
      <c r="F258" s="523"/>
      <c r="G258" s="523"/>
      <c r="H258" s="523"/>
      <c r="J258" s="523"/>
      <c r="K258" s="523"/>
      <c r="L258" s="523"/>
      <c r="M258" s="523"/>
      <c r="N258" s="523"/>
    </row>
    <row r="259" spans="1:14">
      <c r="A259" s="523"/>
      <c r="B259" s="523"/>
      <c r="C259" s="523"/>
      <c r="D259" s="523"/>
      <c r="E259" s="523"/>
      <c r="F259" s="523"/>
      <c r="G259" s="523"/>
      <c r="H259" s="523"/>
      <c r="J259" s="523"/>
      <c r="K259" s="523"/>
      <c r="L259" s="523"/>
      <c r="M259" s="523"/>
      <c r="N259" s="523"/>
    </row>
    <row r="260" spans="1:14">
      <c r="A260" s="523"/>
      <c r="B260" s="523"/>
      <c r="C260" s="523"/>
      <c r="D260" s="523"/>
      <c r="E260" s="523"/>
      <c r="F260" s="523"/>
      <c r="G260" s="523"/>
      <c r="H260" s="523"/>
      <c r="J260" s="523"/>
      <c r="K260" s="523"/>
      <c r="L260" s="523"/>
      <c r="M260" s="523"/>
      <c r="N260" s="523"/>
    </row>
    <row r="261" spans="1:14">
      <c r="A261" s="523"/>
      <c r="B261" s="523"/>
      <c r="C261" s="523"/>
      <c r="D261" s="523"/>
      <c r="E261" s="523"/>
      <c r="F261" s="523"/>
      <c r="G261" s="523"/>
      <c r="H261" s="523"/>
      <c r="J261" s="523"/>
      <c r="K261" s="523"/>
      <c r="L261" s="523"/>
      <c r="M261" s="523"/>
      <c r="N261" s="523"/>
    </row>
    <row r="262" spans="1:14">
      <c r="A262" s="523"/>
      <c r="B262" s="523"/>
      <c r="C262" s="523"/>
      <c r="D262" s="523"/>
      <c r="E262" s="523"/>
      <c r="F262" s="523"/>
      <c r="G262" s="523"/>
      <c r="H262" s="523"/>
      <c r="J262" s="523"/>
      <c r="K262" s="523"/>
      <c r="L262" s="523"/>
      <c r="M262" s="523"/>
      <c r="N262" s="523"/>
    </row>
    <row r="263" spans="1:14">
      <c r="A263" s="523"/>
      <c r="B263" s="523"/>
      <c r="C263" s="523"/>
      <c r="D263" s="523"/>
      <c r="E263" s="523"/>
      <c r="F263" s="523"/>
      <c r="G263" s="523"/>
      <c r="H263" s="523"/>
      <c r="J263" s="523"/>
      <c r="K263" s="523"/>
      <c r="L263" s="523"/>
      <c r="M263" s="523"/>
      <c r="N263" s="523"/>
    </row>
    <row r="264" spans="1:14">
      <c r="A264" s="523"/>
      <c r="B264" s="523"/>
      <c r="C264" s="523"/>
      <c r="D264" s="523"/>
      <c r="E264" s="523"/>
      <c r="F264" s="523"/>
      <c r="G264" s="523"/>
      <c r="H264" s="523"/>
      <c r="J264" s="523"/>
      <c r="K264" s="523"/>
      <c r="L264" s="523"/>
      <c r="M264" s="523"/>
      <c r="N264" s="523"/>
    </row>
    <row r="265" spans="1:14">
      <c r="A265" s="523"/>
      <c r="B265" s="523"/>
      <c r="C265" s="523"/>
      <c r="D265" s="523"/>
      <c r="E265" s="523"/>
      <c r="F265" s="523"/>
      <c r="G265" s="523"/>
      <c r="H265" s="523"/>
      <c r="J265" s="523"/>
      <c r="K265" s="523"/>
      <c r="L265" s="523"/>
      <c r="M265" s="523"/>
      <c r="N265" s="523"/>
    </row>
    <row r="266" spans="1:14">
      <c r="A266" s="523"/>
      <c r="B266" s="523"/>
      <c r="C266" s="523"/>
      <c r="D266" s="523"/>
      <c r="E266" s="523"/>
      <c r="F266" s="523"/>
      <c r="G266" s="523"/>
      <c r="H266" s="523"/>
      <c r="J266" s="523"/>
      <c r="K266" s="523"/>
      <c r="L266" s="523"/>
      <c r="M266" s="523"/>
      <c r="N266" s="523"/>
    </row>
    <row r="267" spans="1:14">
      <c r="A267" s="523"/>
      <c r="B267" s="523"/>
      <c r="C267" s="523"/>
      <c r="D267" s="523"/>
      <c r="E267" s="523"/>
      <c r="F267" s="523"/>
      <c r="G267" s="523"/>
      <c r="H267" s="523"/>
      <c r="J267" s="523"/>
      <c r="K267" s="523"/>
      <c r="L267" s="523"/>
      <c r="M267" s="523"/>
      <c r="N267" s="523"/>
    </row>
    <row r="268" spans="1:14">
      <c r="A268" s="523"/>
      <c r="B268" s="523"/>
      <c r="C268" s="523"/>
      <c r="D268" s="523"/>
      <c r="E268" s="523"/>
      <c r="F268" s="523"/>
      <c r="G268" s="523"/>
      <c r="H268" s="523"/>
      <c r="J268" s="523"/>
      <c r="K268" s="523"/>
      <c r="L268" s="523"/>
      <c r="M268" s="523"/>
      <c r="N268" s="523"/>
    </row>
    <row r="269" spans="1:14">
      <c r="A269" s="523"/>
      <c r="B269" s="523"/>
      <c r="C269" s="523"/>
      <c r="D269" s="523"/>
      <c r="E269" s="523"/>
      <c r="F269" s="523"/>
      <c r="G269" s="523"/>
      <c r="H269" s="523"/>
      <c r="J269" s="523"/>
      <c r="K269" s="523"/>
      <c r="L269" s="523"/>
      <c r="M269" s="523"/>
      <c r="N269" s="523"/>
    </row>
    <row r="270" spans="1:14">
      <c r="A270" s="523"/>
      <c r="B270" s="523"/>
      <c r="C270" s="523"/>
      <c r="D270" s="523"/>
      <c r="E270" s="523"/>
      <c r="F270" s="523"/>
      <c r="G270" s="523"/>
      <c r="H270" s="523"/>
      <c r="J270" s="523"/>
      <c r="K270" s="523"/>
      <c r="L270" s="523"/>
      <c r="M270" s="523"/>
      <c r="N270" s="523"/>
    </row>
    <row r="271" spans="1:14">
      <c r="A271" s="523"/>
      <c r="B271" s="523"/>
      <c r="C271" s="523"/>
      <c r="D271" s="523"/>
      <c r="E271" s="523"/>
      <c r="F271" s="523"/>
      <c r="G271" s="523"/>
      <c r="H271" s="523"/>
      <c r="J271" s="523"/>
      <c r="K271" s="523"/>
      <c r="L271" s="523"/>
      <c r="M271" s="523"/>
      <c r="N271" s="523"/>
    </row>
    <row r="272" spans="1:14">
      <c r="A272" s="523"/>
      <c r="B272" s="523"/>
      <c r="C272" s="523"/>
      <c r="D272" s="523"/>
      <c r="E272" s="523"/>
      <c r="F272" s="523"/>
      <c r="G272" s="523"/>
      <c r="H272" s="523"/>
      <c r="J272" s="523"/>
      <c r="K272" s="523"/>
      <c r="L272" s="523"/>
      <c r="M272" s="523"/>
      <c r="N272" s="523"/>
    </row>
    <row r="273" spans="1:14">
      <c r="A273" s="523"/>
      <c r="B273" s="523"/>
      <c r="C273" s="523"/>
      <c r="D273" s="523"/>
      <c r="E273" s="523"/>
      <c r="F273" s="523"/>
      <c r="G273" s="523"/>
      <c r="H273" s="523"/>
      <c r="J273" s="523"/>
      <c r="K273" s="523"/>
      <c r="L273" s="523"/>
      <c r="M273" s="523"/>
      <c r="N273" s="523"/>
    </row>
    <row r="274" spans="1:14">
      <c r="A274" s="523"/>
      <c r="B274" s="523"/>
      <c r="C274" s="523"/>
      <c r="D274" s="523"/>
      <c r="E274" s="523"/>
      <c r="F274" s="523"/>
      <c r="G274" s="523"/>
      <c r="H274" s="523"/>
      <c r="J274" s="523"/>
      <c r="K274" s="523"/>
      <c r="L274" s="523"/>
      <c r="M274" s="523"/>
      <c r="N274" s="523"/>
    </row>
    <row r="275" spans="1:14">
      <c r="A275" s="523"/>
      <c r="B275" s="523"/>
      <c r="C275" s="523"/>
      <c r="D275" s="523"/>
      <c r="E275" s="523"/>
      <c r="F275" s="523"/>
      <c r="G275" s="523"/>
      <c r="H275" s="523"/>
      <c r="J275" s="523"/>
      <c r="K275" s="523"/>
      <c r="L275" s="523"/>
      <c r="M275" s="523"/>
      <c r="N275" s="523"/>
    </row>
    <row r="276" spans="1:14">
      <c r="A276" s="523"/>
      <c r="B276" s="523"/>
      <c r="C276" s="523"/>
      <c r="D276" s="523"/>
      <c r="E276" s="523"/>
      <c r="F276" s="523"/>
      <c r="G276" s="523"/>
      <c r="H276" s="523"/>
      <c r="J276" s="523"/>
      <c r="K276" s="523"/>
      <c r="L276" s="523"/>
      <c r="M276" s="523"/>
      <c r="N276" s="523"/>
    </row>
    <row r="277" spans="1:14">
      <c r="A277" s="523"/>
      <c r="B277" s="523"/>
      <c r="C277" s="523"/>
      <c r="D277" s="523"/>
      <c r="E277" s="523"/>
      <c r="F277" s="523"/>
      <c r="G277" s="523"/>
      <c r="H277" s="523"/>
      <c r="J277" s="523"/>
      <c r="K277" s="523"/>
      <c r="L277" s="523"/>
      <c r="M277" s="523"/>
      <c r="N277" s="523"/>
    </row>
    <row r="278" spans="1:14">
      <c r="A278" s="523"/>
      <c r="B278" s="523"/>
      <c r="C278" s="523"/>
      <c r="D278" s="523"/>
      <c r="E278" s="523"/>
      <c r="F278" s="523"/>
      <c r="G278" s="523"/>
      <c r="H278" s="523"/>
      <c r="J278" s="523"/>
      <c r="K278" s="523"/>
      <c r="L278" s="523"/>
      <c r="M278" s="523"/>
      <c r="N278" s="523"/>
    </row>
    <row r="279" spans="1:14">
      <c r="A279" s="523"/>
      <c r="B279" s="523"/>
      <c r="C279" s="523"/>
      <c r="D279" s="523"/>
      <c r="E279" s="523"/>
      <c r="F279" s="523"/>
      <c r="G279" s="523"/>
      <c r="H279" s="523"/>
      <c r="J279" s="523"/>
      <c r="K279" s="523"/>
      <c r="L279" s="523"/>
      <c r="M279" s="523"/>
      <c r="N279" s="523"/>
    </row>
    <row r="280" spans="1:14">
      <c r="A280" s="523"/>
      <c r="B280" s="523"/>
      <c r="C280" s="523"/>
      <c r="D280" s="523"/>
      <c r="E280" s="523"/>
      <c r="F280" s="523"/>
      <c r="G280" s="523"/>
      <c r="H280" s="523"/>
      <c r="J280" s="523"/>
      <c r="K280" s="523"/>
      <c r="L280" s="523"/>
      <c r="M280" s="523"/>
      <c r="N280" s="523"/>
    </row>
    <row r="281" spans="1:14">
      <c r="A281" s="523"/>
      <c r="B281" s="523"/>
      <c r="C281" s="523"/>
      <c r="D281" s="523"/>
      <c r="E281" s="523"/>
      <c r="F281" s="523"/>
      <c r="G281" s="523"/>
      <c r="H281" s="523"/>
      <c r="J281" s="523"/>
      <c r="K281" s="523"/>
      <c r="L281" s="523"/>
      <c r="M281" s="523"/>
      <c r="N281" s="523"/>
    </row>
    <row r="282" spans="1:14">
      <c r="A282" s="523"/>
      <c r="B282" s="523"/>
      <c r="C282" s="523"/>
      <c r="D282" s="523"/>
      <c r="E282" s="523"/>
      <c r="F282" s="523"/>
      <c r="G282" s="523"/>
      <c r="H282" s="523"/>
      <c r="J282" s="523"/>
      <c r="K282" s="523"/>
      <c r="L282" s="523"/>
      <c r="M282" s="523"/>
      <c r="N282" s="523"/>
    </row>
    <row r="283" spans="1:14">
      <c r="A283" s="523"/>
      <c r="B283" s="523"/>
      <c r="C283" s="523"/>
      <c r="D283" s="523"/>
      <c r="E283" s="523"/>
      <c r="F283" s="523"/>
      <c r="G283" s="523"/>
      <c r="H283" s="523"/>
      <c r="J283" s="523"/>
      <c r="K283" s="523"/>
      <c r="L283" s="523"/>
      <c r="M283" s="523"/>
      <c r="N283" s="523"/>
    </row>
    <row r="284" spans="1:14">
      <c r="A284" s="523"/>
      <c r="B284" s="523"/>
      <c r="C284" s="523"/>
      <c r="D284" s="523"/>
      <c r="E284" s="523"/>
      <c r="F284" s="523"/>
      <c r="G284" s="523"/>
      <c r="H284" s="523"/>
      <c r="J284" s="523"/>
      <c r="K284" s="523"/>
      <c r="L284" s="523"/>
      <c r="M284" s="523"/>
      <c r="N284" s="523"/>
    </row>
    <row r="285" spans="1:14">
      <c r="A285" s="523"/>
      <c r="B285" s="523"/>
      <c r="C285" s="523"/>
      <c r="D285" s="523"/>
      <c r="E285" s="523"/>
      <c r="F285" s="523"/>
      <c r="G285" s="523"/>
      <c r="H285" s="523"/>
      <c r="J285" s="523"/>
      <c r="K285" s="523"/>
      <c r="L285" s="523"/>
      <c r="M285" s="523"/>
      <c r="N285" s="523"/>
    </row>
    <row r="286" spans="1:14">
      <c r="A286" s="523"/>
      <c r="B286" s="523"/>
      <c r="C286" s="523"/>
      <c r="D286" s="523"/>
      <c r="E286" s="523"/>
      <c r="F286" s="523"/>
      <c r="G286" s="523"/>
      <c r="H286" s="523"/>
      <c r="J286" s="523"/>
      <c r="K286" s="523"/>
      <c r="L286" s="523"/>
      <c r="M286" s="523"/>
      <c r="N286" s="523"/>
    </row>
    <row r="287" spans="1:14">
      <c r="A287" s="523"/>
      <c r="B287" s="523"/>
      <c r="C287" s="523"/>
      <c r="D287" s="523"/>
      <c r="E287" s="523"/>
      <c r="F287" s="523"/>
      <c r="G287" s="523"/>
      <c r="H287" s="523"/>
      <c r="J287" s="523"/>
      <c r="K287" s="523"/>
      <c r="L287" s="523"/>
      <c r="M287" s="523"/>
      <c r="N287" s="523"/>
    </row>
    <row r="288" spans="1:14">
      <c r="A288" s="523"/>
      <c r="B288" s="523"/>
      <c r="C288" s="523"/>
      <c r="D288" s="523"/>
      <c r="E288" s="523"/>
      <c r="F288" s="523"/>
      <c r="G288" s="523"/>
      <c r="H288" s="523"/>
      <c r="J288" s="523"/>
      <c r="K288" s="523"/>
      <c r="L288" s="523"/>
      <c r="M288" s="523"/>
      <c r="N288" s="523"/>
    </row>
    <row r="289" spans="1:14">
      <c r="A289" s="523"/>
      <c r="B289" s="523"/>
      <c r="C289" s="523"/>
      <c r="D289" s="523"/>
      <c r="E289" s="523"/>
      <c r="F289" s="523"/>
      <c r="G289" s="523"/>
      <c r="H289" s="523"/>
      <c r="J289" s="523"/>
      <c r="K289" s="523"/>
      <c r="L289" s="523"/>
      <c r="M289" s="523"/>
      <c r="N289" s="523"/>
    </row>
    <row r="290" spans="1:14">
      <c r="A290" s="523"/>
      <c r="B290" s="523"/>
      <c r="C290" s="523"/>
      <c r="D290" s="523"/>
      <c r="E290" s="523"/>
      <c r="F290" s="523"/>
      <c r="G290" s="523"/>
      <c r="H290" s="523"/>
      <c r="J290" s="523"/>
      <c r="K290" s="523"/>
      <c r="L290" s="523"/>
      <c r="M290" s="523"/>
      <c r="N290" s="523"/>
    </row>
    <row r="291" spans="1:14">
      <c r="A291" s="523"/>
      <c r="B291" s="523"/>
      <c r="C291" s="523"/>
      <c r="D291" s="523"/>
      <c r="E291" s="523"/>
      <c r="F291" s="523"/>
      <c r="G291" s="523"/>
      <c r="H291" s="523"/>
      <c r="J291" s="523"/>
      <c r="K291" s="523"/>
      <c r="L291" s="523"/>
      <c r="M291" s="523"/>
      <c r="N291" s="523"/>
    </row>
    <row r="292" spans="1:14">
      <c r="A292" s="523"/>
      <c r="B292" s="523"/>
      <c r="C292" s="523"/>
      <c r="D292" s="523"/>
      <c r="E292" s="523"/>
      <c r="F292" s="523"/>
      <c r="G292" s="523"/>
      <c r="H292" s="523"/>
      <c r="J292" s="523"/>
      <c r="K292" s="523"/>
      <c r="L292" s="523"/>
      <c r="M292" s="523"/>
      <c r="N292" s="523"/>
    </row>
    <row r="293" spans="1:14">
      <c r="A293" s="523"/>
      <c r="B293" s="523"/>
      <c r="C293" s="523"/>
      <c r="D293" s="523"/>
      <c r="E293" s="523"/>
      <c r="F293" s="523"/>
      <c r="G293" s="523"/>
      <c r="H293" s="523"/>
      <c r="J293" s="523"/>
      <c r="K293" s="523"/>
      <c r="L293" s="523"/>
      <c r="M293" s="523"/>
      <c r="N293" s="523"/>
    </row>
    <row r="294" spans="1:14">
      <c r="A294" s="523"/>
      <c r="B294" s="523"/>
      <c r="C294" s="523"/>
      <c r="D294" s="523"/>
      <c r="E294" s="523"/>
      <c r="F294" s="523"/>
      <c r="G294" s="523"/>
      <c r="H294" s="523"/>
      <c r="J294" s="523"/>
      <c r="K294" s="523"/>
      <c r="L294" s="523"/>
      <c r="M294" s="523"/>
      <c r="N294" s="523"/>
    </row>
    <row r="295" spans="1:14">
      <c r="A295" s="523"/>
      <c r="B295" s="523"/>
      <c r="C295" s="523"/>
      <c r="D295" s="523"/>
      <c r="E295" s="523"/>
      <c r="F295" s="523"/>
      <c r="G295" s="523"/>
      <c r="H295" s="523"/>
      <c r="J295" s="523"/>
      <c r="K295" s="523"/>
      <c r="L295" s="523"/>
      <c r="M295" s="523"/>
      <c r="N295" s="523"/>
    </row>
    <row r="296" spans="1:14">
      <c r="A296" s="523"/>
      <c r="B296" s="523"/>
      <c r="C296" s="523"/>
      <c r="D296" s="523"/>
      <c r="E296" s="523"/>
      <c r="F296" s="523"/>
      <c r="G296" s="523"/>
      <c r="H296" s="523"/>
      <c r="J296" s="523"/>
      <c r="K296" s="523"/>
      <c r="L296" s="523"/>
      <c r="M296" s="523"/>
      <c r="N296" s="523"/>
    </row>
    <row r="297" spans="1:14">
      <c r="A297" s="523"/>
      <c r="B297" s="523"/>
      <c r="C297" s="523"/>
      <c r="D297" s="523"/>
      <c r="E297" s="523"/>
      <c r="F297" s="523"/>
      <c r="G297" s="523"/>
      <c r="H297" s="523"/>
      <c r="J297" s="523"/>
      <c r="K297" s="523"/>
      <c r="L297" s="523"/>
      <c r="M297" s="523"/>
      <c r="N297" s="523"/>
    </row>
    <row r="298" spans="1:14">
      <c r="A298" s="523"/>
      <c r="B298" s="523"/>
      <c r="C298" s="523"/>
      <c r="D298" s="523"/>
      <c r="E298" s="523"/>
      <c r="F298" s="523"/>
      <c r="G298" s="523"/>
      <c r="H298" s="523"/>
      <c r="J298" s="523"/>
      <c r="K298" s="523"/>
      <c r="L298" s="523"/>
      <c r="M298" s="523"/>
      <c r="N298" s="523"/>
    </row>
    <row r="299" spans="1:14">
      <c r="A299" s="523"/>
      <c r="B299" s="523"/>
      <c r="C299" s="523"/>
      <c r="D299" s="523"/>
      <c r="E299" s="523"/>
      <c r="F299" s="523"/>
      <c r="G299" s="523"/>
      <c r="H299" s="523"/>
      <c r="J299" s="523"/>
      <c r="K299" s="523"/>
      <c r="L299" s="523"/>
      <c r="M299" s="523"/>
      <c r="N299" s="523"/>
    </row>
    <row r="300" spans="1:14">
      <c r="A300" s="523"/>
      <c r="B300" s="523"/>
      <c r="C300" s="523"/>
      <c r="D300" s="523"/>
      <c r="E300" s="523"/>
      <c r="F300" s="523"/>
      <c r="G300" s="523"/>
      <c r="H300" s="523"/>
      <c r="J300" s="523"/>
      <c r="K300" s="523"/>
      <c r="L300" s="523"/>
      <c r="M300" s="523"/>
      <c r="N300" s="523"/>
    </row>
    <row r="301" spans="1:14">
      <c r="A301" s="523"/>
      <c r="B301" s="523"/>
      <c r="C301" s="523"/>
      <c r="D301" s="523"/>
      <c r="E301" s="523"/>
      <c r="F301" s="523"/>
      <c r="G301" s="523"/>
      <c r="H301" s="523"/>
      <c r="J301" s="523"/>
      <c r="K301" s="523"/>
      <c r="L301" s="523"/>
      <c r="M301" s="523"/>
      <c r="N301" s="523"/>
    </row>
    <row r="302" spans="1:14">
      <c r="A302" s="523"/>
      <c r="B302" s="523"/>
      <c r="C302" s="523"/>
      <c r="D302" s="523"/>
      <c r="E302" s="523"/>
      <c r="F302" s="523"/>
      <c r="G302" s="523"/>
      <c r="H302" s="523"/>
      <c r="J302" s="523"/>
      <c r="K302" s="523"/>
      <c r="L302" s="523"/>
      <c r="M302" s="523"/>
      <c r="N302" s="523"/>
    </row>
    <row r="303" spans="1:14">
      <c r="A303" s="523"/>
      <c r="B303" s="523"/>
      <c r="C303" s="523"/>
      <c r="D303" s="523"/>
      <c r="E303" s="523"/>
      <c r="F303" s="523"/>
      <c r="G303" s="523"/>
      <c r="H303" s="523"/>
      <c r="J303" s="523"/>
      <c r="K303" s="523"/>
      <c r="L303" s="523"/>
      <c r="M303" s="523"/>
      <c r="N303" s="523"/>
    </row>
    <row r="304" spans="1:14">
      <c r="A304" s="523"/>
      <c r="B304" s="523"/>
      <c r="C304" s="523"/>
      <c r="D304" s="523"/>
      <c r="E304" s="523"/>
      <c r="F304" s="523"/>
      <c r="G304" s="523"/>
      <c r="H304" s="523"/>
      <c r="J304" s="523"/>
      <c r="K304" s="523"/>
      <c r="L304" s="523"/>
      <c r="M304" s="523"/>
      <c r="N304" s="523"/>
    </row>
    <row r="305" spans="1:14">
      <c r="A305" s="523"/>
      <c r="B305" s="523"/>
      <c r="C305" s="523"/>
      <c r="D305" s="523"/>
      <c r="E305" s="523"/>
      <c r="F305" s="523"/>
      <c r="G305" s="523"/>
      <c r="H305" s="523"/>
      <c r="J305" s="523"/>
      <c r="K305" s="523"/>
      <c r="L305" s="523"/>
      <c r="M305" s="523"/>
      <c r="N305" s="523"/>
    </row>
    <row r="306" spans="1:14">
      <c r="A306" s="523"/>
      <c r="B306" s="523"/>
      <c r="C306" s="523"/>
      <c r="D306" s="523"/>
      <c r="E306" s="523"/>
      <c r="F306" s="523"/>
      <c r="G306" s="523"/>
      <c r="H306" s="523"/>
      <c r="J306" s="523"/>
      <c r="K306" s="523"/>
      <c r="L306" s="523"/>
      <c r="M306" s="523"/>
      <c r="N306" s="523"/>
    </row>
    <row r="307" spans="1:14">
      <c r="A307" s="523"/>
      <c r="B307" s="523"/>
      <c r="C307" s="523"/>
      <c r="D307" s="523"/>
      <c r="E307" s="523"/>
      <c r="F307" s="523"/>
      <c r="G307" s="523"/>
      <c r="H307" s="523"/>
      <c r="J307" s="523"/>
      <c r="K307" s="523"/>
      <c r="L307" s="523"/>
      <c r="M307" s="523"/>
      <c r="N307" s="523"/>
    </row>
    <row r="308" spans="1:14">
      <c r="A308" s="523"/>
      <c r="B308" s="523"/>
      <c r="C308" s="523"/>
      <c r="D308" s="523"/>
      <c r="E308" s="523"/>
      <c r="F308" s="523"/>
      <c r="G308" s="523"/>
      <c r="H308" s="523"/>
      <c r="J308" s="523"/>
      <c r="K308" s="523"/>
      <c r="L308" s="523"/>
      <c r="M308" s="523"/>
      <c r="N308" s="523"/>
    </row>
    <row r="309" spans="1:14">
      <c r="A309" s="523"/>
      <c r="B309" s="523"/>
      <c r="C309" s="523"/>
      <c r="D309" s="523"/>
      <c r="E309" s="523"/>
      <c r="F309" s="523"/>
      <c r="G309" s="523"/>
      <c r="H309" s="523"/>
      <c r="J309" s="523"/>
      <c r="K309" s="523"/>
      <c r="L309" s="523"/>
      <c r="M309" s="523"/>
      <c r="N309" s="523"/>
    </row>
    <row r="310" spans="1:14">
      <c r="A310" s="523"/>
      <c r="B310" s="523"/>
      <c r="C310" s="523"/>
      <c r="D310" s="523"/>
      <c r="E310" s="523"/>
      <c r="F310" s="523"/>
      <c r="G310" s="523"/>
      <c r="H310" s="523"/>
      <c r="J310" s="523"/>
      <c r="K310" s="523"/>
      <c r="L310" s="523"/>
      <c r="M310" s="523"/>
      <c r="N310" s="523"/>
    </row>
    <row r="311" spans="1:14">
      <c r="A311" s="523"/>
      <c r="B311" s="523"/>
      <c r="C311" s="523"/>
      <c r="D311" s="523"/>
      <c r="E311" s="523"/>
      <c r="F311" s="523"/>
      <c r="G311" s="523"/>
      <c r="H311" s="523"/>
      <c r="J311" s="523"/>
      <c r="K311" s="523"/>
      <c r="L311" s="523"/>
      <c r="M311" s="523"/>
      <c r="N311" s="523"/>
    </row>
    <row r="312" spans="1:14">
      <c r="A312" s="523"/>
      <c r="B312" s="523"/>
      <c r="C312" s="523"/>
      <c r="D312" s="523"/>
      <c r="E312" s="523"/>
      <c r="F312" s="523"/>
      <c r="G312" s="523"/>
      <c r="H312" s="523"/>
      <c r="J312" s="523"/>
      <c r="K312" s="523"/>
      <c r="L312" s="523"/>
      <c r="M312" s="523"/>
      <c r="N312" s="523"/>
    </row>
    <row r="313" spans="1:14">
      <c r="A313" s="523"/>
      <c r="B313" s="523"/>
      <c r="C313" s="523"/>
      <c r="D313" s="523"/>
      <c r="E313" s="523"/>
      <c r="F313" s="523"/>
      <c r="G313" s="523"/>
      <c r="H313" s="523"/>
      <c r="J313" s="523"/>
      <c r="K313" s="523"/>
      <c r="L313" s="523"/>
      <c r="M313" s="523"/>
      <c r="N313" s="523"/>
    </row>
    <row r="314" spans="1:14">
      <c r="A314" s="523"/>
      <c r="B314" s="523"/>
      <c r="C314" s="523"/>
      <c r="D314" s="523"/>
      <c r="E314" s="523"/>
      <c r="F314" s="523"/>
      <c r="G314" s="523"/>
      <c r="H314" s="523"/>
      <c r="J314" s="523"/>
      <c r="K314" s="523"/>
      <c r="L314" s="523"/>
      <c r="M314" s="523"/>
      <c r="N314" s="523"/>
    </row>
    <row r="315" spans="1:14">
      <c r="A315" s="523"/>
      <c r="B315" s="523"/>
      <c r="C315" s="523"/>
      <c r="D315" s="523"/>
      <c r="E315" s="523"/>
      <c r="F315" s="523"/>
      <c r="G315" s="523"/>
      <c r="H315" s="523"/>
      <c r="J315" s="523"/>
      <c r="K315" s="523"/>
      <c r="L315" s="523"/>
      <c r="M315" s="523"/>
      <c r="N315" s="523"/>
    </row>
    <row r="316" spans="1:14">
      <c r="A316" s="523"/>
      <c r="B316" s="523"/>
      <c r="C316" s="523"/>
      <c r="D316" s="523"/>
      <c r="E316" s="523"/>
      <c r="F316" s="523"/>
      <c r="G316" s="523"/>
      <c r="H316" s="523"/>
      <c r="J316" s="523"/>
      <c r="K316" s="523"/>
      <c r="L316" s="523"/>
      <c r="M316" s="523"/>
      <c r="N316" s="523"/>
    </row>
    <row r="317" spans="1:14">
      <c r="A317" s="523"/>
      <c r="B317" s="523"/>
      <c r="C317" s="523"/>
      <c r="D317" s="523"/>
      <c r="E317" s="523"/>
      <c r="F317" s="523"/>
      <c r="G317" s="523"/>
      <c r="H317" s="523"/>
      <c r="J317" s="523"/>
      <c r="K317" s="523"/>
      <c r="L317" s="523"/>
      <c r="M317" s="523"/>
      <c r="N317" s="523"/>
    </row>
    <row r="318" spans="1:14">
      <c r="A318" s="523"/>
      <c r="B318" s="523"/>
      <c r="C318" s="523"/>
      <c r="D318" s="523"/>
      <c r="E318" s="523"/>
      <c r="F318" s="523"/>
      <c r="G318" s="523"/>
      <c r="H318" s="523"/>
      <c r="J318" s="523"/>
      <c r="K318" s="523"/>
      <c r="L318" s="523"/>
      <c r="M318" s="523"/>
      <c r="N318" s="523"/>
    </row>
    <row r="319" spans="1:14">
      <c r="A319" s="523"/>
      <c r="B319" s="523"/>
      <c r="C319" s="523"/>
      <c r="D319" s="523"/>
      <c r="E319" s="523"/>
      <c r="F319" s="523"/>
      <c r="G319" s="523"/>
      <c r="H319" s="523"/>
      <c r="J319" s="523"/>
      <c r="K319" s="523"/>
      <c r="L319" s="523"/>
      <c r="M319" s="523"/>
      <c r="N319" s="523"/>
    </row>
    <row r="320" spans="1:14">
      <c r="A320" s="523"/>
      <c r="B320" s="523"/>
      <c r="C320" s="523"/>
      <c r="D320" s="523"/>
      <c r="E320" s="523"/>
      <c r="F320" s="523"/>
      <c r="G320" s="523"/>
      <c r="H320" s="523"/>
      <c r="J320" s="523"/>
      <c r="K320" s="523"/>
      <c r="L320" s="523"/>
      <c r="M320" s="523"/>
      <c r="N320" s="523"/>
    </row>
    <row r="321" spans="1:14">
      <c r="A321" s="523"/>
      <c r="B321" s="523"/>
      <c r="C321" s="523"/>
      <c r="D321" s="523"/>
      <c r="E321" s="523"/>
      <c r="F321" s="523"/>
      <c r="G321" s="523"/>
      <c r="H321" s="523"/>
      <c r="J321" s="523"/>
      <c r="K321" s="523"/>
      <c r="L321" s="523"/>
      <c r="M321" s="523"/>
      <c r="N321" s="523"/>
    </row>
    <row r="322" spans="1:14">
      <c r="A322" s="523"/>
      <c r="B322" s="523"/>
      <c r="C322" s="523"/>
      <c r="D322" s="523"/>
      <c r="E322" s="523"/>
      <c r="F322" s="523"/>
      <c r="G322" s="523"/>
      <c r="H322" s="523"/>
      <c r="J322" s="523"/>
      <c r="K322" s="523"/>
      <c r="L322" s="523"/>
      <c r="M322" s="523"/>
      <c r="N322" s="523"/>
    </row>
    <row r="323" spans="1:14">
      <c r="A323" s="523"/>
      <c r="B323" s="523"/>
      <c r="C323" s="523"/>
      <c r="D323" s="523"/>
      <c r="E323" s="523"/>
      <c r="F323" s="523"/>
      <c r="G323" s="523"/>
      <c r="H323" s="523"/>
      <c r="J323" s="523"/>
      <c r="K323" s="523"/>
      <c r="L323" s="523"/>
      <c r="M323" s="523"/>
      <c r="N323" s="523"/>
    </row>
    <row r="324" spans="1:14">
      <c r="A324" s="523"/>
      <c r="B324" s="523"/>
      <c r="C324" s="523"/>
      <c r="D324" s="523"/>
      <c r="E324" s="523"/>
      <c r="F324" s="523"/>
      <c r="G324" s="523"/>
      <c r="H324" s="523"/>
      <c r="J324" s="523"/>
      <c r="K324" s="523"/>
      <c r="L324" s="523"/>
      <c r="M324" s="523"/>
      <c r="N324" s="523"/>
    </row>
    <row r="325" spans="1:14">
      <c r="A325" s="523"/>
      <c r="B325" s="523"/>
      <c r="C325" s="523"/>
      <c r="D325" s="523"/>
      <c r="E325" s="523"/>
      <c r="F325" s="523"/>
      <c r="G325" s="523"/>
      <c r="H325" s="523"/>
      <c r="J325" s="523"/>
      <c r="K325" s="523"/>
      <c r="L325" s="523"/>
      <c r="M325" s="523"/>
      <c r="N325" s="523"/>
    </row>
    <row r="326" spans="1:14">
      <c r="A326" s="523"/>
      <c r="B326" s="523"/>
      <c r="C326" s="523"/>
      <c r="D326" s="523"/>
      <c r="E326" s="523"/>
      <c r="F326" s="523"/>
      <c r="G326" s="523"/>
      <c r="H326" s="523"/>
      <c r="J326" s="523"/>
      <c r="K326" s="523"/>
      <c r="L326" s="523"/>
      <c r="M326" s="523"/>
      <c r="N326" s="523"/>
    </row>
    <row r="327" spans="1:14">
      <c r="A327" s="523"/>
      <c r="B327" s="523"/>
      <c r="C327" s="523"/>
      <c r="D327" s="523"/>
      <c r="E327" s="523"/>
      <c r="F327" s="523"/>
      <c r="G327" s="523"/>
      <c r="H327" s="523"/>
      <c r="J327" s="523"/>
      <c r="K327" s="523"/>
      <c r="L327" s="523"/>
      <c r="M327" s="523"/>
      <c r="N327" s="523"/>
    </row>
    <row r="328" spans="1:14">
      <c r="A328" s="523"/>
      <c r="B328" s="523"/>
      <c r="C328" s="523"/>
      <c r="D328" s="523"/>
      <c r="E328" s="523"/>
      <c r="F328" s="523"/>
      <c r="G328" s="523"/>
      <c r="H328" s="523"/>
      <c r="J328" s="523"/>
      <c r="K328" s="523"/>
      <c r="L328" s="523"/>
      <c r="M328" s="523"/>
      <c r="N328" s="523"/>
    </row>
    <row r="329" spans="1:14">
      <c r="A329" s="523"/>
      <c r="B329" s="523"/>
      <c r="C329" s="523"/>
      <c r="D329" s="523"/>
      <c r="E329" s="523"/>
      <c r="F329" s="523"/>
      <c r="G329" s="523"/>
      <c r="H329" s="523"/>
      <c r="J329" s="523"/>
      <c r="K329" s="523"/>
      <c r="L329" s="523"/>
      <c r="M329" s="523"/>
      <c r="N329" s="523"/>
    </row>
    <row r="330" spans="1:14">
      <c r="A330" s="523"/>
      <c r="B330" s="523"/>
      <c r="C330" s="523"/>
      <c r="D330" s="523"/>
      <c r="E330" s="523"/>
      <c r="F330" s="523"/>
      <c r="G330" s="523"/>
      <c r="H330" s="523"/>
      <c r="J330" s="523"/>
      <c r="K330" s="523"/>
      <c r="L330" s="523"/>
      <c r="M330" s="523"/>
      <c r="N330" s="523"/>
    </row>
    <row r="331" spans="1:14">
      <c r="A331" s="523"/>
      <c r="B331" s="523"/>
      <c r="C331" s="523"/>
      <c r="D331" s="523"/>
      <c r="E331" s="523"/>
      <c r="F331" s="523"/>
      <c r="G331" s="523"/>
      <c r="H331" s="523"/>
      <c r="J331" s="523"/>
      <c r="K331" s="523"/>
      <c r="L331" s="523"/>
      <c r="M331" s="523"/>
      <c r="N331" s="523"/>
    </row>
    <row r="332" spans="1:14">
      <c r="A332" s="523"/>
      <c r="B332" s="523"/>
      <c r="C332" s="523"/>
      <c r="D332" s="523"/>
      <c r="E332" s="523"/>
      <c r="F332" s="523"/>
      <c r="G332" s="523"/>
      <c r="H332" s="523"/>
      <c r="J332" s="523"/>
      <c r="K332" s="523"/>
      <c r="L332" s="523"/>
      <c r="M332" s="523"/>
      <c r="N332" s="523"/>
    </row>
    <row r="333" spans="1:14">
      <c r="A333" s="523"/>
      <c r="B333" s="523"/>
      <c r="C333" s="523"/>
      <c r="D333" s="523"/>
      <c r="E333" s="523"/>
      <c r="F333" s="523"/>
      <c r="G333" s="523"/>
      <c r="H333" s="523"/>
      <c r="J333" s="523"/>
      <c r="K333" s="523"/>
      <c r="L333" s="523"/>
      <c r="M333" s="523"/>
      <c r="N333" s="523"/>
    </row>
    <row r="334" spans="1:14">
      <c r="A334" s="523"/>
      <c r="B334" s="523"/>
      <c r="C334" s="523"/>
      <c r="D334" s="523"/>
      <c r="E334" s="523"/>
      <c r="F334" s="523"/>
      <c r="G334" s="523"/>
      <c r="H334" s="523"/>
      <c r="J334" s="523"/>
      <c r="K334" s="523"/>
      <c r="L334" s="523"/>
      <c r="M334" s="523"/>
      <c r="N334" s="523"/>
    </row>
    <row r="335" spans="1:14">
      <c r="A335" s="523"/>
      <c r="B335" s="523"/>
      <c r="C335" s="523"/>
      <c r="D335" s="523"/>
      <c r="E335" s="523"/>
      <c r="F335" s="523"/>
      <c r="G335" s="523"/>
      <c r="H335" s="523"/>
      <c r="J335" s="523"/>
      <c r="K335" s="523"/>
      <c r="L335" s="523"/>
      <c r="M335" s="523"/>
      <c r="N335" s="523"/>
    </row>
    <row r="336" spans="1:14">
      <c r="A336" s="523"/>
      <c r="B336" s="523"/>
      <c r="C336" s="523"/>
      <c r="D336" s="523"/>
      <c r="E336" s="523"/>
      <c r="F336" s="523"/>
      <c r="G336" s="523"/>
      <c r="H336" s="523"/>
      <c r="J336" s="523"/>
      <c r="K336" s="523"/>
      <c r="L336" s="523"/>
      <c r="M336" s="523"/>
      <c r="N336" s="523"/>
    </row>
    <row r="337" spans="1:14">
      <c r="A337" s="523"/>
      <c r="B337" s="523"/>
      <c r="C337" s="523"/>
      <c r="D337" s="523"/>
      <c r="E337" s="523"/>
      <c r="F337" s="523"/>
      <c r="G337" s="523"/>
      <c r="H337" s="523"/>
      <c r="J337" s="523"/>
      <c r="K337" s="523"/>
      <c r="L337" s="523"/>
      <c r="M337" s="523"/>
      <c r="N337" s="523"/>
    </row>
    <row r="338" spans="1:14">
      <c r="A338" s="523"/>
      <c r="B338" s="523"/>
      <c r="C338" s="523"/>
      <c r="D338" s="523"/>
      <c r="E338" s="523"/>
      <c r="F338" s="523"/>
      <c r="G338" s="523"/>
      <c r="H338" s="523"/>
      <c r="J338" s="523"/>
      <c r="K338" s="523"/>
      <c r="L338" s="523"/>
      <c r="M338" s="523"/>
      <c r="N338" s="523"/>
    </row>
    <row r="339" spans="1:14">
      <c r="A339" s="523"/>
      <c r="B339" s="523"/>
      <c r="C339" s="523"/>
      <c r="D339" s="523"/>
      <c r="E339" s="523"/>
      <c r="F339" s="523"/>
      <c r="G339" s="523"/>
      <c r="H339" s="523"/>
      <c r="J339" s="523"/>
      <c r="K339" s="523"/>
      <c r="L339" s="523"/>
      <c r="M339" s="523"/>
      <c r="N339" s="523"/>
    </row>
    <row r="340" spans="1:14">
      <c r="A340" s="523"/>
      <c r="B340" s="523"/>
      <c r="C340" s="523"/>
      <c r="D340" s="523"/>
      <c r="E340" s="523"/>
      <c r="F340" s="523"/>
      <c r="G340" s="523"/>
      <c r="H340" s="523"/>
      <c r="J340" s="523"/>
      <c r="K340" s="523"/>
      <c r="L340" s="523"/>
      <c r="M340" s="523"/>
      <c r="N340" s="523"/>
    </row>
    <row r="341" spans="1:14">
      <c r="A341" s="523"/>
      <c r="B341" s="523"/>
      <c r="C341" s="523"/>
      <c r="D341" s="523"/>
      <c r="E341" s="523"/>
      <c r="F341" s="523"/>
      <c r="G341" s="523"/>
      <c r="H341" s="523"/>
      <c r="J341" s="523"/>
      <c r="K341" s="523"/>
      <c r="L341" s="523"/>
      <c r="M341" s="523"/>
      <c r="N341" s="523"/>
    </row>
    <row r="342" spans="1:14">
      <c r="A342" s="523"/>
      <c r="B342" s="523"/>
      <c r="C342" s="523"/>
      <c r="D342" s="523"/>
      <c r="E342" s="523"/>
      <c r="F342" s="523"/>
      <c r="G342" s="523"/>
      <c r="H342" s="523"/>
      <c r="J342" s="523"/>
      <c r="K342" s="523"/>
      <c r="L342" s="523"/>
      <c r="M342" s="523"/>
      <c r="N342" s="523"/>
    </row>
    <row r="343" spans="1:14">
      <c r="A343" s="523"/>
      <c r="B343" s="523"/>
      <c r="C343" s="523"/>
      <c r="D343" s="523"/>
      <c r="E343" s="523"/>
      <c r="F343" s="523"/>
      <c r="G343" s="523"/>
      <c r="H343" s="523"/>
      <c r="J343" s="523"/>
      <c r="K343" s="523"/>
      <c r="L343" s="523"/>
      <c r="M343" s="523"/>
      <c r="N343" s="523"/>
    </row>
    <row r="344" spans="1:14">
      <c r="A344" s="523"/>
      <c r="B344" s="523"/>
      <c r="C344" s="523"/>
      <c r="D344" s="523"/>
      <c r="E344" s="523"/>
      <c r="F344" s="523"/>
      <c r="G344" s="523"/>
      <c r="H344" s="523"/>
      <c r="J344" s="523"/>
      <c r="K344" s="523"/>
      <c r="L344" s="523"/>
      <c r="M344" s="523"/>
      <c r="N344" s="523"/>
    </row>
    <row r="345" spans="1:14">
      <c r="A345" s="523"/>
      <c r="B345" s="523"/>
      <c r="C345" s="523"/>
      <c r="D345" s="523"/>
      <c r="E345" s="523"/>
      <c r="F345" s="523"/>
      <c r="G345" s="523"/>
      <c r="H345" s="523"/>
      <c r="J345" s="523"/>
      <c r="K345" s="523"/>
      <c r="L345" s="523"/>
      <c r="M345" s="523"/>
      <c r="N345" s="523"/>
    </row>
    <row r="346" spans="1:14">
      <c r="A346" s="523"/>
      <c r="B346" s="523"/>
      <c r="C346" s="523"/>
      <c r="D346" s="523"/>
      <c r="E346" s="523"/>
      <c r="F346" s="523"/>
      <c r="G346" s="523"/>
      <c r="H346" s="523"/>
      <c r="J346" s="523"/>
      <c r="K346" s="523"/>
      <c r="L346" s="523"/>
      <c r="M346" s="523"/>
      <c r="N346" s="523"/>
    </row>
    <row r="347" spans="1:14">
      <c r="A347" s="523"/>
      <c r="B347" s="523"/>
      <c r="C347" s="523"/>
      <c r="D347" s="523"/>
      <c r="E347" s="523"/>
      <c r="F347" s="523"/>
      <c r="G347" s="523"/>
      <c r="H347" s="523"/>
      <c r="J347" s="523"/>
      <c r="K347" s="523"/>
      <c r="L347" s="523"/>
      <c r="M347" s="523"/>
      <c r="N347" s="523"/>
    </row>
    <row r="348" spans="1:14">
      <c r="A348" s="523"/>
      <c r="B348" s="523"/>
      <c r="C348" s="523"/>
      <c r="D348" s="523"/>
      <c r="E348" s="523"/>
      <c r="F348" s="523"/>
      <c r="G348" s="523"/>
      <c r="H348" s="523"/>
      <c r="J348" s="523"/>
      <c r="K348" s="523"/>
      <c r="L348" s="523"/>
      <c r="M348" s="523"/>
      <c r="N348" s="523"/>
    </row>
    <row r="349" spans="1:14">
      <c r="A349" s="523"/>
      <c r="B349" s="523"/>
      <c r="C349" s="523"/>
      <c r="D349" s="523"/>
      <c r="E349" s="523"/>
      <c r="F349" s="523"/>
      <c r="G349" s="523"/>
      <c r="H349" s="523"/>
      <c r="J349" s="523"/>
      <c r="K349" s="523"/>
      <c r="L349" s="523"/>
      <c r="M349" s="523"/>
      <c r="N349" s="523"/>
    </row>
    <row r="350" spans="1:14">
      <c r="A350" s="523"/>
      <c r="B350" s="523"/>
      <c r="C350" s="523"/>
      <c r="D350" s="523"/>
      <c r="E350" s="523"/>
      <c r="F350" s="523"/>
      <c r="G350" s="523"/>
      <c r="H350" s="523"/>
      <c r="J350" s="523"/>
      <c r="K350" s="523"/>
      <c r="L350" s="523"/>
      <c r="M350" s="523"/>
      <c r="N350" s="523"/>
    </row>
    <row r="351" spans="1:14">
      <c r="A351" s="523"/>
      <c r="B351" s="523"/>
      <c r="C351" s="523"/>
      <c r="D351" s="523"/>
      <c r="E351" s="523"/>
      <c r="F351" s="523"/>
      <c r="G351" s="523"/>
      <c r="H351" s="523"/>
      <c r="J351" s="523"/>
      <c r="K351" s="523"/>
      <c r="L351" s="523"/>
      <c r="M351" s="523"/>
      <c r="N351" s="523"/>
    </row>
    <row r="352" spans="1:14">
      <c r="A352" s="523"/>
      <c r="B352" s="523"/>
      <c r="C352" s="523"/>
      <c r="D352" s="523"/>
      <c r="E352" s="523"/>
      <c r="F352" s="523"/>
      <c r="G352" s="523"/>
      <c r="H352" s="523"/>
      <c r="J352" s="523"/>
      <c r="K352" s="523"/>
      <c r="L352" s="523"/>
      <c r="M352" s="523"/>
      <c r="N352" s="523"/>
    </row>
    <row r="353" spans="1:14">
      <c r="A353" s="523"/>
      <c r="B353" s="523"/>
      <c r="C353" s="523"/>
      <c r="D353" s="523"/>
      <c r="E353" s="523"/>
      <c r="F353" s="523"/>
      <c r="G353" s="523"/>
      <c r="H353" s="523"/>
      <c r="J353" s="523"/>
      <c r="K353" s="523"/>
      <c r="L353" s="523"/>
      <c r="M353" s="523"/>
      <c r="N353" s="523"/>
    </row>
    <row r="354" spans="1:14">
      <c r="A354" s="523"/>
      <c r="B354" s="523"/>
      <c r="C354" s="523"/>
      <c r="D354" s="523"/>
      <c r="E354" s="523"/>
      <c r="F354" s="523"/>
      <c r="G354" s="523"/>
      <c r="H354" s="523"/>
      <c r="J354" s="523"/>
      <c r="K354" s="523"/>
      <c r="L354" s="523"/>
      <c r="M354" s="523"/>
      <c r="N354" s="523"/>
    </row>
    <row r="355" spans="1:14">
      <c r="A355" s="523"/>
      <c r="B355" s="523"/>
      <c r="C355" s="523"/>
      <c r="D355" s="523"/>
      <c r="E355" s="523"/>
      <c r="F355" s="523"/>
      <c r="G355" s="523"/>
      <c r="H355" s="523"/>
      <c r="J355" s="523"/>
      <c r="K355" s="523"/>
      <c r="L355" s="523"/>
      <c r="M355" s="523"/>
      <c r="N355" s="523"/>
    </row>
    <row r="356" spans="1:14">
      <c r="A356" s="523"/>
      <c r="B356" s="523"/>
      <c r="C356" s="523"/>
      <c r="D356" s="523"/>
      <c r="E356" s="523"/>
      <c r="F356" s="523"/>
      <c r="G356" s="523"/>
      <c r="H356" s="523"/>
      <c r="J356" s="523"/>
      <c r="K356" s="523"/>
      <c r="L356" s="523"/>
      <c r="M356" s="523"/>
      <c r="N356" s="523"/>
    </row>
    <row r="357" spans="1:14">
      <c r="A357" s="523"/>
      <c r="B357" s="523"/>
      <c r="C357" s="523"/>
      <c r="D357" s="523"/>
      <c r="E357" s="523"/>
      <c r="F357" s="523"/>
      <c r="G357" s="523"/>
      <c r="H357" s="523"/>
      <c r="J357" s="523"/>
      <c r="K357" s="523"/>
      <c r="L357" s="523"/>
      <c r="M357" s="523"/>
      <c r="N357" s="523"/>
    </row>
    <row r="358" spans="1:14">
      <c r="A358" s="523"/>
      <c r="B358" s="523"/>
      <c r="C358" s="523"/>
      <c r="D358" s="523"/>
      <c r="E358" s="523"/>
      <c r="F358" s="523"/>
      <c r="G358" s="523"/>
      <c r="H358" s="523"/>
      <c r="J358" s="523"/>
      <c r="K358" s="523"/>
      <c r="L358" s="523"/>
      <c r="M358" s="523"/>
      <c r="N358" s="523"/>
    </row>
    <row r="359" spans="1:14">
      <c r="A359" s="523"/>
      <c r="B359" s="523"/>
      <c r="C359" s="523"/>
      <c r="D359" s="523"/>
      <c r="E359" s="523"/>
      <c r="F359" s="523"/>
      <c r="G359" s="523"/>
      <c r="H359" s="523"/>
      <c r="J359" s="523"/>
      <c r="K359" s="523"/>
      <c r="L359" s="523"/>
      <c r="M359" s="523"/>
      <c r="N359" s="523"/>
    </row>
    <row r="360" spans="1:14">
      <c r="A360" s="523"/>
      <c r="B360" s="523"/>
      <c r="C360" s="523"/>
      <c r="D360" s="523"/>
      <c r="E360" s="523"/>
      <c r="F360" s="523"/>
      <c r="G360" s="523"/>
      <c r="H360" s="523"/>
      <c r="J360" s="523"/>
      <c r="K360" s="523"/>
      <c r="L360" s="523"/>
      <c r="M360" s="523"/>
      <c r="N360" s="523"/>
    </row>
    <row r="361" spans="1:14">
      <c r="A361" s="523"/>
      <c r="B361" s="523"/>
      <c r="C361" s="523"/>
      <c r="D361" s="523"/>
      <c r="E361" s="523"/>
      <c r="F361" s="523"/>
      <c r="G361" s="523"/>
      <c r="H361" s="523"/>
      <c r="J361" s="523"/>
      <c r="K361" s="523"/>
      <c r="L361" s="523"/>
      <c r="M361" s="523"/>
      <c r="N361" s="523"/>
    </row>
    <row r="362" spans="1:14">
      <c r="A362" s="523"/>
      <c r="B362" s="523"/>
      <c r="C362" s="523"/>
      <c r="D362" s="523"/>
      <c r="E362" s="523"/>
      <c r="F362" s="523"/>
      <c r="G362" s="523"/>
      <c r="H362" s="523"/>
      <c r="J362" s="523"/>
      <c r="K362" s="523"/>
      <c r="L362" s="523"/>
      <c r="M362" s="523"/>
      <c r="N362" s="523"/>
    </row>
    <row r="363" spans="1:14">
      <c r="A363" s="523"/>
      <c r="B363" s="523"/>
      <c r="C363" s="523"/>
      <c r="D363" s="523"/>
      <c r="E363" s="523"/>
      <c r="F363" s="523"/>
      <c r="G363" s="523"/>
      <c r="H363" s="523"/>
      <c r="J363" s="523"/>
      <c r="K363" s="523"/>
      <c r="L363" s="523"/>
      <c r="M363" s="523"/>
      <c r="N363" s="523"/>
    </row>
    <row r="364" spans="1:14">
      <c r="A364" s="523"/>
      <c r="B364" s="523"/>
      <c r="C364" s="523"/>
      <c r="D364" s="523"/>
      <c r="E364" s="523"/>
      <c r="F364" s="523"/>
      <c r="G364" s="523"/>
      <c r="H364" s="523"/>
      <c r="J364" s="523"/>
      <c r="K364" s="523"/>
      <c r="L364" s="523"/>
      <c r="M364" s="523"/>
      <c r="N364" s="523"/>
    </row>
    <row r="365" spans="1:14">
      <c r="A365" s="523"/>
      <c r="B365" s="523"/>
      <c r="C365" s="523"/>
      <c r="D365" s="523"/>
      <c r="E365" s="523"/>
      <c r="F365" s="523"/>
      <c r="G365" s="523"/>
      <c r="H365" s="523"/>
      <c r="J365" s="523"/>
      <c r="K365" s="523"/>
      <c r="L365" s="523"/>
      <c r="M365" s="523"/>
      <c r="N365" s="523"/>
    </row>
    <row r="366" spans="1:14">
      <c r="A366" s="523"/>
      <c r="B366" s="523"/>
      <c r="C366" s="523"/>
      <c r="D366" s="523"/>
      <c r="E366" s="523"/>
      <c r="F366" s="523"/>
      <c r="G366" s="523"/>
      <c r="H366" s="523"/>
      <c r="J366" s="523"/>
      <c r="K366" s="523"/>
      <c r="L366" s="523"/>
      <c r="M366" s="523"/>
      <c r="N366" s="523"/>
    </row>
    <row r="367" spans="1:14">
      <c r="A367" s="523"/>
      <c r="B367" s="523"/>
      <c r="C367" s="523"/>
      <c r="D367" s="523"/>
      <c r="E367" s="523"/>
      <c r="F367" s="523"/>
      <c r="G367" s="523"/>
      <c r="H367" s="523"/>
      <c r="J367" s="523"/>
      <c r="K367" s="523"/>
      <c r="L367" s="523"/>
      <c r="M367" s="523"/>
      <c r="N367" s="523"/>
    </row>
    <row r="368" spans="1:14">
      <c r="A368" s="523"/>
      <c r="B368" s="523"/>
      <c r="C368" s="523"/>
      <c r="D368" s="523"/>
      <c r="E368" s="523"/>
      <c r="F368" s="523"/>
      <c r="G368" s="523"/>
      <c r="H368" s="523"/>
      <c r="J368" s="523"/>
      <c r="K368" s="523"/>
      <c r="L368" s="523"/>
      <c r="M368" s="523"/>
      <c r="N368" s="523"/>
    </row>
    <row r="369" spans="1:14">
      <c r="A369" s="523"/>
      <c r="B369" s="523"/>
      <c r="C369" s="523"/>
      <c r="D369" s="523"/>
      <c r="E369" s="523"/>
      <c r="F369" s="523"/>
      <c r="G369" s="523"/>
      <c r="H369" s="523"/>
      <c r="J369" s="523"/>
      <c r="K369" s="523"/>
      <c r="L369" s="523"/>
      <c r="M369" s="523"/>
      <c r="N369" s="523"/>
    </row>
    <row r="370" spans="1:14">
      <c r="A370" s="523"/>
      <c r="B370" s="523"/>
      <c r="C370" s="523"/>
      <c r="D370" s="523"/>
      <c r="E370" s="523"/>
      <c r="F370" s="523"/>
      <c r="G370" s="523"/>
      <c r="H370" s="523"/>
      <c r="J370" s="523"/>
      <c r="K370" s="523"/>
      <c r="L370" s="523"/>
      <c r="M370" s="523"/>
      <c r="N370" s="523"/>
    </row>
    <row r="371" spans="1:14">
      <c r="A371" s="523"/>
      <c r="B371" s="523"/>
      <c r="C371" s="523"/>
      <c r="D371" s="523"/>
      <c r="E371" s="523"/>
      <c r="F371" s="523"/>
      <c r="G371" s="523"/>
      <c r="H371" s="523"/>
      <c r="J371" s="523"/>
      <c r="K371" s="523"/>
      <c r="L371" s="523"/>
      <c r="M371" s="523"/>
      <c r="N371" s="523"/>
    </row>
    <row r="372" spans="1:14">
      <c r="A372" s="523"/>
      <c r="B372" s="523"/>
      <c r="C372" s="523"/>
      <c r="D372" s="523"/>
      <c r="E372" s="523"/>
      <c r="F372" s="523"/>
      <c r="G372" s="523"/>
      <c r="H372" s="523"/>
      <c r="J372" s="523"/>
      <c r="K372" s="523"/>
      <c r="L372" s="523"/>
      <c r="M372" s="523"/>
      <c r="N372" s="523"/>
    </row>
    <row r="373" spans="1:14">
      <c r="A373" s="523"/>
      <c r="B373" s="523"/>
      <c r="C373" s="523"/>
      <c r="D373" s="523"/>
      <c r="E373" s="523"/>
      <c r="F373" s="523"/>
      <c r="G373" s="523"/>
      <c r="H373" s="523"/>
      <c r="J373" s="523"/>
      <c r="K373" s="523"/>
      <c r="L373" s="523"/>
      <c r="M373" s="523"/>
      <c r="N373" s="523"/>
    </row>
    <row r="374" spans="1:14">
      <c r="A374" s="523"/>
      <c r="B374" s="523"/>
      <c r="C374" s="523"/>
      <c r="D374" s="523"/>
      <c r="E374" s="523"/>
      <c r="F374" s="523"/>
      <c r="G374" s="523"/>
      <c r="H374" s="523"/>
      <c r="J374" s="523"/>
      <c r="K374" s="523"/>
      <c r="L374" s="523"/>
      <c r="M374" s="523"/>
      <c r="N374" s="523"/>
    </row>
    <row r="375" spans="1:14">
      <c r="A375" s="523"/>
      <c r="B375" s="523"/>
      <c r="C375" s="523"/>
      <c r="D375" s="523"/>
      <c r="E375" s="523"/>
      <c r="F375" s="523"/>
      <c r="G375" s="523"/>
      <c r="H375" s="523"/>
      <c r="J375" s="523"/>
      <c r="K375" s="523"/>
      <c r="L375" s="523"/>
      <c r="M375" s="523"/>
      <c r="N375" s="523"/>
    </row>
    <row r="376" spans="1:14">
      <c r="A376" s="523"/>
      <c r="B376" s="523"/>
      <c r="C376" s="523"/>
      <c r="D376" s="523"/>
      <c r="E376" s="523"/>
      <c r="F376" s="523"/>
      <c r="G376" s="523"/>
      <c r="H376" s="523"/>
      <c r="J376" s="523"/>
      <c r="K376" s="523"/>
      <c r="L376" s="523"/>
      <c r="M376" s="523"/>
      <c r="N376" s="523"/>
    </row>
    <row r="377" spans="1:14">
      <c r="A377" s="523"/>
      <c r="B377" s="523"/>
      <c r="C377" s="523"/>
      <c r="D377" s="523"/>
      <c r="E377" s="523"/>
      <c r="F377" s="523"/>
      <c r="G377" s="523"/>
      <c r="H377" s="523"/>
      <c r="J377" s="523"/>
      <c r="K377" s="523"/>
      <c r="L377" s="523"/>
      <c r="M377" s="523"/>
      <c r="N377" s="523"/>
    </row>
    <row r="378" spans="1:14">
      <c r="A378" s="523"/>
      <c r="B378" s="523"/>
      <c r="C378" s="523"/>
      <c r="D378" s="523"/>
      <c r="E378" s="523"/>
      <c r="F378" s="523"/>
      <c r="G378" s="523"/>
      <c r="H378" s="523"/>
      <c r="J378" s="523"/>
      <c r="K378" s="523"/>
      <c r="L378" s="523"/>
      <c r="M378" s="523"/>
      <c r="N378" s="523"/>
    </row>
    <row r="379" spans="1:14">
      <c r="A379" s="523"/>
      <c r="B379" s="523"/>
      <c r="C379" s="523"/>
      <c r="D379" s="523"/>
      <c r="E379" s="523"/>
      <c r="F379" s="523"/>
      <c r="G379" s="523"/>
      <c r="H379" s="523"/>
      <c r="J379" s="523"/>
      <c r="K379" s="523"/>
      <c r="L379" s="523"/>
      <c r="M379" s="523"/>
      <c r="N379" s="523"/>
    </row>
    <row r="380" spans="1:14">
      <c r="A380" s="523"/>
      <c r="B380" s="523"/>
      <c r="C380" s="523"/>
      <c r="D380" s="523"/>
      <c r="E380" s="523"/>
      <c r="F380" s="523"/>
      <c r="G380" s="523"/>
      <c r="H380" s="523"/>
      <c r="J380" s="523"/>
      <c r="K380" s="523"/>
      <c r="L380" s="523"/>
      <c r="M380" s="523"/>
      <c r="N380" s="523"/>
    </row>
    <row r="381" spans="1:14">
      <c r="A381" s="523"/>
      <c r="B381" s="523"/>
      <c r="C381" s="523"/>
      <c r="D381" s="523"/>
      <c r="E381" s="523"/>
      <c r="F381" s="523"/>
      <c r="G381" s="523"/>
      <c r="H381" s="523"/>
      <c r="J381" s="523"/>
      <c r="K381" s="523"/>
      <c r="L381" s="523"/>
      <c r="M381" s="523"/>
      <c r="N381" s="523"/>
    </row>
    <row r="382" spans="1:14">
      <c r="A382" s="523"/>
      <c r="B382" s="523"/>
      <c r="C382" s="523"/>
      <c r="D382" s="523"/>
      <c r="E382" s="523"/>
      <c r="F382" s="523"/>
      <c r="G382" s="523"/>
      <c r="H382" s="523"/>
      <c r="J382" s="523"/>
      <c r="K382" s="523"/>
      <c r="L382" s="523"/>
      <c r="M382" s="523"/>
      <c r="N382" s="523"/>
    </row>
    <row r="383" spans="1:14">
      <c r="A383" s="523"/>
      <c r="B383" s="523"/>
      <c r="C383" s="523"/>
      <c r="D383" s="523"/>
      <c r="E383" s="523"/>
      <c r="F383" s="523"/>
      <c r="G383" s="523"/>
      <c r="H383" s="523"/>
      <c r="J383" s="523"/>
      <c r="K383" s="523"/>
      <c r="L383" s="523"/>
      <c r="M383" s="523"/>
      <c r="N383" s="523"/>
    </row>
    <row r="384" spans="1:14">
      <c r="A384" s="523"/>
      <c r="B384" s="523"/>
      <c r="C384" s="523"/>
      <c r="D384" s="523"/>
      <c r="E384" s="523"/>
      <c r="F384" s="523"/>
      <c r="G384" s="523"/>
      <c r="H384" s="523"/>
      <c r="J384" s="523"/>
      <c r="K384" s="523"/>
      <c r="L384" s="523"/>
      <c r="M384" s="523"/>
      <c r="N384" s="523"/>
    </row>
    <row r="385" spans="1:14">
      <c r="A385" s="523"/>
      <c r="B385" s="523"/>
      <c r="C385" s="523"/>
      <c r="D385" s="523"/>
      <c r="E385" s="523"/>
      <c r="F385" s="523"/>
      <c r="G385" s="523"/>
      <c r="H385" s="523"/>
      <c r="J385" s="523"/>
      <c r="K385" s="523"/>
      <c r="L385" s="523"/>
      <c r="M385" s="523"/>
      <c r="N385" s="523"/>
    </row>
    <row r="386" spans="1:14">
      <c r="A386" s="523"/>
      <c r="B386" s="523"/>
      <c r="C386" s="523"/>
      <c r="D386" s="523"/>
      <c r="E386" s="523"/>
      <c r="F386" s="523"/>
      <c r="G386" s="523"/>
      <c r="H386" s="523"/>
      <c r="J386" s="523"/>
      <c r="K386" s="523"/>
      <c r="L386" s="523"/>
      <c r="M386" s="523"/>
      <c r="N386" s="523"/>
    </row>
    <row r="387" spans="1:14">
      <c r="A387" s="523"/>
      <c r="B387" s="523"/>
      <c r="C387" s="523"/>
      <c r="D387" s="523"/>
      <c r="E387" s="523"/>
      <c r="F387" s="523"/>
      <c r="G387" s="523"/>
      <c r="H387" s="523"/>
      <c r="J387" s="523"/>
      <c r="K387" s="523"/>
      <c r="L387" s="523"/>
      <c r="M387" s="523"/>
      <c r="N387" s="523"/>
    </row>
    <row r="388" spans="1:14">
      <c r="A388" s="523"/>
      <c r="B388" s="523"/>
      <c r="C388" s="523"/>
      <c r="D388" s="523"/>
      <c r="E388" s="523"/>
      <c r="F388" s="523"/>
      <c r="G388" s="523"/>
      <c r="H388" s="523"/>
      <c r="J388" s="523"/>
      <c r="K388" s="523"/>
      <c r="L388" s="523"/>
      <c r="M388" s="523"/>
      <c r="N388" s="523"/>
    </row>
    <row r="389" spans="1:14">
      <c r="A389" s="523"/>
      <c r="B389" s="523"/>
      <c r="C389" s="523"/>
      <c r="D389" s="523"/>
      <c r="E389" s="523"/>
      <c r="F389" s="523"/>
      <c r="G389" s="523"/>
      <c r="H389" s="523"/>
      <c r="J389" s="523"/>
      <c r="K389" s="523"/>
      <c r="L389" s="523"/>
      <c r="M389" s="523"/>
      <c r="N389" s="523"/>
    </row>
    <row r="390" spans="1:14">
      <c r="A390" s="523"/>
      <c r="B390" s="523"/>
      <c r="C390" s="523"/>
      <c r="D390" s="523"/>
      <c r="E390" s="523"/>
      <c r="F390" s="523"/>
      <c r="G390" s="523"/>
      <c r="H390" s="523"/>
      <c r="J390" s="523"/>
      <c r="K390" s="523"/>
      <c r="L390" s="523"/>
      <c r="M390" s="523"/>
      <c r="N390" s="523"/>
    </row>
    <row r="391" spans="1:14">
      <c r="A391" s="523"/>
      <c r="B391" s="523"/>
      <c r="C391" s="523"/>
      <c r="D391" s="523"/>
      <c r="E391" s="523"/>
      <c r="F391" s="523"/>
      <c r="G391" s="523"/>
      <c r="H391" s="523"/>
      <c r="J391" s="523"/>
      <c r="K391" s="523"/>
      <c r="L391" s="523"/>
      <c r="M391" s="523"/>
      <c r="N391" s="523"/>
    </row>
    <row r="392" spans="1:14">
      <c r="A392" s="523"/>
      <c r="B392" s="523"/>
      <c r="C392" s="523"/>
      <c r="D392" s="523"/>
      <c r="E392" s="523"/>
      <c r="F392" s="523"/>
      <c r="G392" s="523"/>
      <c r="H392" s="523"/>
      <c r="J392" s="523"/>
      <c r="K392" s="523"/>
      <c r="L392" s="523"/>
      <c r="M392" s="523"/>
      <c r="N392" s="523"/>
    </row>
    <row r="393" spans="1:14">
      <c r="A393" s="523"/>
      <c r="B393" s="523"/>
      <c r="C393" s="523"/>
      <c r="D393" s="523"/>
      <c r="E393" s="523"/>
      <c r="F393" s="523"/>
      <c r="G393" s="523"/>
      <c r="H393" s="523"/>
      <c r="J393" s="523"/>
      <c r="K393" s="523"/>
      <c r="L393" s="523"/>
      <c r="M393" s="523"/>
      <c r="N393" s="523"/>
    </row>
    <row r="394" spans="1:14">
      <c r="A394" s="523"/>
      <c r="B394" s="523"/>
      <c r="C394" s="523"/>
      <c r="D394" s="523"/>
      <c r="E394" s="523"/>
      <c r="F394" s="523"/>
      <c r="G394" s="523"/>
      <c r="H394" s="523"/>
      <c r="J394" s="523"/>
      <c r="K394" s="523"/>
      <c r="L394" s="523"/>
      <c r="M394" s="523"/>
      <c r="N394" s="523"/>
    </row>
    <row r="395" spans="1:14">
      <c r="A395" s="523"/>
      <c r="B395" s="523"/>
      <c r="C395" s="523"/>
      <c r="D395" s="523"/>
      <c r="E395" s="523"/>
      <c r="F395" s="523"/>
      <c r="G395" s="523"/>
      <c r="H395" s="523"/>
      <c r="J395" s="523"/>
      <c r="K395" s="523"/>
      <c r="L395" s="523"/>
      <c r="M395" s="523"/>
      <c r="N395" s="523"/>
    </row>
    <row r="396" spans="1:14">
      <c r="A396" s="523"/>
      <c r="B396" s="523"/>
      <c r="C396" s="523"/>
      <c r="D396" s="523"/>
      <c r="E396" s="523"/>
      <c r="F396" s="523"/>
      <c r="G396" s="523"/>
      <c r="H396" s="523"/>
      <c r="J396" s="523"/>
      <c r="K396" s="523"/>
      <c r="L396" s="523"/>
      <c r="M396" s="523"/>
      <c r="N396" s="523"/>
    </row>
    <row r="397" spans="1:14">
      <c r="A397" s="523"/>
      <c r="B397" s="523"/>
      <c r="C397" s="523"/>
      <c r="D397" s="523"/>
      <c r="E397" s="523"/>
      <c r="F397" s="523"/>
      <c r="G397" s="523"/>
      <c r="H397" s="523"/>
      <c r="J397" s="523"/>
      <c r="K397" s="523"/>
      <c r="L397" s="523"/>
      <c r="M397" s="523"/>
      <c r="N397" s="523"/>
    </row>
    <row r="398" spans="1:14">
      <c r="A398" s="523"/>
      <c r="B398" s="523"/>
      <c r="C398" s="523"/>
      <c r="D398" s="523"/>
      <c r="E398" s="523"/>
      <c r="F398" s="523"/>
      <c r="G398" s="523"/>
      <c r="H398" s="523"/>
      <c r="J398" s="523"/>
      <c r="K398" s="523"/>
      <c r="L398" s="523"/>
      <c r="M398" s="523"/>
      <c r="N398" s="523"/>
    </row>
    <row r="399" spans="1:14">
      <c r="A399" s="523"/>
      <c r="B399" s="523"/>
      <c r="C399" s="523"/>
      <c r="D399" s="523"/>
      <c r="E399" s="523"/>
      <c r="F399" s="523"/>
      <c r="G399" s="523"/>
      <c r="H399" s="523"/>
      <c r="J399" s="523"/>
      <c r="K399" s="523"/>
      <c r="L399" s="523"/>
      <c r="M399" s="523"/>
      <c r="N399" s="523"/>
    </row>
    <row r="400" spans="1:14">
      <c r="A400" s="523"/>
      <c r="B400" s="523"/>
      <c r="C400" s="523"/>
      <c r="D400" s="523"/>
      <c r="E400" s="523"/>
      <c r="F400" s="523"/>
      <c r="G400" s="523"/>
      <c r="H400" s="523"/>
      <c r="J400" s="523"/>
      <c r="K400" s="523"/>
      <c r="L400" s="523"/>
      <c r="M400" s="523"/>
      <c r="N400" s="523"/>
    </row>
    <row r="401" spans="1:14">
      <c r="A401" s="523"/>
      <c r="B401" s="523"/>
      <c r="C401" s="523"/>
      <c r="D401" s="523"/>
      <c r="E401" s="523"/>
      <c r="F401" s="523"/>
      <c r="G401" s="523"/>
      <c r="H401" s="523"/>
      <c r="J401" s="523"/>
      <c r="K401" s="523"/>
      <c r="L401" s="523"/>
      <c r="M401" s="523"/>
      <c r="N401" s="523"/>
    </row>
    <row r="402" spans="1:14">
      <c r="A402" s="523"/>
      <c r="B402" s="523"/>
      <c r="C402" s="523"/>
      <c r="D402" s="523"/>
      <c r="E402" s="523"/>
      <c r="F402" s="523"/>
      <c r="G402" s="523"/>
      <c r="H402" s="523"/>
      <c r="J402" s="523"/>
      <c r="K402" s="523"/>
      <c r="L402" s="523"/>
      <c r="M402" s="523"/>
      <c r="N402" s="523"/>
    </row>
    <row r="403" spans="1:14">
      <c r="A403" s="523"/>
      <c r="B403" s="523"/>
      <c r="C403" s="523"/>
      <c r="D403" s="523"/>
      <c r="E403" s="523"/>
      <c r="F403" s="523"/>
      <c r="G403" s="523"/>
      <c r="H403" s="523"/>
      <c r="J403" s="523"/>
      <c r="K403" s="523"/>
      <c r="L403" s="523"/>
      <c r="M403" s="523"/>
      <c r="N403" s="523"/>
    </row>
    <row r="404" spans="1:14">
      <c r="A404" s="523"/>
      <c r="B404" s="523"/>
      <c r="C404" s="523"/>
      <c r="D404" s="523"/>
      <c r="E404" s="523"/>
      <c r="F404" s="523"/>
      <c r="G404" s="523"/>
      <c r="H404" s="523"/>
      <c r="J404" s="523"/>
      <c r="K404" s="523"/>
      <c r="L404" s="523"/>
      <c r="M404" s="523"/>
      <c r="N404" s="523"/>
    </row>
    <row r="405" spans="1:14">
      <c r="A405" s="523"/>
      <c r="B405" s="523"/>
      <c r="C405" s="523"/>
      <c r="D405" s="523"/>
      <c r="E405" s="523"/>
      <c r="F405" s="523"/>
      <c r="G405" s="523"/>
      <c r="H405" s="523"/>
      <c r="J405" s="523"/>
      <c r="K405" s="523"/>
      <c r="L405" s="523"/>
      <c r="M405" s="523"/>
      <c r="N405" s="523"/>
    </row>
    <row r="406" spans="1:14">
      <c r="A406" s="523"/>
      <c r="B406" s="523"/>
      <c r="C406" s="523"/>
      <c r="D406" s="523"/>
      <c r="E406" s="523"/>
      <c r="F406" s="523"/>
      <c r="G406" s="523"/>
      <c r="H406" s="523"/>
      <c r="J406" s="523"/>
      <c r="K406" s="523"/>
      <c r="L406" s="523"/>
      <c r="M406" s="523"/>
      <c r="N406" s="523"/>
    </row>
    <row r="407" spans="1:14">
      <c r="A407" s="523"/>
      <c r="B407" s="523"/>
      <c r="C407" s="523"/>
      <c r="D407" s="523"/>
      <c r="E407" s="523"/>
      <c r="F407" s="523"/>
      <c r="G407" s="523"/>
      <c r="H407" s="523"/>
      <c r="J407" s="523"/>
      <c r="K407" s="523"/>
      <c r="L407" s="523"/>
      <c r="M407" s="523"/>
      <c r="N407" s="523"/>
    </row>
    <row r="408" spans="1:14">
      <c r="A408" s="523"/>
      <c r="B408" s="523"/>
      <c r="C408" s="523"/>
      <c r="D408" s="523"/>
      <c r="E408" s="523"/>
      <c r="F408" s="523"/>
      <c r="G408" s="523"/>
      <c r="H408" s="523"/>
      <c r="J408" s="523"/>
      <c r="K408" s="523"/>
      <c r="L408" s="523"/>
      <c r="M408" s="523"/>
      <c r="N408" s="523"/>
    </row>
    <row r="409" spans="1:14">
      <c r="A409" s="523"/>
      <c r="B409" s="523"/>
      <c r="C409" s="523"/>
      <c r="D409" s="523"/>
      <c r="E409" s="523"/>
      <c r="F409" s="523"/>
      <c r="G409" s="523"/>
      <c r="H409" s="523"/>
      <c r="J409" s="523"/>
      <c r="K409" s="523"/>
      <c r="L409" s="523"/>
      <c r="M409" s="523"/>
      <c r="N409" s="523"/>
    </row>
    <row r="410" spans="1:14">
      <c r="A410" s="523"/>
      <c r="B410" s="523"/>
      <c r="C410" s="523"/>
      <c r="D410" s="523"/>
      <c r="E410" s="523"/>
      <c r="F410" s="523"/>
      <c r="G410" s="523"/>
      <c r="H410" s="523"/>
      <c r="J410" s="523"/>
      <c r="K410" s="523"/>
      <c r="L410" s="523"/>
      <c r="M410" s="523"/>
      <c r="N410" s="523"/>
    </row>
    <row r="411" spans="1:14">
      <c r="A411" s="523"/>
      <c r="B411" s="523"/>
      <c r="C411" s="523"/>
      <c r="D411" s="523"/>
      <c r="E411" s="523"/>
      <c r="F411" s="523"/>
      <c r="G411" s="523"/>
      <c r="H411" s="523"/>
      <c r="J411" s="523"/>
      <c r="K411" s="523"/>
      <c r="L411" s="523"/>
      <c r="M411" s="523"/>
      <c r="N411" s="523"/>
    </row>
    <row r="412" spans="1:14">
      <c r="A412" s="523"/>
      <c r="B412" s="523"/>
      <c r="C412" s="523"/>
      <c r="D412" s="523"/>
      <c r="E412" s="523"/>
      <c r="F412" s="523"/>
      <c r="G412" s="523"/>
      <c r="H412" s="523"/>
      <c r="J412" s="523"/>
      <c r="K412" s="523"/>
      <c r="L412" s="523"/>
      <c r="M412" s="523"/>
      <c r="N412" s="523"/>
    </row>
    <row r="413" spans="1:14">
      <c r="A413" s="523"/>
      <c r="B413" s="523"/>
      <c r="C413" s="523"/>
      <c r="D413" s="523"/>
      <c r="E413" s="523"/>
      <c r="F413" s="523"/>
      <c r="G413" s="523"/>
      <c r="H413" s="523"/>
      <c r="J413" s="523"/>
      <c r="K413" s="523"/>
      <c r="L413" s="523"/>
      <c r="M413" s="523"/>
      <c r="N413" s="523"/>
    </row>
    <row r="414" spans="1:14">
      <c r="A414" s="523"/>
      <c r="B414" s="523"/>
      <c r="C414" s="523"/>
      <c r="D414" s="523"/>
      <c r="E414" s="523"/>
      <c r="F414" s="523"/>
      <c r="G414" s="523"/>
      <c r="H414" s="523"/>
      <c r="J414" s="523"/>
      <c r="K414" s="523"/>
      <c r="L414" s="523"/>
      <c r="M414" s="523"/>
      <c r="N414" s="523"/>
    </row>
    <row r="415" spans="1:14">
      <c r="A415" s="523"/>
      <c r="B415" s="523"/>
      <c r="C415" s="523"/>
      <c r="D415" s="523"/>
      <c r="E415" s="523"/>
      <c r="F415" s="523"/>
      <c r="G415" s="523"/>
      <c r="H415" s="523"/>
      <c r="J415" s="523"/>
      <c r="K415" s="523"/>
      <c r="L415" s="523"/>
      <c r="M415" s="523"/>
      <c r="N415" s="523"/>
    </row>
    <row r="416" spans="1:14">
      <c r="A416" s="523"/>
      <c r="B416" s="523"/>
      <c r="C416" s="523"/>
      <c r="D416" s="523"/>
      <c r="E416" s="523"/>
      <c r="F416" s="523"/>
      <c r="G416" s="523"/>
      <c r="H416" s="523"/>
      <c r="J416" s="523"/>
      <c r="K416" s="523"/>
      <c r="L416" s="523"/>
      <c r="M416" s="523"/>
      <c r="N416" s="523"/>
    </row>
    <row r="417" spans="1:14">
      <c r="A417" s="523"/>
      <c r="B417" s="523"/>
      <c r="C417" s="523"/>
      <c r="D417" s="523"/>
      <c r="E417" s="523"/>
      <c r="F417" s="523"/>
      <c r="G417" s="523"/>
      <c r="H417" s="523"/>
      <c r="J417" s="523"/>
      <c r="K417" s="523"/>
      <c r="L417" s="523"/>
      <c r="M417" s="523"/>
      <c r="N417" s="523"/>
    </row>
    <row r="418" spans="1:14">
      <c r="A418" s="523"/>
      <c r="B418" s="523"/>
      <c r="C418" s="523"/>
      <c r="D418" s="523"/>
      <c r="E418" s="523"/>
      <c r="F418" s="523"/>
      <c r="G418" s="523"/>
      <c r="H418" s="523"/>
      <c r="J418" s="523"/>
      <c r="K418" s="523"/>
      <c r="L418" s="523"/>
      <c r="M418" s="523"/>
      <c r="N418" s="523"/>
    </row>
    <row r="419" spans="1:14">
      <c r="A419" s="523"/>
      <c r="B419" s="523"/>
      <c r="C419" s="523"/>
      <c r="D419" s="523"/>
      <c r="E419" s="523"/>
      <c r="F419" s="523"/>
      <c r="G419" s="523"/>
      <c r="H419" s="523"/>
      <c r="J419" s="523"/>
      <c r="K419" s="523"/>
      <c r="L419" s="523"/>
      <c r="M419" s="523"/>
      <c r="N419" s="523"/>
    </row>
    <row r="420" spans="1:14">
      <c r="A420" s="523"/>
      <c r="B420" s="523"/>
      <c r="C420" s="523"/>
      <c r="D420" s="523"/>
      <c r="E420" s="523"/>
      <c r="F420" s="523"/>
      <c r="G420" s="523"/>
      <c r="H420" s="523"/>
      <c r="J420" s="523"/>
      <c r="K420" s="523"/>
      <c r="L420" s="523"/>
      <c r="M420" s="523"/>
      <c r="N420" s="523"/>
    </row>
    <row r="421" spans="1:14">
      <c r="A421" s="523"/>
      <c r="B421" s="523"/>
      <c r="C421" s="523"/>
      <c r="D421" s="523"/>
      <c r="E421" s="523"/>
      <c r="F421" s="523"/>
      <c r="G421" s="523"/>
      <c r="H421" s="523"/>
      <c r="J421" s="523"/>
      <c r="K421" s="523"/>
      <c r="L421" s="523"/>
      <c r="M421" s="523"/>
      <c r="N421" s="523"/>
    </row>
    <row r="422" spans="1:14">
      <c r="A422" s="523"/>
      <c r="B422" s="523"/>
      <c r="C422" s="523"/>
      <c r="D422" s="523"/>
      <c r="E422" s="523"/>
      <c r="F422" s="523"/>
      <c r="G422" s="523"/>
      <c r="H422" s="523"/>
      <c r="J422" s="523"/>
      <c r="K422" s="523"/>
      <c r="L422" s="523"/>
      <c r="M422" s="523"/>
      <c r="N422" s="523"/>
    </row>
    <row r="423" spans="1:14">
      <c r="A423" s="523"/>
      <c r="B423" s="523"/>
      <c r="C423" s="523"/>
      <c r="D423" s="523"/>
      <c r="E423" s="523"/>
      <c r="F423" s="523"/>
      <c r="G423" s="523"/>
      <c r="H423" s="523"/>
      <c r="J423" s="523"/>
      <c r="K423" s="523"/>
      <c r="L423" s="523"/>
      <c r="M423" s="523"/>
      <c r="N423" s="523"/>
    </row>
    <row r="424" spans="1:14">
      <c r="A424" s="523"/>
      <c r="B424" s="523"/>
      <c r="C424" s="523"/>
      <c r="D424" s="523"/>
      <c r="E424" s="523"/>
      <c r="F424" s="523"/>
      <c r="G424" s="523"/>
      <c r="H424" s="523"/>
      <c r="J424" s="523"/>
      <c r="K424" s="523"/>
      <c r="L424" s="523"/>
      <c r="M424" s="523"/>
      <c r="N424" s="523"/>
    </row>
    <row r="425" spans="1:14">
      <c r="A425" s="523"/>
      <c r="B425" s="523"/>
      <c r="C425" s="523"/>
      <c r="D425" s="523"/>
      <c r="E425" s="523"/>
      <c r="F425" s="523"/>
      <c r="G425" s="523"/>
      <c r="H425" s="523"/>
      <c r="J425" s="523"/>
      <c r="K425" s="523"/>
      <c r="L425" s="523"/>
      <c r="M425" s="523"/>
      <c r="N425" s="523"/>
    </row>
    <row r="426" spans="1:14">
      <c r="A426" s="523"/>
      <c r="B426" s="523"/>
      <c r="C426" s="523"/>
      <c r="D426" s="523"/>
      <c r="E426" s="523"/>
      <c r="F426" s="523"/>
      <c r="G426" s="523"/>
      <c r="H426" s="523"/>
      <c r="J426" s="523"/>
      <c r="K426" s="523"/>
      <c r="L426" s="523"/>
      <c r="M426" s="523"/>
      <c r="N426" s="523"/>
    </row>
    <row r="427" spans="1:14">
      <c r="A427" s="523"/>
      <c r="B427" s="523"/>
      <c r="C427" s="523"/>
      <c r="D427" s="523"/>
      <c r="E427" s="523"/>
      <c r="F427" s="523"/>
      <c r="G427" s="523"/>
      <c r="H427" s="523"/>
      <c r="J427" s="523"/>
      <c r="K427" s="523"/>
      <c r="L427" s="523"/>
      <c r="M427" s="523"/>
      <c r="N427" s="523"/>
    </row>
    <row r="428" spans="1:14">
      <c r="A428" s="523"/>
      <c r="B428" s="523"/>
      <c r="C428" s="523"/>
      <c r="D428" s="523"/>
      <c r="E428" s="523"/>
      <c r="F428" s="523"/>
      <c r="G428" s="523"/>
      <c r="H428" s="523"/>
      <c r="J428" s="523"/>
      <c r="K428" s="523"/>
      <c r="L428" s="523"/>
      <c r="M428" s="523"/>
      <c r="N428" s="523"/>
    </row>
    <row r="429" spans="1:14">
      <c r="A429" s="523"/>
      <c r="B429" s="523"/>
      <c r="C429" s="523"/>
      <c r="D429" s="523"/>
      <c r="E429" s="523"/>
      <c r="F429" s="523"/>
      <c r="G429" s="523"/>
      <c r="H429" s="523"/>
      <c r="J429" s="523"/>
      <c r="K429" s="523"/>
      <c r="L429" s="523"/>
      <c r="M429" s="523"/>
      <c r="N429" s="523"/>
    </row>
    <row r="430" spans="1:14">
      <c r="A430" s="523"/>
      <c r="B430" s="523"/>
      <c r="C430" s="523"/>
      <c r="D430" s="523"/>
      <c r="E430" s="523"/>
      <c r="F430" s="523"/>
      <c r="G430" s="523"/>
      <c r="H430" s="523"/>
      <c r="J430" s="523"/>
      <c r="K430" s="523"/>
      <c r="L430" s="523"/>
      <c r="M430" s="523"/>
      <c r="N430" s="523"/>
    </row>
    <row r="431" spans="1:14">
      <c r="A431" s="523"/>
      <c r="B431" s="523"/>
      <c r="C431" s="523"/>
      <c r="D431" s="523"/>
      <c r="E431" s="523"/>
      <c r="F431" s="523"/>
      <c r="G431" s="523"/>
      <c r="H431" s="523"/>
      <c r="J431" s="523"/>
      <c r="K431" s="523"/>
      <c r="L431" s="523"/>
      <c r="M431" s="523"/>
      <c r="N431" s="523"/>
    </row>
    <row r="432" spans="1:14">
      <c r="A432" s="523"/>
      <c r="B432" s="523"/>
      <c r="C432" s="523"/>
      <c r="D432" s="523"/>
      <c r="E432" s="523"/>
      <c r="F432" s="523"/>
      <c r="G432" s="523"/>
      <c r="H432" s="523"/>
      <c r="J432" s="523"/>
      <c r="K432" s="523"/>
      <c r="L432" s="523"/>
      <c r="M432" s="523"/>
      <c r="N432" s="523"/>
    </row>
    <row r="433" spans="1:14">
      <c r="A433" s="523"/>
      <c r="B433" s="523"/>
      <c r="C433" s="523"/>
      <c r="D433" s="523"/>
      <c r="E433" s="523"/>
      <c r="F433" s="523"/>
      <c r="G433" s="523"/>
      <c r="H433" s="523"/>
      <c r="J433" s="523"/>
      <c r="K433" s="523"/>
      <c r="L433" s="523"/>
      <c r="M433" s="523"/>
      <c r="N433" s="523"/>
    </row>
    <row r="434" spans="1:14">
      <c r="A434" s="523"/>
      <c r="B434" s="523"/>
      <c r="C434" s="523"/>
      <c r="D434" s="523"/>
      <c r="E434" s="523"/>
      <c r="F434" s="523"/>
      <c r="G434" s="523"/>
      <c r="H434" s="523"/>
      <c r="J434" s="523"/>
      <c r="K434" s="523"/>
      <c r="L434" s="523"/>
      <c r="M434" s="523"/>
      <c r="N434" s="523"/>
    </row>
  </sheetData>
  <mergeCells count="11">
    <mergeCell ref="H23:O23"/>
    <mergeCell ref="A3:A5"/>
    <mergeCell ref="B3:B5"/>
    <mergeCell ref="B8:B9"/>
    <mergeCell ref="A8:A9"/>
    <mergeCell ref="A1:A2"/>
    <mergeCell ref="B1:B2"/>
    <mergeCell ref="C1:I1"/>
    <mergeCell ref="J1:O1"/>
    <mergeCell ref="A6:A7"/>
    <mergeCell ref="B6:B7"/>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451"/>
  <sheetViews>
    <sheetView view="pageBreakPreview" zoomScale="70" zoomScaleNormal="85" zoomScaleSheetLayoutView="70" workbookViewId="0">
      <pane ySplit="6" topLeftCell="A7" activePane="bottomLeft" state="frozen"/>
      <selection pane="bottomLeft" activeCell="I9" sqref="I9"/>
    </sheetView>
  </sheetViews>
  <sheetFormatPr defaultRowHeight="15.75"/>
  <cols>
    <col min="1" max="1" width="7.5703125" style="577" customWidth="1"/>
    <col min="2" max="2" width="35.7109375" style="581" customWidth="1"/>
    <col min="3" max="3" width="8.7109375" style="595" hidden="1" customWidth="1"/>
    <col min="4" max="6" width="8.5703125" style="596" hidden="1" customWidth="1"/>
    <col min="7" max="7" width="9.5703125" style="596" hidden="1" customWidth="1"/>
    <col min="8" max="8" width="9.42578125" style="596" hidden="1" customWidth="1"/>
    <col min="9" max="9" width="23.5703125" style="595" customWidth="1"/>
    <col min="10" max="10" width="16.140625" style="597" customWidth="1"/>
    <col min="11" max="11" width="18.28515625" style="598" hidden="1" customWidth="1"/>
    <col min="12" max="12" width="22.7109375" style="598" hidden="1" customWidth="1"/>
    <col min="13" max="13" width="14.85546875" style="598" hidden="1" customWidth="1"/>
    <col min="14" max="14" width="15.7109375" style="598" hidden="1" customWidth="1"/>
    <col min="15" max="15" width="22.7109375" style="598" hidden="1" customWidth="1"/>
    <col min="16" max="16" width="56" style="598" hidden="1" customWidth="1"/>
    <col min="17" max="17" width="11" style="599" hidden="1" customWidth="1"/>
    <col min="18" max="18" width="9.85546875" style="598" hidden="1" customWidth="1"/>
    <col min="19" max="19" width="8" style="600" hidden="1" customWidth="1"/>
    <col min="20" max="20" width="14.7109375" style="600" hidden="1" customWidth="1"/>
    <col min="21" max="21" width="19.5703125" style="601" hidden="1" customWidth="1"/>
    <col min="22" max="22" width="18.7109375" style="602" hidden="1" customWidth="1"/>
    <col min="23" max="23" width="22.28515625" style="599" hidden="1" customWidth="1"/>
    <col min="24" max="24" width="11.28515625" style="598" hidden="1" customWidth="1"/>
    <col min="25" max="25" width="7.42578125" style="600" hidden="1" customWidth="1"/>
    <col min="26" max="26" width="11.85546875" style="600" hidden="1" customWidth="1"/>
    <col min="27" max="27" width="15.7109375" style="601" hidden="1" customWidth="1"/>
    <col min="28" max="28" width="17.5703125" style="601" hidden="1" customWidth="1"/>
    <col min="29" max="29" width="19.28515625" style="559" hidden="1" customWidth="1"/>
    <col min="30" max="30" width="15.7109375" style="559" hidden="1" customWidth="1"/>
    <col min="31" max="31" width="11.42578125" style="559" hidden="1" customWidth="1"/>
    <col min="32" max="32" width="17.28515625" style="559" hidden="1" customWidth="1"/>
    <col min="33" max="33" width="13.85546875" style="559" hidden="1" customWidth="1"/>
    <col min="34" max="34" width="9.140625" style="559" hidden="1" customWidth="1"/>
    <col min="35" max="36" width="17.28515625" style="559" customWidth="1"/>
    <col min="37" max="37" width="18.28515625" style="559" customWidth="1"/>
    <col min="38" max="38" width="19.28515625" style="559" customWidth="1"/>
    <col min="39" max="16384" width="9.140625" style="559"/>
  </cols>
  <sheetData>
    <row r="1" spans="1:38" s="560" customFormat="1">
      <c r="A1" s="999"/>
      <c r="B1" s="1000"/>
      <c r="C1" s="1000"/>
      <c r="D1" s="1000"/>
      <c r="E1" s="1000"/>
      <c r="F1" s="1000"/>
      <c r="G1" s="1000"/>
      <c r="H1" s="1000"/>
      <c r="I1" s="1000"/>
      <c r="J1" s="1000"/>
      <c r="K1" s="1000"/>
      <c r="L1" s="1000"/>
      <c r="M1" s="1000"/>
      <c r="N1" s="1000"/>
      <c r="O1" s="1000"/>
      <c r="P1" s="1000"/>
      <c r="Q1" s="1000"/>
      <c r="R1" s="1000"/>
      <c r="S1" s="1000"/>
      <c r="T1" s="1000"/>
      <c r="U1" s="1000"/>
      <c r="V1" s="1000"/>
      <c r="W1" s="1000"/>
      <c r="X1" s="1000"/>
      <c r="Y1" s="1000"/>
      <c r="Z1" s="1000"/>
      <c r="AA1" s="1000"/>
      <c r="AB1" s="1000"/>
      <c r="AC1" s="604"/>
      <c r="AD1" s="604"/>
      <c r="AE1" s="604"/>
      <c r="AF1" s="604"/>
      <c r="AG1" s="604"/>
      <c r="AH1" s="604"/>
      <c r="AI1" s="604"/>
      <c r="AJ1" s="604"/>
    </row>
    <row r="2" spans="1:38" s="560" customFormat="1">
      <c r="A2" s="1001"/>
      <c r="B2" s="1002"/>
      <c r="C2" s="1002"/>
      <c r="D2" s="1002"/>
      <c r="E2" s="1002"/>
      <c r="F2" s="1002"/>
      <c r="G2" s="1002"/>
      <c r="H2" s="1002"/>
      <c r="I2" s="1002"/>
      <c r="J2" s="1002"/>
      <c r="K2" s="1002"/>
      <c r="L2" s="1002"/>
      <c r="M2" s="1002"/>
      <c r="N2" s="1002"/>
      <c r="O2" s="1002"/>
      <c r="P2" s="1002"/>
      <c r="Q2" s="1002"/>
      <c r="R2" s="1002"/>
      <c r="S2" s="1002"/>
      <c r="T2" s="1002"/>
      <c r="U2" s="1002"/>
      <c r="V2" s="1002"/>
      <c r="W2" s="1002"/>
      <c r="X2" s="1002"/>
      <c r="Y2" s="1002"/>
      <c r="Z2" s="1002"/>
      <c r="AA2" s="1002"/>
      <c r="AB2" s="1002"/>
      <c r="AC2" s="604"/>
      <c r="AD2" s="604"/>
      <c r="AE2" s="604"/>
      <c r="AF2" s="604"/>
      <c r="AG2" s="604"/>
      <c r="AH2" s="604"/>
      <c r="AI2" s="604"/>
      <c r="AJ2" s="604"/>
    </row>
    <row r="3" spans="1:38" s="560" customFormat="1">
      <c r="A3" s="1003"/>
      <c r="B3" s="1004"/>
      <c r="C3" s="1004"/>
      <c r="D3" s="1004"/>
      <c r="E3" s="1004"/>
      <c r="F3" s="1004"/>
      <c r="G3" s="1004"/>
      <c r="H3" s="1004"/>
      <c r="I3" s="1004"/>
      <c r="J3" s="1004"/>
      <c r="K3" s="1004"/>
      <c r="L3" s="1004"/>
      <c r="M3" s="1004"/>
      <c r="N3" s="1004"/>
      <c r="O3" s="1004"/>
      <c r="P3" s="1004"/>
      <c r="Q3" s="1004"/>
      <c r="R3" s="1004"/>
      <c r="S3" s="1004"/>
      <c r="T3" s="1004"/>
      <c r="U3" s="1004"/>
      <c r="V3" s="1004"/>
      <c r="W3" s="1004"/>
      <c r="X3" s="1004"/>
      <c r="Y3" s="1004"/>
      <c r="Z3" s="1004"/>
      <c r="AA3" s="1004"/>
      <c r="AB3" s="1004"/>
      <c r="AC3" s="604"/>
      <c r="AD3" s="604"/>
      <c r="AE3" s="604"/>
      <c r="AF3" s="604"/>
      <c r="AG3" s="604"/>
      <c r="AH3" s="604"/>
      <c r="AI3" s="604"/>
      <c r="AJ3" s="604"/>
    </row>
    <row r="4" spans="1:38" s="560" customFormat="1">
      <c r="A4" s="1005"/>
      <c r="B4" s="1006"/>
      <c r="C4" s="1006"/>
      <c r="D4" s="1006"/>
      <c r="E4" s="1006"/>
      <c r="F4" s="1006"/>
      <c r="G4" s="1006"/>
      <c r="H4" s="1006"/>
      <c r="I4" s="1006"/>
      <c r="J4" s="1006"/>
      <c r="K4" s="1006"/>
      <c r="L4" s="1006"/>
      <c r="M4" s="1006"/>
      <c r="N4" s="1006"/>
      <c r="O4" s="1006"/>
      <c r="P4" s="1006"/>
      <c r="Q4" s="1006"/>
      <c r="R4" s="1006"/>
      <c r="S4" s="1006"/>
      <c r="T4" s="1006"/>
      <c r="U4" s="1006"/>
      <c r="V4" s="1006"/>
      <c r="W4" s="1006"/>
      <c r="X4" s="1006"/>
      <c r="Y4" s="1006"/>
      <c r="Z4" s="1006"/>
      <c r="AA4" s="1006"/>
      <c r="AB4" s="1006"/>
      <c r="AC4" s="604"/>
      <c r="AD4" s="604"/>
      <c r="AE4" s="604"/>
      <c r="AF4" s="604"/>
      <c r="AG4" s="604"/>
      <c r="AH4" s="604"/>
      <c r="AI4" s="604"/>
      <c r="AJ4" s="604"/>
    </row>
    <row r="5" spans="1:38">
      <c r="A5" s="1007" t="s">
        <v>7</v>
      </c>
      <c r="B5" s="984" t="s">
        <v>259</v>
      </c>
      <c r="C5" s="1009" t="s">
        <v>254</v>
      </c>
      <c r="D5" s="1009" t="s">
        <v>255</v>
      </c>
      <c r="E5" s="1009" t="s">
        <v>256</v>
      </c>
      <c r="F5" s="1009" t="s">
        <v>257</v>
      </c>
      <c r="G5" s="1009" t="s">
        <v>258</v>
      </c>
      <c r="H5" s="561"/>
      <c r="I5" s="1007" t="s">
        <v>259</v>
      </c>
      <c r="J5" s="996" t="s">
        <v>8</v>
      </c>
      <c r="K5" s="984" t="s">
        <v>780</v>
      </c>
      <c r="L5" s="984" t="s">
        <v>781</v>
      </c>
      <c r="M5" s="984" t="s">
        <v>680</v>
      </c>
      <c r="N5" s="984" t="s">
        <v>778</v>
      </c>
      <c r="O5" s="984" t="s">
        <v>779</v>
      </c>
      <c r="P5" s="984" t="s">
        <v>404</v>
      </c>
      <c r="Q5" s="986" t="s">
        <v>738</v>
      </c>
      <c r="R5" s="987"/>
      <c r="S5" s="987"/>
      <c r="T5" s="987"/>
      <c r="U5" s="987"/>
      <c r="V5" s="988"/>
      <c r="W5" s="989" t="s">
        <v>739</v>
      </c>
      <c r="X5" s="990"/>
      <c r="Y5" s="990"/>
      <c r="Z5" s="990"/>
      <c r="AA5" s="990"/>
      <c r="AB5" s="991"/>
      <c r="AC5" s="989" t="s">
        <v>763</v>
      </c>
      <c r="AD5" s="990"/>
      <c r="AE5" s="990"/>
      <c r="AF5" s="990"/>
      <c r="AG5" s="990"/>
      <c r="AH5" s="991"/>
      <c r="AI5" s="562"/>
      <c r="AJ5" s="562"/>
      <c r="AK5" s="559" t="s">
        <v>316</v>
      </c>
      <c r="AL5" s="563">
        <v>23600</v>
      </c>
    </row>
    <row r="6" spans="1:38" ht="47.25">
      <c r="A6" s="1008"/>
      <c r="B6" s="985"/>
      <c r="C6" s="1010"/>
      <c r="D6" s="1010"/>
      <c r="E6" s="1010"/>
      <c r="F6" s="1010"/>
      <c r="G6" s="1010"/>
      <c r="H6" s="561"/>
      <c r="I6" s="1008"/>
      <c r="J6" s="997"/>
      <c r="K6" s="985"/>
      <c r="L6" s="985"/>
      <c r="M6" s="985"/>
      <c r="N6" s="998"/>
      <c r="O6" s="998"/>
      <c r="P6" s="985"/>
      <c r="Q6" s="548" t="s">
        <v>259</v>
      </c>
      <c r="R6" s="548" t="s">
        <v>738</v>
      </c>
      <c r="S6" s="549" t="s">
        <v>8</v>
      </c>
      <c r="T6" s="549" t="s">
        <v>737</v>
      </c>
      <c r="U6" s="548" t="s">
        <v>346</v>
      </c>
      <c r="V6" s="548" t="s">
        <v>315</v>
      </c>
      <c r="W6" s="548" t="s">
        <v>259</v>
      </c>
      <c r="X6" s="548" t="s">
        <v>739</v>
      </c>
      <c r="Y6" s="549" t="s">
        <v>8</v>
      </c>
      <c r="Z6" s="549" t="s">
        <v>737</v>
      </c>
      <c r="AA6" s="548" t="s">
        <v>705</v>
      </c>
      <c r="AB6" s="548" t="s">
        <v>315</v>
      </c>
      <c r="AC6" s="548" t="s">
        <v>259</v>
      </c>
      <c r="AD6" s="548" t="s">
        <v>770</v>
      </c>
      <c r="AE6" s="549" t="s">
        <v>8</v>
      </c>
      <c r="AF6" s="549" t="s">
        <v>737</v>
      </c>
      <c r="AG6" s="548" t="s">
        <v>705</v>
      </c>
      <c r="AH6" s="548" t="s">
        <v>315</v>
      </c>
      <c r="AI6" s="562"/>
      <c r="AJ6" s="562"/>
      <c r="AK6" s="559" t="s">
        <v>317</v>
      </c>
      <c r="AL6" s="559">
        <v>26650</v>
      </c>
    </row>
    <row r="7" spans="1:38" hidden="1">
      <c r="A7" s="992" t="s">
        <v>760</v>
      </c>
      <c r="B7" s="993"/>
      <c r="C7" s="564"/>
      <c r="D7" s="564"/>
      <c r="E7" s="564"/>
      <c r="F7" s="564"/>
      <c r="G7" s="564"/>
      <c r="H7" s="561"/>
      <c r="I7" s="549"/>
      <c r="J7" s="565"/>
      <c r="K7" s="548"/>
      <c r="L7" s="555" t="e">
        <f>SUM(L8,L12,L15,L18,L21)</f>
        <v>#REF!</v>
      </c>
      <c r="M7" s="606">
        <v>0.1</v>
      </c>
      <c r="N7" s="555" t="e">
        <f>L7*0.1</f>
        <v>#REF!</v>
      </c>
      <c r="O7" s="555" t="e">
        <f>L7+N7</f>
        <v>#REF!</v>
      </c>
      <c r="P7" s="548"/>
      <c r="Q7" s="548"/>
      <c r="R7" s="548"/>
      <c r="S7" s="549"/>
      <c r="T7" s="549"/>
      <c r="U7" s="548"/>
      <c r="V7" s="566"/>
      <c r="W7" s="548"/>
      <c r="X7" s="548"/>
      <c r="Y7" s="549"/>
      <c r="Z7" s="549"/>
      <c r="AA7" s="548"/>
      <c r="AB7" s="548"/>
      <c r="AC7" s="548"/>
      <c r="AD7" s="548"/>
      <c r="AE7" s="549"/>
      <c r="AF7" s="549"/>
      <c r="AG7" s="548"/>
      <c r="AH7" s="548"/>
      <c r="AI7" s="562"/>
      <c r="AJ7" s="562"/>
    </row>
    <row r="8" spans="1:38" s="572" customFormat="1" ht="63">
      <c r="A8" s="567">
        <v>1</v>
      </c>
      <c r="B8" s="568" t="s">
        <v>728</v>
      </c>
      <c r="C8" s="994">
        <v>1</v>
      </c>
      <c r="D8" s="995"/>
      <c r="E8" s="569">
        <v>0</v>
      </c>
      <c r="F8" s="570">
        <v>1</v>
      </c>
      <c r="G8" s="569">
        <v>2</v>
      </c>
      <c r="H8" s="569">
        <v>0</v>
      </c>
      <c r="I8" s="549"/>
      <c r="J8" s="582"/>
      <c r="K8" s="548"/>
      <c r="L8" s="555">
        <f>SUM(L9:L11)</f>
        <v>12574451000</v>
      </c>
      <c r="M8" s="606">
        <v>0.1</v>
      </c>
      <c r="N8" s="555">
        <f>L8*0.1</f>
        <v>1257445100</v>
      </c>
      <c r="O8" s="555">
        <f>L8+N8</f>
        <v>13831896100</v>
      </c>
      <c r="P8" s="571" t="s">
        <v>731</v>
      </c>
      <c r="Q8" s="548"/>
      <c r="R8" s="548"/>
      <c r="S8" s="549"/>
      <c r="T8" s="549"/>
      <c r="U8" s="548"/>
      <c r="V8" s="555">
        <f>SUM(V9:V11)</f>
        <v>13131941000</v>
      </c>
      <c r="W8" s="548"/>
      <c r="X8" s="548"/>
      <c r="Y8" s="552"/>
      <c r="Z8" s="549"/>
      <c r="AA8" s="548"/>
      <c r="AB8" s="548"/>
      <c r="AC8" s="550"/>
      <c r="AD8" s="550"/>
      <c r="AE8" s="550"/>
      <c r="AF8" s="550"/>
      <c r="AG8" s="550"/>
      <c r="AH8" s="550"/>
      <c r="AI8" s="562"/>
      <c r="AJ8" s="562"/>
    </row>
    <row r="9" spans="1:38" ht="39" customHeight="1">
      <c r="A9" s="570" t="s">
        <v>684</v>
      </c>
      <c r="B9" s="573" t="s">
        <v>757</v>
      </c>
      <c r="C9" s="574"/>
      <c r="D9" s="574"/>
      <c r="E9" s="574"/>
      <c r="F9" s="574"/>
      <c r="G9" s="574"/>
      <c r="H9" s="569"/>
      <c r="I9" s="575" t="s">
        <v>261</v>
      </c>
      <c r="J9" s="552">
        <v>1</v>
      </c>
      <c r="K9" s="558">
        <f>U9</f>
        <v>1630880500</v>
      </c>
      <c r="L9" s="558">
        <f>J9*K9</f>
        <v>1630880500</v>
      </c>
      <c r="M9" s="607">
        <v>0.1</v>
      </c>
      <c r="N9" s="558">
        <f t="shared" ref="N9:N22" si="0">L9*0.1</f>
        <v>163088050</v>
      </c>
      <c r="O9" s="558">
        <f t="shared" ref="O9:O22" si="1">L9+N9</f>
        <v>1793968550</v>
      </c>
      <c r="P9" s="576" t="s">
        <v>742</v>
      </c>
      <c r="Q9" s="575" t="s">
        <v>261</v>
      </c>
      <c r="R9" s="557" t="s">
        <v>744</v>
      </c>
      <c r="S9" s="552">
        <f>J9</f>
        <v>1</v>
      </c>
      <c r="T9" s="552"/>
      <c r="U9" s="558">
        <v>1630880500</v>
      </c>
      <c r="V9" s="558">
        <f>S9*U9</f>
        <v>1630880500</v>
      </c>
      <c r="W9" s="556"/>
      <c r="X9" s="557"/>
      <c r="Y9" s="552"/>
      <c r="Z9" s="577"/>
      <c r="AA9" s="558"/>
      <c r="AB9" s="558"/>
      <c r="AC9" s="551"/>
      <c r="AD9" s="551"/>
      <c r="AE9" s="551"/>
      <c r="AF9" s="551"/>
      <c r="AG9" s="551"/>
      <c r="AH9" s="551"/>
      <c r="AI9" s="578"/>
      <c r="AJ9" s="578"/>
    </row>
    <row r="10" spans="1:38" ht="51.75" customHeight="1">
      <c r="A10" s="570" t="s">
        <v>685</v>
      </c>
      <c r="B10" s="573" t="s">
        <v>758</v>
      </c>
      <c r="C10" s="574"/>
      <c r="D10" s="574"/>
      <c r="E10" s="574"/>
      <c r="F10" s="574"/>
      <c r="G10" s="574"/>
      <c r="H10" s="569"/>
      <c r="I10" s="575" t="s">
        <v>715</v>
      </c>
      <c r="J10" s="552">
        <v>4</v>
      </c>
      <c r="K10" s="558"/>
      <c r="L10" s="558">
        <f>V10</f>
        <v>6349061500</v>
      </c>
      <c r="M10" s="607">
        <v>0.1</v>
      </c>
      <c r="N10" s="558">
        <f t="shared" si="0"/>
        <v>634906150</v>
      </c>
      <c r="O10" s="558">
        <f t="shared" si="1"/>
        <v>6983967650</v>
      </c>
      <c r="P10" s="576" t="s">
        <v>774</v>
      </c>
      <c r="Q10" s="575" t="s">
        <v>715</v>
      </c>
      <c r="R10" s="557" t="s">
        <v>744</v>
      </c>
      <c r="S10" s="552">
        <f>J10</f>
        <v>4</v>
      </c>
      <c r="T10" s="552"/>
      <c r="U10" s="558"/>
      <c r="V10" s="558">
        <f xml:space="preserve"> 1899527500+1091198000+ 1679168000*2</f>
        <v>6349061500</v>
      </c>
      <c r="W10" s="556">
        <f>V10/4</f>
        <v>1587265375</v>
      </c>
      <c r="X10" s="557"/>
      <c r="Y10" s="552"/>
      <c r="Z10" s="577"/>
      <c r="AA10" s="558"/>
      <c r="AB10" s="558"/>
      <c r="AC10" s="551"/>
      <c r="AD10" s="551"/>
      <c r="AE10" s="551"/>
      <c r="AF10" s="551"/>
      <c r="AG10" s="551"/>
      <c r="AH10" s="551"/>
      <c r="AI10" s="578"/>
      <c r="AJ10" s="578"/>
    </row>
    <row r="11" spans="1:38" ht="32.25" customHeight="1">
      <c r="A11" s="570" t="s">
        <v>698</v>
      </c>
      <c r="B11" s="573" t="s">
        <v>729</v>
      </c>
      <c r="C11" s="574"/>
      <c r="D11" s="574"/>
      <c r="E11" s="574"/>
      <c r="F11" s="574"/>
      <c r="G11" s="574"/>
      <c r="H11" s="570"/>
      <c r="I11" s="611" t="s">
        <v>782</v>
      </c>
      <c r="J11" s="552">
        <v>1</v>
      </c>
      <c r="K11" s="558">
        <f>MIN(U11,AA11,AG11)</f>
        <v>4594509000</v>
      </c>
      <c r="L11" s="558">
        <f>J11*K11</f>
        <v>4594509000</v>
      </c>
      <c r="M11" s="607">
        <v>0.1</v>
      </c>
      <c r="N11" s="558">
        <f t="shared" si="0"/>
        <v>459450900</v>
      </c>
      <c r="O11" s="558">
        <f t="shared" si="1"/>
        <v>5053959900</v>
      </c>
      <c r="P11" s="576" t="s">
        <v>772</v>
      </c>
      <c r="Q11" s="556" t="s">
        <v>726</v>
      </c>
      <c r="R11" s="557" t="s">
        <v>744</v>
      </c>
      <c r="S11" s="552">
        <f>J11</f>
        <v>1</v>
      </c>
      <c r="T11" s="552"/>
      <c r="U11" s="579">
        <v>5151999000</v>
      </c>
      <c r="V11" s="558">
        <f>S11*U11</f>
        <v>5151999000</v>
      </c>
      <c r="W11" s="556" t="s">
        <v>704</v>
      </c>
      <c r="X11" s="556" t="s">
        <v>343</v>
      </c>
      <c r="Y11" s="552">
        <f>J11</f>
        <v>1</v>
      </c>
      <c r="Z11" s="580"/>
      <c r="AA11" s="558">
        <v>4594509000</v>
      </c>
      <c r="AB11" s="558">
        <f>Y11*AA11</f>
        <v>4594509000</v>
      </c>
      <c r="AC11" s="551"/>
      <c r="AD11" s="551"/>
      <c r="AE11" s="552"/>
      <c r="AF11" s="551"/>
      <c r="AG11" s="551"/>
      <c r="AH11" s="551"/>
      <c r="AI11" s="578"/>
      <c r="AJ11" s="578"/>
      <c r="AK11" s="581"/>
    </row>
    <row r="12" spans="1:38" s="572" customFormat="1" ht="47.25">
      <c r="A12" s="567">
        <v>2</v>
      </c>
      <c r="B12" s="568" t="s">
        <v>730</v>
      </c>
      <c r="C12" s="569">
        <v>0</v>
      </c>
      <c r="D12" s="569">
        <v>0</v>
      </c>
      <c r="E12" s="569">
        <v>1</v>
      </c>
      <c r="F12" s="569">
        <v>0</v>
      </c>
      <c r="G12" s="569">
        <v>1</v>
      </c>
      <c r="H12" s="569">
        <v>0</v>
      </c>
      <c r="I12" s="549"/>
      <c r="J12" s="582"/>
      <c r="K12" s="558"/>
      <c r="L12" s="555">
        <f>SUM(L13:L14)</f>
        <v>10743651000</v>
      </c>
      <c r="M12" s="606">
        <v>0.1</v>
      </c>
      <c r="N12" s="555">
        <f t="shared" si="0"/>
        <v>1074365100</v>
      </c>
      <c r="O12" s="555">
        <f t="shared" si="1"/>
        <v>11818016100</v>
      </c>
      <c r="P12" s="568" t="s">
        <v>732</v>
      </c>
      <c r="Q12" s="548"/>
      <c r="R12" s="548"/>
      <c r="S12" s="552"/>
      <c r="T12" s="549"/>
      <c r="U12" s="583"/>
      <c r="V12" s="555"/>
      <c r="W12" s="548"/>
      <c r="X12" s="548"/>
      <c r="Y12" s="552"/>
      <c r="Z12" s="584"/>
      <c r="AA12" s="555"/>
      <c r="AB12" s="555"/>
      <c r="AC12" s="550"/>
      <c r="AD12" s="550"/>
      <c r="AE12" s="552"/>
      <c r="AF12" s="550"/>
      <c r="AG12" s="550"/>
      <c r="AH12" s="550"/>
      <c r="AI12" s="562"/>
      <c r="AJ12" s="562"/>
    </row>
    <row r="13" spans="1:38" s="572" customFormat="1">
      <c r="A13" s="585" t="s">
        <v>733</v>
      </c>
      <c r="B13" s="573" t="s">
        <v>759</v>
      </c>
      <c r="C13" s="569"/>
      <c r="D13" s="569"/>
      <c r="E13" s="569"/>
      <c r="F13" s="569"/>
      <c r="G13" s="569"/>
      <c r="H13" s="569"/>
      <c r="I13" s="556" t="str">
        <f>W13</f>
        <v>SMW200A</v>
      </c>
      <c r="J13" s="552">
        <v>1</v>
      </c>
      <c r="K13" s="558">
        <f>MIN(U13,AA13,AG13)</f>
        <v>7316595000</v>
      </c>
      <c r="L13" s="579">
        <f>AB13</f>
        <v>7316595000</v>
      </c>
      <c r="M13" s="607">
        <v>0.1</v>
      </c>
      <c r="N13" s="558">
        <f t="shared" si="0"/>
        <v>731659500</v>
      </c>
      <c r="O13" s="558">
        <f t="shared" si="1"/>
        <v>8048254500</v>
      </c>
      <c r="P13" s="981" t="s">
        <v>773</v>
      </c>
      <c r="Q13" s="557"/>
      <c r="R13" s="557"/>
      <c r="S13" s="552"/>
      <c r="T13" s="552"/>
      <c r="U13" s="579"/>
      <c r="V13" s="558"/>
      <c r="W13" s="556" t="s">
        <v>412</v>
      </c>
      <c r="X13" s="556" t="s">
        <v>343</v>
      </c>
      <c r="Y13" s="552">
        <f>J13</f>
        <v>1</v>
      </c>
      <c r="Z13" s="580"/>
      <c r="AA13" s="558">
        <v>7316595000</v>
      </c>
      <c r="AB13" s="558">
        <f t="shared" ref="AB13:AB14" si="2">Y13*AA13</f>
        <v>7316595000</v>
      </c>
      <c r="AC13" s="550"/>
      <c r="AD13" s="550"/>
      <c r="AE13" s="552"/>
      <c r="AF13" s="550"/>
      <c r="AG13" s="550"/>
      <c r="AH13" s="550"/>
      <c r="AI13" s="562"/>
      <c r="AJ13" s="562"/>
    </row>
    <row r="14" spans="1:38" s="572" customFormat="1">
      <c r="A14" s="585" t="s">
        <v>734</v>
      </c>
      <c r="B14" s="573" t="s">
        <v>766</v>
      </c>
      <c r="C14" s="569"/>
      <c r="D14" s="569"/>
      <c r="E14" s="569"/>
      <c r="F14" s="569"/>
      <c r="G14" s="569"/>
      <c r="H14" s="569"/>
      <c r="I14" s="556" t="s">
        <v>338</v>
      </c>
      <c r="J14" s="552">
        <v>4</v>
      </c>
      <c r="K14" s="558">
        <f>MIN(U14,AA14,AG14)</f>
        <v>856764000</v>
      </c>
      <c r="L14" s="579">
        <f>AB14</f>
        <v>3427056000</v>
      </c>
      <c r="M14" s="607">
        <v>0.1</v>
      </c>
      <c r="N14" s="558">
        <f t="shared" si="0"/>
        <v>342705600</v>
      </c>
      <c r="O14" s="558">
        <f t="shared" si="1"/>
        <v>3769761600</v>
      </c>
      <c r="P14" s="982"/>
      <c r="Q14" s="548"/>
      <c r="R14" s="548"/>
      <c r="S14" s="552"/>
      <c r="T14" s="552"/>
      <c r="U14" s="548"/>
      <c r="V14" s="566"/>
      <c r="W14" s="556" t="s">
        <v>338</v>
      </c>
      <c r="X14" s="556" t="s">
        <v>343</v>
      </c>
      <c r="Y14" s="552">
        <f>J14</f>
        <v>4</v>
      </c>
      <c r="Z14" s="580"/>
      <c r="AA14" s="558">
        <v>856764000</v>
      </c>
      <c r="AB14" s="558">
        <f t="shared" si="2"/>
        <v>3427056000</v>
      </c>
      <c r="AC14" s="550"/>
      <c r="AD14" s="550"/>
      <c r="AE14" s="552"/>
      <c r="AF14" s="550"/>
      <c r="AG14" s="550"/>
      <c r="AH14" s="550"/>
      <c r="AI14" s="562"/>
      <c r="AJ14" s="562"/>
    </row>
    <row r="15" spans="1:38" s="572" customFormat="1" ht="31.5">
      <c r="A15" s="567">
        <v>3</v>
      </c>
      <c r="B15" s="568" t="s">
        <v>736</v>
      </c>
      <c r="C15" s="569">
        <v>1</v>
      </c>
      <c r="D15" s="569">
        <v>0</v>
      </c>
      <c r="E15" s="569">
        <v>0</v>
      </c>
      <c r="F15" s="569">
        <v>0</v>
      </c>
      <c r="G15" s="569">
        <v>1</v>
      </c>
      <c r="H15" s="569"/>
      <c r="I15" s="549"/>
      <c r="J15" s="582"/>
      <c r="K15" s="558"/>
      <c r="L15" s="555">
        <f>SUM(L16:L17)</f>
        <v>9801363500</v>
      </c>
      <c r="M15" s="606">
        <v>0.1</v>
      </c>
      <c r="N15" s="555">
        <f t="shared" si="0"/>
        <v>980136350</v>
      </c>
      <c r="O15" s="555">
        <f t="shared" si="1"/>
        <v>10781499850</v>
      </c>
      <c r="P15" s="550"/>
      <c r="Q15" s="548"/>
      <c r="R15" s="548"/>
      <c r="S15" s="552"/>
      <c r="T15" s="582"/>
      <c r="U15" s="548"/>
      <c r="V15" s="555"/>
      <c r="W15" s="548"/>
      <c r="X15" s="548"/>
      <c r="Y15" s="552"/>
      <c r="Z15" s="549"/>
      <c r="AA15" s="548"/>
      <c r="AB15" s="548"/>
      <c r="AC15" s="550"/>
      <c r="AD15" s="550"/>
      <c r="AE15" s="552"/>
      <c r="AF15" s="550"/>
      <c r="AG15" s="550"/>
      <c r="AH15" s="550"/>
      <c r="AI15" s="562"/>
      <c r="AJ15" s="562"/>
    </row>
    <row r="16" spans="1:38" ht="41.25" customHeight="1">
      <c r="A16" s="586" t="s">
        <v>686</v>
      </c>
      <c r="B16" s="573" t="s">
        <v>768</v>
      </c>
      <c r="C16" s="570"/>
      <c r="D16" s="570"/>
      <c r="E16" s="570"/>
      <c r="F16" s="570"/>
      <c r="G16" s="570"/>
      <c r="H16" s="569"/>
      <c r="I16" s="556" t="s">
        <v>333</v>
      </c>
      <c r="J16" s="552">
        <v>1</v>
      </c>
      <c r="K16" s="558">
        <f>MIN(U16,AA16,AG16)</f>
        <v>8742963500</v>
      </c>
      <c r="L16" s="558">
        <f>J16*K16</f>
        <v>8742963500</v>
      </c>
      <c r="M16" s="607">
        <v>0.1</v>
      </c>
      <c r="N16" s="558">
        <f t="shared" si="0"/>
        <v>874296350</v>
      </c>
      <c r="O16" s="558">
        <f t="shared" si="1"/>
        <v>9617259850</v>
      </c>
      <c r="P16" s="576" t="s">
        <v>743</v>
      </c>
      <c r="Q16" s="556" t="s">
        <v>333</v>
      </c>
      <c r="R16" s="557" t="s">
        <v>744</v>
      </c>
      <c r="S16" s="552">
        <f>J16</f>
        <v>1</v>
      </c>
      <c r="T16" s="552"/>
      <c r="U16" s="558">
        <v>8742963500</v>
      </c>
      <c r="V16" s="558">
        <f>S16*U16</f>
        <v>8742963500</v>
      </c>
      <c r="W16" s="556"/>
      <c r="X16" s="556"/>
      <c r="Y16" s="552"/>
      <c r="Z16" s="587"/>
      <c r="AA16" s="556"/>
      <c r="AB16" s="556"/>
      <c r="AC16" s="553"/>
      <c r="AD16" s="553"/>
      <c r="AE16" s="552"/>
      <c r="AF16" s="553"/>
      <c r="AG16" s="553"/>
      <c r="AH16" s="553"/>
      <c r="AI16" s="588"/>
      <c r="AJ16" s="588"/>
    </row>
    <row r="17" spans="1:38" ht="48" customHeight="1">
      <c r="A17" s="586" t="s">
        <v>735</v>
      </c>
      <c r="B17" s="573" t="s">
        <v>767</v>
      </c>
      <c r="C17" s="570"/>
      <c r="D17" s="570"/>
      <c r="E17" s="570"/>
      <c r="F17" s="570"/>
      <c r="G17" s="570"/>
      <c r="H17" s="569"/>
      <c r="I17" s="556" t="s">
        <v>265</v>
      </c>
      <c r="J17" s="552">
        <v>1</v>
      </c>
      <c r="K17" s="558">
        <f>MIN(U17,AA17,AG17)</f>
        <v>1058400000</v>
      </c>
      <c r="L17" s="558">
        <f>J17*K17</f>
        <v>1058400000</v>
      </c>
      <c r="M17" s="607">
        <v>0.1</v>
      </c>
      <c r="N17" s="558">
        <f t="shared" si="0"/>
        <v>105840000</v>
      </c>
      <c r="O17" s="558">
        <f t="shared" si="1"/>
        <v>1164240000</v>
      </c>
      <c r="P17" s="576" t="s">
        <v>771</v>
      </c>
      <c r="Q17" s="556"/>
      <c r="R17" s="557"/>
      <c r="S17" s="552"/>
      <c r="T17" s="552"/>
      <c r="U17" s="558"/>
      <c r="V17" s="558"/>
      <c r="W17" s="556" t="s">
        <v>265</v>
      </c>
      <c r="X17" s="557" t="s">
        <v>343</v>
      </c>
      <c r="Y17" s="552">
        <f>J17</f>
        <v>1</v>
      </c>
      <c r="Z17" s="552"/>
      <c r="AA17" s="558">
        <v>1058400000</v>
      </c>
      <c r="AB17" s="558">
        <f>Y17*AA17</f>
        <v>1058400000</v>
      </c>
      <c r="AC17" s="553"/>
      <c r="AD17" s="553"/>
      <c r="AE17" s="552"/>
      <c r="AF17" s="553"/>
      <c r="AG17" s="553"/>
      <c r="AH17" s="553"/>
      <c r="AI17" s="588"/>
      <c r="AJ17" s="588"/>
    </row>
    <row r="18" spans="1:38" s="572" customFormat="1">
      <c r="A18" s="569">
        <v>4</v>
      </c>
      <c r="B18" s="571" t="s">
        <v>699</v>
      </c>
      <c r="C18" s="574"/>
      <c r="D18" s="574"/>
      <c r="E18" s="574"/>
      <c r="F18" s="574"/>
      <c r="G18" s="574"/>
      <c r="H18" s="569"/>
      <c r="I18" s="575"/>
      <c r="J18" s="575"/>
      <c r="K18" s="558"/>
      <c r="L18" s="555" t="e">
        <f>L19+L20</f>
        <v>#REF!</v>
      </c>
      <c r="M18" s="606">
        <v>0.1</v>
      </c>
      <c r="N18" s="555" t="e">
        <f t="shared" si="0"/>
        <v>#REF!</v>
      </c>
      <c r="O18" s="555" t="e">
        <f t="shared" si="1"/>
        <v>#REF!</v>
      </c>
      <c r="P18" s="555"/>
      <c r="Q18" s="548"/>
      <c r="R18" s="566"/>
      <c r="S18" s="552"/>
      <c r="T18" s="552"/>
      <c r="U18" s="555"/>
      <c r="V18" s="555"/>
      <c r="W18" s="548"/>
      <c r="X18" s="566"/>
      <c r="Y18" s="552"/>
      <c r="Z18" s="552"/>
      <c r="AA18" s="555"/>
      <c r="AB18" s="555"/>
      <c r="AC18" s="554"/>
      <c r="AD18" s="554"/>
      <c r="AE18" s="552"/>
      <c r="AF18" s="554"/>
      <c r="AG18" s="554"/>
      <c r="AH18" s="554"/>
      <c r="AI18" s="589"/>
      <c r="AJ18" s="589"/>
    </row>
    <row r="19" spans="1:38" s="572" customFormat="1">
      <c r="A19" s="569" t="s">
        <v>694</v>
      </c>
      <c r="B19" s="571" t="s">
        <v>764</v>
      </c>
      <c r="C19" s="574"/>
      <c r="D19" s="574"/>
      <c r="E19" s="574"/>
      <c r="F19" s="574"/>
      <c r="G19" s="574"/>
      <c r="H19" s="569"/>
      <c r="I19" s="575"/>
      <c r="J19" s="575" t="e">
        <f>'1.Thiet bi'!#REF!</f>
        <v>#REF!</v>
      </c>
      <c r="K19" s="558"/>
      <c r="L19" s="555" t="e">
        <f>SUM(#REF!)</f>
        <v>#REF!</v>
      </c>
      <c r="M19" s="606">
        <v>0.1</v>
      </c>
      <c r="N19" s="555" t="e">
        <f t="shared" si="0"/>
        <v>#REF!</v>
      </c>
      <c r="O19" s="555" t="e">
        <f t="shared" si="1"/>
        <v>#REF!</v>
      </c>
      <c r="P19" s="555"/>
      <c r="Q19" s="555"/>
      <c r="R19" s="555"/>
      <c r="S19" s="552"/>
      <c r="T19" s="555"/>
      <c r="U19" s="555"/>
      <c r="V19" s="555" t="e">
        <f>SUM(#REF!)</f>
        <v>#REF!</v>
      </c>
      <c r="W19" s="555"/>
      <c r="X19" s="555"/>
      <c r="Y19" s="552"/>
      <c r="Z19" s="555"/>
      <c r="AA19" s="590"/>
      <c r="AB19" s="555" t="e">
        <f>SUM(#REF!)</f>
        <v>#REF!</v>
      </c>
      <c r="AC19" s="555"/>
      <c r="AD19" s="555"/>
      <c r="AE19" s="552"/>
      <c r="AF19" s="555"/>
      <c r="AG19" s="555"/>
      <c r="AH19" s="555" t="e">
        <f>SUM(#REF!)</f>
        <v>#REF!</v>
      </c>
      <c r="AI19" s="589"/>
      <c r="AJ19" s="589"/>
    </row>
    <row r="20" spans="1:38" s="572" customFormat="1">
      <c r="A20" s="569" t="s">
        <v>696</v>
      </c>
      <c r="B20" s="571" t="s">
        <v>765</v>
      </c>
      <c r="C20" s="591"/>
      <c r="D20" s="591"/>
      <c r="E20" s="591"/>
      <c r="F20" s="591"/>
      <c r="G20" s="591"/>
      <c r="H20" s="569"/>
      <c r="I20" s="548"/>
      <c r="J20" s="552" t="e">
        <f>'1.Thiet bi'!#REF!</f>
        <v>#REF!</v>
      </c>
      <c r="K20" s="558"/>
      <c r="L20" s="555" t="e">
        <f>SUM(#REF!)</f>
        <v>#REF!</v>
      </c>
      <c r="M20" s="606">
        <v>0.1</v>
      </c>
      <c r="N20" s="555" t="e">
        <f t="shared" si="0"/>
        <v>#REF!</v>
      </c>
      <c r="O20" s="555" t="e">
        <f t="shared" si="1"/>
        <v>#REF!</v>
      </c>
      <c r="P20" s="592"/>
      <c r="Q20" s="555"/>
      <c r="R20" s="555"/>
      <c r="S20" s="552" t="e">
        <f t="shared" ref="S20" si="3">J20</f>
        <v>#REF!</v>
      </c>
      <c r="T20" s="555"/>
      <c r="U20" s="555"/>
      <c r="V20" s="555" t="e">
        <f>SUM(#REF!)</f>
        <v>#REF!</v>
      </c>
      <c r="W20" s="555"/>
      <c r="X20" s="555"/>
      <c r="Y20" s="552"/>
      <c r="Z20" s="555"/>
      <c r="AA20" s="590"/>
      <c r="AB20" s="555" t="e">
        <f>SUM(#REF!)</f>
        <v>#REF!</v>
      </c>
      <c r="AC20" s="555"/>
      <c r="AD20" s="555"/>
      <c r="AE20" s="552"/>
      <c r="AF20" s="555"/>
      <c r="AG20" s="555"/>
      <c r="AH20" s="555" t="e">
        <f>SUM(#REF!)</f>
        <v>#REF!</v>
      </c>
      <c r="AI20" s="589"/>
      <c r="AJ20" s="589"/>
      <c r="AK20" s="593"/>
      <c r="AL20" s="593"/>
    </row>
    <row r="21" spans="1:38" s="572" customFormat="1">
      <c r="A21" s="569">
        <v>5</v>
      </c>
      <c r="B21" s="568" t="s">
        <v>761</v>
      </c>
      <c r="C21" s="574">
        <v>0</v>
      </c>
      <c r="D21" s="574">
        <v>0</v>
      </c>
      <c r="E21" s="574">
        <v>0</v>
      </c>
      <c r="F21" s="574">
        <v>1</v>
      </c>
      <c r="G21" s="574">
        <v>1</v>
      </c>
      <c r="H21" s="569">
        <v>0</v>
      </c>
      <c r="I21" s="548"/>
      <c r="J21" s="552"/>
      <c r="K21" s="558"/>
      <c r="L21" s="555">
        <f>SUM(L22:L22)</f>
        <v>8136000000</v>
      </c>
      <c r="M21" s="606">
        <v>0.1</v>
      </c>
      <c r="N21" s="555">
        <f t="shared" si="0"/>
        <v>813600000</v>
      </c>
      <c r="O21" s="555">
        <f t="shared" si="1"/>
        <v>8949600000</v>
      </c>
      <c r="P21" s="576"/>
      <c r="Q21" s="548"/>
      <c r="R21" s="566"/>
      <c r="S21" s="552"/>
      <c r="T21" s="552"/>
      <c r="U21" s="555"/>
      <c r="V21" s="555"/>
      <c r="W21" s="548"/>
      <c r="X21" s="566"/>
      <c r="Y21" s="552"/>
      <c r="Z21" s="592"/>
      <c r="AA21" s="555"/>
      <c r="AB21" s="555"/>
      <c r="AC21" s="554"/>
      <c r="AD21" s="554"/>
      <c r="AE21" s="554"/>
      <c r="AF21" s="554"/>
      <c r="AG21" s="554"/>
      <c r="AH21" s="554"/>
      <c r="AI21" s="589"/>
      <c r="AJ21" s="589"/>
    </row>
    <row r="22" spans="1:38" ht="39" customHeight="1">
      <c r="A22" s="570" t="s">
        <v>746</v>
      </c>
      <c r="B22" s="573" t="s">
        <v>328</v>
      </c>
      <c r="C22" s="574">
        <v>0</v>
      </c>
      <c r="D22" s="574">
        <v>0</v>
      </c>
      <c r="E22" s="574">
        <v>0</v>
      </c>
      <c r="F22" s="574">
        <v>1</v>
      </c>
      <c r="G22" s="574">
        <v>1</v>
      </c>
      <c r="H22" s="569">
        <v>0</v>
      </c>
      <c r="I22" s="556" t="s">
        <v>769</v>
      </c>
      <c r="J22" s="575">
        <v>1</v>
      </c>
      <c r="K22" s="558">
        <f>MIN(U22,AA22,AG22)</f>
        <v>8136000000</v>
      </c>
      <c r="L22" s="558">
        <f>J22*K22</f>
        <v>8136000000</v>
      </c>
      <c r="M22" s="607">
        <v>0.1</v>
      </c>
      <c r="N22" s="558">
        <f t="shared" si="0"/>
        <v>813600000</v>
      </c>
      <c r="O22" s="558">
        <f t="shared" si="1"/>
        <v>8949600000</v>
      </c>
      <c r="P22" s="576" t="s">
        <v>777</v>
      </c>
      <c r="Q22" s="556" t="s">
        <v>741</v>
      </c>
      <c r="R22" s="553" t="s">
        <v>740</v>
      </c>
      <c r="S22" s="552">
        <f>J22</f>
        <v>1</v>
      </c>
      <c r="T22" s="552"/>
      <c r="U22" s="558">
        <v>8278862000</v>
      </c>
      <c r="V22" s="558">
        <f>S22*U22</f>
        <v>8278862000</v>
      </c>
      <c r="W22" s="556" t="s">
        <v>351</v>
      </c>
      <c r="X22" s="557" t="s">
        <v>351</v>
      </c>
      <c r="Y22" s="552">
        <f>J22</f>
        <v>1</v>
      </c>
      <c r="Z22" s="558"/>
      <c r="AA22" s="558">
        <v>8136000000</v>
      </c>
      <c r="AB22" s="558">
        <f>Y22*AA22</f>
        <v>8136000000</v>
      </c>
      <c r="AC22" s="551"/>
      <c r="AD22" s="551"/>
      <c r="AE22" s="551"/>
      <c r="AF22" s="551"/>
      <c r="AG22" s="551"/>
      <c r="AH22" s="551"/>
      <c r="AI22" s="578"/>
      <c r="AJ22" s="578"/>
    </row>
    <row r="23" spans="1:38">
      <c r="A23" s="564" t="s">
        <v>258</v>
      </c>
      <c r="B23" s="608"/>
      <c r="C23" s="609"/>
      <c r="D23" s="610"/>
      <c r="E23" s="610"/>
      <c r="F23" s="610"/>
      <c r="G23" s="610"/>
      <c r="H23" s="610"/>
      <c r="I23" s="609"/>
      <c r="J23" s="582" t="e">
        <f>SUM(J8:J22)</f>
        <v>#REF!</v>
      </c>
    </row>
    <row r="24" spans="1:38">
      <c r="A24" s="594"/>
    </row>
    <row r="25" spans="1:38">
      <c r="A25" s="594"/>
    </row>
    <row r="26" spans="1:38">
      <c r="A26" s="594"/>
    </row>
    <row r="27" spans="1:38">
      <c r="A27" s="594"/>
    </row>
    <row r="28" spans="1:38">
      <c r="A28" s="594"/>
    </row>
    <row r="29" spans="1:38">
      <c r="A29" s="594"/>
    </row>
    <row r="30" spans="1:38">
      <c r="A30" s="594"/>
    </row>
    <row r="31" spans="1:38">
      <c r="A31" s="594"/>
    </row>
    <row r="32" spans="1:38">
      <c r="A32" s="594"/>
    </row>
    <row r="33" spans="1:36">
      <c r="A33" s="594"/>
    </row>
    <row r="34" spans="1:36">
      <c r="A34" s="594"/>
    </row>
    <row r="35" spans="1:36">
      <c r="A35" s="594"/>
    </row>
    <row r="36" spans="1:36">
      <c r="A36" s="594"/>
    </row>
    <row r="37" spans="1:36">
      <c r="A37" s="594"/>
    </row>
    <row r="38" spans="1:36">
      <c r="A38" s="594"/>
    </row>
    <row r="39" spans="1:36">
      <c r="A39" s="594"/>
      <c r="W39" s="598"/>
      <c r="AA39" s="598"/>
    </row>
    <row r="40" spans="1:36">
      <c r="A40" s="594"/>
      <c r="V40" s="983" t="s">
        <v>702</v>
      </c>
      <c r="W40" s="983"/>
      <c r="X40" s="983"/>
      <c r="Y40" s="983"/>
      <c r="Z40" s="983"/>
      <c r="AA40" s="983"/>
      <c r="AB40" s="983"/>
      <c r="AC40" s="605"/>
      <c r="AD40" s="605"/>
      <c r="AE40" s="605"/>
      <c r="AF40" s="605"/>
      <c r="AG40" s="605"/>
      <c r="AH40" s="605"/>
      <c r="AI40" s="605"/>
      <c r="AJ40" s="605"/>
    </row>
    <row r="41" spans="1:36">
      <c r="A41" s="594"/>
    </row>
    <row r="42" spans="1:36">
      <c r="A42" s="594"/>
      <c r="B42" s="559"/>
      <c r="C42" s="559"/>
      <c r="D42" s="559"/>
      <c r="E42" s="559"/>
      <c r="F42" s="559"/>
      <c r="G42" s="559"/>
      <c r="H42" s="559"/>
      <c r="I42" s="603"/>
      <c r="J42" s="603"/>
      <c r="K42" s="559"/>
      <c r="L42" s="559"/>
      <c r="M42" s="559"/>
      <c r="N42" s="559"/>
      <c r="O42" s="559"/>
      <c r="P42" s="559"/>
      <c r="Q42" s="603"/>
      <c r="R42" s="559"/>
      <c r="S42" s="559"/>
      <c r="T42" s="559"/>
      <c r="U42" s="559"/>
      <c r="V42" s="559"/>
      <c r="W42" s="559"/>
      <c r="X42" s="559"/>
      <c r="Y42" s="559"/>
      <c r="Z42" s="559"/>
      <c r="AA42" s="559"/>
      <c r="AB42" s="559"/>
    </row>
    <row r="43" spans="1:36">
      <c r="A43" s="594"/>
      <c r="B43" s="559"/>
      <c r="C43" s="559"/>
      <c r="D43" s="559"/>
      <c r="E43" s="559"/>
      <c r="F43" s="559"/>
      <c r="G43" s="559"/>
      <c r="H43" s="559"/>
      <c r="I43" s="603"/>
      <c r="J43" s="603"/>
      <c r="K43" s="559"/>
      <c r="L43" s="559"/>
      <c r="M43" s="559"/>
      <c r="N43" s="559"/>
      <c r="O43" s="559"/>
      <c r="P43" s="559"/>
      <c r="Q43" s="603"/>
      <c r="R43" s="559"/>
      <c r="S43" s="559"/>
      <c r="T43" s="559"/>
      <c r="U43" s="559"/>
      <c r="V43" s="559"/>
      <c r="W43" s="559"/>
      <c r="X43" s="559"/>
      <c r="Y43" s="559"/>
      <c r="Z43" s="559"/>
      <c r="AA43" s="559"/>
      <c r="AB43" s="559"/>
    </row>
    <row r="44" spans="1:36">
      <c r="A44" s="594"/>
      <c r="B44" s="559"/>
      <c r="C44" s="559"/>
      <c r="D44" s="559"/>
      <c r="E44" s="559"/>
      <c r="F44" s="559"/>
      <c r="G44" s="559"/>
      <c r="H44" s="559"/>
      <c r="I44" s="603"/>
      <c r="J44" s="603"/>
      <c r="K44" s="559"/>
      <c r="L44" s="559"/>
      <c r="M44" s="559"/>
      <c r="N44" s="559"/>
      <c r="O44" s="559"/>
      <c r="P44" s="559"/>
      <c r="Q44" s="603"/>
      <c r="R44" s="559"/>
      <c r="S44" s="559"/>
      <c r="T44" s="559"/>
      <c r="U44" s="559"/>
      <c r="V44" s="559"/>
      <c r="W44" s="559"/>
      <c r="X44" s="559"/>
      <c r="Y44" s="559"/>
      <c r="Z44" s="559"/>
      <c r="AA44" s="559"/>
      <c r="AB44" s="559"/>
    </row>
    <row r="45" spans="1:36">
      <c r="A45" s="594"/>
      <c r="B45" s="559"/>
      <c r="C45" s="559"/>
      <c r="D45" s="559"/>
      <c r="E45" s="559"/>
      <c r="F45" s="559"/>
      <c r="G45" s="559"/>
      <c r="H45" s="559"/>
      <c r="I45" s="603"/>
      <c r="J45" s="603"/>
      <c r="K45" s="559"/>
      <c r="L45" s="559"/>
      <c r="M45" s="559"/>
      <c r="N45" s="559"/>
      <c r="O45" s="559"/>
      <c r="P45" s="559"/>
      <c r="Q45" s="603"/>
      <c r="R45" s="559"/>
      <c r="S45" s="559"/>
      <c r="T45" s="559"/>
      <c r="U45" s="559"/>
      <c r="V45" s="559"/>
      <c r="W45" s="559"/>
      <c r="X45" s="559"/>
      <c r="Y45" s="559"/>
      <c r="Z45" s="559"/>
      <c r="AA45" s="559"/>
      <c r="AB45" s="559"/>
    </row>
    <row r="46" spans="1:36">
      <c r="A46" s="594"/>
      <c r="B46" s="559"/>
      <c r="C46" s="559"/>
      <c r="D46" s="559"/>
      <c r="E46" s="559"/>
      <c r="F46" s="559"/>
      <c r="G46" s="559"/>
      <c r="H46" s="559"/>
      <c r="I46" s="603"/>
      <c r="J46" s="603"/>
      <c r="K46" s="559"/>
      <c r="L46" s="559"/>
      <c r="M46" s="559"/>
      <c r="N46" s="559"/>
      <c r="O46" s="559"/>
      <c r="P46" s="559"/>
      <c r="Q46" s="603"/>
      <c r="R46" s="559"/>
      <c r="S46" s="559"/>
      <c r="T46" s="559"/>
      <c r="U46" s="559"/>
      <c r="V46" s="559"/>
      <c r="W46" s="559"/>
      <c r="X46" s="559"/>
      <c r="Y46" s="559"/>
      <c r="Z46" s="559"/>
      <c r="AA46" s="559"/>
      <c r="AB46" s="559"/>
    </row>
    <row r="47" spans="1:36">
      <c r="A47" s="594"/>
      <c r="B47" s="559"/>
      <c r="C47" s="559"/>
      <c r="D47" s="559"/>
      <c r="E47" s="559"/>
      <c r="F47" s="559"/>
      <c r="G47" s="559"/>
      <c r="H47" s="559"/>
      <c r="I47" s="603"/>
      <c r="J47" s="603"/>
      <c r="K47" s="559"/>
      <c r="L47" s="559"/>
      <c r="M47" s="559"/>
      <c r="N47" s="559"/>
      <c r="O47" s="559"/>
      <c r="P47" s="559"/>
      <c r="Q47" s="603"/>
      <c r="R47" s="559"/>
      <c r="S47" s="559"/>
      <c r="T47" s="559"/>
      <c r="U47" s="559"/>
      <c r="V47" s="559"/>
      <c r="W47" s="559"/>
      <c r="X47" s="559"/>
      <c r="Y47" s="559"/>
      <c r="Z47" s="559"/>
      <c r="AA47" s="559"/>
      <c r="AB47" s="559"/>
    </row>
    <row r="48" spans="1:36">
      <c r="A48" s="594"/>
      <c r="B48" s="559"/>
      <c r="C48" s="559"/>
      <c r="D48" s="559"/>
      <c r="E48" s="559"/>
      <c r="F48" s="559"/>
      <c r="G48" s="559"/>
      <c r="H48" s="559"/>
      <c r="I48" s="603"/>
      <c r="J48" s="603"/>
      <c r="K48" s="559"/>
      <c r="L48" s="559"/>
      <c r="M48" s="559"/>
      <c r="N48" s="559"/>
      <c r="O48" s="559"/>
      <c r="P48" s="559"/>
      <c r="Q48" s="603"/>
      <c r="R48" s="559"/>
      <c r="S48" s="559"/>
      <c r="T48" s="559"/>
      <c r="U48" s="559"/>
      <c r="V48" s="559"/>
      <c r="W48" s="559"/>
      <c r="X48" s="559"/>
      <c r="Y48" s="559"/>
      <c r="Z48" s="559"/>
      <c r="AA48" s="559"/>
      <c r="AB48" s="559"/>
    </row>
    <row r="49" spans="1:28">
      <c r="A49" s="594"/>
      <c r="B49" s="559"/>
      <c r="C49" s="559"/>
      <c r="D49" s="559"/>
      <c r="E49" s="559"/>
      <c r="F49" s="559"/>
      <c r="G49" s="559"/>
      <c r="H49" s="559"/>
      <c r="I49" s="603"/>
      <c r="J49" s="603"/>
      <c r="K49" s="559"/>
      <c r="L49" s="559"/>
      <c r="M49" s="559"/>
      <c r="N49" s="559"/>
      <c r="O49" s="559"/>
      <c r="P49" s="559"/>
      <c r="Q49" s="603"/>
      <c r="R49" s="559"/>
      <c r="S49" s="559"/>
      <c r="T49" s="559"/>
      <c r="U49" s="559"/>
      <c r="V49" s="559"/>
      <c r="W49" s="559"/>
      <c r="X49" s="559"/>
      <c r="Y49" s="559"/>
      <c r="Z49" s="559"/>
      <c r="AA49" s="559"/>
      <c r="AB49" s="559"/>
    </row>
    <row r="50" spans="1:28">
      <c r="A50" s="594"/>
      <c r="B50" s="559"/>
      <c r="C50" s="559"/>
      <c r="D50" s="559"/>
      <c r="E50" s="559"/>
      <c r="F50" s="559"/>
      <c r="G50" s="559"/>
      <c r="H50" s="559"/>
      <c r="I50" s="603"/>
      <c r="J50" s="603"/>
      <c r="K50" s="559"/>
      <c r="L50" s="559"/>
      <c r="M50" s="559"/>
      <c r="N50" s="559"/>
      <c r="O50" s="559"/>
      <c r="P50" s="559"/>
      <c r="Q50" s="603"/>
      <c r="R50" s="559"/>
      <c r="S50" s="559"/>
      <c r="T50" s="559"/>
      <c r="U50" s="559"/>
      <c r="V50" s="559"/>
      <c r="W50" s="559"/>
      <c r="X50" s="559"/>
      <c r="Y50" s="559"/>
      <c r="Z50" s="559"/>
      <c r="AA50" s="559"/>
      <c r="AB50" s="559"/>
    </row>
    <row r="51" spans="1:28">
      <c r="A51" s="594"/>
      <c r="B51" s="559"/>
      <c r="C51" s="559"/>
      <c r="D51" s="559"/>
      <c r="E51" s="559"/>
      <c r="F51" s="559"/>
      <c r="G51" s="559"/>
      <c r="H51" s="559"/>
      <c r="I51" s="603"/>
      <c r="J51" s="603"/>
      <c r="K51" s="559"/>
      <c r="L51" s="559"/>
      <c r="M51" s="559"/>
      <c r="N51" s="559"/>
      <c r="O51" s="559"/>
      <c r="P51" s="559"/>
      <c r="Q51" s="603"/>
      <c r="R51" s="559"/>
      <c r="S51" s="559"/>
      <c r="T51" s="559"/>
      <c r="U51" s="559"/>
      <c r="V51" s="559"/>
      <c r="W51" s="559"/>
      <c r="X51" s="559"/>
      <c r="Y51" s="559"/>
      <c r="Z51" s="559"/>
      <c r="AA51" s="559"/>
      <c r="AB51" s="559"/>
    </row>
    <row r="52" spans="1:28">
      <c r="A52" s="594"/>
      <c r="B52" s="559"/>
      <c r="C52" s="559"/>
      <c r="D52" s="559"/>
      <c r="E52" s="559"/>
      <c r="F52" s="559"/>
      <c r="G52" s="559"/>
      <c r="H52" s="559"/>
      <c r="I52" s="603"/>
      <c r="J52" s="603"/>
      <c r="K52" s="559"/>
      <c r="L52" s="559"/>
      <c r="M52" s="559"/>
      <c r="N52" s="559"/>
      <c r="O52" s="559"/>
      <c r="P52" s="559"/>
      <c r="Q52" s="603"/>
      <c r="R52" s="559"/>
      <c r="S52" s="559"/>
      <c r="T52" s="559"/>
      <c r="U52" s="559"/>
      <c r="V52" s="559"/>
      <c r="W52" s="559"/>
      <c r="X52" s="559"/>
      <c r="Y52" s="559"/>
      <c r="Z52" s="559"/>
      <c r="AA52" s="559"/>
      <c r="AB52" s="559"/>
    </row>
    <row r="53" spans="1:28">
      <c r="A53" s="594"/>
      <c r="B53" s="559"/>
      <c r="C53" s="559"/>
      <c r="D53" s="559"/>
      <c r="E53" s="559"/>
      <c r="F53" s="559"/>
      <c r="G53" s="559"/>
      <c r="H53" s="559"/>
      <c r="I53" s="603"/>
      <c r="J53" s="603"/>
      <c r="K53" s="559"/>
      <c r="L53" s="559"/>
      <c r="M53" s="559"/>
      <c r="N53" s="559"/>
      <c r="O53" s="559"/>
      <c r="P53" s="559"/>
      <c r="Q53" s="603"/>
      <c r="R53" s="559"/>
      <c r="S53" s="559"/>
      <c r="T53" s="559"/>
      <c r="U53" s="559"/>
      <c r="V53" s="559"/>
      <c r="W53" s="559"/>
      <c r="X53" s="559"/>
      <c r="Y53" s="559"/>
      <c r="Z53" s="559"/>
      <c r="AA53" s="559"/>
      <c r="AB53" s="559"/>
    </row>
    <row r="54" spans="1:28">
      <c r="A54" s="594"/>
      <c r="B54" s="559"/>
      <c r="C54" s="559"/>
      <c r="D54" s="559"/>
      <c r="E54" s="559"/>
      <c r="F54" s="559"/>
      <c r="G54" s="559"/>
      <c r="H54" s="559"/>
      <c r="I54" s="603"/>
      <c r="J54" s="603"/>
      <c r="K54" s="559"/>
      <c r="L54" s="559"/>
      <c r="M54" s="559"/>
      <c r="N54" s="559"/>
      <c r="O54" s="559"/>
      <c r="P54" s="559"/>
      <c r="Q54" s="603"/>
      <c r="R54" s="559"/>
      <c r="S54" s="559"/>
      <c r="T54" s="559"/>
      <c r="U54" s="559"/>
      <c r="V54" s="559"/>
      <c r="W54" s="559"/>
      <c r="X54" s="559"/>
      <c r="Y54" s="559"/>
      <c r="Z54" s="559"/>
      <c r="AA54" s="559"/>
      <c r="AB54" s="559"/>
    </row>
    <row r="55" spans="1:28">
      <c r="A55" s="594"/>
      <c r="B55" s="559"/>
      <c r="C55" s="559"/>
      <c r="D55" s="559"/>
      <c r="E55" s="559"/>
      <c r="F55" s="559"/>
      <c r="G55" s="559"/>
      <c r="H55" s="559"/>
      <c r="I55" s="603"/>
      <c r="J55" s="603"/>
      <c r="K55" s="559"/>
      <c r="L55" s="559"/>
      <c r="M55" s="559"/>
      <c r="N55" s="559"/>
      <c r="O55" s="559"/>
      <c r="P55" s="559"/>
      <c r="Q55" s="603"/>
      <c r="R55" s="559"/>
      <c r="S55" s="559"/>
      <c r="T55" s="559"/>
      <c r="U55" s="559"/>
      <c r="V55" s="559"/>
      <c r="W55" s="559"/>
      <c r="X55" s="559"/>
      <c r="Y55" s="559"/>
      <c r="Z55" s="559"/>
      <c r="AA55" s="559"/>
      <c r="AB55" s="559"/>
    </row>
    <row r="56" spans="1:28">
      <c r="A56" s="594"/>
      <c r="B56" s="559"/>
      <c r="C56" s="559"/>
      <c r="D56" s="559"/>
      <c r="E56" s="559"/>
      <c r="F56" s="559"/>
      <c r="G56" s="559"/>
      <c r="H56" s="559"/>
      <c r="I56" s="603"/>
      <c r="J56" s="603"/>
      <c r="K56" s="559"/>
      <c r="L56" s="559"/>
      <c r="M56" s="559"/>
      <c r="N56" s="559"/>
      <c r="O56" s="559"/>
      <c r="P56" s="559"/>
      <c r="Q56" s="603"/>
      <c r="R56" s="559"/>
      <c r="S56" s="559"/>
      <c r="T56" s="559"/>
      <c r="U56" s="559"/>
      <c r="V56" s="559"/>
      <c r="W56" s="559"/>
      <c r="X56" s="559"/>
      <c r="Y56" s="559"/>
      <c r="Z56" s="559"/>
      <c r="AA56" s="559"/>
      <c r="AB56" s="559"/>
    </row>
    <row r="57" spans="1:28">
      <c r="A57" s="594"/>
      <c r="B57" s="559"/>
      <c r="C57" s="559"/>
      <c r="D57" s="559"/>
      <c r="E57" s="559"/>
      <c r="F57" s="559"/>
      <c r="G57" s="559"/>
      <c r="H57" s="559"/>
      <c r="I57" s="603"/>
      <c r="J57" s="603"/>
      <c r="K57" s="559"/>
      <c r="L57" s="559"/>
      <c r="M57" s="559"/>
      <c r="N57" s="559"/>
      <c r="O57" s="559"/>
      <c r="P57" s="559"/>
      <c r="Q57" s="603"/>
      <c r="R57" s="559"/>
      <c r="S57" s="559"/>
      <c r="T57" s="559"/>
      <c r="U57" s="559"/>
      <c r="V57" s="559"/>
      <c r="W57" s="559"/>
      <c r="X57" s="559"/>
      <c r="Y57" s="559"/>
      <c r="Z57" s="559"/>
      <c r="AA57" s="559"/>
      <c r="AB57" s="559"/>
    </row>
    <row r="58" spans="1:28">
      <c r="A58" s="594"/>
      <c r="B58" s="559"/>
      <c r="C58" s="559"/>
      <c r="D58" s="559"/>
      <c r="E58" s="559"/>
      <c r="F58" s="559"/>
      <c r="G58" s="559"/>
      <c r="H58" s="559"/>
      <c r="I58" s="603"/>
      <c r="J58" s="603"/>
      <c r="K58" s="559"/>
      <c r="L58" s="559"/>
      <c r="M58" s="559"/>
      <c r="N58" s="559"/>
      <c r="O58" s="559"/>
      <c r="P58" s="559"/>
      <c r="Q58" s="603"/>
      <c r="R58" s="559"/>
      <c r="S58" s="559"/>
      <c r="T58" s="559"/>
      <c r="U58" s="559"/>
      <c r="V58" s="559"/>
      <c r="W58" s="559"/>
      <c r="X58" s="559"/>
      <c r="Y58" s="559"/>
      <c r="Z58" s="559"/>
      <c r="AA58" s="559"/>
      <c r="AB58" s="559"/>
    </row>
    <row r="59" spans="1:28">
      <c r="A59" s="594"/>
      <c r="B59" s="559"/>
      <c r="C59" s="559"/>
      <c r="D59" s="559"/>
      <c r="E59" s="559"/>
      <c r="F59" s="559"/>
      <c r="G59" s="559"/>
      <c r="H59" s="559"/>
      <c r="I59" s="603"/>
      <c r="J59" s="603"/>
      <c r="K59" s="559"/>
      <c r="L59" s="559"/>
      <c r="M59" s="559"/>
      <c r="N59" s="559"/>
      <c r="O59" s="559"/>
      <c r="P59" s="559"/>
      <c r="Q59" s="603"/>
      <c r="R59" s="559"/>
      <c r="S59" s="559"/>
      <c r="T59" s="559"/>
      <c r="U59" s="559"/>
      <c r="V59" s="559"/>
      <c r="W59" s="559"/>
      <c r="X59" s="559"/>
      <c r="Y59" s="559"/>
      <c r="Z59" s="559"/>
      <c r="AA59" s="559"/>
      <c r="AB59" s="559"/>
    </row>
    <row r="60" spans="1:28">
      <c r="A60" s="594"/>
      <c r="B60" s="559"/>
      <c r="C60" s="559"/>
      <c r="D60" s="559"/>
      <c r="E60" s="559"/>
      <c r="F60" s="559"/>
      <c r="G60" s="559"/>
      <c r="H60" s="559"/>
      <c r="I60" s="603"/>
      <c r="J60" s="603"/>
      <c r="K60" s="559"/>
      <c r="L60" s="559"/>
      <c r="M60" s="559"/>
      <c r="N60" s="559"/>
      <c r="O60" s="559"/>
      <c r="P60" s="559"/>
      <c r="Q60" s="603"/>
      <c r="R60" s="559"/>
      <c r="S60" s="559"/>
      <c r="T60" s="559"/>
      <c r="U60" s="559"/>
      <c r="V60" s="559"/>
      <c r="W60" s="559"/>
      <c r="X60" s="559"/>
      <c r="Y60" s="559"/>
      <c r="Z60" s="559"/>
      <c r="AA60" s="559"/>
      <c r="AB60" s="559"/>
    </row>
    <row r="61" spans="1:28">
      <c r="A61" s="594"/>
      <c r="B61" s="559"/>
      <c r="C61" s="559"/>
      <c r="D61" s="559"/>
      <c r="E61" s="559"/>
      <c r="F61" s="559"/>
      <c r="G61" s="559"/>
      <c r="H61" s="559"/>
      <c r="I61" s="603"/>
      <c r="J61" s="603"/>
      <c r="K61" s="559"/>
      <c r="L61" s="559"/>
      <c r="M61" s="559"/>
      <c r="N61" s="559"/>
      <c r="O61" s="559"/>
      <c r="P61" s="559"/>
      <c r="Q61" s="603"/>
      <c r="R61" s="559"/>
      <c r="S61" s="559"/>
      <c r="T61" s="559"/>
      <c r="U61" s="559"/>
      <c r="V61" s="559"/>
      <c r="W61" s="559"/>
      <c r="X61" s="559"/>
      <c r="Y61" s="559"/>
      <c r="Z61" s="559"/>
      <c r="AA61" s="559"/>
      <c r="AB61" s="559"/>
    </row>
    <row r="62" spans="1:28">
      <c r="A62" s="594"/>
      <c r="B62" s="559"/>
      <c r="C62" s="559"/>
      <c r="D62" s="559"/>
      <c r="E62" s="559"/>
      <c r="F62" s="559"/>
      <c r="G62" s="559"/>
      <c r="H62" s="559"/>
      <c r="I62" s="603"/>
      <c r="J62" s="603"/>
      <c r="K62" s="559"/>
      <c r="L62" s="559"/>
      <c r="M62" s="559"/>
      <c r="N62" s="559"/>
      <c r="O62" s="559"/>
      <c r="P62" s="559"/>
      <c r="Q62" s="603"/>
      <c r="R62" s="559"/>
      <c r="S62" s="559"/>
      <c r="T62" s="559"/>
      <c r="U62" s="559"/>
      <c r="V62" s="559"/>
      <c r="W62" s="559"/>
      <c r="X62" s="559"/>
      <c r="Y62" s="559"/>
      <c r="Z62" s="559"/>
      <c r="AA62" s="559"/>
      <c r="AB62" s="559"/>
    </row>
    <row r="63" spans="1:28">
      <c r="A63" s="594"/>
      <c r="B63" s="559"/>
      <c r="C63" s="559"/>
      <c r="D63" s="559"/>
      <c r="E63" s="559"/>
      <c r="F63" s="559"/>
      <c r="G63" s="559"/>
      <c r="H63" s="559"/>
      <c r="I63" s="603"/>
      <c r="J63" s="603"/>
      <c r="K63" s="559"/>
      <c r="L63" s="559"/>
      <c r="M63" s="559"/>
      <c r="N63" s="559"/>
      <c r="O63" s="559"/>
      <c r="P63" s="559"/>
      <c r="Q63" s="603"/>
      <c r="R63" s="559"/>
      <c r="S63" s="559"/>
      <c r="T63" s="559"/>
      <c r="U63" s="559"/>
      <c r="V63" s="559"/>
      <c r="W63" s="559"/>
      <c r="X63" s="559"/>
      <c r="Y63" s="559"/>
      <c r="Z63" s="559"/>
      <c r="AA63" s="559"/>
      <c r="AB63" s="559"/>
    </row>
    <row r="64" spans="1:28">
      <c r="A64" s="594"/>
      <c r="B64" s="559"/>
      <c r="C64" s="559"/>
      <c r="D64" s="559"/>
      <c r="E64" s="559"/>
      <c r="F64" s="559"/>
      <c r="G64" s="559"/>
      <c r="H64" s="559"/>
      <c r="I64" s="603"/>
      <c r="J64" s="603"/>
      <c r="K64" s="559"/>
      <c r="L64" s="559"/>
      <c r="M64" s="559"/>
      <c r="N64" s="559"/>
      <c r="O64" s="559"/>
      <c r="P64" s="559"/>
      <c r="Q64" s="603"/>
      <c r="R64" s="559"/>
      <c r="S64" s="559"/>
      <c r="T64" s="559"/>
      <c r="U64" s="559"/>
      <c r="V64" s="559"/>
      <c r="W64" s="559"/>
      <c r="X64" s="559"/>
      <c r="Y64" s="559"/>
      <c r="Z64" s="559"/>
      <c r="AA64" s="559"/>
      <c r="AB64" s="559"/>
    </row>
    <row r="65" spans="1:28">
      <c r="A65" s="594"/>
      <c r="B65" s="559"/>
      <c r="C65" s="559"/>
      <c r="D65" s="559"/>
      <c r="E65" s="559"/>
      <c r="F65" s="559"/>
      <c r="G65" s="559"/>
      <c r="H65" s="559"/>
      <c r="I65" s="603"/>
      <c r="J65" s="603"/>
      <c r="K65" s="559"/>
      <c r="L65" s="559"/>
      <c r="M65" s="559"/>
      <c r="N65" s="559"/>
      <c r="O65" s="559"/>
      <c r="P65" s="559"/>
      <c r="Q65" s="603"/>
      <c r="R65" s="559"/>
      <c r="S65" s="559"/>
      <c r="T65" s="559"/>
      <c r="U65" s="559"/>
      <c r="V65" s="559"/>
      <c r="W65" s="559"/>
      <c r="X65" s="559"/>
      <c r="Y65" s="559"/>
      <c r="Z65" s="559"/>
      <c r="AA65" s="559"/>
      <c r="AB65" s="559"/>
    </row>
    <row r="66" spans="1:28">
      <c r="A66" s="594"/>
      <c r="B66" s="559"/>
      <c r="C66" s="559"/>
      <c r="D66" s="559"/>
      <c r="E66" s="559"/>
      <c r="F66" s="559"/>
      <c r="G66" s="559"/>
      <c r="H66" s="559"/>
      <c r="I66" s="603"/>
      <c r="J66" s="603"/>
      <c r="K66" s="559"/>
      <c r="L66" s="559"/>
      <c r="M66" s="559"/>
      <c r="N66" s="559"/>
      <c r="O66" s="559"/>
      <c r="P66" s="559"/>
      <c r="Q66" s="603"/>
      <c r="R66" s="559"/>
      <c r="S66" s="559"/>
      <c r="T66" s="559"/>
      <c r="U66" s="559"/>
      <c r="V66" s="559"/>
      <c r="W66" s="559"/>
      <c r="X66" s="559"/>
      <c r="Y66" s="559"/>
      <c r="Z66" s="559"/>
      <c r="AA66" s="559"/>
      <c r="AB66" s="559"/>
    </row>
    <row r="67" spans="1:28">
      <c r="A67" s="594"/>
      <c r="B67" s="559"/>
      <c r="C67" s="559"/>
      <c r="D67" s="559"/>
      <c r="E67" s="559"/>
      <c r="F67" s="559"/>
      <c r="G67" s="559"/>
      <c r="H67" s="559"/>
      <c r="I67" s="603"/>
      <c r="J67" s="603"/>
      <c r="K67" s="559"/>
      <c r="L67" s="559"/>
      <c r="M67" s="559"/>
      <c r="N67" s="559"/>
      <c r="O67" s="559"/>
      <c r="P67" s="559"/>
      <c r="Q67" s="603"/>
      <c r="R67" s="559"/>
      <c r="S67" s="559"/>
      <c r="T67" s="559"/>
      <c r="U67" s="559"/>
      <c r="V67" s="559"/>
      <c r="W67" s="559"/>
      <c r="X67" s="559"/>
      <c r="Y67" s="559"/>
      <c r="Z67" s="559"/>
      <c r="AA67" s="559"/>
      <c r="AB67" s="559"/>
    </row>
    <row r="68" spans="1:28">
      <c r="A68" s="594"/>
      <c r="B68" s="559"/>
      <c r="C68" s="559"/>
      <c r="D68" s="559"/>
      <c r="E68" s="559"/>
      <c r="F68" s="559"/>
      <c r="G68" s="559"/>
      <c r="H68" s="559"/>
      <c r="I68" s="603"/>
      <c r="J68" s="603"/>
      <c r="K68" s="559"/>
      <c r="L68" s="559"/>
      <c r="M68" s="559"/>
      <c r="N68" s="559"/>
      <c r="O68" s="559"/>
      <c r="P68" s="559"/>
      <c r="Q68" s="603"/>
      <c r="R68" s="559"/>
      <c r="S68" s="559"/>
      <c r="T68" s="559"/>
      <c r="U68" s="559"/>
      <c r="V68" s="559"/>
      <c r="W68" s="559"/>
      <c r="X68" s="559"/>
      <c r="Y68" s="559"/>
      <c r="Z68" s="559"/>
      <c r="AA68" s="559"/>
      <c r="AB68" s="559"/>
    </row>
    <row r="69" spans="1:28">
      <c r="A69" s="594"/>
      <c r="B69" s="559"/>
      <c r="C69" s="559"/>
      <c r="D69" s="559"/>
      <c r="E69" s="559"/>
      <c r="F69" s="559"/>
      <c r="G69" s="559"/>
      <c r="H69" s="559"/>
      <c r="I69" s="603"/>
      <c r="J69" s="603"/>
      <c r="K69" s="559"/>
      <c r="L69" s="559"/>
      <c r="M69" s="559"/>
      <c r="N69" s="559"/>
      <c r="O69" s="559"/>
      <c r="P69" s="559"/>
      <c r="Q69" s="603"/>
      <c r="R69" s="559"/>
      <c r="S69" s="559"/>
      <c r="T69" s="559"/>
      <c r="U69" s="559"/>
      <c r="V69" s="559"/>
      <c r="W69" s="559"/>
      <c r="X69" s="559"/>
      <c r="Y69" s="559"/>
      <c r="Z69" s="559"/>
      <c r="AA69" s="559"/>
      <c r="AB69" s="559"/>
    </row>
    <row r="70" spans="1:28">
      <c r="A70" s="594"/>
      <c r="B70" s="559"/>
      <c r="C70" s="559"/>
      <c r="D70" s="559"/>
      <c r="E70" s="559"/>
      <c r="F70" s="559"/>
      <c r="G70" s="559"/>
      <c r="H70" s="559"/>
      <c r="I70" s="603"/>
      <c r="J70" s="603"/>
      <c r="K70" s="559"/>
      <c r="L70" s="559"/>
      <c r="M70" s="559"/>
      <c r="N70" s="559"/>
      <c r="O70" s="559"/>
      <c r="P70" s="559"/>
      <c r="Q70" s="603"/>
      <c r="R70" s="559"/>
      <c r="S70" s="559"/>
      <c r="T70" s="559"/>
      <c r="U70" s="559"/>
      <c r="V70" s="559"/>
      <c r="W70" s="559"/>
      <c r="X70" s="559"/>
      <c r="Y70" s="559"/>
      <c r="Z70" s="559"/>
      <c r="AA70" s="559"/>
      <c r="AB70" s="559"/>
    </row>
    <row r="71" spans="1:28">
      <c r="A71" s="594"/>
      <c r="B71" s="559"/>
      <c r="C71" s="559"/>
      <c r="D71" s="559"/>
      <c r="E71" s="559"/>
      <c r="F71" s="559"/>
      <c r="G71" s="559"/>
      <c r="H71" s="559"/>
      <c r="I71" s="603"/>
      <c r="J71" s="603"/>
      <c r="K71" s="559"/>
      <c r="L71" s="559"/>
      <c r="M71" s="559"/>
      <c r="N71" s="559"/>
      <c r="O71" s="559"/>
      <c r="P71" s="559"/>
      <c r="Q71" s="603"/>
      <c r="R71" s="559"/>
      <c r="S71" s="559"/>
      <c r="T71" s="559"/>
      <c r="U71" s="559"/>
      <c r="V71" s="559"/>
      <c r="W71" s="559"/>
      <c r="X71" s="559"/>
      <c r="Y71" s="559"/>
      <c r="Z71" s="559"/>
      <c r="AA71" s="559"/>
      <c r="AB71" s="559"/>
    </row>
    <row r="72" spans="1:28">
      <c r="A72" s="594"/>
      <c r="B72" s="559"/>
      <c r="C72" s="559"/>
      <c r="D72" s="559"/>
      <c r="E72" s="559"/>
      <c r="F72" s="559"/>
      <c r="G72" s="559"/>
      <c r="H72" s="559"/>
      <c r="I72" s="603"/>
      <c r="J72" s="603"/>
      <c r="K72" s="559"/>
      <c r="L72" s="559"/>
      <c r="M72" s="559"/>
      <c r="N72" s="559"/>
      <c r="O72" s="559"/>
      <c r="P72" s="559"/>
      <c r="Q72" s="603"/>
      <c r="R72" s="559"/>
      <c r="S72" s="559"/>
      <c r="T72" s="559"/>
      <c r="U72" s="559"/>
      <c r="V72" s="559"/>
      <c r="W72" s="559"/>
      <c r="X72" s="559"/>
      <c r="Y72" s="559"/>
      <c r="Z72" s="559"/>
      <c r="AA72" s="559"/>
      <c r="AB72" s="559"/>
    </row>
    <row r="73" spans="1:28">
      <c r="A73" s="594"/>
      <c r="B73" s="559"/>
      <c r="C73" s="559"/>
      <c r="D73" s="559"/>
      <c r="E73" s="559"/>
      <c r="F73" s="559"/>
      <c r="G73" s="559"/>
      <c r="H73" s="559"/>
      <c r="I73" s="603"/>
      <c r="J73" s="603"/>
      <c r="K73" s="559"/>
      <c r="L73" s="559"/>
      <c r="M73" s="559"/>
      <c r="N73" s="559"/>
      <c r="O73" s="559"/>
      <c r="P73" s="559"/>
      <c r="Q73" s="603"/>
      <c r="R73" s="559"/>
      <c r="S73" s="559"/>
      <c r="T73" s="559"/>
      <c r="U73" s="559"/>
      <c r="V73" s="559"/>
      <c r="W73" s="559"/>
      <c r="X73" s="559"/>
      <c r="Y73" s="559"/>
      <c r="Z73" s="559"/>
      <c r="AA73" s="559"/>
      <c r="AB73" s="559"/>
    </row>
    <row r="74" spans="1:28">
      <c r="A74" s="594"/>
      <c r="B74" s="559"/>
      <c r="C74" s="559"/>
      <c r="D74" s="559"/>
      <c r="E74" s="559"/>
      <c r="F74" s="559"/>
      <c r="G74" s="559"/>
      <c r="H74" s="559"/>
      <c r="I74" s="603"/>
      <c r="J74" s="603"/>
      <c r="K74" s="559"/>
      <c r="L74" s="559"/>
      <c r="M74" s="559"/>
      <c r="N74" s="559"/>
      <c r="O74" s="559"/>
      <c r="P74" s="559"/>
      <c r="Q74" s="603"/>
      <c r="R74" s="559"/>
      <c r="S74" s="559"/>
      <c r="T74" s="559"/>
      <c r="U74" s="559"/>
      <c r="V74" s="559"/>
      <c r="W74" s="559"/>
      <c r="X74" s="559"/>
      <c r="Y74" s="559"/>
      <c r="Z74" s="559"/>
      <c r="AA74" s="559"/>
      <c r="AB74" s="559"/>
    </row>
    <row r="75" spans="1:28">
      <c r="A75" s="594"/>
      <c r="B75" s="559"/>
      <c r="C75" s="559"/>
      <c r="D75" s="559"/>
      <c r="E75" s="559"/>
      <c r="F75" s="559"/>
      <c r="G75" s="559"/>
      <c r="H75" s="559"/>
      <c r="I75" s="603"/>
      <c r="J75" s="603"/>
      <c r="K75" s="559"/>
      <c r="L75" s="559"/>
      <c r="M75" s="559"/>
      <c r="N75" s="559"/>
      <c r="O75" s="559"/>
      <c r="P75" s="559"/>
      <c r="Q75" s="603"/>
      <c r="R75" s="559"/>
      <c r="S75" s="559"/>
      <c r="T75" s="559"/>
      <c r="U75" s="559"/>
      <c r="V75" s="559"/>
      <c r="W75" s="559"/>
      <c r="X75" s="559"/>
      <c r="Y75" s="559"/>
      <c r="Z75" s="559"/>
      <c r="AA75" s="559"/>
      <c r="AB75" s="559"/>
    </row>
    <row r="76" spans="1:28">
      <c r="A76" s="594"/>
      <c r="B76" s="559"/>
      <c r="C76" s="559"/>
      <c r="D76" s="559"/>
      <c r="E76" s="559"/>
      <c r="F76" s="559"/>
      <c r="G76" s="559"/>
      <c r="H76" s="559"/>
      <c r="I76" s="603"/>
      <c r="J76" s="603"/>
      <c r="K76" s="559"/>
      <c r="L76" s="559"/>
      <c r="M76" s="559"/>
      <c r="N76" s="559"/>
      <c r="O76" s="559"/>
      <c r="P76" s="559"/>
      <c r="Q76" s="603"/>
      <c r="R76" s="559"/>
      <c r="S76" s="559"/>
      <c r="T76" s="559"/>
      <c r="U76" s="559"/>
      <c r="V76" s="559"/>
      <c r="W76" s="559"/>
      <c r="X76" s="559"/>
      <c r="Y76" s="559"/>
      <c r="Z76" s="559"/>
      <c r="AA76" s="559"/>
      <c r="AB76" s="559"/>
    </row>
    <row r="77" spans="1:28">
      <c r="A77" s="594"/>
      <c r="B77" s="559"/>
      <c r="C77" s="559"/>
      <c r="D77" s="559"/>
      <c r="E77" s="559"/>
      <c r="F77" s="559"/>
      <c r="G77" s="559"/>
      <c r="H77" s="559"/>
      <c r="I77" s="603"/>
      <c r="J77" s="603"/>
      <c r="K77" s="559"/>
      <c r="L77" s="559"/>
      <c r="M77" s="559"/>
      <c r="N77" s="559"/>
      <c r="O77" s="559"/>
      <c r="P77" s="559"/>
      <c r="Q77" s="603"/>
      <c r="R77" s="559"/>
      <c r="S77" s="559"/>
      <c r="T77" s="559"/>
      <c r="U77" s="559"/>
      <c r="V77" s="559"/>
      <c r="W77" s="559"/>
      <c r="X77" s="559"/>
      <c r="Y77" s="559"/>
      <c r="Z77" s="559"/>
      <c r="AA77" s="559"/>
      <c r="AB77" s="559"/>
    </row>
    <row r="78" spans="1:28">
      <c r="A78" s="594"/>
      <c r="B78" s="559"/>
      <c r="C78" s="559"/>
      <c r="D78" s="559"/>
      <c r="E78" s="559"/>
      <c r="F78" s="559"/>
      <c r="G78" s="559"/>
      <c r="H78" s="559"/>
      <c r="I78" s="603"/>
      <c r="J78" s="603"/>
      <c r="K78" s="559"/>
      <c r="L78" s="559"/>
      <c r="M78" s="559"/>
      <c r="N78" s="559"/>
      <c r="O78" s="559"/>
      <c r="P78" s="559"/>
      <c r="Q78" s="603"/>
      <c r="R78" s="559"/>
      <c r="S78" s="559"/>
      <c r="T78" s="559"/>
      <c r="U78" s="559"/>
      <c r="V78" s="559"/>
      <c r="W78" s="559"/>
      <c r="X78" s="559"/>
      <c r="Y78" s="559"/>
      <c r="Z78" s="559"/>
      <c r="AA78" s="559"/>
      <c r="AB78" s="559"/>
    </row>
    <row r="79" spans="1:28">
      <c r="A79" s="594"/>
      <c r="B79" s="559"/>
      <c r="C79" s="559"/>
      <c r="D79" s="559"/>
      <c r="E79" s="559"/>
      <c r="F79" s="559"/>
      <c r="G79" s="559"/>
      <c r="H79" s="559"/>
      <c r="I79" s="603"/>
      <c r="J79" s="603"/>
      <c r="K79" s="559"/>
      <c r="L79" s="559"/>
      <c r="M79" s="559"/>
      <c r="N79" s="559"/>
      <c r="O79" s="559"/>
      <c r="P79" s="559"/>
      <c r="Q79" s="603"/>
      <c r="R79" s="559"/>
      <c r="S79" s="559"/>
      <c r="T79" s="559"/>
      <c r="U79" s="559"/>
      <c r="V79" s="559"/>
      <c r="W79" s="559"/>
      <c r="X79" s="559"/>
      <c r="Y79" s="559"/>
      <c r="Z79" s="559"/>
      <c r="AA79" s="559"/>
      <c r="AB79" s="559"/>
    </row>
    <row r="80" spans="1:28">
      <c r="A80" s="594"/>
      <c r="B80" s="559"/>
      <c r="C80" s="559"/>
      <c r="D80" s="559"/>
      <c r="E80" s="559"/>
      <c r="F80" s="559"/>
      <c r="G80" s="559"/>
      <c r="H80" s="559"/>
      <c r="I80" s="603"/>
      <c r="J80" s="603"/>
      <c r="K80" s="559"/>
      <c r="L80" s="559"/>
      <c r="M80" s="559"/>
      <c r="N80" s="559"/>
      <c r="O80" s="559"/>
      <c r="P80" s="559"/>
      <c r="Q80" s="603"/>
      <c r="R80" s="559"/>
      <c r="S80" s="559"/>
      <c r="T80" s="559"/>
      <c r="U80" s="559"/>
      <c r="V80" s="559"/>
      <c r="W80" s="559"/>
      <c r="X80" s="559"/>
      <c r="Y80" s="559"/>
      <c r="Z80" s="559"/>
      <c r="AA80" s="559"/>
      <c r="AB80" s="559"/>
    </row>
    <row r="81" spans="1:28">
      <c r="A81" s="594"/>
      <c r="B81" s="559"/>
      <c r="C81" s="559"/>
      <c r="D81" s="559"/>
      <c r="E81" s="559"/>
      <c r="F81" s="559"/>
      <c r="G81" s="559"/>
      <c r="H81" s="559"/>
      <c r="I81" s="603"/>
      <c r="J81" s="603"/>
      <c r="K81" s="559"/>
      <c r="L81" s="559"/>
      <c r="M81" s="559"/>
      <c r="N81" s="559"/>
      <c r="O81" s="559"/>
      <c r="P81" s="559"/>
      <c r="Q81" s="603"/>
      <c r="R81" s="559"/>
      <c r="S81" s="559"/>
      <c r="T81" s="559"/>
      <c r="U81" s="559"/>
      <c r="V81" s="559"/>
      <c r="W81" s="559"/>
      <c r="X81" s="559"/>
      <c r="Y81" s="559"/>
      <c r="Z81" s="559"/>
      <c r="AA81" s="559"/>
      <c r="AB81" s="559"/>
    </row>
    <row r="82" spans="1:28">
      <c r="A82" s="594"/>
      <c r="B82" s="559"/>
      <c r="C82" s="559"/>
      <c r="D82" s="559"/>
      <c r="E82" s="559"/>
      <c r="F82" s="559"/>
      <c r="G82" s="559"/>
      <c r="H82" s="559"/>
      <c r="I82" s="603"/>
      <c r="J82" s="603"/>
      <c r="K82" s="559"/>
      <c r="L82" s="559"/>
      <c r="M82" s="559"/>
      <c r="N82" s="559"/>
      <c r="O82" s="559"/>
      <c r="P82" s="559"/>
      <c r="Q82" s="603"/>
      <c r="R82" s="559"/>
      <c r="S82" s="559"/>
      <c r="T82" s="559"/>
      <c r="U82" s="559"/>
      <c r="V82" s="559"/>
      <c r="W82" s="559"/>
      <c r="X82" s="559"/>
      <c r="Y82" s="559"/>
      <c r="Z82" s="559"/>
      <c r="AA82" s="559"/>
      <c r="AB82" s="559"/>
    </row>
    <row r="83" spans="1:28">
      <c r="A83" s="594"/>
      <c r="B83" s="559"/>
      <c r="C83" s="559"/>
      <c r="D83" s="559"/>
      <c r="E83" s="559"/>
      <c r="F83" s="559"/>
      <c r="G83" s="559"/>
      <c r="H83" s="559"/>
      <c r="I83" s="603"/>
      <c r="J83" s="603"/>
      <c r="K83" s="559"/>
      <c r="L83" s="559"/>
      <c r="M83" s="559"/>
      <c r="N83" s="559"/>
      <c r="O83" s="559"/>
      <c r="P83" s="559"/>
      <c r="Q83" s="603"/>
      <c r="R83" s="559"/>
      <c r="S83" s="559"/>
      <c r="T83" s="559"/>
      <c r="U83" s="559"/>
      <c r="V83" s="559"/>
      <c r="W83" s="559"/>
      <c r="X83" s="559"/>
      <c r="Y83" s="559"/>
      <c r="Z83" s="559"/>
      <c r="AA83" s="559"/>
      <c r="AB83" s="559"/>
    </row>
    <row r="84" spans="1:28">
      <c r="A84" s="594"/>
      <c r="B84" s="559"/>
      <c r="C84" s="559"/>
      <c r="D84" s="559"/>
      <c r="E84" s="559"/>
      <c r="F84" s="559"/>
      <c r="G84" s="559"/>
      <c r="H84" s="559"/>
      <c r="I84" s="603"/>
      <c r="J84" s="603"/>
      <c r="K84" s="559"/>
      <c r="L84" s="559"/>
      <c r="M84" s="559"/>
      <c r="N84" s="559"/>
      <c r="O84" s="559"/>
      <c r="P84" s="559"/>
      <c r="Q84" s="603"/>
      <c r="R84" s="559"/>
      <c r="S84" s="559"/>
      <c r="T84" s="559"/>
      <c r="U84" s="559"/>
      <c r="V84" s="559"/>
      <c r="W84" s="559"/>
      <c r="X84" s="559"/>
      <c r="Y84" s="559"/>
      <c r="Z84" s="559"/>
      <c r="AA84" s="559"/>
      <c r="AB84" s="559"/>
    </row>
    <row r="85" spans="1:28">
      <c r="A85" s="594"/>
      <c r="B85" s="559"/>
      <c r="C85" s="559"/>
      <c r="D85" s="559"/>
      <c r="E85" s="559"/>
      <c r="F85" s="559"/>
      <c r="G85" s="559"/>
      <c r="H85" s="559"/>
      <c r="I85" s="603"/>
      <c r="J85" s="603"/>
      <c r="K85" s="559"/>
      <c r="L85" s="559"/>
      <c r="M85" s="559"/>
      <c r="N85" s="559"/>
      <c r="O85" s="559"/>
      <c r="P85" s="559"/>
      <c r="Q85" s="603"/>
      <c r="R85" s="559"/>
      <c r="S85" s="559"/>
      <c r="T85" s="559"/>
      <c r="U85" s="559"/>
      <c r="V85" s="559"/>
      <c r="W85" s="559"/>
      <c r="X85" s="559"/>
      <c r="Y85" s="559"/>
      <c r="Z85" s="559"/>
      <c r="AA85" s="559"/>
      <c r="AB85" s="559"/>
    </row>
    <row r="86" spans="1:28">
      <c r="A86" s="594"/>
      <c r="B86" s="559"/>
      <c r="C86" s="559"/>
      <c r="D86" s="559"/>
      <c r="E86" s="559"/>
      <c r="F86" s="559"/>
      <c r="G86" s="559"/>
      <c r="H86" s="559"/>
      <c r="I86" s="603"/>
      <c r="J86" s="603"/>
      <c r="K86" s="559"/>
      <c r="L86" s="559"/>
      <c r="M86" s="559"/>
      <c r="N86" s="559"/>
      <c r="O86" s="559"/>
      <c r="P86" s="559"/>
      <c r="Q86" s="603"/>
      <c r="R86" s="559"/>
      <c r="S86" s="559"/>
      <c r="T86" s="559"/>
      <c r="U86" s="559"/>
      <c r="V86" s="559"/>
      <c r="W86" s="559"/>
      <c r="X86" s="559"/>
      <c r="Y86" s="559"/>
      <c r="Z86" s="559"/>
      <c r="AA86" s="559"/>
      <c r="AB86" s="559"/>
    </row>
    <row r="87" spans="1:28">
      <c r="A87" s="594"/>
      <c r="B87" s="559"/>
      <c r="C87" s="559"/>
      <c r="D87" s="559"/>
      <c r="E87" s="559"/>
      <c r="F87" s="559"/>
      <c r="G87" s="559"/>
      <c r="H87" s="559"/>
      <c r="I87" s="603"/>
      <c r="J87" s="603"/>
      <c r="K87" s="559"/>
      <c r="L87" s="559"/>
      <c r="M87" s="559"/>
      <c r="N87" s="559"/>
      <c r="O87" s="559"/>
      <c r="P87" s="559"/>
      <c r="Q87" s="603"/>
      <c r="R87" s="559"/>
      <c r="S87" s="559"/>
      <c r="T87" s="559"/>
      <c r="U87" s="559"/>
      <c r="V87" s="559"/>
      <c r="W87" s="559"/>
      <c r="X87" s="559"/>
      <c r="Y87" s="559"/>
      <c r="Z87" s="559"/>
      <c r="AA87" s="559"/>
      <c r="AB87" s="559"/>
    </row>
    <row r="88" spans="1:28">
      <c r="A88" s="594"/>
      <c r="B88" s="559"/>
      <c r="C88" s="559"/>
      <c r="D88" s="559"/>
      <c r="E88" s="559"/>
      <c r="F88" s="559"/>
      <c r="G88" s="559"/>
      <c r="H88" s="559"/>
      <c r="I88" s="603"/>
      <c r="J88" s="603"/>
      <c r="K88" s="559"/>
      <c r="L88" s="559"/>
      <c r="M88" s="559"/>
      <c r="N88" s="559"/>
      <c r="O88" s="559"/>
      <c r="P88" s="559"/>
      <c r="Q88" s="603"/>
      <c r="R88" s="559"/>
      <c r="S88" s="559"/>
      <c r="T88" s="559"/>
      <c r="U88" s="559"/>
      <c r="V88" s="559"/>
      <c r="W88" s="559"/>
      <c r="X88" s="559"/>
      <c r="Y88" s="559"/>
      <c r="Z88" s="559"/>
      <c r="AA88" s="559"/>
      <c r="AB88" s="559"/>
    </row>
    <row r="89" spans="1:28">
      <c r="A89" s="594"/>
      <c r="B89" s="559"/>
      <c r="C89" s="559"/>
      <c r="D89" s="559"/>
      <c r="E89" s="559"/>
      <c r="F89" s="559"/>
      <c r="G89" s="559"/>
      <c r="H89" s="559"/>
      <c r="I89" s="603"/>
      <c r="J89" s="603"/>
      <c r="K89" s="559"/>
      <c r="L89" s="559"/>
      <c r="M89" s="559"/>
      <c r="N89" s="559"/>
      <c r="O89" s="559"/>
      <c r="P89" s="559"/>
      <c r="Q89" s="603"/>
      <c r="R89" s="559"/>
      <c r="S89" s="559"/>
      <c r="T89" s="559"/>
      <c r="U89" s="559"/>
      <c r="V89" s="559"/>
      <c r="W89" s="559"/>
      <c r="X89" s="559"/>
      <c r="Y89" s="559"/>
      <c r="Z89" s="559"/>
      <c r="AA89" s="559"/>
      <c r="AB89" s="559"/>
    </row>
    <row r="90" spans="1:28">
      <c r="A90" s="594"/>
      <c r="B90" s="559"/>
      <c r="C90" s="559"/>
      <c r="D90" s="559"/>
      <c r="E90" s="559"/>
      <c r="F90" s="559"/>
      <c r="G90" s="559"/>
      <c r="H90" s="559"/>
      <c r="I90" s="603"/>
      <c r="J90" s="603"/>
      <c r="K90" s="559"/>
      <c r="L90" s="559"/>
      <c r="M90" s="559"/>
      <c r="N90" s="559"/>
      <c r="O90" s="559"/>
      <c r="P90" s="559"/>
      <c r="Q90" s="603"/>
      <c r="R90" s="559"/>
      <c r="S90" s="559"/>
      <c r="T90" s="559"/>
      <c r="U90" s="559"/>
      <c r="V90" s="559"/>
      <c r="W90" s="559"/>
      <c r="X90" s="559"/>
      <c r="Y90" s="559"/>
      <c r="Z90" s="559"/>
      <c r="AA90" s="559"/>
      <c r="AB90" s="559"/>
    </row>
    <row r="91" spans="1:28">
      <c r="A91" s="594"/>
      <c r="B91" s="559"/>
      <c r="C91" s="559"/>
      <c r="D91" s="559"/>
      <c r="E91" s="559"/>
      <c r="F91" s="559"/>
      <c r="G91" s="559"/>
      <c r="H91" s="559"/>
      <c r="I91" s="603"/>
      <c r="J91" s="603"/>
      <c r="K91" s="559"/>
      <c r="L91" s="559"/>
      <c r="M91" s="559"/>
      <c r="N91" s="559"/>
      <c r="O91" s="559"/>
      <c r="P91" s="559"/>
      <c r="Q91" s="603"/>
      <c r="R91" s="559"/>
      <c r="S91" s="559"/>
      <c r="T91" s="559"/>
      <c r="U91" s="559"/>
      <c r="V91" s="559"/>
      <c r="W91" s="559"/>
      <c r="X91" s="559"/>
      <c r="Y91" s="559"/>
      <c r="Z91" s="559"/>
      <c r="AA91" s="559"/>
      <c r="AB91" s="559"/>
    </row>
    <row r="92" spans="1:28">
      <c r="A92" s="594"/>
      <c r="B92" s="559"/>
      <c r="C92" s="559"/>
      <c r="D92" s="559"/>
      <c r="E92" s="559"/>
      <c r="F92" s="559"/>
      <c r="G92" s="559"/>
      <c r="H92" s="559"/>
      <c r="I92" s="603"/>
      <c r="J92" s="603"/>
      <c r="K92" s="559"/>
      <c r="L92" s="559"/>
      <c r="M92" s="559"/>
      <c r="N92" s="559"/>
      <c r="O92" s="559"/>
      <c r="P92" s="559"/>
      <c r="Q92" s="603"/>
      <c r="R92" s="559"/>
      <c r="S92" s="559"/>
      <c r="T92" s="559"/>
      <c r="U92" s="559"/>
      <c r="V92" s="559"/>
      <c r="W92" s="559"/>
      <c r="X92" s="559"/>
      <c r="Y92" s="559"/>
      <c r="Z92" s="559"/>
      <c r="AA92" s="559"/>
      <c r="AB92" s="559"/>
    </row>
    <row r="93" spans="1:28">
      <c r="A93" s="594"/>
      <c r="B93" s="559"/>
      <c r="C93" s="559"/>
      <c r="D93" s="559"/>
      <c r="E93" s="559"/>
      <c r="F93" s="559"/>
      <c r="G93" s="559"/>
      <c r="H93" s="559"/>
      <c r="I93" s="603"/>
      <c r="J93" s="603"/>
      <c r="K93" s="559"/>
      <c r="L93" s="559"/>
      <c r="M93" s="559"/>
      <c r="N93" s="559"/>
      <c r="O93" s="559"/>
      <c r="P93" s="559"/>
      <c r="Q93" s="603"/>
      <c r="R93" s="559"/>
      <c r="S93" s="559"/>
      <c r="T93" s="559"/>
      <c r="U93" s="559"/>
      <c r="V93" s="559"/>
      <c r="W93" s="559"/>
      <c r="X93" s="559"/>
      <c r="Y93" s="559"/>
      <c r="Z93" s="559"/>
      <c r="AA93" s="559"/>
      <c r="AB93" s="559"/>
    </row>
    <row r="94" spans="1:28">
      <c r="A94" s="594"/>
      <c r="B94" s="559"/>
      <c r="C94" s="559"/>
      <c r="D94" s="559"/>
      <c r="E94" s="559"/>
      <c r="F94" s="559"/>
      <c r="G94" s="559"/>
      <c r="H94" s="559"/>
      <c r="I94" s="603"/>
      <c r="J94" s="603"/>
      <c r="K94" s="559"/>
      <c r="L94" s="559"/>
      <c r="M94" s="559"/>
      <c r="N94" s="559"/>
      <c r="O94" s="559"/>
      <c r="P94" s="559"/>
      <c r="Q94" s="603"/>
      <c r="R94" s="559"/>
      <c r="S94" s="559"/>
      <c r="T94" s="559"/>
      <c r="U94" s="559"/>
      <c r="V94" s="559"/>
      <c r="W94" s="559"/>
      <c r="X94" s="559"/>
      <c r="Y94" s="559"/>
      <c r="Z94" s="559"/>
      <c r="AA94" s="559"/>
      <c r="AB94" s="559"/>
    </row>
    <row r="95" spans="1:28">
      <c r="A95" s="594"/>
      <c r="B95" s="559"/>
      <c r="C95" s="559"/>
      <c r="D95" s="559"/>
      <c r="E95" s="559"/>
      <c r="F95" s="559"/>
      <c r="G95" s="559"/>
      <c r="H95" s="559"/>
      <c r="I95" s="603"/>
      <c r="J95" s="603"/>
      <c r="K95" s="559"/>
      <c r="L95" s="559"/>
      <c r="M95" s="559"/>
      <c r="N95" s="559"/>
      <c r="O95" s="559"/>
      <c r="P95" s="559"/>
      <c r="Q95" s="603"/>
      <c r="R95" s="559"/>
      <c r="S95" s="559"/>
      <c r="T95" s="559"/>
      <c r="U95" s="559"/>
      <c r="V95" s="559"/>
      <c r="W95" s="559"/>
      <c r="X95" s="559"/>
      <c r="Y95" s="559"/>
      <c r="Z95" s="559"/>
      <c r="AA95" s="559"/>
      <c r="AB95" s="559"/>
    </row>
    <row r="96" spans="1:28">
      <c r="A96" s="594"/>
      <c r="B96" s="559"/>
      <c r="C96" s="559"/>
      <c r="D96" s="559"/>
      <c r="E96" s="559"/>
      <c r="F96" s="559"/>
      <c r="G96" s="559"/>
      <c r="H96" s="559"/>
      <c r="I96" s="603"/>
      <c r="J96" s="603"/>
      <c r="K96" s="559"/>
      <c r="L96" s="559"/>
      <c r="M96" s="559"/>
      <c r="N96" s="559"/>
      <c r="O96" s="559"/>
      <c r="P96" s="559"/>
      <c r="Q96" s="603"/>
      <c r="R96" s="559"/>
      <c r="S96" s="559"/>
      <c r="T96" s="559"/>
      <c r="U96" s="559"/>
      <c r="V96" s="559"/>
      <c r="W96" s="559"/>
      <c r="X96" s="559"/>
      <c r="Y96" s="559"/>
      <c r="Z96" s="559"/>
      <c r="AA96" s="559"/>
      <c r="AB96" s="559"/>
    </row>
    <row r="97" spans="1:28">
      <c r="A97" s="594"/>
      <c r="B97" s="559"/>
      <c r="C97" s="559"/>
      <c r="D97" s="559"/>
      <c r="E97" s="559"/>
      <c r="F97" s="559"/>
      <c r="G97" s="559"/>
      <c r="H97" s="559"/>
      <c r="I97" s="603"/>
      <c r="J97" s="603"/>
      <c r="K97" s="559"/>
      <c r="L97" s="559"/>
      <c r="M97" s="559"/>
      <c r="N97" s="559"/>
      <c r="O97" s="559"/>
      <c r="P97" s="559"/>
      <c r="Q97" s="603"/>
      <c r="R97" s="559"/>
      <c r="S97" s="559"/>
      <c r="T97" s="559"/>
      <c r="U97" s="559"/>
      <c r="V97" s="559"/>
      <c r="W97" s="559"/>
      <c r="X97" s="559"/>
      <c r="Y97" s="559"/>
      <c r="Z97" s="559"/>
      <c r="AA97" s="559"/>
      <c r="AB97" s="559"/>
    </row>
    <row r="98" spans="1:28">
      <c r="A98" s="594"/>
      <c r="B98" s="559"/>
      <c r="C98" s="559"/>
      <c r="D98" s="559"/>
      <c r="E98" s="559"/>
      <c r="F98" s="559"/>
      <c r="G98" s="559"/>
      <c r="H98" s="559"/>
      <c r="I98" s="603"/>
      <c r="J98" s="603"/>
      <c r="K98" s="559"/>
      <c r="L98" s="559"/>
      <c r="M98" s="559"/>
      <c r="N98" s="559"/>
      <c r="O98" s="559"/>
      <c r="P98" s="559"/>
      <c r="Q98" s="603"/>
      <c r="R98" s="559"/>
      <c r="S98" s="559"/>
      <c r="T98" s="559"/>
      <c r="U98" s="559"/>
      <c r="V98" s="559"/>
      <c r="W98" s="559"/>
      <c r="X98" s="559"/>
      <c r="Y98" s="559"/>
      <c r="Z98" s="559"/>
      <c r="AA98" s="559"/>
      <c r="AB98" s="559"/>
    </row>
    <row r="99" spans="1:28">
      <c r="A99" s="594"/>
      <c r="B99" s="559"/>
      <c r="C99" s="559"/>
      <c r="D99" s="559"/>
      <c r="E99" s="559"/>
      <c r="F99" s="559"/>
      <c r="G99" s="559"/>
      <c r="H99" s="559"/>
      <c r="I99" s="603"/>
      <c r="J99" s="603"/>
      <c r="K99" s="559"/>
      <c r="L99" s="559"/>
      <c r="M99" s="559"/>
      <c r="N99" s="559"/>
      <c r="O99" s="559"/>
      <c r="P99" s="559"/>
      <c r="Q99" s="603"/>
      <c r="R99" s="559"/>
      <c r="S99" s="559"/>
      <c r="T99" s="559"/>
      <c r="U99" s="559"/>
      <c r="V99" s="559"/>
      <c r="W99" s="559"/>
      <c r="X99" s="559"/>
      <c r="Y99" s="559"/>
      <c r="Z99" s="559"/>
      <c r="AA99" s="559"/>
      <c r="AB99" s="559"/>
    </row>
    <row r="100" spans="1:28">
      <c r="A100" s="594"/>
      <c r="B100" s="559"/>
      <c r="C100" s="559"/>
      <c r="D100" s="559"/>
      <c r="E100" s="559"/>
      <c r="F100" s="559"/>
      <c r="G100" s="559"/>
      <c r="H100" s="559"/>
      <c r="I100" s="603"/>
      <c r="J100" s="603"/>
      <c r="K100" s="559"/>
      <c r="L100" s="559"/>
      <c r="M100" s="559"/>
      <c r="N100" s="559"/>
      <c r="O100" s="559"/>
      <c r="P100" s="559"/>
      <c r="Q100" s="603"/>
      <c r="R100" s="559"/>
      <c r="S100" s="559"/>
      <c r="T100" s="559"/>
      <c r="U100" s="559"/>
      <c r="V100" s="559"/>
      <c r="W100" s="559"/>
      <c r="X100" s="559"/>
      <c r="Y100" s="559"/>
      <c r="Z100" s="559"/>
      <c r="AA100" s="559"/>
      <c r="AB100" s="559"/>
    </row>
    <row r="101" spans="1:28">
      <c r="A101" s="594"/>
      <c r="B101" s="559"/>
      <c r="C101" s="559"/>
      <c r="D101" s="559"/>
      <c r="E101" s="559"/>
      <c r="F101" s="559"/>
      <c r="G101" s="559"/>
      <c r="H101" s="559"/>
      <c r="I101" s="603"/>
      <c r="J101" s="603"/>
      <c r="K101" s="559"/>
      <c r="L101" s="559"/>
      <c r="M101" s="559"/>
      <c r="N101" s="559"/>
      <c r="O101" s="559"/>
      <c r="P101" s="559"/>
      <c r="Q101" s="603"/>
      <c r="R101" s="559"/>
      <c r="S101" s="559"/>
      <c r="T101" s="559"/>
      <c r="U101" s="559"/>
      <c r="V101" s="559"/>
      <c r="W101" s="559"/>
      <c r="X101" s="559"/>
      <c r="Y101" s="559"/>
      <c r="Z101" s="559"/>
      <c r="AA101" s="559"/>
      <c r="AB101" s="559"/>
    </row>
    <row r="102" spans="1:28">
      <c r="A102" s="594"/>
      <c r="B102" s="559"/>
      <c r="C102" s="559"/>
      <c r="D102" s="559"/>
      <c r="E102" s="559"/>
      <c r="F102" s="559"/>
      <c r="G102" s="559"/>
      <c r="H102" s="559"/>
      <c r="I102" s="603"/>
      <c r="J102" s="603"/>
      <c r="K102" s="559"/>
      <c r="L102" s="559"/>
      <c r="M102" s="559"/>
      <c r="N102" s="559"/>
      <c r="O102" s="559"/>
      <c r="P102" s="559"/>
      <c r="Q102" s="603"/>
      <c r="R102" s="559"/>
      <c r="S102" s="559"/>
      <c r="T102" s="559"/>
      <c r="U102" s="559"/>
      <c r="V102" s="559"/>
      <c r="W102" s="559"/>
      <c r="X102" s="559"/>
      <c r="Y102" s="559"/>
      <c r="Z102" s="559"/>
      <c r="AA102" s="559"/>
      <c r="AB102" s="559"/>
    </row>
    <row r="103" spans="1:28">
      <c r="A103" s="594"/>
      <c r="B103" s="559"/>
      <c r="C103" s="559"/>
      <c r="D103" s="559"/>
      <c r="E103" s="559"/>
      <c r="F103" s="559"/>
      <c r="G103" s="559"/>
      <c r="H103" s="559"/>
      <c r="I103" s="603"/>
      <c r="J103" s="603"/>
      <c r="K103" s="559"/>
      <c r="L103" s="559"/>
      <c r="M103" s="559"/>
      <c r="N103" s="559"/>
      <c r="O103" s="559"/>
      <c r="P103" s="559"/>
      <c r="Q103" s="603"/>
      <c r="R103" s="559"/>
      <c r="S103" s="559"/>
      <c r="T103" s="559"/>
      <c r="U103" s="559"/>
      <c r="V103" s="559"/>
      <c r="W103" s="559"/>
      <c r="X103" s="559"/>
      <c r="Y103" s="559"/>
      <c r="Z103" s="559"/>
      <c r="AA103" s="559"/>
      <c r="AB103" s="559"/>
    </row>
    <row r="104" spans="1:28">
      <c r="A104" s="594"/>
      <c r="B104" s="559"/>
      <c r="C104" s="559"/>
      <c r="D104" s="559"/>
      <c r="E104" s="559"/>
      <c r="F104" s="559"/>
      <c r="G104" s="559"/>
      <c r="H104" s="559"/>
      <c r="I104" s="603"/>
      <c r="J104" s="603"/>
      <c r="K104" s="559"/>
      <c r="L104" s="559"/>
      <c r="M104" s="559"/>
      <c r="N104" s="559"/>
      <c r="O104" s="559"/>
      <c r="P104" s="559"/>
      <c r="Q104" s="603"/>
      <c r="R104" s="559"/>
      <c r="S104" s="559"/>
      <c r="T104" s="559"/>
      <c r="U104" s="559"/>
      <c r="V104" s="559"/>
      <c r="W104" s="559"/>
      <c r="X104" s="559"/>
      <c r="Y104" s="559"/>
      <c r="Z104" s="559"/>
      <c r="AA104" s="559"/>
      <c r="AB104" s="559"/>
    </row>
    <row r="105" spans="1:28">
      <c r="A105" s="594"/>
      <c r="B105" s="559"/>
      <c r="C105" s="559"/>
      <c r="D105" s="559"/>
      <c r="E105" s="559"/>
      <c r="F105" s="559"/>
      <c r="G105" s="559"/>
      <c r="H105" s="559"/>
      <c r="I105" s="603"/>
      <c r="J105" s="603"/>
      <c r="K105" s="559"/>
      <c r="L105" s="559"/>
      <c r="M105" s="559"/>
      <c r="N105" s="559"/>
      <c r="O105" s="559"/>
      <c r="P105" s="559"/>
      <c r="Q105" s="603"/>
      <c r="R105" s="559"/>
      <c r="S105" s="559"/>
      <c r="T105" s="559"/>
      <c r="U105" s="559"/>
      <c r="V105" s="559"/>
      <c r="W105" s="559"/>
      <c r="X105" s="559"/>
      <c r="Y105" s="559"/>
      <c r="Z105" s="559"/>
      <c r="AA105" s="559"/>
      <c r="AB105" s="559"/>
    </row>
    <row r="106" spans="1:28">
      <c r="A106" s="594"/>
      <c r="B106" s="559"/>
      <c r="C106" s="559"/>
      <c r="D106" s="559"/>
      <c r="E106" s="559"/>
      <c r="F106" s="559"/>
      <c r="G106" s="559"/>
      <c r="H106" s="559"/>
      <c r="I106" s="603"/>
      <c r="J106" s="603"/>
      <c r="K106" s="559"/>
      <c r="L106" s="559"/>
      <c r="M106" s="559"/>
      <c r="N106" s="559"/>
      <c r="O106" s="559"/>
      <c r="P106" s="559"/>
      <c r="Q106" s="603"/>
      <c r="R106" s="559"/>
      <c r="S106" s="559"/>
      <c r="T106" s="559"/>
      <c r="U106" s="559"/>
      <c r="V106" s="559"/>
      <c r="W106" s="559"/>
      <c r="X106" s="559"/>
      <c r="Y106" s="559"/>
      <c r="Z106" s="559"/>
      <c r="AA106" s="559"/>
      <c r="AB106" s="559"/>
    </row>
    <row r="107" spans="1:28">
      <c r="A107" s="594"/>
      <c r="B107" s="559"/>
      <c r="C107" s="559"/>
      <c r="D107" s="559"/>
      <c r="E107" s="559"/>
      <c r="F107" s="559"/>
      <c r="G107" s="559"/>
      <c r="H107" s="559"/>
      <c r="I107" s="603"/>
      <c r="J107" s="603"/>
      <c r="K107" s="559"/>
      <c r="L107" s="559"/>
      <c r="M107" s="559"/>
      <c r="N107" s="559"/>
      <c r="O107" s="559"/>
      <c r="P107" s="559"/>
      <c r="Q107" s="603"/>
      <c r="R107" s="559"/>
      <c r="S107" s="559"/>
      <c r="T107" s="559"/>
      <c r="U107" s="559"/>
      <c r="V107" s="559"/>
      <c r="W107" s="559"/>
      <c r="X107" s="559"/>
      <c r="Y107" s="559"/>
      <c r="Z107" s="559"/>
      <c r="AA107" s="559"/>
      <c r="AB107" s="559"/>
    </row>
    <row r="108" spans="1:28">
      <c r="A108" s="594"/>
      <c r="B108" s="559"/>
      <c r="C108" s="559"/>
      <c r="D108" s="559"/>
      <c r="E108" s="559"/>
      <c r="F108" s="559"/>
      <c r="G108" s="559"/>
      <c r="H108" s="559"/>
      <c r="I108" s="603"/>
      <c r="J108" s="603"/>
      <c r="K108" s="559"/>
      <c r="L108" s="559"/>
      <c r="M108" s="559"/>
      <c r="N108" s="559"/>
      <c r="O108" s="559"/>
      <c r="P108" s="559"/>
      <c r="Q108" s="603"/>
      <c r="R108" s="559"/>
      <c r="S108" s="559"/>
      <c r="T108" s="559"/>
      <c r="U108" s="559"/>
      <c r="V108" s="559"/>
      <c r="W108" s="559"/>
      <c r="X108" s="559"/>
      <c r="Y108" s="559"/>
      <c r="Z108" s="559"/>
      <c r="AA108" s="559"/>
      <c r="AB108" s="559"/>
    </row>
    <row r="109" spans="1:28">
      <c r="A109" s="594"/>
      <c r="B109" s="559"/>
      <c r="C109" s="559"/>
      <c r="D109" s="559"/>
      <c r="E109" s="559"/>
      <c r="F109" s="559"/>
      <c r="G109" s="559"/>
      <c r="H109" s="559"/>
      <c r="I109" s="603"/>
      <c r="J109" s="603"/>
      <c r="K109" s="559"/>
      <c r="L109" s="559"/>
      <c r="M109" s="559"/>
      <c r="N109" s="559"/>
      <c r="O109" s="559"/>
      <c r="P109" s="559"/>
      <c r="Q109" s="603"/>
      <c r="R109" s="559"/>
      <c r="S109" s="559"/>
      <c r="T109" s="559"/>
      <c r="U109" s="559"/>
      <c r="V109" s="559"/>
      <c r="W109" s="559"/>
      <c r="X109" s="559"/>
      <c r="Y109" s="559"/>
      <c r="Z109" s="559"/>
      <c r="AA109" s="559"/>
      <c r="AB109" s="559"/>
    </row>
    <row r="110" spans="1:28">
      <c r="A110" s="594"/>
      <c r="B110" s="559"/>
      <c r="C110" s="559"/>
      <c r="D110" s="559"/>
      <c r="E110" s="559"/>
      <c r="F110" s="559"/>
      <c r="G110" s="559"/>
      <c r="H110" s="559"/>
      <c r="I110" s="603"/>
      <c r="J110" s="603"/>
      <c r="K110" s="559"/>
      <c r="L110" s="559"/>
      <c r="M110" s="559"/>
      <c r="N110" s="559"/>
      <c r="O110" s="559"/>
      <c r="P110" s="559"/>
      <c r="Q110" s="603"/>
      <c r="R110" s="559"/>
      <c r="S110" s="559"/>
      <c r="T110" s="559"/>
      <c r="U110" s="559"/>
      <c r="V110" s="559"/>
      <c r="W110" s="559"/>
      <c r="X110" s="559"/>
      <c r="Y110" s="559"/>
      <c r="Z110" s="559"/>
      <c r="AA110" s="559"/>
      <c r="AB110" s="559"/>
    </row>
    <row r="111" spans="1:28">
      <c r="A111" s="594"/>
      <c r="B111" s="559"/>
      <c r="C111" s="559"/>
      <c r="D111" s="559"/>
      <c r="E111" s="559"/>
      <c r="F111" s="559"/>
      <c r="G111" s="559"/>
      <c r="H111" s="559"/>
      <c r="I111" s="603"/>
      <c r="J111" s="603"/>
      <c r="K111" s="559"/>
      <c r="L111" s="559"/>
      <c r="M111" s="559"/>
      <c r="N111" s="559"/>
      <c r="O111" s="559"/>
      <c r="P111" s="559"/>
      <c r="Q111" s="603"/>
      <c r="R111" s="559"/>
      <c r="S111" s="559"/>
      <c r="T111" s="559"/>
      <c r="U111" s="559"/>
      <c r="V111" s="559"/>
      <c r="W111" s="559"/>
      <c r="X111" s="559"/>
      <c r="Y111" s="559"/>
      <c r="Z111" s="559"/>
      <c r="AA111" s="559"/>
      <c r="AB111" s="559"/>
    </row>
    <row r="112" spans="1:28">
      <c r="A112" s="594"/>
      <c r="B112" s="559"/>
      <c r="C112" s="559"/>
      <c r="D112" s="559"/>
      <c r="E112" s="559"/>
      <c r="F112" s="559"/>
      <c r="G112" s="559"/>
      <c r="H112" s="559"/>
      <c r="I112" s="603"/>
      <c r="J112" s="603"/>
      <c r="K112" s="559"/>
      <c r="L112" s="559"/>
      <c r="M112" s="559"/>
      <c r="N112" s="559"/>
      <c r="O112" s="559"/>
      <c r="P112" s="559"/>
      <c r="Q112" s="603"/>
      <c r="R112" s="559"/>
      <c r="S112" s="559"/>
      <c r="T112" s="559"/>
      <c r="U112" s="559"/>
      <c r="V112" s="559"/>
      <c r="W112" s="559"/>
      <c r="X112" s="559"/>
      <c r="Y112" s="559"/>
      <c r="Z112" s="559"/>
      <c r="AA112" s="559"/>
      <c r="AB112" s="559"/>
    </row>
    <row r="113" spans="1:28">
      <c r="A113" s="594"/>
      <c r="B113" s="559"/>
      <c r="C113" s="559"/>
      <c r="D113" s="559"/>
      <c r="E113" s="559"/>
      <c r="F113" s="559"/>
      <c r="G113" s="559"/>
      <c r="H113" s="559"/>
      <c r="I113" s="603"/>
      <c r="J113" s="603"/>
      <c r="K113" s="559"/>
      <c r="L113" s="559"/>
      <c r="M113" s="559"/>
      <c r="N113" s="559"/>
      <c r="O113" s="559"/>
      <c r="P113" s="559"/>
      <c r="Q113" s="603"/>
      <c r="R113" s="559"/>
      <c r="S113" s="559"/>
      <c r="T113" s="559"/>
      <c r="U113" s="559"/>
      <c r="V113" s="559"/>
      <c r="W113" s="559"/>
      <c r="X113" s="559"/>
      <c r="Y113" s="559"/>
      <c r="Z113" s="559"/>
      <c r="AA113" s="559"/>
      <c r="AB113" s="559"/>
    </row>
    <row r="114" spans="1:28">
      <c r="A114" s="594"/>
      <c r="B114" s="559"/>
      <c r="C114" s="559"/>
      <c r="D114" s="559"/>
      <c r="E114" s="559"/>
      <c r="F114" s="559"/>
      <c r="G114" s="559"/>
      <c r="H114" s="559"/>
      <c r="I114" s="603"/>
      <c r="J114" s="603"/>
      <c r="K114" s="559"/>
      <c r="L114" s="559"/>
      <c r="M114" s="559"/>
      <c r="N114" s="559"/>
      <c r="O114" s="559"/>
      <c r="P114" s="559"/>
      <c r="Q114" s="603"/>
      <c r="R114" s="559"/>
      <c r="S114" s="559"/>
      <c r="T114" s="559"/>
      <c r="U114" s="559"/>
      <c r="V114" s="559"/>
      <c r="W114" s="559"/>
      <c r="X114" s="559"/>
      <c r="Y114" s="559"/>
      <c r="Z114" s="559"/>
      <c r="AA114" s="559"/>
      <c r="AB114" s="559"/>
    </row>
    <row r="115" spans="1:28">
      <c r="A115" s="594"/>
      <c r="B115" s="559"/>
      <c r="C115" s="559"/>
      <c r="D115" s="559"/>
      <c r="E115" s="559"/>
      <c r="F115" s="559"/>
      <c r="G115" s="559"/>
      <c r="H115" s="559"/>
      <c r="I115" s="603"/>
      <c r="J115" s="603"/>
      <c r="K115" s="559"/>
      <c r="L115" s="559"/>
      <c r="M115" s="559"/>
      <c r="N115" s="559"/>
      <c r="O115" s="559"/>
      <c r="P115" s="559"/>
      <c r="Q115" s="603"/>
      <c r="R115" s="559"/>
      <c r="S115" s="559"/>
      <c r="T115" s="559"/>
      <c r="U115" s="559"/>
      <c r="V115" s="559"/>
      <c r="W115" s="559"/>
      <c r="X115" s="559"/>
      <c r="Y115" s="559"/>
      <c r="Z115" s="559"/>
      <c r="AA115" s="559"/>
      <c r="AB115" s="559"/>
    </row>
    <row r="116" spans="1:28">
      <c r="A116" s="594"/>
      <c r="B116" s="559"/>
      <c r="C116" s="559"/>
      <c r="D116" s="559"/>
      <c r="E116" s="559"/>
      <c r="F116" s="559"/>
      <c r="G116" s="559"/>
      <c r="H116" s="559"/>
      <c r="I116" s="603"/>
      <c r="J116" s="603"/>
      <c r="K116" s="559"/>
      <c r="L116" s="559"/>
      <c r="M116" s="559"/>
      <c r="N116" s="559"/>
      <c r="O116" s="559"/>
      <c r="P116" s="559"/>
      <c r="Q116" s="603"/>
      <c r="R116" s="559"/>
      <c r="S116" s="559"/>
      <c r="T116" s="559"/>
      <c r="U116" s="559"/>
      <c r="V116" s="559"/>
      <c r="W116" s="559"/>
      <c r="X116" s="559"/>
      <c r="Y116" s="559"/>
      <c r="Z116" s="559"/>
      <c r="AA116" s="559"/>
      <c r="AB116" s="559"/>
    </row>
    <row r="117" spans="1:28">
      <c r="A117" s="594"/>
      <c r="B117" s="559"/>
      <c r="C117" s="559"/>
      <c r="D117" s="559"/>
      <c r="E117" s="559"/>
      <c r="F117" s="559"/>
      <c r="G117" s="559"/>
      <c r="H117" s="559"/>
      <c r="I117" s="603"/>
      <c r="J117" s="603"/>
      <c r="K117" s="559"/>
      <c r="L117" s="559"/>
      <c r="M117" s="559"/>
      <c r="N117" s="559"/>
      <c r="O117" s="559"/>
      <c r="P117" s="559"/>
      <c r="Q117" s="603"/>
      <c r="R117" s="559"/>
      <c r="S117" s="559"/>
      <c r="T117" s="559"/>
      <c r="U117" s="559"/>
      <c r="V117" s="559"/>
      <c r="W117" s="559"/>
      <c r="X117" s="559"/>
      <c r="Y117" s="559"/>
      <c r="Z117" s="559"/>
      <c r="AA117" s="559"/>
      <c r="AB117" s="559"/>
    </row>
    <row r="118" spans="1:28">
      <c r="A118" s="594"/>
      <c r="B118" s="559"/>
      <c r="C118" s="559"/>
      <c r="D118" s="559"/>
      <c r="E118" s="559"/>
      <c r="F118" s="559"/>
      <c r="G118" s="559"/>
      <c r="H118" s="559"/>
      <c r="I118" s="603"/>
      <c r="J118" s="603"/>
      <c r="K118" s="559"/>
      <c r="L118" s="559"/>
      <c r="M118" s="559"/>
      <c r="N118" s="559"/>
      <c r="O118" s="559"/>
      <c r="P118" s="559"/>
      <c r="Q118" s="603"/>
      <c r="R118" s="559"/>
      <c r="S118" s="559"/>
      <c r="T118" s="559"/>
      <c r="U118" s="559"/>
      <c r="V118" s="559"/>
      <c r="W118" s="559"/>
      <c r="X118" s="559"/>
      <c r="Y118" s="559"/>
      <c r="Z118" s="559"/>
      <c r="AA118" s="559"/>
      <c r="AB118" s="559"/>
    </row>
    <row r="119" spans="1:28">
      <c r="A119" s="594"/>
      <c r="B119" s="559"/>
      <c r="C119" s="559"/>
      <c r="D119" s="559"/>
      <c r="E119" s="559"/>
      <c r="F119" s="559"/>
      <c r="G119" s="559"/>
      <c r="H119" s="559"/>
      <c r="I119" s="603"/>
      <c r="J119" s="603"/>
      <c r="K119" s="559"/>
      <c r="L119" s="559"/>
      <c r="M119" s="559"/>
      <c r="N119" s="559"/>
      <c r="O119" s="559"/>
      <c r="P119" s="559"/>
      <c r="Q119" s="603"/>
      <c r="R119" s="559"/>
      <c r="S119" s="559"/>
      <c r="T119" s="559"/>
      <c r="U119" s="559"/>
      <c r="V119" s="559"/>
      <c r="W119" s="559"/>
      <c r="X119" s="559"/>
      <c r="Y119" s="559"/>
      <c r="Z119" s="559"/>
      <c r="AA119" s="559"/>
      <c r="AB119" s="559"/>
    </row>
    <row r="120" spans="1:28">
      <c r="A120" s="594"/>
      <c r="B120" s="559"/>
      <c r="C120" s="559"/>
      <c r="D120" s="559"/>
      <c r="E120" s="559"/>
      <c r="F120" s="559"/>
      <c r="G120" s="559"/>
      <c r="H120" s="559"/>
      <c r="I120" s="603"/>
      <c r="J120" s="603"/>
      <c r="K120" s="559"/>
      <c r="L120" s="559"/>
      <c r="M120" s="559"/>
      <c r="N120" s="559"/>
      <c r="O120" s="559"/>
      <c r="P120" s="559"/>
      <c r="Q120" s="603"/>
      <c r="R120" s="559"/>
      <c r="S120" s="559"/>
      <c r="T120" s="559"/>
      <c r="U120" s="559"/>
      <c r="V120" s="559"/>
      <c r="W120" s="559"/>
      <c r="X120" s="559"/>
      <c r="Y120" s="559"/>
      <c r="Z120" s="559"/>
      <c r="AA120" s="559"/>
      <c r="AB120" s="559"/>
    </row>
    <row r="121" spans="1:28">
      <c r="A121" s="594"/>
      <c r="B121" s="559"/>
      <c r="C121" s="559"/>
      <c r="D121" s="559"/>
      <c r="E121" s="559"/>
      <c r="F121" s="559"/>
      <c r="G121" s="559"/>
      <c r="H121" s="559"/>
      <c r="I121" s="603"/>
      <c r="J121" s="603"/>
      <c r="K121" s="559"/>
      <c r="L121" s="559"/>
      <c r="M121" s="559"/>
      <c r="N121" s="559"/>
      <c r="O121" s="559"/>
      <c r="P121" s="559"/>
      <c r="Q121" s="603"/>
      <c r="R121" s="559"/>
      <c r="S121" s="559"/>
      <c r="T121" s="559"/>
      <c r="U121" s="559"/>
      <c r="V121" s="559"/>
      <c r="W121" s="559"/>
      <c r="X121" s="559"/>
      <c r="Y121" s="559"/>
      <c r="Z121" s="559"/>
      <c r="AA121" s="559"/>
      <c r="AB121" s="559"/>
    </row>
    <row r="122" spans="1:28">
      <c r="A122" s="594"/>
      <c r="B122" s="559"/>
      <c r="C122" s="559"/>
      <c r="D122" s="559"/>
      <c r="E122" s="559"/>
      <c r="F122" s="559"/>
      <c r="G122" s="559"/>
      <c r="H122" s="559"/>
      <c r="I122" s="603"/>
      <c r="J122" s="603"/>
      <c r="K122" s="559"/>
      <c r="L122" s="559"/>
      <c r="M122" s="559"/>
      <c r="N122" s="559"/>
      <c r="O122" s="559"/>
      <c r="P122" s="559"/>
      <c r="Q122" s="603"/>
      <c r="R122" s="559"/>
      <c r="S122" s="559"/>
      <c r="T122" s="559"/>
      <c r="U122" s="559"/>
      <c r="V122" s="559"/>
      <c r="W122" s="559"/>
      <c r="X122" s="559"/>
      <c r="Y122" s="559"/>
      <c r="Z122" s="559"/>
      <c r="AA122" s="559"/>
      <c r="AB122" s="559"/>
    </row>
    <row r="123" spans="1:28">
      <c r="A123" s="594"/>
      <c r="B123" s="559"/>
      <c r="C123" s="559"/>
      <c r="D123" s="559"/>
      <c r="E123" s="559"/>
      <c r="F123" s="559"/>
      <c r="G123" s="559"/>
      <c r="H123" s="559"/>
      <c r="I123" s="603"/>
      <c r="J123" s="603"/>
      <c r="K123" s="559"/>
      <c r="L123" s="559"/>
      <c r="M123" s="559"/>
      <c r="N123" s="559"/>
      <c r="O123" s="559"/>
      <c r="P123" s="559"/>
      <c r="Q123" s="603"/>
      <c r="R123" s="559"/>
      <c r="S123" s="559"/>
      <c r="T123" s="559"/>
      <c r="U123" s="559"/>
      <c r="V123" s="559"/>
      <c r="W123" s="559"/>
      <c r="X123" s="559"/>
      <c r="Y123" s="559"/>
      <c r="Z123" s="559"/>
      <c r="AA123" s="559"/>
      <c r="AB123" s="559"/>
    </row>
    <row r="124" spans="1:28">
      <c r="A124" s="594"/>
      <c r="B124" s="559"/>
      <c r="C124" s="559"/>
      <c r="D124" s="559"/>
      <c r="E124" s="559"/>
      <c r="F124" s="559"/>
      <c r="G124" s="559"/>
      <c r="H124" s="559"/>
      <c r="I124" s="603"/>
      <c r="J124" s="603"/>
      <c r="K124" s="559"/>
      <c r="L124" s="559"/>
      <c r="M124" s="559"/>
      <c r="N124" s="559"/>
      <c r="O124" s="559"/>
      <c r="P124" s="559"/>
      <c r="Q124" s="603"/>
      <c r="R124" s="559"/>
      <c r="S124" s="559"/>
      <c r="T124" s="559"/>
      <c r="U124" s="559"/>
      <c r="V124" s="559"/>
      <c r="W124" s="559"/>
      <c r="X124" s="559"/>
      <c r="Y124" s="559"/>
      <c r="Z124" s="559"/>
      <c r="AA124" s="559"/>
      <c r="AB124" s="559"/>
    </row>
    <row r="125" spans="1:28">
      <c r="A125" s="594"/>
      <c r="B125" s="559"/>
      <c r="C125" s="559"/>
      <c r="D125" s="559"/>
      <c r="E125" s="559"/>
      <c r="F125" s="559"/>
      <c r="G125" s="559"/>
      <c r="H125" s="559"/>
      <c r="I125" s="603"/>
      <c r="J125" s="603"/>
      <c r="K125" s="559"/>
      <c r="L125" s="559"/>
      <c r="M125" s="559"/>
      <c r="N125" s="559"/>
      <c r="O125" s="559"/>
      <c r="P125" s="559"/>
      <c r="Q125" s="603"/>
      <c r="R125" s="559"/>
      <c r="S125" s="559"/>
      <c r="T125" s="559"/>
      <c r="U125" s="559"/>
      <c r="V125" s="559"/>
      <c r="W125" s="559"/>
      <c r="X125" s="559"/>
      <c r="Y125" s="559"/>
      <c r="Z125" s="559"/>
      <c r="AA125" s="559"/>
      <c r="AB125" s="559"/>
    </row>
    <row r="126" spans="1:28">
      <c r="A126" s="594"/>
      <c r="B126" s="559"/>
      <c r="C126" s="559"/>
      <c r="D126" s="559"/>
      <c r="E126" s="559"/>
      <c r="F126" s="559"/>
      <c r="G126" s="559"/>
      <c r="H126" s="559"/>
      <c r="I126" s="603"/>
      <c r="J126" s="603"/>
      <c r="K126" s="559"/>
      <c r="L126" s="559"/>
      <c r="M126" s="559"/>
      <c r="N126" s="559"/>
      <c r="O126" s="559"/>
      <c r="P126" s="559"/>
      <c r="Q126" s="603"/>
      <c r="R126" s="559"/>
      <c r="S126" s="559"/>
      <c r="T126" s="559"/>
      <c r="U126" s="559"/>
      <c r="V126" s="559"/>
      <c r="W126" s="559"/>
      <c r="X126" s="559"/>
      <c r="Y126" s="559"/>
      <c r="Z126" s="559"/>
      <c r="AA126" s="559"/>
      <c r="AB126" s="559"/>
    </row>
    <row r="127" spans="1:28">
      <c r="A127" s="594"/>
      <c r="B127" s="559"/>
      <c r="C127" s="559"/>
      <c r="D127" s="559"/>
      <c r="E127" s="559"/>
      <c r="F127" s="559"/>
      <c r="G127" s="559"/>
      <c r="H127" s="559"/>
      <c r="I127" s="603"/>
      <c r="J127" s="603"/>
      <c r="K127" s="559"/>
      <c r="L127" s="559"/>
      <c r="M127" s="559"/>
      <c r="N127" s="559"/>
      <c r="O127" s="559"/>
      <c r="P127" s="559"/>
      <c r="Q127" s="603"/>
      <c r="R127" s="559"/>
      <c r="S127" s="559"/>
      <c r="T127" s="559"/>
      <c r="U127" s="559"/>
      <c r="V127" s="559"/>
      <c r="W127" s="559"/>
      <c r="X127" s="559"/>
      <c r="Y127" s="559"/>
      <c r="Z127" s="559"/>
      <c r="AA127" s="559"/>
      <c r="AB127" s="559"/>
    </row>
    <row r="128" spans="1:28">
      <c r="A128" s="594"/>
      <c r="B128" s="559"/>
      <c r="C128" s="559"/>
      <c r="D128" s="559"/>
      <c r="E128" s="559"/>
      <c r="F128" s="559"/>
      <c r="G128" s="559"/>
      <c r="H128" s="559"/>
      <c r="I128" s="603"/>
      <c r="J128" s="603"/>
      <c r="K128" s="559"/>
      <c r="L128" s="559"/>
      <c r="M128" s="559"/>
      <c r="N128" s="559"/>
      <c r="O128" s="559"/>
      <c r="P128" s="559"/>
      <c r="Q128" s="603"/>
      <c r="R128" s="559"/>
      <c r="S128" s="559"/>
      <c r="T128" s="559"/>
      <c r="U128" s="559"/>
      <c r="V128" s="559"/>
      <c r="W128" s="559"/>
      <c r="X128" s="559"/>
      <c r="Y128" s="559"/>
      <c r="Z128" s="559"/>
      <c r="AA128" s="559"/>
      <c r="AB128" s="559"/>
    </row>
    <row r="129" spans="1:28">
      <c r="A129" s="594"/>
      <c r="B129" s="559"/>
      <c r="C129" s="559"/>
      <c r="D129" s="559"/>
      <c r="E129" s="559"/>
      <c r="F129" s="559"/>
      <c r="G129" s="559"/>
      <c r="H129" s="559"/>
      <c r="I129" s="603"/>
      <c r="J129" s="603"/>
      <c r="K129" s="559"/>
      <c r="L129" s="559"/>
      <c r="M129" s="559"/>
      <c r="N129" s="559"/>
      <c r="O129" s="559"/>
      <c r="P129" s="559"/>
      <c r="Q129" s="603"/>
      <c r="R129" s="559"/>
      <c r="S129" s="559"/>
      <c r="T129" s="559"/>
      <c r="U129" s="559"/>
      <c r="V129" s="559"/>
      <c r="W129" s="559"/>
      <c r="X129" s="559"/>
      <c r="Y129" s="559"/>
      <c r="Z129" s="559"/>
      <c r="AA129" s="559"/>
      <c r="AB129" s="559"/>
    </row>
    <row r="130" spans="1:28">
      <c r="A130" s="594"/>
      <c r="B130" s="559"/>
      <c r="C130" s="559"/>
      <c r="D130" s="559"/>
      <c r="E130" s="559"/>
      <c r="F130" s="559"/>
      <c r="G130" s="559"/>
      <c r="H130" s="559"/>
      <c r="I130" s="603"/>
      <c r="J130" s="603"/>
      <c r="K130" s="559"/>
      <c r="L130" s="559"/>
      <c r="M130" s="559"/>
      <c r="N130" s="559"/>
      <c r="O130" s="559"/>
      <c r="P130" s="559"/>
      <c r="Q130" s="603"/>
      <c r="R130" s="559"/>
      <c r="S130" s="559"/>
      <c r="T130" s="559"/>
      <c r="U130" s="559"/>
      <c r="V130" s="559"/>
      <c r="W130" s="559"/>
      <c r="X130" s="559"/>
      <c r="Y130" s="559"/>
      <c r="Z130" s="559"/>
      <c r="AA130" s="559"/>
      <c r="AB130" s="559"/>
    </row>
    <row r="131" spans="1:28">
      <c r="A131" s="594"/>
      <c r="B131" s="559"/>
      <c r="C131" s="559"/>
      <c r="D131" s="559"/>
      <c r="E131" s="559"/>
      <c r="F131" s="559"/>
      <c r="G131" s="559"/>
      <c r="H131" s="559"/>
      <c r="I131" s="603"/>
      <c r="J131" s="603"/>
      <c r="K131" s="559"/>
      <c r="L131" s="559"/>
      <c r="M131" s="559"/>
      <c r="N131" s="559"/>
      <c r="O131" s="559"/>
      <c r="P131" s="559"/>
      <c r="Q131" s="603"/>
      <c r="R131" s="559"/>
      <c r="S131" s="559"/>
      <c r="T131" s="559"/>
      <c r="U131" s="559"/>
      <c r="V131" s="559"/>
      <c r="W131" s="559"/>
      <c r="X131" s="559"/>
      <c r="Y131" s="559"/>
      <c r="Z131" s="559"/>
      <c r="AA131" s="559"/>
      <c r="AB131" s="559"/>
    </row>
    <row r="132" spans="1:28">
      <c r="A132" s="594"/>
      <c r="B132" s="559"/>
      <c r="C132" s="559"/>
      <c r="D132" s="559"/>
      <c r="E132" s="559"/>
      <c r="F132" s="559"/>
      <c r="G132" s="559"/>
      <c r="H132" s="559"/>
      <c r="I132" s="603"/>
      <c r="J132" s="603"/>
      <c r="K132" s="559"/>
      <c r="L132" s="559"/>
      <c r="M132" s="559"/>
      <c r="N132" s="559"/>
      <c r="O132" s="559"/>
      <c r="P132" s="559"/>
      <c r="Q132" s="603"/>
      <c r="R132" s="559"/>
      <c r="S132" s="559"/>
      <c r="T132" s="559"/>
      <c r="U132" s="559"/>
      <c r="V132" s="559"/>
      <c r="W132" s="559"/>
      <c r="X132" s="559"/>
      <c r="Y132" s="559"/>
      <c r="Z132" s="559"/>
      <c r="AA132" s="559"/>
      <c r="AB132" s="559"/>
    </row>
    <row r="133" spans="1:28">
      <c r="A133" s="594"/>
      <c r="B133" s="559"/>
      <c r="C133" s="559"/>
      <c r="D133" s="559"/>
      <c r="E133" s="559"/>
      <c r="F133" s="559"/>
      <c r="G133" s="559"/>
      <c r="H133" s="559"/>
      <c r="I133" s="603"/>
      <c r="J133" s="603"/>
      <c r="K133" s="559"/>
      <c r="L133" s="559"/>
      <c r="M133" s="559"/>
      <c r="N133" s="559"/>
      <c r="O133" s="559"/>
      <c r="P133" s="559"/>
      <c r="Q133" s="603"/>
      <c r="R133" s="559"/>
      <c r="S133" s="559"/>
      <c r="T133" s="559"/>
      <c r="U133" s="559"/>
      <c r="V133" s="559"/>
      <c r="W133" s="559"/>
      <c r="X133" s="559"/>
      <c r="Y133" s="559"/>
      <c r="Z133" s="559"/>
      <c r="AA133" s="559"/>
      <c r="AB133" s="559"/>
    </row>
    <row r="134" spans="1:28">
      <c r="A134" s="594"/>
      <c r="B134" s="559"/>
      <c r="C134" s="559"/>
      <c r="D134" s="559"/>
      <c r="E134" s="559"/>
      <c r="F134" s="559"/>
      <c r="G134" s="559"/>
      <c r="H134" s="559"/>
      <c r="I134" s="603"/>
      <c r="J134" s="603"/>
      <c r="K134" s="559"/>
      <c r="L134" s="559"/>
      <c r="M134" s="559"/>
      <c r="N134" s="559"/>
      <c r="O134" s="559"/>
      <c r="P134" s="559"/>
      <c r="Q134" s="603"/>
      <c r="R134" s="559"/>
      <c r="S134" s="559"/>
      <c r="T134" s="559"/>
      <c r="U134" s="559"/>
      <c r="V134" s="559"/>
      <c r="W134" s="559"/>
      <c r="X134" s="559"/>
      <c r="Y134" s="559"/>
      <c r="Z134" s="559"/>
      <c r="AA134" s="559"/>
      <c r="AB134" s="559"/>
    </row>
    <row r="135" spans="1:28">
      <c r="A135" s="594"/>
      <c r="B135" s="559"/>
      <c r="C135" s="559"/>
      <c r="D135" s="559"/>
      <c r="E135" s="559"/>
      <c r="F135" s="559"/>
      <c r="G135" s="559"/>
      <c r="H135" s="559"/>
      <c r="I135" s="603"/>
      <c r="J135" s="603"/>
      <c r="K135" s="559"/>
      <c r="L135" s="559"/>
      <c r="M135" s="559"/>
      <c r="N135" s="559"/>
      <c r="O135" s="559"/>
      <c r="P135" s="559"/>
      <c r="Q135" s="603"/>
      <c r="R135" s="559"/>
      <c r="S135" s="559"/>
      <c r="T135" s="559"/>
      <c r="U135" s="559"/>
      <c r="V135" s="559"/>
      <c r="W135" s="559"/>
      <c r="X135" s="559"/>
      <c r="Y135" s="559"/>
      <c r="Z135" s="559"/>
      <c r="AA135" s="559"/>
      <c r="AB135" s="559"/>
    </row>
    <row r="136" spans="1:28">
      <c r="A136" s="594"/>
      <c r="B136" s="559"/>
      <c r="C136" s="559"/>
      <c r="D136" s="559"/>
      <c r="E136" s="559"/>
      <c r="F136" s="559"/>
      <c r="G136" s="559"/>
      <c r="H136" s="559"/>
      <c r="I136" s="603"/>
      <c r="J136" s="603"/>
      <c r="K136" s="559"/>
      <c r="L136" s="559"/>
      <c r="M136" s="559"/>
      <c r="N136" s="559"/>
      <c r="O136" s="559"/>
      <c r="P136" s="559"/>
      <c r="Q136" s="603"/>
      <c r="R136" s="559"/>
      <c r="S136" s="559"/>
      <c r="T136" s="559"/>
      <c r="U136" s="559"/>
      <c r="V136" s="559"/>
      <c r="W136" s="559"/>
      <c r="X136" s="559"/>
      <c r="Y136" s="559"/>
      <c r="Z136" s="559"/>
      <c r="AA136" s="559"/>
      <c r="AB136" s="559"/>
    </row>
    <row r="137" spans="1:28">
      <c r="A137" s="594"/>
      <c r="B137" s="559"/>
      <c r="C137" s="559"/>
      <c r="D137" s="559"/>
      <c r="E137" s="559"/>
      <c r="F137" s="559"/>
      <c r="G137" s="559"/>
      <c r="H137" s="559"/>
      <c r="I137" s="603"/>
      <c r="J137" s="603"/>
      <c r="K137" s="559"/>
      <c r="L137" s="559"/>
      <c r="M137" s="559"/>
      <c r="N137" s="559"/>
      <c r="O137" s="559"/>
      <c r="P137" s="559"/>
      <c r="Q137" s="603"/>
      <c r="R137" s="559"/>
      <c r="S137" s="559"/>
      <c r="T137" s="559"/>
      <c r="U137" s="559"/>
      <c r="V137" s="559"/>
      <c r="W137" s="559"/>
      <c r="X137" s="559"/>
      <c r="Y137" s="559"/>
      <c r="Z137" s="559"/>
      <c r="AA137" s="559"/>
      <c r="AB137" s="559"/>
    </row>
    <row r="138" spans="1:28">
      <c r="A138" s="594"/>
      <c r="B138" s="559"/>
      <c r="C138" s="559"/>
      <c r="D138" s="559"/>
      <c r="E138" s="559"/>
      <c r="F138" s="559"/>
      <c r="G138" s="559"/>
      <c r="H138" s="559"/>
      <c r="I138" s="603"/>
      <c r="J138" s="603"/>
      <c r="K138" s="559"/>
      <c r="L138" s="559"/>
      <c r="M138" s="559"/>
      <c r="N138" s="559"/>
      <c r="O138" s="559"/>
      <c r="P138" s="559"/>
      <c r="Q138" s="603"/>
      <c r="R138" s="559"/>
      <c r="S138" s="559"/>
      <c r="T138" s="559"/>
      <c r="U138" s="559"/>
      <c r="V138" s="559"/>
      <c r="W138" s="559"/>
      <c r="X138" s="559"/>
      <c r="Y138" s="559"/>
      <c r="Z138" s="559"/>
      <c r="AA138" s="559"/>
      <c r="AB138" s="559"/>
    </row>
    <row r="139" spans="1:28">
      <c r="A139" s="594"/>
      <c r="B139" s="559"/>
      <c r="C139" s="559"/>
      <c r="D139" s="559"/>
      <c r="E139" s="559"/>
      <c r="F139" s="559"/>
      <c r="G139" s="559"/>
      <c r="H139" s="559"/>
      <c r="I139" s="603"/>
      <c r="J139" s="603"/>
      <c r="K139" s="559"/>
      <c r="L139" s="559"/>
      <c r="M139" s="559"/>
      <c r="N139" s="559"/>
      <c r="O139" s="559"/>
      <c r="P139" s="559"/>
      <c r="Q139" s="603"/>
      <c r="R139" s="559"/>
      <c r="S139" s="559"/>
      <c r="T139" s="559"/>
      <c r="U139" s="559"/>
      <c r="V139" s="559"/>
      <c r="W139" s="559"/>
      <c r="X139" s="559"/>
      <c r="Y139" s="559"/>
      <c r="Z139" s="559"/>
      <c r="AA139" s="559"/>
      <c r="AB139" s="559"/>
    </row>
    <row r="140" spans="1:28">
      <c r="A140" s="594"/>
      <c r="B140" s="559"/>
      <c r="C140" s="559"/>
      <c r="D140" s="559"/>
      <c r="E140" s="559"/>
      <c r="F140" s="559"/>
      <c r="G140" s="559"/>
      <c r="H140" s="559"/>
      <c r="I140" s="603"/>
      <c r="J140" s="603"/>
      <c r="K140" s="559"/>
      <c r="L140" s="559"/>
      <c r="M140" s="559"/>
      <c r="N140" s="559"/>
      <c r="O140" s="559"/>
      <c r="P140" s="559"/>
      <c r="Q140" s="603"/>
      <c r="R140" s="559"/>
      <c r="S140" s="559"/>
      <c r="T140" s="559"/>
      <c r="U140" s="559"/>
      <c r="V140" s="559"/>
      <c r="W140" s="559"/>
      <c r="X140" s="559"/>
      <c r="Y140" s="559"/>
      <c r="Z140" s="559"/>
      <c r="AA140" s="559"/>
      <c r="AB140" s="559"/>
    </row>
    <row r="141" spans="1:28">
      <c r="A141" s="594"/>
      <c r="B141" s="559"/>
      <c r="C141" s="559"/>
      <c r="D141" s="559"/>
      <c r="E141" s="559"/>
      <c r="F141" s="559"/>
      <c r="G141" s="559"/>
      <c r="H141" s="559"/>
      <c r="I141" s="603"/>
      <c r="J141" s="603"/>
      <c r="K141" s="559"/>
      <c r="L141" s="559"/>
      <c r="M141" s="559"/>
      <c r="N141" s="559"/>
      <c r="O141" s="559"/>
      <c r="P141" s="559"/>
      <c r="Q141" s="603"/>
      <c r="R141" s="559"/>
      <c r="S141" s="559"/>
      <c r="T141" s="559"/>
      <c r="U141" s="559"/>
      <c r="V141" s="559"/>
      <c r="W141" s="559"/>
      <c r="X141" s="559"/>
      <c r="Y141" s="559"/>
      <c r="Z141" s="559"/>
      <c r="AA141" s="559"/>
      <c r="AB141" s="559"/>
    </row>
    <row r="142" spans="1:28">
      <c r="A142" s="594"/>
      <c r="B142" s="559"/>
      <c r="C142" s="559"/>
      <c r="D142" s="559"/>
      <c r="E142" s="559"/>
      <c r="F142" s="559"/>
      <c r="G142" s="559"/>
      <c r="H142" s="559"/>
      <c r="I142" s="603"/>
      <c r="J142" s="603"/>
      <c r="K142" s="559"/>
      <c r="L142" s="559"/>
      <c r="M142" s="559"/>
      <c r="N142" s="559"/>
      <c r="O142" s="559"/>
      <c r="P142" s="559"/>
      <c r="Q142" s="603"/>
      <c r="R142" s="559"/>
      <c r="S142" s="559"/>
      <c r="T142" s="559"/>
      <c r="U142" s="559"/>
      <c r="V142" s="559"/>
      <c r="W142" s="559"/>
      <c r="X142" s="559"/>
      <c r="Y142" s="559"/>
      <c r="Z142" s="559"/>
      <c r="AA142" s="559"/>
      <c r="AB142" s="559"/>
    </row>
    <row r="143" spans="1:28">
      <c r="A143" s="594"/>
      <c r="B143" s="559"/>
      <c r="C143" s="559"/>
      <c r="D143" s="559"/>
      <c r="E143" s="559"/>
      <c r="F143" s="559"/>
      <c r="G143" s="559"/>
      <c r="H143" s="559"/>
      <c r="I143" s="603"/>
      <c r="J143" s="603"/>
      <c r="K143" s="559"/>
      <c r="L143" s="559"/>
      <c r="M143" s="559"/>
      <c r="N143" s="559"/>
      <c r="O143" s="559"/>
      <c r="P143" s="559"/>
      <c r="Q143" s="603"/>
      <c r="R143" s="559"/>
      <c r="S143" s="559"/>
      <c r="T143" s="559"/>
      <c r="U143" s="559"/>
      <c r="V143" s="559"/>
      <c r="W143" s="559"/>
      <c r="X143" s="559"/>
      <c r="Y143" s="559"/>
      <c r="Z143" s="559"/>
      <c r="AA143" s="559"/>
      <c r="AB143" s="559"/>
    </row>
    <row r="144" spans="1:28">
      <c r="A144" s="594"/>
      <c r="B144" s="559"/>
      <c r="C144" s="559"/>
      <c r="D144" s="559"/>
      <c r="E144" s="559"/>
      <c r="F144" s="559"/>
      <c r="G144" s="559"/>
      <c r="H144" s="559"/>
      <c r="I144" s="603"/>
      <c r="J144" s="603"/>
      <c r="K144" s="559"/>
      <c r="L144" s="559"/>
      <c r="M144" s="559"/>
      <c r="N144" s="559"/>
      <c r="O144" s="559"/>
      <c r="P144" s="559"/>
      <c r="Q144" s="603"/>
      <c r="R144" s="559"/>
      <c r="S144" s="559"/>
      <c r="T144" s="559"/>
      <c r="U144" s="559"/>
      <c r="V144" s="559"/>
      <c r="W144" s="559"/>
      <c r="X144" s="559"/>
      <c r="Y144" s="559"/>
      <c r="Z144" s="559"/>
      <c r="AA144" s="559"/>
      <c r="AB144" s="559"/>
    </row>
    <row r="145" spans="1:28">
      <c r="A145" s="594"/>
      <c r="B145" s="559"/>
      <c r="C145" s="559"/>
      <c r="D145" s="559"/>
      <c r="E145" s="559"/>
      <c r="F145" s="559"/>
      <c r="G145" s="559"/>
      <c r="H145" s="559"/>
      <c r="I145" s="603"/>
      <c r="J145" s="603"/>
      <c r="K145" s="559"/>
      <c r="L145" s="559"/>
      <c r="M145" s="559"/>
      <c r="N145" s="559"/>
      <c r="O145" s="559"/>
      <c r="P145" s="559"/>
      <c r="Q145" s="603"/>
      <c r="R145" s="559"/>
      <c r="S145" s="559"/>
      <c r="T145" s="559"/>
      <c r="U145" s="559"/>
      <c r="V145" s="559"/>
      <c r="W145" s="559"/>
      <c r="X145" s="559"/>
      <c r="Y145" s="559"/>
      <c r="Z145" s="559"/>
      <c r="AA145" s="559"/>
      <c r="AB145" s="559"/>
    </row>
    <row r="146" spans="1:28">
      <c r="A146" s="594"/>
      <c r="B146" s="559"/>
      <c r="C146" s="559"/>
      <c r="D146" s="559"/>
      <c r="E146" s="559"/>
      <c r="F146" s="559"/>
      <c r="G146" s="559"/>
      <c r="H146" s="559"/>
      <c r="I146" s="603"/>
      <c r="J146" s="603"/>
      <c r="K146" s="559"/>
      <c r="L146" s="559"/>
      <c r="M146" s="559"/>
      <c r="N146" s="559"/>
      <c r="O146" s="559"/>
      <c r="P146" s="559"/>
      <c r="Q146" s="603"/>
      <c r="R146" s="559"/>
      <c r="S146" s="559"/>
      <c r="T146" s="559"/>
      <c r="U146" s="559"/>
      <c r="V146" s="559"/>
      <c r="W146" s="559"/>
      <c r="X146" s="559"/>
      <c r="Y146" s="559"/>
      <c r="Z146" s="559"/>
      <c r="AA146" s="559"/>
      <c r="AB146" s="559"/>
    </row>
    <row r="147" spans="1:28">
      <c r="A147" s="594"/>
      <c r="B147" s="559"/>
      <c r="C147" s="559"/>
      <c r="D147" s="559"/>
      <c r="E147" s="559"/>
      <c r="F147" s="559"/>
      <c r="G147" s="559"/>
      <c r="H147" s="559"/>
      <c r="I147" s="603"/>
      <c r="J147" s="603"/>
      <c r="K147" s="559"/>
      <c r="L147" s="559"/>
      <c r="M147" s="559"/>
      <c r="N147" s="559"/>
      <c r="O147" s="559"/>
      <c r="P147" s="559"/>
      <c r="Q147" s="603"/>
      <c r="R147" s="559"/>
      <c r="S147" s="559"/>
      <c r="T147" s="559"/>
      <c r="U147" s="559"/>
      <c r="V147" s="559"/>
      <c r="W147" s="559"/>
      <c r="X147" s="559"/>
      <c r="Y147" s="559"/>
      <c r="Z147" s="559"/>
      <c r="AA147" s="559"/>
      <c r="AB147" s="559"/>
    </row>
    <row r="148" spans="1:28">
      <c r="A148" s="594"/>
      <c r="B148" s="559"/>
      <c r="C148" s="559"/>
      <c r="D148" s="559"/>
      <c r="E148" s="559"/>
      <c r="F148" s="559"/>
      <c r="G148" s="559"/>
      <c r="H148" s="559"/>
      <c r="I148" s="603"/>
      <c r="J148" s="603"/>
      <c r="K148" s="559"/>
      <c r="L148" s="559"/>
      <c r="M148" s="559"/>
      <c r="N148" s="559"/>
      <c r="O148" s="559"/>
      <c r="P148" s="559"/>
      <c r="Q148" s="603"/>
      <c r="R148" s="559"/>
      <c r="S148" s="559"/>
      <c r="T148" s="559"/>
      <c r="U148" s="559"/>
      <c r="V148" s="559"/>
      <c r="W148" s="559"/>
      <c r="X148" s="559"/>
      <c r="Y148" s="559"/>
      <c r="Z148" s="559"/>
      <c r="AA148" s="559"/>
      <c r="AB148" s="559"/>
    </row>
    <row r="149" spans="1:28">
      <c r="A149" s="594"/>
      <c r="B149" s="559"/>
      <c r="C149" s="559"/>
      <c r="D149" s="559"/>
      <c r="E149" s="559"/>
      <c r="F149" s="559"/>
      <c r="G149" s="559"/>
      <c r="H149" s="559"/>
      <c r="I149" s="603"/>
      <c r="J149" s="603"/>
      <c r="K149" s="559"/>
      <c r="L149" s="559"/>
      <c r="M149" s="559"/>
      <c r="N149" s="559"/>
      <c r="O149" s="559"/>
      <c r="P149" s="559"/>
      <c r="Q149" s="603"/>
      <c r="R149" s="559"/>
      <c r="S149" s="559"/>
      <c r="T149" s="559"/>
      <c r="U149" s="559"/>
      <c r="V149" s="559"/>
      <c r="W149" s="559"/>
      <c r="X149" s="559"/>
      <c r="Y149" s="559"/>
      <c r="Z149" s="559"/>
      <c r="AA149" s="559"/>
      <c r="AB149" s="559"/>
    </row>
    <row r="150" spans="1:28">
      <c r="A150" s="594"/>
      <c r="B150" s="559"/>
      <c r="C150" s="559"/>
      <c r="D150" s="559"/>
      <c r="E150" s="559"/>
      <c r="F150" s="559"/>
      <c r="G150" s="559"/>
      <c r="H150" s="559"/>
      <c r="I150" s="603"/>
      <c r="J150" s="603"/>
      <c r="K150" s="559"/>
      <c r="L150" s="559"/>
      <c r="M150" s="559"/>
      <c r="N150" s="559"/>
      <c r="O150" s="559"/>
      <c r="P150" s="559"/>
      <c r="Q150" s="603"/>
      <c r="R150" s="559"/>
      <c r="S150" s="559"/>
      <c r="T150" s="559"/>
      <c r="U150" s="559"/>
      <c r="V150" s="559"/>
      <c r="W150" s="559"/>
      <c r="X150" s="559"/>
      <c r="Y150" s="559"/>
      <c r="Z150" s="559"/>
      <c r="AA150" s="559"/>
      <c r="AB150" s="559"/>
    </row>
    <row r="151" spans="1:28">
      <c r="A151" s="594"/>
      <c r="B151" s="559"/>
      <c r="C151" s="559"/>
      <c r="D151" s="559"/>
      <c r="E151" s="559"/>
      <c r="F151" s="559"/>
      <c r="G151" s="559"/>
      <c r="H151" s="559"/>
      <c r="I151" s="603"/>
      <c r="J151" s="603"/>
      <c r="K151" s="559"/>
      <c r="L151" s="559"/>
      <c r="M151" s="559"/>
      <c r="N151" s="559"/>
      <c r="O151" s="559"/>
      <c r="P151" s="559"/>
      <c r="Q151" s="603"/>
      <c r="R151" s="559"/>
      <c r="S151" s="559"/>
      <c r="T151" s="559"/>
      <c r="U151" s="559"/>
      <c r="V151" s="559"/>
      <c r="W151" s="559"/>
      <c r="X151" s="559"/>
      <c r="Y151" s="559"/>
      <c r="Z151" s="559"/>
      <c r="AA151" s="559"/>
      <c r="AB151" s="559"/>
    </row>
    <row r="152" spans="1:28">
      <c r="A152" s="594"/>
      <c r="B152" s="559"/>
      <c r="C152" s="559"/>
      <c r="D152" s="559"/>
      <c r="E152" s="559"/>
      <c r="F152" s="559"/>
      <c r="G152" s="559"/>
      <c r="H152" s="559"/>
      <c r="I152" s="603"/>
      <c r="J152" s="603"/>
      <c r="K152" s="559"/>
      <c r="L152" s="559"/>
      <c r="M152" s="559"/>
      <c r="N152" s="559"/>
      <c r="O152" s="559"/>
      <c r="P152" s="559"/>
      <c r="Q152" s="603"/>
      <c r="R152" s="559"/>
      <c r="S152" s="559"/>
      <c r="T152" s="559"/>
      <c r="U152" s="559"/>
      <c r="V152" s="559"/>
      <c r="W152" s="559"/>
      <c r="X152" s="559"/>
      <c r="Y152" s="559"/>
      <c r="Z152" s="559"/>
      <c r="AA152" s="559"/>
      <c r="AB152" s="559"/>
    </row>
    <row r="153" spans="1:28">
      <c r="A153" s="594"/>
      <c r="B153" s="559"/>
      <c r="C153" s="559"/>
      <c r="D153" s="559"/>
      <c r="E153" s="559"/>
      <c r="F153" s="559"/>
      <c r="G153" s="559"/>
      <c r="H153" s="559"/>
      <c r="I153" s="603"/>
      <c r="J153" s="603"/>
      <c r="K153" s="559"/>
      <c r="L153" s="559"/>
      <c r="M153" s="559"/>
      <c r="N153" s="559"/>
      <c r="O153" s="559"/>
      <c r="P153" s="559"/>
      <c r="Q153" s="603"/>
      <c r="R153" s="559"/>
      <c r="S153" s="559"/>
      <c r="T153" s="559"/>
      <c r="U153" s="559"/>
      <c r="V153" s="559"/>
      <c r="W153" s="559"/>
      <c r="X153" s="559"/>
      <c r="Y153" s="559"/>
      <c r="Z153" s="559"/>
      <c r="AA153" s="559"/>
      <c r="AB153" s="559"/>
    </row>
    <row r="154" spans="1:28">
      <c r="A154" s="594"/>
      <c r="B154" s="559"/>
      <c r="C154" s="559"/>
      <c r="D154" s="559"/>
      <c r="E154" s="559"/>
      <c r="F154" s="559"/>
      <c r="G154" s="559"/>
      <c r="H154" s="559"/>
      <c r="I154" s="603"/>
      <c r="J154" s="603"/>
      <c r="K154" s="559"/>
      <c r="L154" s="559"/>
      <c r="M154" s="559"/>
      <c r="N154" s="559"/>
      <c r="O154" s="559"/>
      <c r="P154" s="559"/>
      <c r="Q154" s="603"/>
      <c r="R154" s="559"/>
      <c r="S154" s="559"/>
      <c r="T154" s="559"/>
      <c r="U154" s="559"/>
      <c r="V154" s="559"/>
      <c r="W154" s="559"/>
      <c r="X154" s="559"/>
      <c r="Y154" s="559"/>
      <c r="Z154" s="559"/>
      <c r="AA154" s="559"/>
      <c r="AB154" s="559"/>
    </row>
    <row r="155" spans="1:28">
      <c r="A155" s="594"/>
      <c r="B155" s="559"/>
      <c r="C155" s="559"/>
      <c r="D155" s="559"/>
      <c r="E155" s="559"/>
      <c r="F155" s="559"/>
      <c r="G155" s="559"/>
      <c r="H155" s="559"/>
      <c r="I155" s="603"/>
      <c r="J155" s="603"/>
      <c r="K155" s="559"/>
      <c r="L155" s="559"/>
      <c r="M155" s="559"/>
      <c r="N155" s="559"/>
      <c r="O155" s="559"/>
      <c r="P155" s="559"/>
      <c r="Q155" s="603"/>
      <c r="R155" s="559"/>
      <c r="S155" s="559"/>
      <c r="T155" s="559"/>
      <c r="U155" s="559"/>
      <c r="V155" s="559"/>
      <c r="W155" s="559"/>
      <c r="X155" s="559"/>
      <c r="Y155" s="559"/>
      <c r="Z155" s="559"/>
      <c r="AA155" s="559"/>
      <c r="AB155" s="559"/>
    </row>
    <row r="156" spans="1:28">
      <c r="A156" s="594"/>
      <c r="B156" s="559"/>
      <c r="C156" s="559"/>
      <c r="D156" s="559"/>
      <c r="E156" s="559"/>
      <c r="F156" s="559"/>
      <c r="G156" s="559"/>
      <c r="H156" s="559"/>
      <c r="I156" s="603"/>
      <c r="J156" s="603"/>
      <c r="K156" s="559"/>
      <c r="L156" s="559"/>
      <c r="M156" s="559"/>
      <c r="N156" s="559"/>
      <c r="O156" s="559"/>
      <c r="P156" s="559"/>
      <c r="Q156" s="603"/>
      <c r="R156" s="559"/>
      <c r="S156" s="559"/>
      <c r="T156" s="559"/>
      <c r="U156" s="559"/>
      <c r="V156" s="559"/>
      <c r="W156" s="559"/>
      <c r="X156" s="559"/>
      <c r="Y156" s="559"/>
      <c r="Z156" s="559"/>
      <c r="AA156" s="559"/>
      <c r="AB156" s="559"/>
    </row>
    <row r="157" spans="1:28">
      <c r="A157" s="594"/>
      <c r="B157" s="559"/>
      <c r="C157" s="559"/>
      <c r="D157" s="559"/>
      <c r="E157" s="559"/>
      <c r="F157" s="559"/>
      <c r="G157" s="559"/>
      <c r="H157" s="559"/>
      <c r="I157" s="603"/>
      <c r="J157" s="603"/>
      <c r="K157" s="559"/>
      <c r="L157" s="559"/>
      <c r="M157" s="559"/>
      <c r="N157" s="559"/>
      <c r="O157" s="559"/>
      <c r="P157" s="559"/>
      <c r="Q157" s="603"/>
      <c r="R157" s="559"/>
      <c r="S157" s="559"/>
      <c r="T157" s="559"/>
      <c r="U157" s="559"/>
      <c r="V157" s="559"/>
      <c r="W157" s="559"/>
      <c r="X157" s="559"/>
      <c r="Y157" s="559"/>
      <c r="Z157" s="559"/>
      <c r="AA157" s="559"/>
      <c r="AB157" s="559"/>
    </row>
    <row r="158" spans="1:28">
      <c r="A158" s="594"/>
      <c r="B158" s="559"/>
      <c r="C158" s="559"/>
      <c r="D158" s="559"/>
      <c r="E158" s="559"/>
      <c r="F158" s="559"/>
      <c r="G158" s="559"/>
      <c r="H158" s="559"/>
      <c r="I158" s="603"/>
      <c r="J158" s="603"/>
      <c r="K158" s="559"/>
      <c r="L158" s="559"/>
      <c r="M158" s="559"/>
      <c r="N158" s="559"/>
      <c r="O158" s="559"/>
      <c r="P158" s="559"/>
      <c r="Q158" s="603"/>
      <c r="R158" s="559"/>
      <c r="S158" s="559"/>
      <c r="T158" s="559"/>
      <c r="U158" s="559"/>
      <c r="V158" s="559"/>
      <c r="W158" s="559"/>
      <c r="X158" s="559"/>
      <c r="Y158" s="559"/>
      <c r="Z158" s="559"/>
      <c r="AA158" s="559"/>
      <c r="AB158" s="559"/>
    </row>
    <row r="159" spans="1:28">
      <c r="A159" s="594"/>
      <c r="B159" s="559"/>
      <c r="C159" s="559"/>
      <c r="D159" s="559"/>
      <c r="E159" s="559"/>
      <c r="F159" s="559"/>
      <c r="G159" s="559"/>
      <c r="H159" s="559"/>
      <c r="I159" s="603"/>
      <c r="J159" s="603"/>
      <c r="K159" s="559"/>
      <c r="L159" s="559"/>
      <c r="M159" s="559"/>
      <c r="N159" s="559"/>
      <c r="O159" s="559"/>
      <c r="P159" s="559"/>
      <c r="Q159" s="603"/>
      <c r="R159" s="559"/>
      <c r="S159" s="559"/>
      <c r="T159" s="559"/>
      <c r="U159" s="559"/>
      <c r="V159" s="559"/>
      <c r="W159" s="559"/>
      <c r="X159" s="559"/>
      <c r="Y159" s="559"/>
      <c r="Z159" s="559"/>
      <c r="AA159" s="559"/>
      <c r="AB159" s="559"/>
    </row>
    <row r="160" spans="1:28">
      <c r="A160" s="594"/>
      <c r="B160" s="559"/>
      <c r="C160" s="559"/>
      <c r="D160" s="559"/>
      <c r="E160" s="559"/>
      <c r="F160" s="559"/>
      <c r="G160" s="559"/>
      <c r="H160" s="559"/>
      <c r="I160" s="603"/>
      <c r="J160" s="603"/>
      <c r="K160" s="559"/>
      <c r="L160" s="559"/>
      <c r="M160" s="559"/>
      <c r="N160" s="559"/>
      <c r="O160" s="559"/>
      <c r="P160" s="559"/>
      <c r="Q160" s="603"/>
      <c r="R160" s="559"/>
      <c r="S160" s="559"/>
      <c r="T160" s="559"/>
      <c r="U160" s="559"/>
      <c r="V160" s="559"/>
      <c r="W160" s="559"/>
      <c r="X160" s="559"/>
      <c r="Y160" s="559"/>
      <c r="Z160" s="559"/>
      <c r="AA160" s="559"/>
      <c r="AB160" s="559"/>
    </row>
    <row r="161" spans="1:28">
      <c r="A161" s="594"/>
      <c r="B161" s="559"/>
      <c r="C161" s="559"/>
      <c r="D161" s="559"/>
      <c r="E161" s="559"/>
      <c r="F161" s="559"/>
      <c r="G161" s="559"/>
      <c r="H161" s="559"/>
      <c r="I161" s="603"/>
      <c r="J161" s="603"/>
      <c r="K161" s="559"/>
      <c r="L161" s="559"/>
      <c r="M161" s="559"/>
      <c r="N161" s="559"/>
      <c r="O161" s="559"/>
      <c r="P161" s="559"/>
      <c r="Q161" s="603"/>
      <c r="R161" s="559"/>
      <c r="S161" s="559"/>
      <c r="T161" s="559"/>
      <c r="U161" s="559"/>
      <c r="V161" s="559"/>
      <c r="W161" s="559"/>
      <c r="X161" s="559"/>
      <c r="Y161" s="559"/>
      <c r="Z161" s="559"/>
      <c r="AA161" s="559"/>
      <c r="AB161" s="559"/>
    </row>
    <row r="162" spans="1:28">
      <c r="A162" s="594"/>
      <c r="B162" s="559"/>
      <c r="C162" s="559"/>
      <c r="D162" s="559"/>
      <c r="E162" s="559"/>
      <c r="F162" s="559"/>
      <c r="G162" s="559"/>
      <c r="H162" s="559"/>
      <c r="I162" s="603"/>
      <c r="J162" s="603"/>
      <c r="K162" s="559"/>
      <c r="L162" s="559"/>
      <c r="M162" s="559"/>
      <c r="N162" s="559"/>
      <c r="O162" s="559"/>
      <c r="P162" s="559"/>
      <c r="Q162" s="603"/>
      <c r="R162" s="559"/>
      <c r="S162" s="559"/>
      <c r="T162" s="559"/>
      <c r="U162" s="559"/>
      <c r="V162" s="559"/>
      <c r="W162" s="559"/>
      <c r="X162" s="559"/>
      <c r="Y162" s="559"/>
      <c r="Z162" s="559"/>
      <c r="AA162" s="559"/>
      <c r="AB162" s="559"/>
    </row>
    <row r="163" spans="1:28">
      <c r="A163" s="594"/>
      <c r="B163" s="559"/>
      <c r="C163" s="559"/>
      <c r="D163" s="559"/>
      <c r="E163" s="559"/>
      <c r="F163" s="559"/>
      <c r="G163" s="559"/>
      <c r="H163" s="559"/>
      <c r="I163" s="603"/>
      <c r="J163" s="603"/>
      <c r="K163" s="559"/>
      <c r="L163" s="559"/>
      <c r="M163" s="559"/>
      <c r="N163" s="559"/>
      <c r="O163" s="559"/>
      <c r="P163" s="559"/>
      <c r="Q163" s="603"/>
      <c r="R163" s="559"/>
      <c r="S163" s="559"/>
      <c r="T163" s="559"/>
      <c r="U163" s="559"/>
      <c r="V163" s="559"/>
      <c r="W163" s="559"/>
      <c r="X163" s="559"/>
      <c r="Y163" s="559"/>
      <c r="Z163" s="559"/>
      <c r="AA163" s="559"/>
      <c r="AB163" s="559"/>
    </row>
    <row r="164" spans="1:28">
      <c r="A164" s="594"/>
      <c r="B164" s="559"/>
      <c r="C164" s="559"/>
      <c r="D164" s="559"/>
      <c r="E164" s="559"/>
      <c r="F164" s="559"/>
      <c r="G164" s="559"/>
      <c r="H164" s="559"/>
      <c r="I164" s="603"/>
      <c r="J164" s="603"/>
      <c r="K164" s="559"/>
      <c r="L164" s="559"/>
      <c r="M164" s="559"/>
      <c r="N164" s="559"/>
      <c r="O164" s="559"/>
      <c r="P164" s="559"/>
      <c r="Q164" s="603"/>
      <c r="R164" s="559"/>
      <c r="S164" s="559"/>
      <c r="T164" s="559"/>
      <c r="U164" s="559"/>
      <c r="V164" s="559"/>
      <c r="W164" s="559"/>
      <c r="X164" s="559"/>
      <c r="Y164" s="559"/>
      <c r="Z164" s="559"/>
      <c r="AA164" s="559"/>
      <c r="AB164" s="559"/>
    </row>
    <row r="165" spans="1:28">
      <c r="A165" s="594"/>
      <c r="B165" s="559"/>
      <c r="C165" s="559"/>
      <c r="D165" s="559"/>
      <c r="E165" s="559"/>
      <c r="F165" s="559"/>
      <c r="G165" s="559"/>
      <c r="H165" s="559"/>
      <c r="I165" s="603"/>
      <c r="J165" s="603"/>
      <c r="K165" s="559"/>
      <c r="L165" s="559"/>
      <c r="M165" s="559"/>
      <c r="N165" s="559"/>
      <c r="O165" s="559"/>
      <c r="P165" s="559"/>
      <c r="Q165" s="603"/>
      <c r="R165" s="559"/>
      <c r="S165" s="559"/>
      <c r="T165" s="559"/>
      <c r="U165" s="559"/>
      <c r="V165" s="559"/>
      <c r="W165" s="559"/>
      <c r="X165" s="559"/>
      <c r="Y165" s="559"/>
      <c r="Z165" s="559"/>
      <c r="AA165" s="559"/>
      <c r="AB165" s="559"/>
    </row>
    <row r="166" spans="1:28">
      <c r="A166" s="594"/>
      <c r="B166" s="559"/>
      <c r="C166" s="559"/>
      <c r="D166" s="559"/>
      <c r="E166" s="559"/>
      <c r="F166" s="559"/>
      <c r="G166" s="559"/>
      <c r="H166" s="559"/>
      <c r="I166" s="603"/>
      <c r="J166" s="603"/>
      <c r="K166" s="559"/>
      <c r="L166" s="559"/>
      <c r="M166" s="559"/>
      <c r="N166" s="559"/>
      <c r="O166" s="559"/>
      <c r="P166" s="559"/>
      <c r="Q166" s="603"/>
      <c r="R166" s="559"/>
      <c r="S166" s="559"/>
      <c r="T166" s="559"/>
      <c r="U166" s="559"/>
      <c r="V166" s="559"/>
      <c r="W166" s="559"/>
      <c r="X166" s="559"/>
      <c r="Y166" s="559"/>
      <c r="Z166" s="559"/>
      <c r="AA166" s="559"/>
      <c r="AB166" s="559"/>
    </row>
    <row r="167" spans="1:28">
      <c r="A167" s="594"/>
      <c r="B167" s="559"/>
      <c r="C167" s="559"/>
      <c r="D167" s="559"/>
      <c r="E167" s="559"/>
      <c r="F167" s="559"/>
      <c r="G167" s="559"/>
      <c r="H167" s="559"/>
      <c r="I167" s="603"/>
      <c r="J167" s="603"/>
      <c r="K167" s="559"/>
      <c r="L167" s="559"/>
      <c r="M167" s="559"/>
      <c r="N167" s="559"/>
      <c r="O167" s="559"/>
      <c r="P167" s="559"/>
      <c r="Q167" s="603"/>
      <c r="R167" s="559"/>
      <c r="S167" s="559"/>
      <c r="T167" s="559"/>
      <c r="U167" s="559"/>
      <c r="V167" s="559"/>
      <c r="W167" s="559"/>
      <c r="X167" s="559"/>
      <c r="Y167" s="559"/>
      <c r="Z167" s="559"/>
      <c r="AA167" s="559"/>
      <c r="AB167" s="559"/>
    </row>
    <row r="168" spans="1:28">
      <c r="A168" s="594"/>
      <c r="B168" s="559"/>
      <c r="C168" s="559"/>
      <c r="D168" s="559"/>
      <c r="E168" s="559"/>
      <c r="F168" s="559"/>
      <c r="G168" s="559"/>
      <c r="H168" s="559"/>
      <c r="I168" s="603"/>
      <c r="J168" s="603"/>
      <c r="K168" s="559"/>
      <c r="L168" s="559"/>
      <c r="M168" s="559"/>
      <c r="N168" s="559"/>
      <c r="O168" s="559"/>
      <c r="P168" s="559"/>
      <c r="Q168" s="603"/>
      <c r="R168" s="559"/>
      <c r="S168" s="559"/>
      <c r="T168" s="559"/>
      <c r="U168" s="559"/>
      <c r="V168" s="559"/>
      <c r="W168" s="559"/>
      <c r="X168" s="559"/>
      <c r="Y168" s="559"/>
      <c r="Z168" s="559"/>
      <c r="AA168" s="559"/>
      <c r="AB168" s="559"/>
    </row>
    <row r="169" spans="1:28">
      <c r="A169" s="594"/>
      <c r="B169" s="559"/>
      <c r="C169" s="559"/>
      <c r="D169" s="559"/>
      <c r="E169" s="559"/>
      <c r="F169" s="559"/>
      <c r="G169" s="559"/>
      <c r="H169" s="559"/>
      <c r="I169" s="603"/>
      <c r="J169" s="603"/>
      <c r="K169" s="559"/>
      <c r="L169" s="559"/>
      <c r="M169" s="559"/>
      <c r="N169" s="559"/>
      <c r="O169" s="559"/>
      <c r="P169" s="559"/>
      <c r="Q169" s="603"/>
      <c r="R169" s="559"/>
      <c r="S169" s="559"/>
      <c r="T169" s="559"/>
      <c r="U169" s="559"/>
      <c r="V169" s="559"/>
      <c r="W169" s="559"/>
      <c r="X169" s="559"/>
      <c r="Y169" s="559"/>
      <c r="Z169" s="559"/>
      <c r="AA169" s="559"/>
      <c r="AB169" s="559"/>
    </row>
    <row r="170" spans="1:28">
      <c r="A170" s="594"/>
      <c r="B170" s="559"/>
      <c r="C170" s="559"/>
      <c r="D170" s="559"/>
      <c r="E170" s="559"/>
      <c r="F170" s="559"/>
      <c r="G170" s="559"/>
      <c r="H170" s="559"/>
      <c r="I170" s="603"/>
      <c r="J170" s="603"/>
      <c r="K170" s="559"/>
      <c r="L170" s="559"/>
      <c r="M170" s="559"/>
      <c r="N170" s="559"/>
      <c r="O170" s="559"/>
      <c r="P170" s="559"/>
      <c r="Q170" s="603"/>
      <c r="R170" s="559"/>
      <c r="S170" s="559"/>
      <c r="T170" s="559"/>
      <c r="U170" s="559"/>
      <c r="V170" s="559"/>
      <c r="W170" s="559"/>
      <c r="X170" s="559"/>
      <c r="Y170" s="559"/>
      <c r="Z170" s="559"/>
      <c r="AA170" s="559"/>
      <c r="AB170" s="559"/>
    </row>
    <row r="171" spans="1:28">
      <c r="A171" s="594"/>
      <c r="B171" s="559"/>
      <c r="C171" s="559"/>
      <c r="D171" s="559"/>
      <c r="E171" s="559"/>
      <c r="F171" s="559"/>
      <c r="G171" s="559"/>
      <c r="H171" s="559"/>
      <c r="I171" s="603"/>
      <c r="J171" s="603"/>
      <c r="K171" s="559"/>
      <c r="L171" s="559"/>
      <c r="M171" s="559"/>
      <c r="N171" s="559"/>
      <c r="O171" s="559"/>
      <c r="P171" s="559"/>
      <c r="Q171" s="603"/>
      <c r="R171" s="559"/>
      <c r="S171" s="559"/>
      <c r="T171" s="559"/>
      <c r="U171" s="559"/>
      <c r="V171" s="559"/>
      <c r="W171" s="559"/>
      <c r="X171" s="559"/>
      <c r="Y171" s="559"/>
      <c r="Z171" s="559"/>
      <c r="AA171" s="559"/>
      <c r="AB171" s="559"/>
    </row>
    <row r="172" spans="1:28">
      <c r="A172" s="594"/>
      <c r="B172" s="559"/>
      <c r="C172" s="559"/>
      <c r="D172" s="559"/>
      <c r="E172" s="559"/>
      <c r="F172" s="559"/>
      <c r="G172" s="559"/>
      <c r="H172" s="559"/>
      <c r="I172" s="603"/>
      <c r="J172" s="603"/>
      <c r="K172" s="559"/>
      <c r="L172" s="559"/>
      <c r="M172" s="559"/>
      <c r="N172" s="559"/>
      <c r="O172" s="559"/>
      <c r="P172" s="559"/>
      <c r="Q172" s="603"/>
      <c r="R172" s="559"/>
      <c r="S172" s="559"/>
      <c r="T172" s="559"/>
      <c r="U172" s="559"/>
      <c r="V172" s="559"/>
      <c r="W172" s="559"/>
      <c r="X172" s="559"/>
      <c r="Y172" s="559"/>
      <c r="Z172" s="559"/>
      <c r="AA172" s="559"/>
      <c r="AB172" s="559"/>
    </row>
    <row r="173" spans="1:28">
      <c r="A173" s="594"/>
      <c r="B173" s="559"/>
      <c r="C173" s="559"/>
      <c r="D173" s="559"/>
      <c r="E173" s="559"/>
      <c r="F173" s="559"/>
      <c r="G173" s="559"/>
      <c r="H173" s="559"/>
      <c r="I173" s="603"/>
      <c r="J173" s="603"/>
      <c r="K173" s="559"/>
      <c r="L173" s="559"/>
      <c r="M173" s="559"/>
      <c r="N173" s="559"/>
      <c r="O173" s="559"/>
      <c r="P173" s="559"/>
      <c r="Q173" s="603"/>
      <c r="R173" s="559"/>
      <c r="S173" s="559"/>
      <c r="T173" s="559"/>
      <c r="U173" s="559"/>
      <c r="V173" s="559"/>
      <c r="W173" s="559"/>
      <c r="X173" s="559"/>
      <c r="Y173" s="559"/>
      <c r="Z173" s="559"/>
      <c r="AA173" s="559"/>
      <c r="AB173" s="559"/>
    </row>
    <row r="174" spans="1:28">
      <c r="A174" s="594"/>
      <c r="B174" s="559"/>
      <c r="C174" s="559"/>
      <c r="D174" s="559"/>
      <c r="E174" s="559"/>
      <c r="F174" s="559"/>
      <c r="G174" s="559"/>
      <c r="H174" s="559"/>
      <c r="I174" s="603"/>
      <c r="J174" s="603"/>
      <c r="K174" s="559"/>
      <c r="L174" s="559"/>
      <c r="M174" s="559"/>
      <c r="N174" s="559"/>
      <c r="O174" s="559"/>
      <c r="P174" s="559"/>
      <c r="Q174" s="603"/>
      <c r="R174" s="559"/>
      <c r="S174" s="559"/>
      <c r="T174" s="559"/>
      <c r="U174" s="559"/>
      <c r="V174" s="559"/>
      <c r="W174" s="559"/>
      <c r="X174" s="559"/>
      <c r="Y174" s="559"/>
      <c r="Z174" s="559"/>
      <c r="AA174" s="559"/>
      <c r="AB174" s="559"/>
    </row>
    <row r="175" spans="1:28">
      <c r="A175" s="594"/>
      <c r="B175" s="559"/>
      <c r="C175" s="559"/>
      <c r="D175" s="559"/>
      <c r="E175" s="559"/>
      <c r="F175" s="559"/>
      <c r="G175" s="559"/>
      <c r="H175" s="559"/>
      <c r="I175" s="603"/>
      <c r="J175" s="603"/>
      <c r="K175" s="559"/>
      <c r="L175" s="559"/>
      <c r="M175" s="559"/>
      <c r="N175" s="559"/>
      <c r="O175" s="559"/>
      <c r="P175" s="559"/>
      <c r="Q175" s="603"/>
      <c r="R175" s="559"/>
      <c r="S175" s="559"/>
      <c r="T175" s="559"/>
      <c r="U175" s="559"/>
      <c r="V175" s="559"/>
      <c r="W175" s="559"/>
      <c r="X175" s="559"/>
      <c r="Y175" s="559"/>
      <c r="Z175" s="559"/>
      <c r="AA175" s="559"/>
      <c r="AB175" s="559"/>
    </row>
    <row r="176" spans="1:28">
      <c r="A176" s="594"/>
      <c r="B176" s="559"/>
      <c r="C176" s="559"/>
      <c r="D176" s="559"/>
      <c r="E176" s="559"/>
      <c r="F176" s="559"/>
      <c r="G176" s="559"/>
      <c r="H176" s="559"/>
      <c r="I176" s="603"/>
      <c r="J176" s="603"/>
      <c r="K176" s="559"/>
      <c r="L176" s="559"/>
      <c r="M176" s="559"/>
      <c r="N176" s="559"/>
      <c r="O176" s="559"/>
      <c r="P176" s="559"/>
      <c r="Q176" s="603"/>
      <c r="R176" s="559"/>
      <c r="S176" s="559"/>
      <c r="T176" s="559"/>
      <c r="U176" s="559"/>
      <c r="V176" s="559"/>
      <c r="W176" s="559"/>
      <c r="X176" s="559"/>
      <c r="Y176" s="559"/>
      <c r="Z176" s="559"/>
      <c r="AA176" s="559"/>
      <c r="AB176" s="559"/>
    </row>
    <row r="177" spans="1:28">
      <c r="A177" s="594"/>
      <c r="B177" s="559"/>
      <c r="C177" s="559"/>
      <c r="D177" s="559"/>
      <c r="E177" s="559"/>
      <c r="F177" s="559"/>
      <c r="G177" s="559"/>
      <c r="H177" s="559"/>
      <c r="I177" s="603"/>
      <c r="J177" s="603"/>
      <c r="K177" s="559"/>
      <c r="L177" s="559"/>
      <c r="M177" s="559"/>
      <c r="N177" s="559"/>
      <c r="O177" s="559"/>
      <c r="P177" s="559"/>
      <c r="Q177" s="603"/>
      <c r="R177" s="559"/>
      <c r="S177" s="559"/>
      <c r="T177" s="559"/>
      <c r="U177" s="559"/>
      <c r="V177" s="559"/>
      <c r="W177" s="559"/>
      <c r="X177" s="559"/>
      <c r="Y177" s="559"/>
      <c r="Z177" s="559"/>
      <c r="AA177" s="559"/>
      <c r="AB177" s="559"/>
    </row>
    <row r="178" spans="1:28">
      <c r="A178" s="594"/>
      <c r="B178" s="559"/>
      <c r="C178" s="559"/>
      <c r="D178" s="559"/>
      <c r="E178" s="559"/>
      <c r="F178" s="559"/>
      <c r="G178" s="559"/>
      <c r="H178" s="559"/>
      <c r="I178" s="603"/>
      <c r="J178" s="603"/>
      <c r="K178" s="559"/>
      <c r="L178" s="559"/>
      <c r="M178" s="559"/>
      <c r="N178" s="559"/>
      <c r="O178" s="559"/>
      <c r="P178" s="559"/>
      <c r="Q178" s="603"/>
      <c r="R178" s="559"/>
      <c r="S178" s="559"/>
      <c r="T178" s="559"/>
      <c r="U178" s="559"/>
      <c r="V178" s="559"/>
      <c r="W178" s="559"/>
      <c r="X178" s="559"/>
      <c r="Y178" s="559"/>
      <c r="Z178" s="559"/>
      <c r="AA178" s="559"/>
      <c r="AB178" s="559"/>
    </row>
    <row r="179" spans="1:28">
      <c r="A179" s="594"/>
      <c r="B179" s="559"/>
      <c r="C179" s="559"/>
      <c r="D179" s="559"/>
      <c r="E179" s="559"/>
      <c r="F179" s="559"/>
      <c r="G179" s="559"/>
      <c r="H179" s="559"/>
      <c r="I179" s="603"/>
      <c r="J179" s="603"/>
      <c r="K179" s="559"/>
      <c r="L179" s="559"/>
      <c r="M179" s="559"/>
      <c r="N179" s="559"/>
      <c r="O179" s="559"/>
      <c r="P179" s="559"/>
      <c r="Q179" s="603"/>
      <c r="R179" s="559"/>
      <c r="S179" s="559"/>
      <c r="T179" s="559"/>
      <c r="U179" s="559"/>
      <c r="V179" s="559"/>
      <c r="W179" s="559"/>
      <c r="X179" s="559"/>
      <c r="Y179" s="559"/>
      <c r="Z179" s="559"/>
      <c r="AA179" s="559"/>
      <c r="AB179" s="559"/>
    </row>
    <row r="180" spans="1:28">
      <c r="A180" s="594"/>
      <c r="B180" s="559"/>
      <c r="C180" s="559"/>
      <c r="D180" s="559"/>
      <c r="E180" s="559"/>
      <c r="F180" s="559"/>
      <c r="G180" s="559"/>
      <c r="H180" s="559"/>
      <c r="I180" s="603"/>
      <c r="J180" s="603"/>
      <c r="K180" s="559"/>
      <c r="L180" s="559"/>
      <c r="M180" s="559"/>
      <c r="N180" s="559"/>
      <c r="O180" s="559"/>
      <c r="P180" s="559"/>
      <c r="Q180" s="603"/>
      <c r="R180" s="559"/>
      <c r="S180" s="559"/>
      <c r="T180" s="559"/>
      <c r="U180" s="559"/>
      <c r="V180" s="559"/>
      <c r="W180" s="559"/>
      <c r="X180" s="559"/>
      <c r="Y180" s="559"/>
      <c r="Z180" s="559"/>
      <c r="AA180" s="559"/>
      <c r="AB180" s="559"/>
    </row>
    <row r="181" spans="1:28">
      <c r="A181" s="594"/>
      <c r="B181" s="559"/>
      <c r="C181" s="559"/>
      <c r="D181" s="559"/>
      <c r="E181" s="559"/>
      <c r="F181" s="559"/>
      <c r="G181" s="559"/>
      <c r="H181" s="559"/>
      <c r="I181" s="603"/>
      <c r="J181" s="603"/>
      <c r="K181" s="559"/>
      <c r="L181" s="559"/>
      <c r="M181" s="559"/>
      <c r="N181" s="559"/>
      <c r="O181" s="559"/>
      <c r="P181" s="559"/>
      <c r="Q181" s="603"/>
      <c r="R181" s="559"/>
      <c r="S181" s="559"/>
      <c r="T181" s="559"/>
      <c r="U181" s="559"/>
      <c r="V181" s="559"/>
      <c r="W181" s="559"/>
      <c r="X181" s="559"/>
      <c r="Y181" s="559"/>
      <c r="Z181" s="559"/>
      <c r="AA181" s="559"/>
      <c r="AB181" s="559"/>
    </row>
    <row r="182" spans="1:28">
      <c r="A182" s="594"/>
      <c r="B182" s="559"/>
      <c r="C182" s="559"/>
      <c r="D182" s="559"/>
      <c r="E182" s="559"/>
      <c r="F182" s="559"/>
      <c r="G182" s="559"/>
      <c r="H182" s="559"/>
      <c r="I182" s="603"/>
      <c r="J182" s="603"/>
      <c r="K182" s="559"/>
      <c r="L182" s="559"/>
      <c r="M182" s="559"/>
      <c r="N182" s="559"/>
      <c r="O182" s="559"/>
      <c r="P182" s="559"/>
      <c r="Q182" s="603"/>
      <c r="R182" s="559"/>
      <c r="S182" s="559"/>
      <c r="T182" s="559"/>
      <c r="U182" s="559"/>
      <c r="V182" s="559"/>
      <c r="W182" s="559"/>
      <c r="X182" s="559"/>
      <c r="Y182" s="559"/>
      <c r="Z182" s="559"/>
      <c r="AA182" s="559"/>
      <c r="AB182" s="559"/>
    </row>
    <row r="183" spans="1:28">
      <c r="A183" s="594"/>
      <c r="B183" s="559"/>
      <c r="C183" s="559"/>
      <c r="D183" s="559"/>
      <c r="E183" s="559"/>
      <c r="F183" s="559"/>
      <c r="G183" s="559"/>
      <c r="H183" s="559"/>
      <c r="I183" s="603"/>
      <c r="J183" s="603"/>
      <c r="K183" s="559"/>
      <c r="L183" s="559"/>
      <c r="M183" s="559"/>
      <c r="N183" s="559"/>
      <c r="O183" s="559"/>
      <c r="P183" s="559"/>
      <c r="Q183" s="603"/>
      <c r="R183" s="559"/>
      <c r="S183" s="559"/>
      <c r="T183" s="559"/>
      <c r="U183" s="559"/>
      <c r="V183" s="559"/>
      <c r="W183" s="559"/>
      <c r="X183" s="559"/>
      <c r="Y183" s="559"/>
      <c r="Z183" s="559"/>
      <c r="AA183" s="559"/>
      <c r="AB183" s="559"/>
    </row>
    <row r="184" spans="1:28">
      <c r="A184" s="594"/>
      <c r="B184" s="559"/>
      <c r="C184" s="559"/>
      <c r="D184" s="559"/>
      <c r="E184" s="559"/>
      <c r="F184" s="559"/>
      <c r="G184" s="559"/>
      <c r="H184" s="559"/>
      <c r="I184" s="603"/>
      <c r="J184" s="603"/>
      <c r="K184" s="559"/>
      <c r="L184" s="559"/>
      <c r="M184" s="559"/>
      <c r="N184" s="559"/>
      <c r="O184" s="559"/>
      <c r="P184" s="559"/>
      <c r="Q184" s="603"/>
      <c r="R184" s="559"/>
      <c r="S184" s="559"/>
      <c r="T184" s="559"/>
      <c r="U184" s="559"/>
      <c r="V184" s="559"/>
      <c r="W184" s="559"/>
      <c r="X184" s="559"/>
      <c r="Y184" s="559"/>
      <c r="Z184" s="559"/>
      <c r="AA184" s="559"/>
      <c r="AB184" s="559"/>
    </row>
    <row r="185" spans="1:28">
      <c r="A185" s="594"/>
      <c r="B185" s="559"/>
      <c r="C185" s="559"/>
      <c r="D185" s="559"/>
      <c r="E185" s="559"/>
      <c r="F185" s="559"/>
      <c r="G185" s="559"/>
      <c r="H185" s="559"/>
      <c r="I185" s="603"/>
      <c r="J185" s="603"/>
      <c r="K185" s="559"/>
      <c r="L185" s="559"/>
      <c r="M185" s="559"/>
      <c r="N185" s="559"/>
      <c r="O185" s="559"/>
      <c r="P185" s="559"/>
      <c r="Q185" s="603"/>
      <c r="R185" s="559"/>
      <c r="S185" s="559"/>
      <c r="T185" s="559"/>
      <c r="U185" s="559"/>
      <c r="V185" s="559"/>
      <c r="W185" s="559"/>
      <c r="X185" s="559"/>
      <c r="Y185" s="559"/>
      <c r="Z185" s="559"/>
      <c r="AA185" s="559"/>
      <c r="AB185" s="559"/>
    </row>
    <row r="186" spans="1:28">
      <c r="A186" s="594"/>
      <c r="B186" s="559"/>
      <c r="C186" s="559"/>
      <c r="D186" s="559"/>
      <c r="E186" s="559"/>
      <c r="F186" s="559"/>
      <c r="G186" s="559"/>
      <c r="H186" s="559"/>
      <c r="I186" s="603"/>
      <c r="J186" s="603"/>
      <c r="K186" s="559"/>
      <c r="L186" s="559"/>
      <c r="M186" s="559"/>
      <c r="N186" s="559"/>
      <c r="O186" s="559"/>
      <c r="P186" s="559"/>
      <c r="Q186" s="603"/>
      <c r="R186" s="559"/>
      <c r="S186" s="559"/>
      <c r="T186" s="559"/>
      <c r="U186" s="559"/>
      <c r="V186" s="559"/>
      <c r="W186" s="559"/>
      <c r="X186" s="559"/>
      <c r="Y186" s="559"/>
      <c r="Z186" s="559"/>
      <c r="AA186" s="559"/>
      <c r="AB186" s="559"/>
    </row>
    <row r="187" spans="1:28">
      <c r="A187" s="594"/>
      <c r="B187" s="559"/>
      <c r="C187" s="559"/>
      <c r="D187" s="559"/>
      <c r="E187" s="559"/>
      <c r="F187" s="559"/>
      <c r="G187" s="559"/>
      <c r="H187" s="559"/>
      <c r="I187" s="603"/>
      <c r="J187" s="603"/>
      <c r="K187" s="559"/>
      <c r="L187" s="559"/>
      <c r="M187" s="559"/>
      <c r="N187" s="559"/>
      <c r="O187" s="559"/>
      <c r="P187" s="559"/>
      <c r="Q187" s="603"/>
      <c r="R187" s="559"/>
      <c r="S187" s="559"/>
      <c r="T187" s="559"/>
      <c r="U187" s="559"/>
      <c r="V187" s="559"/>
      <c r="W187" s="559"/>
      <c r="X187" s="559"/>
      <c r="Y187" s="559"/>
      <c r="Z187" s="559"/>
      <c r="AA187" s="559"/>
      <c r="AB187" s="559"/>
    </row>
    <row r="188" spans="1:28">
      <c r="A188" s="594"/>
      <c r="B188" s="559"/>
      <c r="C188" s="559"/>
      <c r="D188" s="559"/>
      <c r="E188" s="559"/>
      <c r="F188" s="559"/>
      <c r="G188" s="559"/>
      <c r="H188" s="559"/>
      <c r="I188" s="603"/>
      <c r="J188" s="603"/>
      <c r="K188" s="559"/>
      <c r="L188" s="559"/>
      <c r="M188" s="559"/>
      <c r="N188" s="559"/>
      <c r="O188" s="559"/>
      <c r="P188" s="559"/>
      <c r="Q188" s="603"/>
      <c r="R188" s="559"/>
      <c r="S188" s="559"/>
      <c r="T188" s="559"/>
      <c r="U188" s="559"/>
      <c r="V188" s="559"/>
      <c r="W188" s="559"/>
      <c r="X188" s="559"/>
      <c r="Y188" s="559"/>
      <c r="Z188" s="559"/>
      <c r="AA188" s="559"/>
      <c r="AB188" s="559"/>
    </row>
    <row r="189" spans="1:28">
      <c r="A189" s="594"/>
      <c r="B189" s="559"/>
      <c r="C189" s="559"/>
      <c r="D189" s="559"/>
      <c r="E189" s="559"/>
      <c r="F189" s="559"/>
      <c r="G189" s="559"/>
      <c r="H189" s="559"/>
      <c r="I189" s="603"/>
      <c r="J189" s="603"/>
      <c r="K189" s="559"/>
      <c r="L189" s="559"/>
      <c r="M189" s="559"/>
      <c r="N189" s="559"/>
      <c r="O189" s="559"/>
      <c r="P189" s="559"/>
      <c r="Q189" s="603"/>
      <c r="R189" s="559"/>
      <c r="S189" s="559"/>
      <c r="T189" s="559"/>
      <c r="U189" s="559"/>
      <c r="V189" s="559"/>
      <c r="W189" s="559"/>
      <c r="X189" s="559"/>
      <c r="Y189" s="559"/>
      <c r="Z189" s="559"/>
      <c r="AA189" s="559"/>
      <c r="AB189" s="559"/>
    </row>
    <row r="190" spans="1:28">
      <c r="A190" s="594"/>
      <c r="B190" s="559"/>
      <c r="C190" s="559"/>
      <c r="D190" s="559"/>
      <c r="E190" s="559"/>
      <c r="F190" s="559"/>
      <c r="G190" s="559"/>
      <c r="H190" s="559"/>
      <c r="I190" s="603"/>
      <c r="J190" s="603"/>
      <c r="K190" s="559"/>
      <c r="L190" s="559"/>
      <c r="M190" s="559"/>
      <c r="N190" s="559"/>
      <c r="O190" s="559"/>
      <c r="P190" s="559"/>
      <c r="Q190" s="603"/>
      <c r="R190" s="559"/>
      <c r="S190" s="559"/>
      <c r="T190" s="559"/>
      <c r="U190" s="559"/>
      <c r="V190" s="559"/>
      <c r="W190" s="559"/>
      <c r="X190" s="559"/>
      <c r="Y190" s="559"/>
      <c r="Z190" s="559"/>
      <c r="AA190" s="559"/>
      <c r="AB190" s="559"/>
    </row>
    <row r="191" spans="1:28">
      <c r="A191" s="594"/>
      <c r="B191" s="559"/>
      <c r="C191" s="559"/>
      <c r="D191" s="559"/>
      <c r="E191" s="559"/>
      <c r="F191" s="559"/>
      <c r="G191" s="559"/>
      <c r="H191" s="559"/>
      <c r="I191" s="603"/>
      <c r="J191" s="603"/>
      <c r="K191" s="559"/>
      <c r="L191" s="559"/>
      <c r="M191" s="559"/>
      <c r="N191" s="559"/>
      <c r="O191" s="559"/>
      <c r="P191" s="559"/>
      <c r="Q191" s="603"/>
      <c r="R191" s="559"/>
      <c r="S191" s="559"/>
      <c r="T191" s="559"/>
      <c r="U191" s="559"/>
      <c r="V191" s="559"/>
      <c r="W191" s="559"/>
      <c r="X191" s="559"/>
      <c r="Y191" s="559"/>
      <c r="Z191" s="559"/>
      <c r="AA191" s="559"/>
      <c r="AB191" s="559"/>
    </row>
    <row r="192" spans="1:28">
      <c r="A192" s="594"/>
      <c r="B192" s="559"/>
      <c r="C192" s="559"/>
      <c r="D192" s="559"/>
      <c r="E192" s="559"/>
      <c r="F192" s="559"/>
      <c r="G192" s="559"/>
      <c r="H192" s="559"/>
      <c r="I192" s="603"/>
      <c r="J192" s="603"/>
      <c r="K192" s="559"/>
      <c r="L192" s="559"/>
      <c r="M192" s="559"/>
      <c r="N192" s="559"/>
      <c r="O192" s="559"/>
      <c r="P192" s="559"/>
      <c r="Q192" s="603"/>
      <c r="R192" s="559"/>
      <c r="S192" s="559"/>
      <c r="T192" s="559"/>
      <c r="U192" s="559"/>
      <c r="V192" s="559"/>
      <c r="W192" s="559"/>
      <c r="X192" s="559"/>
      <c r="Y192" s="559"/>
      <c r="Z192" s="559"/>
      <c r="AA192" s="559"/>
      <c r="AB192" s="559"/>
    </row>
    <row r="193" spans="1:28">
      <c r="A193" s="594"/>
      <c r="B193" s="559"/>
      <c r="C193" s="559"/>
      <c r="D193" s="559"/>
      <c r="E193" s="559"/>
      <c r="F193" s="559"/>
      <c r="G193" s="559"/>
      <c r="H193" s="559"/>
      <c r="I193" s="603"/>
      <c r="J193" s="603"/>
      <c r="K193" s="559"/>
      <c r="L193" s="559"/>
      <c r="M193" s="559"/>
      <c r="N193" s="559"/>
      <c r="O193" s="559"/>
      <c r="P193" s="559"/>
      <c r="Q193" s="603"/>
      <c r="R193" s="559"/>
      <c r="S193" s="559"/>
      <c r="T193" s="559"/>
      <c r="U193" s="559"/>
      <c r="V193" s="559"/>
      <c r="W193" s="559"/>
      <c r="X193" s="559"/>
      <c r="Y193" s="559"/>
      <c r="Z193" s="559"/>
      <c r="AA193" s="559"/>
      <c r="AB193" s="559"/>
    </row>
    <row r="194" spans="1:28">
      <c r="A194" s="594"/>
      <c r="B194" s="559"/>
      <c r="C194" s="559"/>
      <c r="D194" s="559"/>
      <c r="E194" s="559"/>
      <c r="F194" s="559"/>
      <c r="G194" s="559"/>
      <c r="H194" s="559"/>
      <c r="I194" s="603"/>
      <c r="J194" s="603"/>
      <c r="K194" s="559"/>
      <c r="L194" s="559"/>
      <c r="M194" s="559"/>
      <c r="N194" s="559"/>
      <c r="O194" s="559"/>
      <c r="P194" s="559"/>
      <c r="Q194" s="603"/>
      <c r="R194" s="559"/>
      <c r="S194" s="559"/>
      <c r="T194" s="559"/>
      <c r="U194" s="559"/>
      <c r="V194" s="559"/>
      <c r="W194" s="559"/>
      <c r="X194" s="559"/>
      <c r="Y194" s="559"/>
      <c r="Z194" s="559"/>
      <c r="AA194" s="559"/>
      <c r="AB194" s="559"/>
    </row>
    <row r="195" spans="1:28">
      <c r="A195" s="594"/>
      <c r="B195" s="559"/>
      <c r="C195" s="559"/>
      <c r="D195" s="559"/>
      <c r="E195" s="559"/>
      <c r="F195" s="559"/>
      <c r="G195" s="559"/>
      <c r="H195" s="559"/>
      <c r="I195" s="603"/>
      <c r="J195" s="603"/>
      <c r="K195" s="559"/>
      <c r="L195" s="559"/>
      <c r="M195" s="559"/>
      <c r="N195" s="559"/>
      <c r="O195" s="559"/>
      <c r="P195" s="559"/>
      <c r="Q195" s="603"/>
      <c r="R195" s="559"/>
      <c r="S195" s="559"/>
      <c r="T195" s="559"/>
      <c r="U195" s="559"/>
      <c r="V195" s="559"/>
      <c r="W195" s="559"/>
      <c r="X195" s="559"/>
      <c r="Y195" s="559"/>
      <c r="Z195" s="559"/>
      <c r="AA195" s="559"/>
      <c r="AB195" s="559"/>
    </row>
    <row r="196" spans="1:28">
      <c r="A196" s="594"/>
      <c r="B196" s="559"/>
      <c r="C196" s="559"/>
      <c r="D196" s="559"/>
      <c r="E196" s="559"/>
      <c r="F196" s="559"/>
      <c r="G196" s="559"/>
      <c r="H196" s="559"/>
      <c r="I196" s="603"/>
      <c r="J196" s="603"/>
      <c r="K196" s="559"/>
      <c r="L196" s="559"/>
      <c r="M196" s="559"/>
      <c r="N196" s="559"/>
      <c r="O196" s="559"/>
      <c r="P196" s="559"/>
      <c r="Q196" s="603"/>
      <c r="R196" s="559"/>
      <c r="S196" s="559"/>
      <c r="T196" s="559"/>
      <c r="U196" s="559"/>
      <c r="V196" s="559"/>
      <c r="W196" s="559"/>
      <c r="X196" s="559"/>
      <c r="Y196" s="559"/>
      <c r="Z196" s="559"/>
      <c r="AA196" s="559"/>
      <c r="AB196" s="559"/>
    </row>
    <row r="197" spans="1:28">
      <c r="A197" s="594"/>
      <c r="B197" s="559"/>
      <c r="C197" s="559"/>
      <c r="D197" s="559"/>
      <c r="E197" s="559"/>
      <c r="F197" s="559"/>
      <c r="G197" s="559"/>
      <c r="H197" s="559"/>
      <c r="I197" s="603"/>
      <c r="J197" s="603"/>
      <c r="K197" s="559"/>
      <c r="L197" s="559"/>
      <c r="M197" s="559"/>
      <c r="N197" s="559"/>
      <c r="O197" s="559"/>
      <c r="P197" s="559"/>
      <c r="Q197" s="603"/>
      <c r="R197" s="559"/>
      <c r="S197" s="559"/>
      <c r="T197" s="559"/>
      <c r="U197" s="559"/>
      <c r="V197" s="559"/>
      <c r="W197" s="559"/>
      <c r="X197" s="559"/>
      <c r="Y197" s="559"/>
      <c r="Z197" s="559"/>
      <c r="AA197" s="559"/>
      <c r="AB197" s="559"/>
    </row>
    <row r="198" spans="1:28">
      <c r="A198" s="594"/>
      <c r="B198" s="559"/>
      <c r="C198" s="559"/>
      <c r="D198" s="559"/>
      <c r="E198" s="559"/>
      <c r="F198" s="559"/>
      <c r="G198" s="559"/>
      <c r="H198" s="559"/>
      <c r="I198" s="603"/>
      <c r="J198" s="603"/>
      <c r="K198" s="559"/>
      <c r="L198" s="559"/>
      <c r="M198" s="559"/>
      <c r="N198" s="559"/>
      <c r="O198" s="559"/>
      <c r="P198" s="559"/>
      <c r="Q198" s="603"/>
      <c r="R198" s="559"/>
      <c r="S198" s="559"/>
      <c r="T198" s="559"/>
      <c r="U198" s="559"/>
      <c r="V198" s="559"/>
      <c r="W198" s="559"/>
      <c r="X198" s="559"/>
      <c r="Y198" s="559"/>
      <c r="Z198" s="559"/>
      <c r="AA198" s="559"/>
      <c r="AB198" s="559"/>
    </row>
    <row r="199" spans="1:28">
      <c r="A199" s="594"/>
      <c r="B199" s="559"/>
      <c r="C199" s="559"/>
      <c r="D199" s="559"/>
      <c r="E199" s="559"/>
      <c r="F199" s="559"/>
      <c r="G199" s="559"/>
      <c r="H199" s="559"/>
      <c r="I199" s="603"/>
      <c r="J199" s="603"/>
      <c r="K199" s="559"/>
      <c r="L199" s="559"/>
      <c r="M199" s="559"/>
      <c r="N199" s="559"/>
      <c r="O199" s="559"/>
      <c r="P199" s="559"/>
      <c r="Q199" s="603"/>
      <c r="R199" s="559"/>
      <c r="S199" s="559"/>
      <c r="T199" s="559"/>
      <c r="U199" s="559"/>
      <c r="V199" s="559"/>
      <c r="W199" s="559"/>
      <c r="X199" s="559"/>
      <c r="Y199" s="559"/>
      <c r="Z199" s="559"/>
      <c r="AA199" s="559"/>
      <c r="AB199" s="559"/>
    </row>
    <row r="200" spans="1:28">
      <c r="A200" s="594"/>
      <c r="B200" s="559"/>
      <c r="C200" s="559"/>
      <c r="D200" s="559"/>
      <c r="E200" s="559"/>
      <c r="F200" s="559"/>
      <c r="G200" s="559"/>
      <c r="H200" s="559"/>
      <c r="I200" s="603"/>
      <c r="J200" s="603"/>
      <c r="K200" s="559"/>
      <c r="L200" s="559"/>
      <c r="M200" s="559"/>
      <c r="N200" s="559"/>
      <c r="O200" s="559"/>
      <c r="P200" s="559"/>
      <c r="Q200" s="603"/>
      <c r="R200" s="559"/>
      <c r="S200" s="559"/>
      <c r="T200" s="559"/>
      <c r="U200" s="559"/>
      <c r="V200" s="559"/>
      <c r="W200" s="559"/>
      <c r="X200" s="559"/>
      <c r="Y200" s="559"/>
      <c r="Z200" s="559"/>
      <c r="AA200" s="559"/>
      <c r="AB200" s="559"/>
    </row>
    <row r="201" spans="1:28">
      <c r="A201" s="594"/>
      <c r="B201" s="559"/>
      <c r="C201" s="559"/>
      <c r="D201" s="559"/>
      <c r="E201" s="559"/>
      <c r="F201" s="559"/>
      <c r="G201" s="559"/>
      <c r="H201" s="559"/>
      <c r="I201" s="603"/>
      <c r="J201" s="603"/>
      <c r="K201" s="559"/>
      <c r="L201" s="559"/>
      <c r="M201" s="559"/>
      <c r="N201" s="559"/>
      <c r="O201" s="559"/>
      <c r="P201" s="559"/>
      <c r="Q201" s="603"/>
      <c r="R201" s="559"/>
      <c r="S201" s="559"/>
      <c r="T201" s="559"/>
      <c r="U201" s="559"/>
      <c r="V201" s="559"/>
      <c r="W201" s="559"/>
      <c r="X201" s="559"/>
      <c r="Y201" s="559"/>
      <c r="Z201" s="559"/>
      <c r="AA201" s="559"/>
      <c r="AB201" s="559"/>
    </row>
    <row r="202" spans="1:28">
      <c r="A202" s="594"/>
      <c r="B202" s="559"/>
      <c r="C202" s="559"/>
      <c r="D202" s="559"/>
      <c r="E202" s="559"/>
      <c r="F202" s="559"/>
      <c r="G202" s="559"/>
      <c r="H202" s="559"/>
      <c r="I202" s="603"/>
      <c r="J202" s="603"/>
      <c r="K202" s="559"/>
      <c r="L202" s="559"/>
      <c r="M202" s="559"/>
      <c r="N202" s="559"/>
      <c r="O202" s="559"/>
      <c r="P202" s="559"/>
      <c r="Q202" s="603"/>
      <c r="R202" s="559"/>
      <c r="S202" s="559"/>
      <c r="T202" s="559"/>
      <c r="U202" s="559"/>
      <c r="V202" s="559"/>
      <c r="W202" s="559"/>
      <c r="X202" s="559"/>
      <c r="Y202" s="559"/>
      <c r="Z202" s="559"/>
      <c r="AA202" s="559"/>
      <c r="AB202" s="559"/>
    </row>
    <row r="203" spans="1:28">
      <c r="A203" s="594"/>
      <c r="B203" s="559"/>
      <c r="C203" s="559"/>
      <c r="D203" s="559"/>
      <c r="E203" s="559"/>
      <c r="F203" s="559"/>
      <c r="G203" s="559"/>
      <c r="H203" s="559"/>
      <c r="I203" s="603"/>
      <c r="J203" s="603"/>
      <c r="K203" s="559"/>
      <c r="L203" s="559"/>
      <c r="M203" s="559"/>
      <c r="N203" s="559"/>
      <c r="O203" s="559"/>
      <c r="P203" s="559"/>
      <c r="Q203" s="603"/>
      <c r="R203" s="559"/>
      <c r="S203" s="559"/>
      <c r="T203" s="559"/>
      <c r="U203" s="559"/>
      <c r="V203" s="559"/>
      <c r="W203" s="559"/>
      <c r="X203" s="559"/>
      <c r="Y203" s="559"/>
      <c r="Z203" s="559"/>
      <c r="AA203" s="559"/>
      <c r="AB203" s="559"/>
    </row>
    <row r="204" spans="1:28">
      <c r="A204" s="594"/>
      <c r="B204" s="559"/>
      <c r="C204" s="559"/>
      <c r="D204" s="559"/>
      <c r="E204" s="559"/>
      <c r="F204" s="559"/>
      <c r="G204" s="559"/>
      <c r="H204" s="559"/>
      <c r="I204" s="603"/>
      <c r="J204" s="603"/>
      <c r="K204" s="559"/>
      <c r="L204" s="559"/>
      <c r="M204" s="559"/>
      <c r="N204" s="559"/>
      <c r="O204" s="559"/>
      <c r="P204" s="559"/>
      <c r="Q204" s="603"/>
      <c r="R204" s="559"/>
      <c r="S204" s="559"/>
      <c r="T204" s="559"/>
      <c r="U204" s="559"/>
      <c r="V204" s="559"/>
      <c r="W204" s="559"/>
      <c r="X204" s="559"/>
      <c r="Y204" s="559"/>
      <c r="Z204" s="559"/>
      <c r="AA204" s="559"/>
      <c r="AB204" s="559"/>
    </row>
    <row r="205" spans="1:28">
      <c r="A205" s="594"/>
      <c r="B205" s="559"/>
      <c r="C205" s="559"/>
      <c r="D205" s="559"/>
      <c r="E205" s="559"/>
      <c r="F205" s="559"/>
      <c r="G205" s="559"/>
      <c r="H205" s="559"/>
      <c r="I205" s="603"/>
      <c r="J205" s="603"/>
      <c r="K205" s="559"/>
      <c r="L205" s="559"/>
      <c r="M205" s="559"/>
      <c r="N205" s="559"/>
      <c r="O205" s="559"/>
      <c r="P205" s="559"/>
      <c r="Q205" s="603"/>
      <c r="R205" s="559"/>
      <c r="S205" s="559"/>
      <c r="T205" s="559"/>
      <c r="U205" s="559"/>
      <c r="V205" s="559"/>
      <c r="W205" s="559"/>
      <c r="X205" s="559"/>
      <c r="Y205" s="559"/>
      <c r="Z205" s="559"/>
      <c r="AA205" s="559"/>
      <c r="AB205" s="559"/>
    </row>
    <row r="206" spans="1:28">
      <c r="A206" s="594"/>
      <c r="B206" s="559"/>
      <c r="C206" s="559"/>
      <c r="D206" s="559"/>
      <c r="E206" s="559"/>
      <c r="F206" s="559"/>
      <c r="G206" s="559"/>
      <c r="H206" s="559"/>
      <c r="I206" s="603"/>
      <c r="J206" s="603"/>
      <c r="K206" s="559"/>
      <c r="L206" s="559"/>
      <c r="M206" s="559"/>
      <c r="N206" s="559"/>
      <c r="O206" s="559"/>
      <c r="P206" s="559"/>
      <c r="Q206" s="603"/>
      <c r="R206" s="559"/>
      <c r="S206" s="559"/>
      <c r="T206" s="559"/>
      <c r="U206" s="559"/>
      <c r="V206" s="559"/>
      <c r="W206" s="559"/>
      <c r="X206" s="559"/>
      <c r="Y206" s="559"/>
      <c r="Z206" s="559"/>
      <c r="AA206" s="559"/>
      <c r="AB206" s="559"/>
    </row>
    <row r="207" spans="1:28">
      <c r="A207" s="594"/>
      <c r="B207" s="559"/>
      <c r="C207" s="559"/>
      <c r="D207" s="559"/>
      <c r="E207" s="559"/>
      <c r="F207" s="559"/>
      <c r="G207" s="559"/>
      <c r="H207" s="559"/>
      <c r="I207" s="603"/>
      <c r="J207" s="603"/>
      <c r="K207" s="559"/>
      <c r="L207" s="559"/>
      <c r="M207" s="559"/>
      <c r="N207" s="559"/>
      <c r="O207" s="559"/>
      <c r="P207" s="559"/>
      <c r="Q207" s="603"/>
      <c r="R207" s="559"/>
      <c r="S207" s="559"/>
      <c r="T207" s="559"/>
      <c r="U207" s="559"/>
      <c r="V207" s="559"/>
      <c r="W207" s="559"/>
      <c r="X207" s="559"/>
      <c r="Y207" s="559"/>
      <c r="Z207" s="559"/>
      <c r="AA207" s="559"/>
      <c r="AB207" s="559"/>
    </row>
    <row r="208" spans="1:28">
      <c r="A208" s="594"/>
      <c r="B208" s="559"/>
      <c r="C208" s="559"/>
      <c r="D208" s="559"/>
      <c r="E208" s="559"/>
      <c r="F208" s="559"/>
      <c r="G208" s="559"/>
      <c r="H208" s="559"/>
      <c r="I208" s="603"/>
      <c r="J208" s="603"/>
      <c r="K208" s="559"/>
      <c r="L208" s="559"/>
      <c r="M208" s="559"/>
      <c r="N208" s="559"/>
      <c r="O208" s="559"/>
      <c r="P208" s="559"/>
      <c r="Q208" s="603"/>
      <c r="R208" s="559"/>
      <c r="S208" s="559"/>
      <c r="T208" s="559"/>
      <c r="U208" s="559"/>
      <c r="V208" s="559"/>
      <c r="W208" s="559"/>
      <c r="X208" s="559"/>
      <c r="Y208" s="559"/>
      <c r="Z208" s="559"/>
      <c r="AA208" s="559"/>
      <c r="AB208" s="559"/>
    </row>
    <row r="209" spans="1:28">
      <c r="A209" s="594"/>
      <c r="B209" s="559"/>
      <c r="C209" s="559"/>
      <c r="D209" s="559"/>
      <c r="E209" s="559"/>
      <c r="F209" s="559"/>
      <c r="G209" s="559"/>
      <c r="H209" s="559"/>
      <c r="I209" s="603"/>
      <c r="J209" s="603"/>
      <c r="K209" s="559"/>
      <c r="L209" s="559"/>
      <c r="M209" s="559"/>
      <c r="N209" s="559"/>
      <c r="O209" s="559"/>
      <c r="P209" s="559"/>
      <c r="Q209" s="603"/>
      <c r="R209" s="559"/>
      <c r="S209" s="559"/>
      <c r="T209" s="559"/>
      <c r="U209" s="559"/>
      <c r="V209" s="559"/>
      <c r="W209" s="559"/>
      <c r="X209" s="559"/>
      <c r="Y209" s="559"/>
      <c r="Z209" s="559"/>
      <c r="AA209" s="559"/>
      <c r="AB209" s="559"/>
    </row>
    <row r="210" spans="1:28">
      <c r="A210" s="594"/>
      <c r="B210" s="559"/>
      <c r="C210" s="559"/>
      <c r="D210" s="559"/>
      <c r="E210" s="559"/>
      <c r="F210" s="559"/>
      <c r="G210" s="559"/>
      <c r="H210" s="559"/>
      <c r="I210" s="603"/>
      <c r="J210" s="603"/>
      <c r="K210" s="559"/>
      <c r="L210" s="559"/>
      <c r="M210" s="559"/>
      <c r="N210" s="559"/>
      <c r="O210" s="559"/>
      <c r="P210" s="559"/>
      <c r="Q210" s="603"/>
      <c r="R210" s="559"/>
      <c r="S210" s="559"/>
      <c r="T210" s="559"/>
      <c r="U210" s="559"/>
      <c r="V210" s="559"/>
      <c r="W210" s="559"/>
      <c r="X210" s="559"/>
      <c r="Y210" s="559"/>
      <c r="Z210" s="559"/>
      <c r="AA210" s="559"/>
      <c r="AB210" s="559"/>
    </row>
    <row r="211" spans="1:28">
      <c r="A211" s="594"/>
      <c r="B211" s="559"/>
      <c r="C211" s="559"/>
      <c r="D211" s="559"/>
      <c r="E211" s="559"/>
      <c r="F211" s="559"/>
      <c r="G211" s="559"/>
      <c r="H211" s="559"/>
      <c r="I211" s="603"/>
      <c r="J211" s="603"/>
      <c r="K211" s="559"/>
      <c r="L211" s="559"/>
      <c r="M211" s="559"/>
      <c r="N211" s="559"/>
      <c r="O211" s="559"/>
      <c r="P211" s="559"/>
      <c r="Q211" s="603"/>
      <c r="R211" s="559"/>
      <c r="S211" s="559"/>
      <c r="T211" s="559"/>
      <c r="U211" s="559"/>
      <c r="V211" s="559"/>
      <c r="W211" s="559"/>
      <c r="X211" s="559"/>
      <c r="Y211" s="559"/>
      <c r="Z211" s="559"/>
      <c r="AA211" s="559"/>
      <c r="AB211" s="559"/>
    </row>
    <row r="212" spans="1:28">
      <c r="A212" s="594"/>
      <c r="B212" s="559"/>
      <c r="C212" s="559"/>
      <c r="D212" s="559"/>
      <c r="E212" s="559"/>
      <c r="F212" s="559"/>
      <c r="G212" s="559"/>
      <c r="H212" s="559"/>
      <c r="I212" s="603"/>
      <c r="J212" s="603"/>
      <c r="K212" s="559"/>
      <c r="L212" s="559"/>
      <c r="M212" s="559"/>
      <c r="N212" s="559"/>
      <c r="O212" s="559"/>
      <c r="P212" s="559"/>
      <c r="Q212" s="603"/>
      <c r="R212" s="559"/>
      <c r="S212" s="559"/>
      <c r="T212" s="559"/>
      <c r="U212" s="559"/>
      <c r="V212" s="559"/>
      <c r="W212" s="559"/>
      <c r="X212" s="559"/>
      <c r="Y212" s="559"/>
      <c r="Z212" s="559"/>
      <c r="AA212" s="559"/>
      <c r="AB212" s="559"/>
    </row>
    <row r="213" spans="1:28">
      <c r="A213" s="594"/>
      <c r="B213" s="559"/>
      <c r="C213" s="559"/>
      <c r="D213" s="559"/>
      <c r="E213" s="559"/>
      <c r="F213" s="559"/>
      <c r="G213" s="559"/>
      <c r="H213" s="559"/>
      <c r="I213" s="603"/>
      <c r="J213" s="603"/>
      <c r="K213" s="559"/>
      <c r="L213" s="559"/>
      <c r="M213" s="559"/>
      <c r="N213" s="559"/>
      <c r="O213" s="559"/>
      <c r="P213" s="559"/>
      <c r="Q213" s="603"/>
      <c r="R213" s="559"/>
      <c r="S213" s="559"/>
      <c r="T213" s="559"/>
      <c r="U213" s="559"/>
      <c r="V213" s="559"/>
      <c r="W213" s="559"/>
      <c r="X213" s="559"/>
      <c r="Y213" s="559"/>
      <c r="Z213" s="559"/>
      <c r="AA213" s="559"/>
      <c r="AB213" s="559"/>
    </row>
    <row r="214" spans="1:28">
      <c r="A214" s="594"/>
      <c r="B214" s="559"/>
      <c r="C214" s="559"/>
      <c r="D214" s="559"/>
      <c r="E214" s="559"/>
      <c r="F214" s="559"/>
      <c r="G214" s="559"/>
      <c r="H214" s="559"/>
      <c r="I214" s="603"/>
      <c r="J214" s="603"/>
      <c r="K214" s="559"/>
      <c r="L214" s="559"/>
      <c r="M214" s="559"/>
      <c r="N214" s="559"/>
      <c r="O214" s="559"/>
      <c r="P214" s="559"/>
      <c r="Q214" s="603"/>
      <c r="R214" s="559"/>
      <c r="S214" s="559"/>
      <c r="T214" s="559"/>
      <c r="U214" s="559"/>
      <c r="V214" s="559"/>
      <c r="W214" s="559"/>
      <c r="X214" s="559"/>
      <c r="Y214" s="559"/>
      <c r="Z214" s="559"/>
      <c r="AA214" s="559"/>
      <c r="AB214" s="559"/>
    </row>
    <row r="215" spans="1:28">
      <c r="A215" s="594"/>
      <c r="B215" s="559"/>
      <c r="C215" s="559"/>
      <c r="D215" s="559"/>
      <c r="E215" s="559"/>
      <c r="F215" s="559"/>
      <c r="G215" s="559"/>
      <c r="H215" s="559"/>
      <c r="I215" s="603"/>
      <c r="J215" s="603"/>
      <c r="K215" s="559"/>
      <c r="L215" s="559"/>
      <c r="M215" s="559"/>
      <c r="N215" s="559"/>
      <c r="O215" s="559"/>
      <c r="P215" s="559"/>
      <c r="Q215" s="603"/>
      <c r="R215" s="559"/>
      <c r="S215" s="559"/>
      <c r="T215" s="559"/>
      <c r="U215" s="559"/>
      <c r="V215" s="559"/>
      <c r="W215" s="559"/>
      <c r="X215" s="559"/>
      <c r="Y215" s="559"/>
      <c r="Z215" s="559"/>
      <c r="AA215" s="559"/>
      <c r="AB215" s="559"/>
    </row>
    <row r="216" spans="1:28">
      <c r="A216" s="594"/>
      <c r="B216" s="559"/>
      <c r="C216" s="559"/>
      <c r="D216" s="559"/>
      <c r="E216" s="559"/>
      <c r="F216" s="559"/>
      <c r="G216" s="559"/>
      <c r="H216" s="559"/>
      <c r="I216" s="603"/>
      <c r="J216" s="603"/>
      <c r="K216" s="559"/>
      <c r="L216" s="559"/>
      <c r="M216" s="559"/>
      <c r="N216" s="559"/>
      <c r="O216" s="559"/>
      <c r="P216" s="559"/>
      <c r="Q216" s="603"/>
      <c r="R216" s="559"/>
      <c r="S216" s="559"/>
      <c r="T216" s="559"/>
      <c r="U216" s="559"/>
      <c r="V216" s="559"/>
      <c r="W216" s="559"/>
      <c r="X216" s="559"/>
      <c r="Y216" s="559"/>
      <c r="Z216" s="559"/>
      <c r="AA216" s="559"/>
      <c r="AB216" s="559"/>
    </row>
    <row r="217" spans="1:28">
      <c r="A217" s="594"/>
      <c r="B217" s="559"/>
      <c r="C217" s="559"/>
      <c r="D217" s="559"/>
      <c r="E217" s="559"/>
      <c r="F217" s="559"/>
      <c r="G217" s="559"/>
      <c r="H217" s="559"/>
      <c r="I217" s="603"/>
      <c r="J217" s="603"/>
      <c r="K217" s="559"/>
      <c r="L217" s="559"/>
      <c r="M217" s="559"/>
      <c r="N217" s="559"/>
      <c r="O217" s="559"/>
      <c r="P217" s="559"/>
      <c r="Q217" s="603"/>
      <c r="R217" s="559"/>
      <c r="S217" s="559"/>
      <c r="T217" s="559"/>
      <c r="U217" s="559"/>
      <c r="V217" s="559"/>
      <c r="W217" s="559"/>
      <c r="X217" s="559"/>
      <c r="Y217" s="559"/>
      <c r="Z217" s="559"/>
      <c r="AA217" s="559"/>
      <c r="AB217" s="559"/>
    </row>
    <row r="218" spans="1:28">
      <c r="A218" s="594"/>
      <c r="B218" s="559"/>
      <c r="C218" s="559"/>
      <c r="D218" s="559"/>
      <c r="E218" s="559"/>
      <c r="F218" s="559"/>
      <c r="G218" s="559"/>
      <c r="H218" s="559"/>
      <c r="I218" s="603"/>
      <c r="J218" s="603"/>
      <c r="K218" s="559"/>
      <c r="L218" s="559"/>
      <c r="M218" s="559"/>
      <c r="N218" s="559"/>
      <c r="O218" s="559"/>
      <c r="P218" s="559"/>
      <c r="Q218" s="603"/>
      <c r="R218" s="559"/>
      <c r="S218" s="559"/>
      <c r="T218" s="559"/>
      <c r="U218" s="559"/>
      <c r="V218" s="559"/>
      <c r="W218" s="559"/>
      <c r="X218" s="559"/>
      <c r="Y218" s="559"/>
      <c r="Z218" s="559"/>
      <c r="AA218" s="559"/>
      <c r="AB218" s="559"/>
    </row>
    <row r="219" spans="1:28">
      <c r="A219" s="594"/>
      <c r="B219" s="559"/>
      <c r="C219" s="559"/>
      <c r="D219" s="559"/>
      <c r="E219" s="559"/>
      <c r="F219" s="559"/>
      <c r="G219" s="559"/>
      <c r="H219" s="559"/>
      <c r="I219" s="603"/>
      <c r="J219" s="603"/>
      <c r="K219" s="559"/>
      <c r="L219" s="559"/>
      <c r="M219" s="559"/>
      <c r="N219" s="559"/>
      <c r="O219" s="559"/>
      <c r="P219" s="559"/>
      <c r="Q219" s="603"/>
      <c r="R219" s="559"/>
      <c r="S219" s="559"/>
      <c r="T219" s="559"/>
      <c r="U219" s="559"/>
      <c r="V219" s="559"/>
      <c r="W219" s="559"/>
      <c r="X219" s="559"/>
      <c r="Y219" s="559"/>
      <c r="Z219" s="559"/>
      <c r="AA219" s="559"/>
      <c r="AB219" s="559"/>
    </row>
    <row r="220" spans="1:28">
      <c r="A220" s="594"/>
      <c r="B220" s="559"/>
      <c r="C220" s="559"/>
      <c r="D220" s="559"/>
      <c r="E220" s="559"/>
      <c r="F220" s="559"/>
      <c r="G220" s="559"/>
      <c r="H220" s="559"/>
      <c r="I220" s="603"/>
      <c r="J220" s="603"/>
      <c r="K220" s="559"/>
      <c r="L220" s="559"/>
      <c r="M220" s="559"/>
      <c r="N220" s="559"/>
      <c r="O220" s="559"/>
      <c r="P220" s="559"/>
      <c r="Q220" s="603"/>
      <c r="R220" s="559"/>
      <c r="S220" s="559"/>
      <c r="T220" s="559"/>
      <c r="U220" s="559"/>
      <c r="V220" s="559"/>
      <c r="W220" s="559"/>
      <c r="X220" s="559"/>
      <c r="Y220" s="559"/>
      <c r="Z220" s="559"/>
      <c r="AA220" s="559"/>
      <c r="AB220" s="559"/>
    </row>
    <row r="221" spans="1:28">
      <c r="A221" s="594"/>
      <c r="B221" s="559"/>
      <c r="C221" s="559"/>
      <c r="D221" s="559"/>
      <c r="E221" s="559"/>
      <c r="F221" s="559"/>
      <c r="G221" s="559"/>
      <c r="H221" s="559"/>
      <c r="I221" s="603"/>
      <c r="J221" s="603"/>
      <c r="K221" s="559"/>
      <c r="L221" s="559"/>
      <c r="M221" s="559"/>
      <c r="N221" s="559"/>
      <c r="O221" s="559"/>
      <c r="P221" s="559"/>
      <c r="Q221" s="603"/>
      <c r="R221" s="559"/>
      <c r="S221" s="559"/>
      <c r="T221" s="559"/>
      <c r="U221" s="559"/>
      <c r="V221" s="559"/>
      <c r="W221" s="559"/>
      <c r="X221" s="559"/>
      <c r="Y221" s="559"/>
      <c r="Z221" s="559"/>
      <c r="AA221" s="559"/>
      <c r="AB221" s="559"/>
    </row>
    <row r="222" spans="1:28">
      <c r="A222" s="594"/>
      <c r="B222" s="559"/>
      <c r="C222" s="559"/>
      <c r="D222" s="559"/>
      <c r="E222" s="559"/>
      <c r="F222" s="559"/>
      <c r="G222" s="559"/>
      <c r="H222" s="559"/>
      <c r="I222" s="603"/>
      <c r="J222" s="603"/>
      <c r="K222" s="559"/>
      <c r="L222" s="559"/>
      <c r="M222" s="559"/>
      <c r="N222" s="559"/>
      <c r="O222" s="559"/>
      <c r="P222" s="559"/>
      <c r="Q222" s="603"/>
      <c r="R222" s="559"/>
      <c r="S222" s="559"/>
      <c r="T222" s="559"/>
      <c r="U222" s="559"/>
      <c r="V222" s="559"/>
      <c r="W222" s="559"/>
      <c r="X222" s="559"/>
      <c r="Y222" s="559"/>
      <c r="Z222" s="559"/>
      <c r="AA222" s="559"/>
      <c r="AB222" s="559"/>
    </row>
    <row r="223" spans="1:28">
      <c r="A223" s="594"/>
      <c r="B223" s="559"/>
      <c r="C223" s="559"/>
      <c r="D223" s="559"/>
      <c r="E223" s="559"/>
      <c r="F223" s="559"/>
      <c r="G223" s="559"/>
      <c r="H223" s="559"/>
      <c r="I223" s="603"/>
      <c r="J223" s="603"/>
      <c r="K223" s="559"/>
      <c r="L223" s="559"/>
      <c r="M223" s="559"/>
      <c r="N223" s="559"/>
      <c r="O223" s="559"/>
      <c r="P223" s="559"/>
      <c r="Q223" s="603"/>
      <c r="R223" s="559"/>
      <c r="S223" s="559"/>
      <c r="T223" s="559"/>
      <c r="U223" s="559"/>
      <c r="V223" s="559"/>
      <c r="W223" s="559"/>
      <c r="X223" s="559"/>
      <c r="Y223" s="559"/>
      <c r="Z223" s="559"/>
      <c r="AA223" s="559"/>
      <c r="AB223" s="559"/>
    </row>
    <row r="224" spans="1:28">
      <c r="A224" s="594"/>
      <c r="B224" s="559"/>
      <c r="C224" s="559"/>
      <c r="D224" s="559"/>
      <c r="E224" s="559"/>
      <c r="F224" s="559"/>
      <c r="G224" s="559"/>
      <c r="H224" s="559"/>
      <c r="I224" s="603"/>
      <c r="J224" s="603"/>
      <c r="K224" s="559"/>
      <c r="L224" s="559"/>
      <c r="M224" s="559"/>
      <c r="N224" s="559"/>
      <c r="O224" s="559"/>
      <c r="P224" s="559"/>
      <c r="Q224" s="603"/>
      <c r="R224" s="559"/>
      <c r="S224" s="559"/>
      <c r="T224" s="559"/>
      <c r="U224" s="559"/>
      <c r="V224" s="559"/>
      <c r="W224" s="559"/>
      <c r="X224" s="559"/>
      <c r="Y224" s="559"/>
      <c r="Z224" s="559"/>
      <c r="AA224" s="559"/>
      <c r="AB224" s="559"/>
    </row>
    <row r="225" spans="1:28">
      <c r="A225" s="594"/>
      <c r="B225" s="559"/>
      <c r="C225" s="559"/>
      <c r="D225" s="559"/>
      <c r="E225" s="559"/>
      <c r="F225" s="559"/>
      <c r="G225" s="559"/>
      <c r="H225" s="559"/>
      <c r="I225" s="603"/>
      <c r="J225" s="603"/>
      <c r="K225" s="559"/>
      <c r="L225" s="559"/>
      <c r="M225" s="559"/>
      <c r="N225" s="559"/>
      <c r="O225" s="559"/>
      <c r="P225" s="559"/>
      <c r="Q225" s="603"/>
      <c r="R225" s="559"/>
      <c r="S225" s="559"/>
      <c r="T225" s="559"/>
      <c r="U225" s="559"/>
      <c r="V225" s="559"/>
      <c r="W225" s="559"/>
      <c r="X225" s="559"/>
      <c r="Y225" s="559"/>
      <c r="Z225" s="559"/>
      <c r="AA225" s="559"/>
      <c r="AB225" s="559"/>
    </row>
    <row r="226" spans="1:28">
      <c r="A226" s="594"/>
      <c r="B226" s="559"/>
      <c r="C226" s="559"/>
      <c r="D226" s="559"/>
      <c r="E226" s="559"/>
      <c r="F226" s="559"/>
      <c r="G226" s="559"/>
      <c r="H226" s="559"/>
      <c r="I226" s="603"/>
      <c r="J226" s="603"/>
      <c r="K226" s="559"/>
      <c r="L226" s="559"/>
      <c r="M226" s="559"/>
      <c r="N226" s="559"/>
      <c r="O226" s="559"/>
      <c r="P226" s="559"/>
      <c r="Q226" s="603"/>
      <c r="R226" s="559"/>
      <c r="S226" s="559"/>
      <c r="T226" s="559"/>
      <c r="U226" s="559"/>
      <c r="V226" s="559"/>
      <c r="W226" s="559"/>
      <c r="X226" s="559"/>
      <c r="Y226" s="559"/>
      <c r="Z226" s="559"/>
      <c r="AA226" s="559"/>
      <c r="AB226" s="559"/>
    </row>
    <row r="227" spans="1:28">
      <c r="A227" s="594"/>
      <c r="B227" s="559"/>
      <c r="C227" s="559"/>
      <c r="D227" s="559"/>
      <c r="E227" s="559"/>
      <c r="F227" s="559"/>
      <c r="G227" s="559"/>
      <c r="H227" s="559"/>
      <c r="I227" s="603"/>
      <c r="J227" s="603"/>
      <c r="K227" s="559"/>
      <c r="L227" s="559"/>
      <c r="M227" s="559"/>
      <c r="N227" s="559"/>
      <c r="O227" s="559"/>
      <c r="P227" s="559"/>
      <c r="Q227" s="603"/>
      <c r="R227" s="559"/>
      <c r="S227" s="559"/>
      <c r="T227" s="559"/>
      <c r="U227" s="559"/>
      <c r="V227" s="559"/>
      <c r="W227" s="559"/>
      <c r="X227" s="559"/>
      <c r="Y227" s="559"/>
      <c r="Z227" s="559"/>
      <c r="AA227" s="559"/>
      <c r="AB227" s="559"/>
    </row>
    <row r="228" spans="1:28">
      <c r="A228" s="594"/>
      <c r="B228" s="559"/>
      <c r="C228" s="559"/>
      <c r="D228" s="559"/>
      <c r="E228" s="559"/>
      <c r="F228" s="559"/>
      <c r="G228" s="559"/>
      <c r="H228" s="559"/>
      <c r="I228" s="603"/>
      <c r="J228" s="603"/>
      <c r="K228" s="559"/>
      <c r="L228" s="559"/>
      <c r="M228" s="559"/>
      <c r="N228" s="559"/>
      <c r="O228" s="559"/>
      <c r="P228" s="559"/>
      <c r="Q228" s="603"/>
      <c r="R228" s="559"/>
      <c r="S228" s="559"/>
      <c r="T228" s="559"/>
      <c r="U228" s="559"/>
      <c r="V228" s="559"/>
      <c r="W228" s="559"/>
      <c r="X228" s="559"/>
      <c r="Y228" s="559"/>
      <c r="Z228" s="559"/>
      <c r="AA228" s="559"/>
      <c r="AB228" s="559"/>
    </row>
    <row r="229" spans="1:28">
      <c r="A229" s="594"/>
      <c r="B229" s="559"/>
      <c r="C229" s="559"/>
      <c r="D229" s="559"/>
      <c r="E229" s="559"/>
      <c r="F229" s="559"/>
      <c r="G229" s="559"/>
      <c r="H229" s="559"/>
      <c r="I229" s="603"/>
      <c r="J229" s="603"/>
      <c r="K229" s="559"/>
      <c r="L229" s="559"/>
      <c r="M229" s="559"/>
      <c r="N229" s="559"/>
      <c r="O229" s="559"/>
      <c r="P229" s="559"/>
      <c r="Q229" s="603"/>
      <c r="R229" s="559"/>
      <c r="S229" s="559"/>
      <c r="T229" s="559"/>
      <c r="U229" s="559"/>
      <c r="V229" s="559"/>
      <c r="W229" s="559"/>
      <c r="X229" s="559"/>
      <c r="Y229" s="559"/>
      <c r="Z229" s="559"/>
      <c r="AA229" s="559"/>
      <c r="AB229" s="559"/>
    </row>
    <row r="230" spans="1:28">
      <c r="A230" s="594"/>
      <c r="B230" s="559"/>
      <c r="C230" s="559"/>
      <c r="D230" s="559"/>
      <c r="E230" s="559"/>
      <c r="F230" s="559"/>
      <c r="G230" s="559"/>
      <c r="H230" s="559"/>
      <c r="I230" s="603"/>
      <c r="J230" s="603"/>
      <c r="K230" s="559"/>
      <c r="L230" s="559"/>
      <c r="M230" s="559"/>
      <c r="N230" s="559"/>
      <c r="O230" s="559"/>
      <c r="P230" s="559"/>
      <c r="Q230" s="603"/>
      <c r="R230" s="559"/>
      <c r="S230" s="559"/>
      <c r="T230" s="559"/>
      <c r="U230" s="559"/>
      <c r="V230" s="559"/>
      <c r="W230" s="559"/>
      <c r="X230" s="559"/>
      <c r="Y230" s="559"/>
      <c r="Z230" s="559"/>
      <c r="AA230" s="559"/>
      <c r="AB230" s="559"/>
    </row>
    <row r="231" spans="1:28">
      <c r="A231" s="594"/>
      <c r="B231" s="559"/>
      <c r="C231" s="559"/>
      <c r="D231" s="559"/>
      <c r="E231" s="559"/>
      <c r="F231" s="559"/>
      <c r="G231" s="559"/>
      <c r="H231" s="559"/>
      <c r="I231" s="603"/>
      <c r="J231" s="603"/>
      <c r="K231" s="559"/>
      <c r="L231" s="559"/>
      <c r="M231" s="559"/>
      <c r="N231" s="559"/>
      <c r="O231" s="559"/>
      <c r="P231" s="559"/>
      <c r="Q231" s="603"/>
      <c r="R231" s="559"/>
      <c r="S231" s="559"/>
      <c r="T231" s="559"/>
      <c r="U231" s="559"/>
      <c r="V231" s="559"/>
      <c r="W231" s="559"/>
      <c r="X231" s="559"/>
      <c r="Y231" s="559"/>
      <c r="Z231" s="559"/>
      <c r="AA231" s="559"/>
      <c r="AB231" s="559"/>
    </row>
    <row r="232" spans="1:28">
      <c r="A232" s="594"/>
      <c r="B232" s="559"/>
      <c r="C232" s="559"/>
      <c r="D232" s="559"/>
      <c r="E232" s="559"/>
      <c r="F232" s="559"/>
      <c r="G232" s="559"/>
      <c r="H232" s="559"/>
      <c r="I232" s="603"/>
      <c r="J232" s="603"/>
      <c r="K232" s="559"/>
      <c r="L232" s="559"/>
      <c r="M232" s="559"/>
      <c r="N232" s="559"/>
      <c r="O232" s="559"/>
      <c r="P232" s="559"/>
      <c r="Q232" s="603"/>
      <c r="R232" s="559"/>
      <c r="S232" s="559"/>
      <c r="T232" s="559"/>
      <c r="U232" s="559"/>
      <c r="V232" s="559"/>
      <c r="W232" s="559"/>
      <c r="X232" s="559"/>
      <c r="Y232" s="559"/>
      <c r="Z232" s="559"/>
      <c r="AA232" s="559"/>
      <c r="AB232" s="559"/>
    </row>
    <row r="233" spans="1:28">
      <c r="A233" s="594"/>
      <c r="B233" s="559"/>
      <c r="C233" s="559"/>
      <c r="D233" s="559"/>
      <c r="E233" s="559"/>
      <c r="F233" s="559"/>
      <c r="G233" s="559"/>
      <c r="H233" s="559"/>
      <c r="I233" s="603"/>
      <c r="J233" s="603"/>
      <c r="K233" s="559"/>
      <c r="L233" s="559"/>
      <c r="M233" s="559"/>
      <c r="N233" s="559"/>
      <c r="O233" s="559"/>
      <c r="P233" s="559"/>
      <c r="Q233" s="603"/>
      <c r="R233" s="559"/>
      <c r="S233" s="559"/>
      <c r="T233" s="559"/>
      <c r="U233" s="559"/>
      <c r="V233" s="559"/>
      <c r="W233" s="559"/>
      <c r="X233" s="559"/>
      <c r="Y233" s="559"/>
      <c r="Z233" s="559"/>
      <c r="AA233" s="559"/>
      <c r="AB233" s="559"/>
    </row>
    <row r="234" spans="1:28">
      <c r="A234" s="594"/>
      <c r="B234" s="559"/>
      <c r="C234" s="559"/>
      <c r="D234" s="559"/>
      <c r="E234" s="559"/>
      <c r="F234" s="559"/>
      <c r="G234" s="559"/>
      <c r="H234" s="559"/>
      <c r="I234" s="603"/>
      <c r="J234" s="603"/>
      <c r="K234" s="559"/>
      <c r="L234" s="559"/>
      <c r="M234" s="559"/>
      <c r="N234" s="559"/>
      <c r="O234" s="559"/>
      <c r="P234" s="559"/>
      <c r="Q234" s="603"/>
      <c r="R234" s="559"/>
      <c r="S234" s="559"/>
      <c r="T234" s="559"/>
      <c r="U234" s="559"/>
      <c r="V234" s="559"/>
      <c r="W234" s="559"/>
      <c r="X234" s="559"/>
      <c r="Y234" s="559"/>
      <c r="Z234" s="559"/>
      <c r="AA234" s="559"/>
      <c r="AB234" s="559"/>
    </row>
    <row r="235" spans="1:28">
      <c r="A235" s="594"/>
      <c r="B235" s="559"/>
      <c r="C235" s="559"/>
      <c r="D235" s="559"/>
      <c r="E235" s="559"/>
      <c r="F235" s="559"/>
      <c r="G235" s="559"/>
      <c r="H235" s="559"/>
      <c r="I235" s="603"/>
      <c r="J235" s="603"/>
      <c r="K235" s="559"/>
      <c r="L235" s="559"/>
      <c r="M235" s="559"/>
      <c r="N235" s="559"/>
      <c r="O235" s="559"/>
      <c r="P235" s="559"/>
      <c r="Q235" s="603"/>
      <c r="R235" s="559"/>
      <c r="S235" s="559"/>
      <c r="T235" s="559"/>
      <c r="U235" s="559"/>
      <c r="V235" s="559"/>
      <c r="W235" s="559"/>
      <c r="X235" s="559"/>
      <c r="Y235" s="559"/>
      <c r="Z235" s="559"/>
      <c r="AA235" s="559"/>
      <c r="AB235" s="559"/>
    </row>
    <row r="236" spans="1:28">
      <c r="A236" s="594"/>
      <c r="B236" s="559"/>
      <c r="C236" s="559"/>
      <c r="D236" s="559"/>
      <c r="E236" s="559"/>
      <c r="F236" s="559"/>
      <c r="G236" s="559"/>
      <c r="H236" s="559"/>
      <c r="I236" s="603"/>
      <c r="J236" s="603"/>
      <c r="K236" s="559"/>
      <c r="L236" s="559"/>
      <c r="M236" s="559"/>
      <c r="N236" s="559"/>
      <c r="O236" s="559"/>
      <c r="P236" s="559"/>
      <c r="Q236" s="603"/>
      <c r="R236" s="559"/>
      <c r="S236" s="559"/>
      <c r="T236" s="559"/>
      <c r="U236" s="559"/>
      <c r="V236" s="559"/>
      <c r="W236" s="559"/>
      <c r="X236" s="559"/>
      <c r="Y236" s="559"/>
      <c r="Z236" s="559"/>
      <c r="AA236" s="559"/>
      <c r="AB236" s="559"/>
    </row>
    <row r="237" spans="1:28">
      <c r="A237" s="594"/>
      <c r="B237" s="559"/>
      <c r="C237" s="559"/>
      <c r="D237" s="559"/>
      <c r="E237" s="559"/>
      <c r="F237" s="559"/>
      <c r="G237" s="559"/>
      <c r="H237" s="559"/>
      <c r="I237" s="603"/>
      <c r="J237" s="603"/>
      <c r="K237" s="559"/>
      <c r="L237" s="559"/>
      <c r="M237" s="559"/>
      <c r="N237" s="559"/>
      <c r="O237" s="559"/>
      <c r="P237" s="559"/>
      <c r="Q237" s="603"/>
      <c r="R237" s="559"/>
      <c r="S237" s="559"/>
      <c r="T237" s="559"/>
      <c r="U237" s="559"/>
      <c r="V237" s="559"/>
      <c r="W237" s="559"/>
      <c r="X237" s="559"/>
      <c r="Y237" s="559"/>
      <c r="Z237" s="559"/>
      <c r="AA237" s="559"/>
      <c r="AB237" s="559"/>
    </row>
    <row r="238" spans="1:28">
      <c r="A238" s="594"/>
      <c r="B238" s="559"/>
      <c r="C238" s="559"/>
      <c r="D238" s="559"/>
      <c r="E238" s="559"/>
      <c r="F238" s="559"/>
      <c r="G238" s="559"/>
      <c r="H238" s="559"/>
      <c r="I238" s="603"/>
      <c r="J238" s="603"/>
      <c r="K238" s="559"/>
      <c r="L238" s="559"/>
      <c r="M238" s="559"/>
      <c r="N238" s="559"/>
      <c r="O238" s="559"/>
      <c r="P238" s="559"/>
      <c r="Q238" s="603"/>
      <c r="R238" s="559"/>
      <c r="S238" s="559"/>
      <c r="T238" s="559"/>
      <c r="U238" s="559"/>
      <c r="V238" s="559"/>
      <c r="W238" s="559"/>
      <c r="X238" s="559"/>
      <c r="Y238" s="559"/>
      <c r="Z238" s="559"/>
      <c r="AA238" s="559"/>
      <c r="AB238" s="559"/>
    </row>
    <row r="239" spans="1:28">
      <c r="A239" s="594"/>
      <c r="B239" s="559"/>
      <c r="C239" s="559"/>
      <c r="D239" s="559"/>
      <c r="E239" s="559"/>
      <c r="F239" s="559"/>
      <c r="G239" s="559"/>
      <c r="H239" s="559"/>
      <c r="I239" s="603"/>
      <c r="J239" s="603"/>
      <c r="K239" s="559"/>
      <c r="L239" s="559"/>
      <c r="M239" s="559"/>
      <c r="N239" s="559"/>
      <c r="O239" s="559"/>
      <c r="P239" s="559"/>
      <c r="Q239" s="603"/>
      <c r="R239" s="559"/>
      <c r="S239" s="559"/>
      <c r="T239" s="559"/>
      <c r="U239" s="559"/>
      <c r="V239" s="559"/>
      <c r="W239" s="559"/>
      <c r="X239" s="559"/>
      <c r="Y239" s="559"/>
      <c r="Z239" s="559"/>
      <c r="AA239" s="559"/>
      <c r="AB239" s="559"/>
    </row>
    <row r="240" spans="1:28">
      <c r="A240" s="594"/>
      <c r="B240" s="559"/>
      <c r="C240" s="559"/>
      <c r="D240" s="559"/>
      <c r="E240" s="559"/>
      <c r="F240" s="559"/>
      <c r="G240" s="559"/>
      <c r="H240" s="559"/>
      <c r="I240" s="603"/>
      <c r="J240" s="603"/>
      <c r="K240" s="559"/>
      <c r="L240" s="559"/>
      <c r="M240" s="559"/>
      <c r="N240" s="559"/>
      <c r="O240" s="559"/>
      <c r="P240" s="559"/>
      <c r="Q240" s="603"/>
      <c r="R240" s="559"/>
      <c r="S240" s="559"/>
      <c r="T240" s="559"/>
      <c r="U240" s="559"/>
      <c r="V240" s="559"/>
      <c r="W240" s="559"/>
      <c r="X240" s="559"/>
      <c r="Y240" s="559"/>
      <c r="Z240" s="559"/>
      <c r="AA240" s="559"/>
      <c r="AB240" s="559"/>
    </row>
    <row r="241" spans="1:28">
      <c r="A241" s="594"/>
      <c r="B241" s="559"/>
      <c r="C241" s="559"/>
      <c r="D241" s="559"/>
      <c r="E241" s="559"/>
      <c r="F241" s="559"/>
      <c r="G241" s="559"/>
      <c r="H241" s="559"/>
      <c r="I241" s="603"/>
      <c r="J241" s="603"/>
      <c r="K241" s="559"/>
      <c r="L241" s="559"/>
      <c r="M241" s="559"/>
      <c r="N241" s="559"/>
      <c r="O241" s="559"/>
      <c r="P241" s="559"/>
      <c r="Q241" s="603"/>
      <c r="R241" s="559"/>
      <c r="S241" s="559"/>
      <c r="T241" s="559"/>
      <c r="U241" s="559"/>
      <c r="V241" s="559"/>
      <c r="W241" s="559"/>
      <c r="X241" s="559"/>
      <c r="Y241" s="559"/>
      <c r="Z241" s="559"/>
      <c r="AA241" s="559"/>
      <c r="AB241" s="559"/>
    </row>
    <row r="242" spans="1:28">
      <c r="A242" s="594"/>
      <c r="B242" s="559"/>
      <c r="C242" s="559"/>
      <c r="D242" s="559"/>
      <c r="E242" s="559"/>
      <c r="F242" s="559"/>
      <c r="G242" s="559"/>
      <c r="H242" s="559"/>
      <c r="I242" s="603"/>
      <c r="J242" s="603"/>
      <c r="K242" s="559"/>
      <c r="L242" s="559"/>
      <c r="M242" s="559"/>
      <c r="N242" s="559"/>
      <c r="O242" s="559"/>
      <c r="P242" s="559"/>
      <c r="Q242" s="603"/>
      <c r="R242" s="559"/>
      <c r="S242" s="559"/>
      <c r="T242" s="559"/>
      <c r="U242" s="559"/>
      <c r="V242" s="559"/>
      <c r="W242" s="559"/>
      <c r="X242" s="559"/>
      <c r="Y242" s="559"/>
      <c r="Z242" s="559"/>
      <c r="AA242" s="559"/>
      <c r="AB242" s="559"/>
    </row>
    <row r="243" spans="1:28">
      <c r="A243" s="594"/>
      <c r="B243" s="559"/>
      <c r="C243" s="559"/>
      <c r="D243" s="559"/>
      <c r="E243" s="559"/>
      <c r="F243" s="559"/>
      <c r="G243" s="559"/>
      <c r="H243" s="559"/>
      <c r="I243" s="603"/>
      <c r="J243" s="603"/>
      <c r="K243" s="559"/>
      <c r="L243" s="559"/>
      <c r="M243" s="559"/>
      <c r="N243" s="559"/>
      <c r="O243" s="559"/>
      <c r="P243" s="559"/>
      <c r="Q243" s="603"/>
      <c r="R243" s="559"/>
      <c r="S243" s="559"/>
      <c r="T243" s="559"/>
      <c r="U243" s="559"/>
      <c r="V243" s="559"/>
      <c r="W243" s="559"/>
      <c r="X243" s="559"/>
      <c r="Y243" s="559"/>
      <c r="Z243" s="559"/>
      <c r="AA243" s="559"/>
      <c r="AB243" s="559"/>
    </row>
    <row r="244" spans="1:28">
      <c r="A244" s="594"/>
      <c r="B244" s="559"/>
      <c r="C244" s="559"/>
      <c r="D244" s="559"/>
      <c r="E244" s="559"/>
      <c r="F244" s="559"/>
      <c r="G244" s="559"/>
      <c r="H244" s="559"/>
      <c r="I244" s="603"/>
      <c r="J244" s="603"/>
      <c r="K244" s="559"/>
      <c r="L244" s="559"/>
      <c r="M244" s="559"/>
      <c r="N244" s="559"/>
      <c r="O244" s="559"/>
      <c r="P244" s="559"/>
      <c r="Q244" s="603"/>
      <c r="R244" s="559"/>
      <c r="S244" s="559"/>
      <c r="T244" s="559"/>
      <c r="U244" s="559"/>
      <c r="V244" s="559"/>
      <c r="W244" s="559"/>
      <c r="X244" s="559"/>
      <c r="Y244" s="559"/>
      <c r="Z244" s="559"/>
      <c r="AA244" s="559"/>
      <c r="AB244" s="559"/>
    </row>
    <row r="245" spans="1:28">
      <c r="A245" s="594"/>
      <c r="B245" s="559"/>
      <c r="C245" s="559"/>
      <c r="D245" s="559"/>
      <c r="E245" s="559"/>
      <c r="F245" s="559"/>
      <c r="G245" s="559"/>
      <c r="H245" s="559"/>
      <c r="I245" s="603"/>
      <c r="J245" s="603"/>
      <c r="K245" s="559"/>
      <c r="L245" s="559"/>
      <c r="M245" s="559"/>
      <c r="N245" s="559"/>
      <c r="O245" s="559"/>
      <c r="P245" s="559"/>
      <c r="Q245" s="603"/>
      <c r="R245" s="559"/>
      <c r="S245" s="559"/>
      <c r="T245" s="559"/>
      <c r="U245" s="559"/>
      <c r="V245" s="559"/>
      <c r="W245" s="559"/>
      <c r="X245" s="559"/>
      <c r="Y245" s="559"/>
      <c r="Z245" s="559"/>
      <c r="AA245" s="559"/>
      <c r="AB245" s="559"/>
    </row>
    <row r="246" spans="1:28">
      <c r="A246" s="594"/>
      <c r="B246" s="559"/>
      <c r="C246" s="559"/>
      <c r="D246" s="559"/>
      <c r="E246" s="559"/>
      <c r="F246" s="559"/>
      <c r="G246" s="559"/>
      <c r="H246" s="559"/>
      <c r="I246" s="603"/>
      <c r="J246" s="603"/>
      <c r="K246" s="559"/>
      <c r="L246" s="559"/>
      <c r="M246" s="559"/>
      <c r="N246" s="559"/>
      <c r="O246" s="559"/>
      <c r="P246" s="559"/>
      <c r="Q246" s="603"/>
      <c r="R246" s="559"/>
      <c r="S246" s="559"/>
      <c r="T246" s="559"/>
      <c r="U246" s="559"/>
      <c r="V246" s="559"/>
      <c r="W246" s="559"/>
      <c r="X246" s="559"/>
      <c r="Y246" s="559"/>
      <c r="Z246" s="559"/>
      <c r="AA246" s="559"/>
      <c r="AB246" s="559"/>
    </row>
    <row r="247" spans="1:28">
      <c r="A247" s="594"/>
      <c r="B247" s="559"/>
      <c r="C247" s="559"/>
      <c r="D247" s="559"/>
      <c r="E247" s="559"/>
      <c r="F247" s="559"/>
      <c r="G247" s="559"/>
      <c r="H247" s="559"/>
      <c r="I247" s="603"/>
      <c r="J247" s="603"/>
      <c r="K247" s="559"/>
      <c r="L247" s="559"/>
      <c r="M247" s="559"/>
      <c r="N247" s="559"/>
      <c r="O247" s="559"/>
      <c r="P247" s="559"/>
      <c r="Q247" s="603"/>
      <c r="R247" s="559"/>
      <c r="S247" s="559"/>
      <c r="T247" s="559"/>
      <c r="U247" s="559"/>
      <c r="V247" s="559"/>
      <c r="W247" s="559"/>
      <c r="X247" s="559"/>
      <c r="Y247" s="559"/>
      <c r="Z247" s="559"/>
      <c r="AA247" s="559"/>
      <c r="AB247" s="559"/>
    </row>
    <row r="248" spans="1:28">
      <c r="A248" s="594"/>
      <c r="B248" s="559"/>
      <c r="C248" s="559"/>
      <c r="D248" s="559"/>
      <c r="E248" s="559"/>
      <c r="F248" s="559"/>
      <c r="G248" s="559"/>
      <c r="H248" s="559"/>
      <c r="I248" s="603"/>
      <c r="J248" s="603"/>
      <c r="K248" s="559"/>
      <c r="L248" s="559"/>
      <c r="M248" s="559"/>
      <c r="N248" s="559"/>
      <c r="O248" s="559"/>
      <c r="P248" s="559"/>
      <c r="Q248" s="603"/>
      <c r="R248" s="559"/>
      <c r="S248" s="559"/>
      <c r="T248" s="559"/>
      <c r="U248" s="559"/>
      <c r="V248" s="559"/>
      <c r="W248" s="559"/>
      <c r="X248" s="559"/>
      <c r="Y248" s="559"/>
      <c r="Z248" s="559"/>
      <c r="AA248" s="559"/>
      <c r="AB248" s="559"/>
    </row>
    <row r="249" spans="1:28">
      <c r="A249" s="594"/>
      <c r="B249" s="559"/>
      <c r="C249" s="559"/>
      <c r="D249" s="559"/>
      <c r="E249" s="559"/>
      <c r="F249" s="559"/>
      <c r="G249" s="559"/>
      <c r="H249" s="559"/>
      <c r="I249" s="603"/>
      <c r="J249" s="603"/>
      <c r="K249" s="559"/>
      <c r="L249" s="559"/>
      <c r="M249" s="559"/>
      <c r="N249" s="559"/>
      <c r="O249" s="559"/>
      <c r="P249" s="559"/>
      <c r="Q249" s="603"/>
      <c r="R249" s="559"/>
      <c r="S249" s="559"/>
      <c r="T249" s="559"/>
      <c r="U249" s="559"/>
      <c r="V249" s="559"/>
      <c r="W249" s="559"/>
      <c r="X249" s="559"/>
      <c r="Y249" s="559"/>
      <c r="Z249" s="559"/>
      <c r="AA249" s="559"/>
      <c r="AB249" s="559"/>
    </row>
    <row r="250" spans="1:28">
      <c r="A250" s="594"/>
      <c r="B250" s="559"/>
      <c r="C250" s="559"/>
      <c r="D250" s="559"/>
      <c r="E250" s="559"/>
      <c r="F250" s="559"/>
      <c r="G250" s="559"/>
      <c r="H250" s="559"/>
      <c r="I250" s="603"/>
      <c r="J250" s="603"/>
      <c r="K250" s="559"/>
      <c r="L250" s="559"/>
      <c r="M250" s="559"/>
      <c r="N250" s="559"/>
      <c r="O250" s="559"/>
      <c r="P250" s="559"/>
      <c r="Q250" s="603"/>
      <c r="R250" s="559"/>
      <c r="S250" s="559"/>
      <c r="T250" s="559"/>
      <c r="U250" s="559"/>
      <c r="V250" s="559"/>
      <c r="W250" s="559"/>
      <c r="X250" s="559"/>
      <c r="Y250" s="559"/>
      <c r="Z250" s="559"/>
      <c r="AA250" s="559"/>
      <c r="AB250" s="559"/>
    </row>
    <row r="251" spans="1:28">
      <c r="A251" s="594"/>
      <c r="B251" s="559"/>
      <c r="C251" s="559"/>
      <c r="D251" s="559"/>
      <c r="E251" s="559"/>
      <c r="F251" s="559"/>
      <c r="G251" s="559"/>
      <c r="H251" s="559"/>
      <c r="I251" s="603"/>
      <c r="J251" s="603"/>
      <c r="K251" s="559"/>
      <c r="L251" s="559"/>
      <c r="M251" s="559"/>
      <c r="N251" s="559"/>
      <c r="O251" s="559"/>
      <c r="P251" s="559"/>
      <c r="Q251" s="603"/>
      <c r="R251" s="559"/>
      <c r="S251" s="559"/>
      <c r="T251" s="559"/>
      <c r="U251" s="559"/>
      <c r="V251" s="559"/>
      <c r="W251" s="559"/>
      <c r="X251" s="559"/>
      <c r="Y251" s="559"/>
      <c r="Z251" s="559"/>
      <c r="AA251" s="559"/>
      <c r="AB251" s="559"/>
    </row>
    <row r="252" spans="1:28">
      <c r="A252" s="594"/>
      <c r="B252" s="559"/>
      <c r="C252" s="559"/>
      <c r="D252" s="559"/>
      <c r="E252" s="559"/>
      <c r="F252" s="559"/>
      <c r="G252" s="559"/>
      <c r="H252" s="559"/>
      <c r="I252" s="603"/>
      <c r="J252" s="603"/>
      <c r="K252" s="559"/>
      <c r="L252" s="559"/>
      <c r="M252" s="559"/>
      <c r="N252" s="559"/>
      <c r="O252" s="559"/>
      <c r="P252" s="559"/>
      <c r="Q252" s="603"/>
      <c r="R252" s="559"/>
      <c r="S252" s="559"/>
      <c r="T252" s="559"/>
      <c r="U252" s="559"/>
      <c r="V252" s="559"/>
      <c r="W252" s="559"/>
      <c r="X252" s="559"/>
      <c r="Y252" s="559"/>
      <c r="Z252" s="559"/>
      <c r="AA252" s="559"/>
      <c r="AB252" s="559"/>
    </row>
    <row r="253" spans="1:28">
      <c r="A253" s="594"/>
      <c r="B253" s="559"/>
      <c r="C253" s="559"/>
      <c r="D253" s="559"/>
      <c r="E253" s="559"/>
      <c r="F253" s="559"/>
      <c r="G253" s="559"/>
      <c r="H253" s="559"/>
      <c r="I253" s="603"/>
      <c r="J253" s="603"/>
      <c r="K253" s="559"/>
      <c r="L253" s="559"/>
      <c r="M253" s="559"/>
      <c r="N253" s="559"/>
      <c r="O253" s="559"/>
      <c r="P253" s="559"/>
      <c r="Q253" s="603"/>
      <c r="R253" s="559"/>
      <c r="S253" s="559"/>
      <c r="T253" s="559"/>
      <c r="U253" s="559"/>
      <c r="V253" s="559"/>
      <c r="W253" s="559"/>
      <c r="X253" s="559"/>
      <c r="Y253" s="559"/>
      <c r="Z253" s="559"/>
      <c r="AA253" s="559"/>
      <c r="AB253" s="559"/>
    </row>
    <row r="254" spans="1:28">
      <c r="A254" s="594"/>
      <c r="B254" s="559"/>
      <c r="C254" s="559"/>
      <c r="D254" s="559"/>
      <c r="E254" s="559"/>
      <c r="F254" s="559"/>
      <c r="G254" s="559"/>
      <c r="H254" s="559"/>
      <c r="I254" s="603"/>
      <c r="J254" s="603"/>
      <c r="K254" s="559"/>
      <c r="L254" s="559"/>
      <c r="M254" s="559"/>
      <c r="N254" s="559"/>
      <c r="O254" s="559"/>
      <c r="P254" s="559"/>
      <c r="Q254" s="603"/>
      <c r="R254" s="559"/>
      <c r="S254" s="559"/>
      <c r="T254" s="559"/>
      <c r="U254" s="559"/>
      <c r="V254" s="559"/>
      <c r="W254" s="559"/>
      <c r="X254" s="559"/>
      <c r="Y254" s="559"/>
      <c r="Z254" s="559"/>
      <c r="AA254" s="559"/>
      <c r="AB254" s="559"/>
    </row>
    <row r="255" spans="1:28">
      <c r="A255" s="594"/>
      <c r="B255" s="559"/>
      <c r="C255" s="559"/>
      <c r="D255" s="559"/>
      <c r="E255" s="559"/>
      <c r="F255" s="559"/>
      <c r="G255" s="559"/>
      <c r="H255" s="559"/>
      <c r="I255" s="603"/>
      <c r="J255" s="603"/>
      <c r="K255" s="559"/>
      <c r="L255" s="559"/>
      <c r="M255" s="559"/>
      <c r="N255" s="559"/>
      <c r="O255" s="559"/>
      <c r="P255" s="559"/>
      <c r="Q255" s="603"/>
      <c r="R255" s="559"/>
      <c r="S255" s="559"/>
      <c r="T255" s="559"/>
      <c r="U255" s="559"/>
      <c r="V255" s="559"/>
      <c r="W255" s="559"/>
      <c r="X255" s="559"/>
      <c r="Y255" s="559"/>
      <c r="Z255" s="559"/>
      <c r="AA255" s="559"/>
      <c r="AB255" s="559"/>
    </row>
    <row r="256" spans="1:28">
      <c r="A256" s="594"/>
      <c r="B256" s="559"/>
      <c r="C256" s="559"/>
      <c r="D256" s="559"/>
      <c r="E256" s="559"/>
      <c r="F256" s="559"/>
      <c r="G256" s="559"/>
      <c r="H256" s="559"/>
      <c r="I256" s="603"/>
      <c r="J256" s="603"/>
      <c r="K256" s="559"/>
      <c r="L256" s="559"/>
      <c r="M256" s="559"/>
      <c r="N256" s="559"/>
      <c r="O256" s="559"/>
      <c r="P256" s="559"/>
      <c r="Q256" s="603"/>
      <c r="R256" s="559"/>
      <c r="S256" s="559"/>
      <c r="T256" s="559"/>
      <c r="U256" s="559"/>
      <c r="V256" s="559"/>
      <c r="W256" s="559"/>
      <c r="X256" s="559"/>
      <c r="Y256" s="559"/>
      <c r="Z256" s="559"/>
      <c r="AA256" s="559"/>
      <c r="AB256" s="559"/>
    </row>
    <row r="257" spans="1:28">
      <c r="A257" s="594"/>
      <c r="B257" s="559"/>
      <c r="C257" s="559"/>
      <c r="D257" s="559"/>
      <c r="E257" s="559"/>
      <c r="F257" s="559"/>
      <c r="G257" s="559"/>
      <c r="H257" s="559"/>
      <c r="I257" s="603"/>
      <c r="J257" s="603"/>
      <c r="K257" s="559"/>
      <c r="L257" s="559"/>
      <c r="M257" s="559"/>
      <c r="N257" s="559"/>
      <c r="O257" s="559"/>
      <c r="P257" s="559"/>
      <c r="Q257" s="603"/>
      <c r="R257" s="559"/>
      <c r="S257" s="559"/>
      <c r="T257" s="559"/>
      <c r="U257" s="559"/>
      <c r="V257" s="559"/>
      <c r="W257" s="559"/>
      <c r="X257" s="559"/>
      <c r="Y257" s="559"/>
      <c r="Z257" s="559"/>
      <c r="AA257" s="559"/>
      <c r="AB257" s="559"/>
    </row>
    <row r="258" spans="1:28">
      <c r="A258" s="594"/>
      <c r="B258" s="559"/>
      <c r="C258" s="559"/>
      <c r="D258" s="559"/>
      <c r="E258" s="559"/>
      <c r="F258" s="559"/>
      <c r="G258" s="559"/>
      <c r="H258" s="559"/>
      <c r="I258" s="603"/>
      <c r="J258" s="603"/>
      <c r="K258" s="559"/>
      <c r="L258" s="559"/>
      <c r="M258" s="559"/>
      <c r="N258" s="559"/>
      <c r="O258" s="559"/>
      <c r="P258" s="559"/>
      <c r="Q258" s="603"/>
      <c r="R258" s="559"/>
      <c r="S258" s="559"/>
      <c r="T258" s="559"/>
      <c r="U258" s="559"/>
      <c r="V258" s="559"/>
      <c r="W258" s="559"/>
      <c r="X258" s="559"/>
      <c r="Y258" s="559"/>
      <c r="Z258" s="559"/>
      <c r="AA258" s="559"/>
      <c r="AB258" s="559"/>
    </row>
    <row r="259" spans="1:28">
      <c r="A259" s="594"/>
      <c r="B259" s="559"/>
      <c r="C259" s="559"/>
      <c r="D259" s="559"/>
      <c r="E259" s="559"/>
      <c r="F259" s="559"/>
      <c r="G259" s="559"/>
      <c r="H259" s="559"/>
      <c r="I259" s="603"/>
      <c r="J259" s="603"/>
      <c r="K259" s="559"/>
      <c r="L259" s="559"/>
      <c r="M259" s="559"/>
      <c r="N259" s="559"/>
      <c r="O259" s="559"/>
      <c r="P259" s="559"/>
      <c r="Q259" s="603"/>
      <c r="R259" s="559"/>
      <c r="S259" s="559"/>
      <c r="T259" s="559"/>
      <c r="U259" s="559"/>
      <c r="V259" s="559"/>
      <c r="W259" s="559"/>
      <c r="X259" s="559"/>
      <c r="Y259" s="559"/>
      <c r="Z259" s="559"/>
      <c r="AA259" s="559"/>
      <c r="AB259" s="559"/>
    </row>
    <row r="260" spans="1:28">
      <c r="A260" s="594"/>
      <c r="B260" s="559"/>
      <c r="C260" s="559"/>
      <c r="D260" s="559"/>
      <c r="E260" s="559"/>
      <c r="F260" s="559"/>
      <c r="G260" s="559"/>
      <c r="H260" s="559"/>
      <c r="I260" s="603"/>
      <c r="J260" s="603"/>
      <c r="K260" s="559"/>
      <c r="L260" s="559"/>
      <c r="M260" s="559"/>
      <c r="N260" s="559"/>
      <c r="O260" s="559"/>
      <c r="P260" s="559"/>
      <c r="Q260" s="603"/>
      <c r="R260" s="559"/>
      <c r="S260" s="559"/>
      <c r="T260" s="559"/>
      <c r="U260" s="559"/>
      <c r="V260" s="559"/>
      <c r="W260" s="559"/>
      <c r="X260" s="559"/>
      <c r="Y260" s="559"/>
      <c r="Z260" s="559"/>
      <c r="AA260" s="559"/>
      <c r="AB260" s="559"/>
    </row>
    <row r="261" spans="1:28">
      <c r="A261" s="594"/>
      <c r="B261" s="559"/>
      <c r="C261" s="559"/>
      <c r="D261" s="559"/>
      <c r="E261" s="559"/>
      <c r="F261" s="559"/>
      <c r="G261" s="559"/>
      <c r="H261" s="559"/>
      <c r="I261" s="603"/>
      <c r="J261" s="603"/>
      <c r="K261" s="559"/>
      <c r="L261" s="559"/>
      <c r="M261" s="559"/>
      <c r="N261" s="559"/>
      <c r="O261" s="559"/>
      <c r="P261" s="559"/>
      <c r="Q261" s="603"/>
      <c r="R261" s="559"/>
      <c r="S261" s="559"/>
      <c r="T261" s="559"/>
      <c r="U261" s="559"/>
      <c r="V261" s="559"/>
      <c r="W261" s="559"/>
      <c r="X261" s="559"/>
      <c r="Y261" s="559"/>
      <c r="Z261" s="559"/>
      <c r="AA261" s="559"/>
      <c r="AB261" s="559"/>
    </row>
    <row r="262" spans="1:28">
      <c r="A262" s="594"/>
      <c r="B262" s="559"/>
      <c r="C262" s="559"/>
      <c r="D262" s="559"/>
      <c r="E262" s="559"/>
      <c r="F262" s="559"/>
      <c r="G262" s="559"/>
      <c r="H262" s="559"/>
      <c r="I262" s="603"/>
      <c r="J262" s="603"/>
      <c r="K262" s="559"/>
      <c r="L262" s="559"/>
      <c r="M262" s="559"/>
      <c r="N262" s="559"/>
      <c r="O262" s="559"/>
      <c r="P262" s="559"/>
      <c r="Q262" s="603"/>
      <c r="R262" s="559"/>
      <c r="S262" s="559"/>
      <c r="T262" s="559"/>
      <c r="U262" s="559"/>
      <c r="V262" s="559"/>
      <c r="W262" s="559"/>
      <c r="X262" s="559"/>
      <c r="Y262" s="559"/>
      <c r="Z262" s="559"/>
      <c r="AA262" s="559"/>
      <c r="AB262" s="559"/>
    </row>
    <row r="263" spans="1:28">
      <c r="A263" s="594"/>
      <c r="B263" s="559"/>
      <c r="C263" s="559"/>
      <c r="D263" s="559"/>
      <c r="E263" s="559"/>
      <c r="F263" s="559"/>
      <c r="G263" s="559"/>
      <c r="H263" s="559"/>
      <c r="I263" s="603"/>
      <c r="J263" s="603"/>
      <c r="K263" s="559"/>
      <c r="L263" s="559"/>
      <c r="M263" s="559"/>
      <c r="N263" s="559"/>
      <c r="O263" s="559"/>
      <c r="P263" s="559"/>
      <c r="Q263" s="603"/>
      <c r="R263" s="559"/>
      <c r="S263" s="559"/>
      <c r="T263" s="559"/>
      <c r="U263" s="559"/>
      <c r="V263" s="559"/>
      <c r="W263" s="559"/>
      <c r="X263" s="559"/>
      <c r="Y263" s="559"/>
      <c r="Z263" s="559"/>
      <c r="AA263" s="559"/>
      <c r="AB263" s="559"/>
    </row>
    <row r="264" spans="1:28">
      <c r="A264" s="594"/>
      <c r="B264" s="559"/>
      <c r="C264" s="559"/>
      <c r="D264" s="559"/>
      <c r="E264" s="559"/>
      <c r="F264" s="559"/>
      <c r="G264" s="559"/>
      <c r="H264" s="559"/>
      <c r="I264" s="603"/>
      <c r="J264" s="603"/>
      <c r="K264" s="559"/>
      <c r="L264" s="559"/>
      <c r="M264" s="559"/>
      <c r="N264" s="559"/>
      <c r="O264" s="559"/>
      <c r="P264" s="559"/>
      <c r="Q264" s="603"/>
      <c r="R264" s="559"/>
      <c r="S264" s="559"/>
      <c r="T264" s="559"/>
      <c r="U264" s="559"/>
      <c r="V264" s="559"/>
      <c r="W264" s="559"/>
      <c r="X264" s="559"/>
      <c r="Y264" s="559"/>
      <c r="Z264" s="559"/>
      <c r="AA264" s="559"/>
      <c r="AB264" s="559"/>
    </row>
    <row r="265" spans="1:28">
      <c r="A265" s="594"/>
      <c r="B265" s="559"/>
      <c r="C265" s="559"/>
      <c r="D265" s="559"/>
      <c r="E265" s="559"/>
      <c r="F265" s="559"/>
      <c r="G265" s="559"/>
      <c r="H265" s="559"/>
      <c r="I265" s="603"/>
      <c r="J265" s="603"/>
      <c r="K265" s="559"/>
      <c r="L265" s="559"/>
      <c r="M265" s="559"/>
      <c r="N265" s="559"/>
      <c r="O265" s="559"/>
      <c r="P265" s="559"/>
      <c r="Q265" s="603"/>
      <c r="R265" s="559"/>
      <c r="S265" s="559"/>
      <c r="T265" s="559"/>
      <c r="U265" s="559"/>
      <c r="V265" s="559"/>
      <c r="W265" s="559"/>
      <c r="X265" s="559"/>
      <c r="Y265" s="559"/>
      <c r="Z265" s="559"/>
      <c r="AA265" s="559"/>
      <c r="AB265" s="559"/>
    </row>
    <row r="266" spans="1:28">
      <c r="A266" s="594"/>
      <c r="B266" s="559"/>
      <c r="C266" s="559"/>
      <c r="D266" s="559"/>
      <c r="E266" s="559"/>
      <c r="F266" s="559"/>
      <c r="G266" s="559"/>
      <c r="H266" s="559"/>
      <c r="I266" s="603"/>
      <c r="J266" s="603"/>
      <c r="K266" s="559"/>
      <c r="L266" s="559"/>
      <c r="M266" s="559"/>
      <c r="N266" s="559"/>
      <c r="O266" s="559"/>
      <c r="P266" s="559"/>
      <c r="Q266" s="603"/>
      <c r="R266" s="559"/>
      <c r="S266" s="559"/>
      <c r="T266" s="559"/>
      <c r="U266" s="559"/>
      <c r="V266" s="559"/>
      <c r="W266" s="559"/>
      <c r="X266" s="559"/>
      <c r="Y266" s="559"/>
      <c r="Z266" s="559"/>
      <c r="AA266" s="559"/>
      <c r="AB266" s="559"/>
    </row>
    <row r="267" spans="1:28">
      <c r="A267" s="594"/>
      <c r="B267" s="559"/>
      <c r="C267" s="559"/>
      <c r="D267" s="559"/>
      <c r="E267" s="559"/>
      <c r="F267" s="559"/>
      <c r="G267" s="559"/>
      <c r="H267" s="559"/>
      <c r="I267" s="603"/>
      <c r="J267" s="603"/>
      <c r="K267" s="559"/>
      <c r="L267" s="559"/>
      <c r="M267" s="559"/>
      <c r="N267" s="559"/>
      <c r="O267" s="559"/>
      <c r="P267" s="559"/>
      <c r="Q267" s="603"/>
      <c r="R267" s="559"/>
      <c r="S267" s="559"/>
      <c r="T267" s="559"/>
      <c r="U267" s="559"/>
      <c r="V267" s="559"/>
      <c r="W267" s="559"/>
      <c r="X267" s="559"/>
      <c r="Y267" s="559"/>
      <c r="Z267" s="559"/>
      <c r="AA267" s="559"/>
      <c r="AB267" s="559"/>
    </row>
    <row r="268" spans="1:28">
      <c r="A268" s="594"/>
      <c r="B268" s="559"/>
      <c r="C268" s="559"/>
      <c r="D268" s="559"/>
      <c r="E268" s="559"/>
      <c r="F268" s="559"/>
      <c r="G268" s="559"/>
      <c r="H268" s="559"/>
      <c r="I268" s="603"/>
      <c r="J268" s="603"/>
      <c r="K268" s="559"/>
      <c r="L268" s="559"/>
      <c r="M268" s="559"/>
      <c r="N268" s="559"/>
      <c r="O268" s="559"/>
      <c r="P268" s="559"/>
      <c r="Q268" s="603"/>
      <c r="R268" s="559"/>
      <c r="S268" s="559"/>
      <c r="T268" s="559"/>
      <c r="U268" s="559"/>
      <c r="V268" s="559"/>
      <c r="W268" s="559"/>
      <c r="X268" s="559"/>
      <c r="Y268" s="559"/>
      <c r="Z268" s="559"/>
      <c r="AA268" s="559"/>
      <c r="AB268" s="559"/>
    </row>
    <row r="269" spans="1:28">
      <c r="A269" s="594"/>
      <c r="B269" s="559"/>
      <c r="C269" s="559"/>
      <c r="D269" s="559"/>
      <c r="E269" s="559"/>
      <c r="F269" s="559"/>
      <c r="G269" s="559"/>
      <c r="H269" s="559"/>
      <c r="I269" s="603"/>
      <c r="J269" s="603"/>
      <c r="K269" s="559"/>
      <c r="L269" s="559"/>
      <c r="M269" s="559"/>
      <c r="N269" s="559"/>
      <c r="O269" s="559"/>
      <c r="P269" s="559"/>
      <c r="Q269" s="603"/>
      <c r="R269" s="559"/>
      <c r="S269" s="559"/>
      <c r="T269" s="559"/>
      <c r="U269" s="559"/>
      <c r="V269" s="559"/>
      <c r="W269" s="559"/>
      <c r="X269" s="559"/>
      <c r="Y269" s="559"/>
      <c r="Z269" s="559"/>
      <c r="AA269" s="559"/>
      <c r="AB269" s="559"/>
    </row>
    <row r="270" spans="1:28">
      <c r="A270" s="594"/>
      <c r="B270" s="559"/>
      <c r="C270" s="559"/>
      <c r="D270" s="559"/>
      <c r="E270" s="559"/>
      <c r="F270" s="559"/>
      <c r="G270" s="559"/>
      <c r="H270" s="559"/>
      <c r="I270" s="603"/>
      <c r="J270" s="603"/>
      <c r="K270" s="559"/>
      <c r="L270" s="559"/>
      <c r="M270" s="559"/>
      <c r="N270" s="559"/>
      <c r="O270" s="559"/>
      <c r="P270" s="559"/>
      <c r="Q270" s="603"/>
      <c r="R270" s="559"/>
      <c r="S270" s="559"/>
      <c r="T270" s="559"/>
      <c r="U270" s="559"/>
      <c r="V270" s="559"/>
      <c r="W270" s="559"/>
      <c r="X270" s="559"/>
      <c r="Y270" s="559"/>
      <c r="Z270" s="559"/>
      <c r="AA270" s="559"/>
      <c r="AB270" s="559"/>
    </row>
    <row r="271" spans="1:28">
      <c r="A271" s="594"/>
      <c r="B271" s="559"/>
      <c r="C271" s="559"/>
      <c r="D271" s="559"/>
      <c r="E271" s="559"/>
      <c r="F271" s="559"/>
      <c r="G271" s="559"/>
      <c r="H271" s="559"/>
      <c r="I271" s="603"/>
      <c r="J271" s="603"/>
      <c r="K271" s="559"/>
      <c r="L271" s="559"/>
      <c r="M271" s="559"/>
      <c r="N271" s="559"/>
      <c r="O271" s="559"/>
      <c r="P271" s="559"/>
      <c r="Q271" s="603"/>
      <c r="R271" s="559"/>
      <c r="S271" s="559"/>
      <c r="T271" s="559"/>
      <c r="U271" s="559"/>
      <c r="V271" s="559"/>
      <c r="W271" s="559"/>
      <c r="X271" s="559"/>
      <c r="Y271" s="559"/>
      <c r="Z271" s="559"/>
      <c r="AA271" s="559"/>
      <c r="AB271" s="559"/>
    </row>
    <row r="272" spans="1:28">
      <c r="A272" s="594"/>
      <c r="B272" s="559"/>
      <c r="C272" s="559"/>
      <c r="D272" s="559"/>
      <c r="E272" s="559"/>
      <c r="F272" s="559"/>
      <c r="G272" s="559"/>
      <c r="H272" s="559"/>
      <c r="I272" s="603"/>
      <c r="J272" s="603"/>
      <c r="K272" s="559"/>
      <c r="L272" s="559"/>
      <c r="M272" s="559"/>
      <c r="N272" s="559"/>
      <c r="O272" s="559"/>
      <c r="P272" s="559"/>
      <c r="Q272" s="603"/>
      <c r="R272" s="559"/>
      <c r="S272" s="559"/>
      <c r="T272" s="559"/>
      <c r="U272" s="559"/>
      <c r="V272" s="559"/>
      <c r="W272" s="559"/>
      <c r="X272" s="559"/>
      <c r="Y272" s="559"/>
      <c r="Z272" s="559"/>
      <c r="AA272" s="559"/>
      <c r="AB272" s="559"/>
    </row>
    <row r="273" spans="1:28">
      <c r="A273" s="594"/>
      <c r="B273" s="559"/>
      <c r="C273" s="559"/>
      <c r="D273" s="559"/>
      <c r="E273" s="559"/>
      <c r="F273" s="559"/>
      <c r="G273" s="559"/>
      <c r="H273" s="559"/>
      <c r="I273" s="603"/>
      <c r="J273" s="603"/>
      <c r="K273" s="559"/>
      <c r="L273" s="559"/>
      <c r="M273" s="559"/>
      <c r="N273" s="559"/>
      <c r="O273" s="559"/>
      <c r="P273" s="559"/>
      <c r="Q273" s="603"/>
      <c r="R273" s="559"/>
      <c r="S273" s="559"/>
      <c r="T273" s="559"/>
      <c r="U273" s="559"/>
      <c r="V273" s="559"/>
      <c r="W273" s="559"/>
      <c r="X273" s="559"/>
      <c r="Y273" s="559"/>
      <c r="Z273" s="559"/>
      <c r="AA273" s="559"/>
      <c r="AB273" s="559"/>
    </row>
    <row r="274" spans="1:28">
      <c r="A274" s="594"/>
      <c r="B274" s="559"/>
      <c r="C274" s="559"/>
      <c r="D274" s="559"/>
      <c r="E274" s="559"/>
      <c r="F274" s="559"/>
      <c r="G274" s="559"/>
      <c r="H274" s="559"/>
      <c r="I274" s="603"/>
      <c r="J274" s="603"/>
      <c r="K274" s="559"/>
      <c r="L274" s="559"/>
      <c r="M274" s="559"/>
      <c r="N274" s="559"/>
      <c r="O274" s="559"/>
      <c r="P274" s="559"/>
      <c r="Q274" s="603"/>
      <c r="R274" s="559"/>
      <c r="S274" s="559"/>
      <c r="T274" s="559"/>
      <c r="U274" s="559"/>
      <c r="V274" s="559"/>
      <c r="W274" s="559"/>
      <c r="X274" s="559"/>
      <c r="Y274" s="559"/>
      <c r="Z274" s="559"/>
      <c r="AA274" s="559"/>
      <c r="AB274" s="559"/>
    </row>
    <row r="275" spans="1:28">
      <c r="A275" s="594"/>
      <c r="B275" s="559"/>
      <c r="C275" s="559"/>
      <c r="D275" s="559"/>
      <c r="E275" s="559"/>
      <c r="F275" s="559"/>
      <c r="G275" s="559"/>
      <c r="H275" s="559"/>
      <c r="I275" s="603"/>
      <c r="J275" s="603"/>
      <c r="K275" s="559"/>
      <c r="L275" s="559"/>
      <c r="M275" s="559"/>
      <c r="N275" s="559"/>
      <c r="O275" s="559"/>
      <c r="P275" s="559"/>
      <c r="Q275" s="603"/>
      <c r="R275" s="559"/>
      <c r="S275" s="559"/>
      <c r="T275" s="559"/>
      <c r="U275" s="559"/>
      <c r="V275" s="559"/>
      <c r="W275" s="559"/>
      <c r="X275" s="559"/>
      <c r="Y275" s="559"/>
      <c r="Z275" s="559"/>
      <c r="AA275" s="559"/>
      <c r="AB275" s="559"/>
    </row>
    <row r="276" spans="1:28">
      <c r="A276" s="594"/>
      <c r="B276" s="559"/>
      <c r="C276" s="559"/>
      <c r="D276" s="559"/>
      <c r="E276" s="559"/>
      <c r="F276" s="559"/>
      <c r="G276" s="559"/>
      <c r="H276" s="559"/>
      <c r="I276" s="603"/>
      <c r="J276" s="603"/>
      <c r="K276" s="559"/>
      <c r="L276" s="559"/>
      <c r="M276" s="559"/>
      <c r="N276" s="559"/>
      <c r="O276" s="559"/>
      <c r="P276" s="559"/>
      <c r="Q276" s="603"/>
      <c r="R276" s="559"/>
      <c r="S276" s="559"/>
      <c r="T276" s="559"/>
      <c r="U276" s="559"/>
      <c r="V276" s="559"/>
      <c r="W276" s="559"/>
      <c r="X276" s="559"/>
      <c r="Y276" s="559"/>
      <c r="Z276" s="559"/>
      <c r="AA276" s="559"/>
      <c r="AB276" s="559"/>
    </row>
    <row r="277" spans="1:28">
      <c r="A277" s="594"/>
      <c r="B277" s="559"/>
      <c r="C277" s="559"/>
      <c r="D277" s="559"/>
      <c r="E277" s="559"/>
      <c r="F277" s="559"/>
      <c r="G277" s="559"/>
      <c r="H277" s="559"/>
      <c r="I277" s="603"/>
      <c r="J277" s="603"/>
      <c r="K277" s="559"/>
      <c r="L277" s="559"/>
      <c r="M277" s="559"/>
      <c r="N277" s="559"/>
      <c r="O277" s="559"/>
      <c r="P277" s="559"/>
      <c r="Q277" s="603"/>
      <c r="R277" s="559"/>
      <c r="S277" s="559"/>
      <c r="T277" s="559"/>
      <c r="U277" s="559"/>
      <c r="V277" s="559"/>
      <c r="W277" s="559"/>
      <c r="X277" s="559"/>
      <c r="Y277" s="559"/>
      <c r="Z277" s="559"/>
      <c r="AA277" s="559"/>
      <c r="AB277" s="559"/>
    </row>
    <row r="278" spans="1:28">
      <c r="A278" s="594"/>
      <c r="B278" s="559"/>
      <c r="C278" s="559"/>
      <c r="D278" s="559"/>
      <c r="E278" s="559"/>
      <c r="F278" s="559"/>
      <c r="G278" s="559"/>
      <c r="H278" s="559"/>
      <c r="I278" s="603"/>
      <c r="J278" s="603"/>
      <c r="K278" s="559"/>
      <c r="L278" s="559"/>
      <c r="M278" s="559"/>
      <c r="N278" s="559"/>
      <c r="O278" s="559"/>
      <c r="P278" s="559"/>
      <c r="Q278" s="603"/>
      <c r="R278" s="559"/>
      <c r="S278" s="559"/>
      <c r="T278" s="559"/>
      <c r="U278" s="559"/>
      <c r="V278" s="559"/>
      <c r="W278" s="559"/>
      <c r="X278" s="559"/>
      <c r="Y278" s="559"/>
      <c r="Z278" s="559"/>
      <c r="AA278" s="559"/>
      <c r="AB278" s="559"/>
    </row>
    <row r="279" spans="1:28">
      <c r="A279" s="594"/>
      <c r="B279" s="559"/>
      <c r="C279" s="559"/>
      <c r="D279" s="559"/>
      <c r="E279" s="559"/>
      <c r="F279" s="559"/>
      <c r="G279" s="559"/>
      <c r="H279" s="559"/>
      <c r="I279" s="603"/>
      <c r="J279" s="603"/>
      <c r="K279" s="559"/>
      <c r="L279" s="559"/>
      <c r="M279" s="559"/>
      <c r="N279" s="559"/>
      <c r="O279" s="559"/>
      <c r="P279" s="559"/>
      <c r="Q279" s="603"/>
      <c r="R279" s="559"/>
      <c r="S279" s="559"/>
      <c r="T279" s="559"/>
      <c r="U279" s="559"/>
      <c r="V279" s="559"/>
      <c r="W279" s="559"/>
      <c r="X279" s="559"/>
      <c r="Y279" s="559"/>
      <c r="Z279" s="559"/>
      <c r="AA279" s="559"/>
      <c r="AB279" s="559"/>
    </row>
    <row r="280" spans="1:28">
      <c r="A280" s="594"/>
      <c r="B280" s="559"/>
      <c r="C280" s="559"/>
      <c r="D280" s="559"/>
      <c r="E280" s="559"/>
      <c r="F280" s="559"/>
      <c r="G280" s="559"/>
      <c r="H280" s="559"/>
      <c r="I280" s="603"/>
      <c r="J280" s="603"/>
      <c r="K280" s="559"/>
      <c r="L280" s="559"/>
      <c r="M280" s="559"/>
      <c r="N280" s="559"/>
      <c r="O280" s="559"/>
      <c r="P280" s="559"/>
      <c r="Q280" s="603"/>
      <c r="R280" s="559"/>
      <c r="S280" s="559"/>
      <c r="T280" s="559"/>
      <c r="U280" s="559"/>
      <c r="V280" s="559"/>
      <c r="W280" s="559"/>
      <c r="X280" s="559"/>
      <c r="Y280" s="559"/>
      <c r="Z280" s="559"/>
      <c r="AA280" s="559"/>
      <c r="AB280" s="559"/>
    </row>
    <row r="281" spans="1:28">
      <c r="A281" s="594"/>
      <c r="B281" s="559"/>
      <c r="C281" s="559"/>
      <c r="D281" s="559"/>
      <c r="E281" s="559"/>
      <c r="F281" s="559"/>
      <c r="G281" s="559"/>
      <c r="H281" s="559"/>
      <c r="I281" s="603"/>
      <c r="J281" s="603"/>
      <c r="K281" s="559"/>
      <c r="L281" s="559"/>
      <c r="M281" s="559"/>
      <c r="N281" s="559"/>
      <c r="O281" s="559"/>
      <c r="P281" s="559"/>
      <c r="Q281" s="603"/>
      <c r="R281" s="559"/>
      <c r="S281" s="559"/>
      <c r="T281" s="559"/>
      <c r="U281" s="559"/>
      <c r="V281" s="559"/>
      <c r="W281" s="559"/>
      <c r="X281" s="559"/>
      <c r="Y281" s="559"/>
      <c r="Z281" s="559"/>
      <c r="AA281" s="559"/>
      <c r="AB281" s="559"/>
    </row>
    <row r="282" spans="1:28">
      <c r="A282" s="594"/>
      <c r="B282" s="559"/>
      <c r="C282" s="559"/>
      <c r="D282" s="559"/>
      <c r="E282" s="559"/>
      <c r="F282" s="559"/>
      <c r="G282" s="559"/>
      <c r="H282" s="559"/>
      <c r="I282" s="603"/>
      <c r="J282" s="603"/>
      <c r="K282" s="559"/>
      <c r="L282" s="559"/>
      <c r="M282" s="559"/>
      <c r="N282" s="559"/>
      <c r="O282" s="559"/>
      <c r="P282" s="559"/>
      <c r="Q282" s="603"/>
      <c r="R282" s="559"/>
      <c r="S282" s="559"/>
      <c r="T282" s="559"/>
      <c r="U282" s="559"/>
      <c r="V282" s="559"/>
      <c r="W282" s="559"/>
      <c r="X282" s="559"/>
      <c r="Y282" s="559"/>
      <c r="Z282" s="559"/>
      <c r="AA282" s="559"/>
      <c r="AB282" s="559"/>
    </row>
    <row r="283" spans="1:28">
      <c r="A283" s="594"/>
      <c r="B283" s="559"/>
      <c r="C283" s="559"/>
      <c r="D283" s="559"/>
      <c r="E283" s="559"/>
      <c r="F283" s="559"/>
      <c r="G283" s="559"/>
      <c r="H283" s="559"/>
      <c r="I283" s="603"/>
      <c r="J283" s="603"/>
      <c r="K283" s="559"/>
      <c r="L283" s="559"/>
      <c r="M283" s="559"/>
      <c r="N283" s="559"/>
      <c r="O283" s="559"/>
      <c r="P283" s="559"/>
      <c r="Q283" s="603"/>
      <c r="R283" s="559"/>
      <c r="S283" s="559"/>
      <c r="T283" s="559"/>
      <c r="U283" s="559"/>
      <c r="V283" s="559"/>
      <c r="W283" s="559"/>
      <c r="X283" s="559"/>
      <c r="Y283" s="559"/>
      <c r="Z283" s="559"/>
      <c r="AA283" s="559"/>
      <c r="AB283" s="559"/>
    </row>
    <row r="284" spans="1:28">
      <c r="A284" s="594"/>
      <c r="B284" s="559"/>
      <c r="C284" s="559"/>
      <c r="D284" s="559"/>
      <c r="E284" s="559"/>
      <c r="F284" s="559"/>
      <c r="G284" s="559"/>
      <c r="H284" s="559"/>
      <c r="I284" s="603"/>
      <c r="J284" s="603"/>
      <c r="K284" s="559"/>
      <c r="L284" s="559"/>
      <c r="M284" s="559"/>
      <c r="N284" s="559"/>
      <c r="O284" s="559"/>
      <c r="P284" s="559"/>
      <c r="Q284" s="603"/>
      <c r="R284" s="559"/>
      <c r="S284" s="559"/>
      <c r="T284" s="559"/>
      <c r="U284" s="559"/>
      <c r="V284" s="559"/>
      <c r="W284" s="559"/>
      <c r="X284" s="559"/>
      <c r="Y284" s="559"/>
      <c r="Z284" s="559"/>
      <c r="AA284" s="559"/>
      <c r="AB284" s="559"/>
    </row>
    <row r="285" spans="1:28">
      <c r="A285" s="594"/>
      <c r="B285" s="559"/>
      <c r="C285" s="559"/>
      <c r="D285" s="559"/>
      <c r="E285" s="559"/>
      <c r="F285" s="559"/>
      <c r="G285" s="559"/>
      <c r="H285" s="559"/>
      <c r="I285" s="603"/>
      <c r="J285" s="603"/>
      <c r="K285" s="559"/>
      <c r="L285" s="559"/>
      <c r="M285" s="559"/>
      <c r="N285" s="559"/>
      <c r="O285" s="559"/>
      <c r="P285" s="559"/>
      <c r="Q285" s="603"/>
      <c r="R285" s="559"/>
      <c r="S285" s="559"/>
      <c r="T285" s="559"/>
      <c r="U285" s="559"/>
      <c r="V285" s="559"/>
      <c r="W285" s="559"/>
      <c r="X285" s="559"/>
      <c r="Y285" s="559"/>
      <c r="Z285" s="559"/>
      <c r="AA285" s="559"/>
      <c r="AB285" s="559"/>
    </row>
    <row r="286" spans="1:28">
      <c r="A286" s="594"/>
      <c r="B286" s="559"/>
      <c r="C286" s="559"/>
      <c r="D286" s="559"/>
      <c r="E286" s="559"/>
      <c r="F286" s="559"/>
      <c r="G286" s="559"/>
      <c r="H286" s="559"/>
      <c r="I286" s="603"/>
      <c r="J286" s="603"/>
      <c r="K286" s="559"/>
      <c r="L286" s="559"/>
      <c r="M286" s="559"/>
      <c r="N286" s="559"/>
      <c r="O286" s="559"/>
      <c r="P286" s="559"/>
      <c r="Q286" s="603"/>
      <c r="R286" s="559"/>
      <c r="S286" s="559"/>
      <c r="T286" s="559"/>
      <c r="U286" s="559"/>
      <c r="V286" s="559"/>
      <c r="W286" s="559"/>
      <c r="X286" s="559"/>
      <c r="Y286" s="559"/>
      <c r="Z286" s="559"/>
      <c r="AA286" s="559"/>
      <c r="AB286" s="559"/>
    </row>
    <row r="287" spans="1:28">
      <c r="A287" s="594"/>
      <c r="B287" s="559"/>
      <c r="C287" s="559"/>
      <c r="D287" s="559"/>
      <c r="E287" s="559"/>
      <c r="F287" s="559"/>
      <c r="G287" s="559"/>
      <c r="H287" s="559"/>
      <c r="I287" s="603"/>
      <c r="J287" s="603"/>
      <c r="K287" s="559"/>
      <c r="L287" s="559"/>
      <c r="M287" s="559"/>
      <c r="N287" s="559"/>
      <c r="O287" s="559"/>
      <c r="P287" s="559"/>
      <c r="Q287" s="603"/>
      <c r="R287" s="559"/>
      <c r="S287" s="559"/>
      <c r="T287" s="559"/>
      <c r="U287" s="559"/>
      <c r="V287" s="559"/>
      <c r="W287" s="559"/>
      <c r="X287" s="559"/>
      <c r="Y287" s="559"/>
      <c r="Z287" s="559"/>
      <c r="AA287" s="559"/>
      <c r="AB287" s="559"/>
    </row>
    <row r="288" spans="1:28">
      <c r="A288" s="594"/>
      <c r="B288" s="559"/>
      <c r="C288" s="559"/>
      <c r="D288" s="559"/>
      <c r="E288" s="559"/>
      <c r="F288" s="559"/>
      <c r="G288" s="559"/>
      <c r="H288" s="559"/>
      <c r="I288" s="603"/>
      <c r="J288" s="603"/>
      <c r="K288" s="559"/>
      <c r="L288" s="559"/>
      <c r="M288" s="559"/>
      <c r="N288" s="559"/>
      <c r="O288" s="559"/>
      <c r="P288" s="559"/>
      <c r="Q288" s="603"/>
      <c r="R288" s="559"/>
      <c r="S288" s="559"/>
      <c r="T288" s="559"/>
      <c r="U288" s="559"/>
      <c r="V288" s="559"/>
      <c r="W288" s="559"/>
      <c r="X288" s="559"/>
      <c r="Y288" s="559"/>
      <c r="Z288" s="559"/>
      <c r="AA288" s="559"/>
      <c r="AB288" s="559"/>
    </row>
    <row r="289" spans="1:28">
      <c r="A289" s="594"/>
      <c r="B289" s="559"/>
      <c r="C289" s="559"/>
      <c r="D289" s="559"/>
      <c r="E289" s="559"/>
      <c r="F289" s="559"/>
      <c r="G289" s="559"/>
      <c r="H289" s="559"/>
      <c r="I289" s="603"/>
      <c r="J289" s="603"/>
      <c r="K289" s="559"/>
      <c r="L289" s="559"/>
      <c r="M289" s="559"/>
      <c r="N289" s="559"/>
      <c r="O289" s="559"/>
      <c r="P289" s="559"/>
      <c r="Q289" s="603"/>
      <c r="R289" s="559"/>
      <c r="S289" s="559"/>
      <c r="T289" s="559"/>
      <c r="U289" s="559"/>
      <c r="V289" s="559"/>
      <c r="W289" s="559"/>
      <c r="X289" s="559"/>
      <c r="Y289" s="559"/>
      <c r="Z289" s="559"/>
      <c r="AA289" s="559"/>
      <c r="AB289" s="559"/>
    </row>
    <row r="290" spans="1:28">
      <c r="A290" s="594"/>
      <c r="B290" s="559"/>
      <c r="C290" s="559"/>
      <c r="D290" s="559"/>
      <c r="E290" s="559"/>
      <c r="F290" s="559"/>
      <c r="G290" s="559"/>
      <c r="H290" s="559"/>
      <c r="I290" s="603"/>
      <c r="J290" s="603"/>
      <c r="K290" s="559"/>
      <c r="L290" s="559"/>
      <c r="M290" s="559"/>
      <c r="N290" s="559"/>
      <c r="O290" s="559"/>
      <c r="P290" s="559"/>
      <c r="Q290" s="603"/>
      <c r="R290" s="559"/>
      <c r="S290" s="559"/>
      <c r="T290" s="559"/>
      <c r="U290" s="559"/>
      <c r="V290" s="559"/>
      <c r="W290" s="559"/>
      <c r="X290" s="559"/>
      <c r="Y290" s="559"/>
      <c r="Z290" s="559"/>
      <c r="AA290" s="559"/>
      <c r="AB290" s="559"/>
    </row>
    <row r="291" spans="1:28">
      <c r="A291" s="594"/>
      <c r="B291" s="559"/>
      <c r="C291" s="559"/>
      <c r="D291" s="559"/>
      <c r="E291" s="559"/>
      <c r="F291" s="559"/>
      <c r="G291" s="559"/>
      <c r="H291" s="559"/>
      <c r="I291" s="603"/>
      <c r="J291" s="603"/>
      <c r="K291" s="559"/>
      <c r="L291" s="559"/>
      <c r="M291" s="559"/>
      <c r="N291" s="559"/>
      <c r="O291" s="559"/>
      <c r="P291" s="559"/>
      <c r="Q291" s="603"/>
      <c r="R291" s="559"/>
      <c r="S291" s="559"/>
      <c r="T291" s="559"/>
      <c r="U291" s="559"/>
      <c r="V291" s="559"/>
      <c r="W291" s="559"/>
      <c r="X291" s="559"/>
      <c r="Y291" s="559"/>
      <c r="Z291" s="559"/>
      <c r="AA291" s="559"/>
      <c r="AB291" s="559"/>
    </row>
    <row r="292" spans="1:28">
      <c r="A292" s="594"/>
      <c r="B292" s="559"/>
      <c r="C292" s="559"/>
      <c r="D292" s="559"/>
      <c r="E292" s="559"/>
      <c r="F292" s="559"/>
      <c r="G292" s="559"/>
      <c r="H292" s="559"/>
      <c r="I292" s="603"/>
      <c r="J292" s="603"/>
      <c r="K292" s="559"/>
      <c r="L292" s="559"/>
      <c r="M292" s="559"/>
      <c r="N292" s="559"/>
      <c r="O292" s="559"/>
      <c r="P292" s="559"/>
      <c r="Q292" s="603"/>
      <c r="R292" s="559"/>
      <c r="S292" s="559"/>
      <c r="T292" s="559"/>
      <c r="U292" s="559"/>
      <c r="V292" s="559"/>
      <c r="W292" s="559"/>
      <c r="X292" s="559"/>
      <c r="Y292" s="559"/>
      <c r="Z292" s="559"/>
      <c r="AA292" s="559"/>
      <c r="AB292" s="559"/>
    </row>
    <row r="293" spans="1:28">
      <c r="A293" s="594"/>
      <c r="B293" s="559"/>
      <c r="C293" s="559"/>
      <c r="D293" s="559"/>
      <c r="E293" s="559"/>
      <c r="F293" s="559"/>
      <c r="G293" s="559"/>
      <c r="H293" s="559"/>
      <c r="I293" s="603"/>
      <c r="J293" s="603"/>
      <c r="K293" s="559"/>
      <c r="L293" s="559"/>
      <c r="M293" s="559"/>
      <c r="N293" s="559"/>
      <c r="O293" s="559"/>
      <c r="P293" s="559"/>
      <c r="Q293" s="603"/>
      <c r="R293" s="559"/>
      <c r="S293" s="559"/>
      <c r="T293" s="559"/>
      <c r="U293" s="559"/>
      <c r="V293" s="559"/>
      <c r="W293" s="559"/>
      <c r="X293" s="559"/>
      <c r="Y293" s="559"/>
      <c r="Z293" s="559"/>
      <c r="AA293" s="559"/>
      <c r="AB293" s="559"/>
    </row>
    <row r="294" spans="1:28">
      <c r="A294" s="594"/>
      <c r="B294" s="559"/>
      <c r="C294" s="559"/>
      <c r="D294" s="559"/>
      <c r="E294" s="559"/>
      <c r="F294" s="559"/>
      <c r="G294" s="559"/>
      <c r="H294" s="559"/>
      <c r="I294" s="603"/>
      <c r="J294" s="603"/>
      <c r="K294" s="559"/>
      <c r="L294" s="559"/>
      <c r="M294" s="559"/>
      <c r="N294" s="559"/>
      <c r="O294" s="559"/>
      <c r="P294" s="559"/>
      <c r="Q294" s="603"/>
      <c r="R294" s="559"/>
      <c r="S294" s="559"/>
      <c r="T294" s="559"/>
      <c r="U294" s="559"/>
      <c r="V294" s="559"/>
      <c r="W294" s="559"/>
      <c r="X294" s="559"/>
      <c r="Y294" s="559"/>
      <c r="Z294" s="559"/>
      <c r="AA294" s="559"/>
      <c r="AB294" s="559"/>
    </row>
    <row r="295" spans="1:28">
      <c r="A295" s="594"/>
      <c r="B295" s="559"/>
      <c r="C295" s="559"/>
      <c r="D295" s="559"/>
      <c r="E295" s="559"/>
      <c r="F295" s="559"/>
      <c r="G295" s="559"/>
      <c r="H295" s="559"/>
      <c r="I295" s="603"/>
      <c r="J295" s="603"/>
      <c r="K295" s="559"/>
      <c r="L295" s="559"/>
      <c r="M295" s="559"/>
      <c r="N295" s="559"/>
      <c r="O295" s="559"/>
      <c r="P295" s="559"/>
      <c r="Q295" s="603"/>
      <c r="R295" s="559"/>
      <c r="S295" s="559"/>
      <c r="T295" s="559"/>
      <c r="U295" s="559"/>
      <c r="V295" s="559"/>
      <c r="W295" s="559"/>
      <c r="X295" s="559"/>
      <c r="Y295" s="559"/>
      <c r="Z295" s="559"/>
      <c r="AA295" s="559"/>
      <c r="AB295" s="559"/>
    </row>
    <row r="296" spans="1:28">
      <c r="A296" s="594"/>
      <c r="B296" s="559"/>
      <c r="C296" s="559"/>
      <c r="D296" s="559"/>
      <c r="E296" s="559"/>
      <c r="F296" s="559"/>
      <c r="G296" s="559"/>
      <c r="H296" s="559"/>
      <c r="I296" s="603"/>
      <c r="J296" s="603"/>
      <c r="K296" s="559"/>
      <c r="L296" s="559"/>
      <c r="M296" s="559"/>
      <c r="N296" s="559"/>
      <c r="O296" s="559"/>
      <c r="P296" s="559"/>
      <c r="Q296" s="603"/>
      <c r="R296" s="559"/>
      <c r="S296" s="559"/>
      <c r="T296" s="559"/>
      <c r="U296" s="559"/>
      <c r="V296" s="559"/>
      <c r="W296" s="559"/>
      <c r="X296" s="559"/>
      <c r="Y296" s="559"/>
      <c r="Z296" s="559"/>
      <c r="AA296" s="559"/>
      <c r="AB296" s="559"/>
    </row>
    <row r="297" spans="1:28">
      <c r="A297" s="594"/>
      <c r="B297" s="559"/>
      <c r="C297" s="559"/>
      <c r="D297" s="559"/>
      <c r="E297" s="559"/>
      <c r="F297" s="559"/>
      <c r="G297" s="559"/>
      <c r="H297" s="559"/>
      <c r="I297" s="603"/>
      <c r="J297" s="603"/>
      <c r="K297" s="559"/>
      <c r="L297" s="559"/>
      <c r="M297" s="559"/>
      <c r="N297" s="559"/>
      <c r="O297" s="559"/>
      <c r="P297" s="559"/>
      <c r="Q297" s="603"/>
      <c r="R297" s="559"/>
      <c r="S297" s="559"/>
      <c r="T297" s="559"/>
      <c r="U297" s="559"/>
      <c r="V297" s="559"/>
      <c r="W297" s="559"/>
      <c r="X297" s="559"/>
      <c r="Y297" s="559"/>
      <c r="Z297" s="559"/>
      <c r="AA297" s="559"/>
      <c r="AB297" s="559"/>
    </row>
    <row r="298" spans="1:28">
      <c r="A298" s="594"/>
      <c r="B298" s="559"/>
      <c r="C298" s="559"/>
      <c r="D298" s="559"/>
      <c r="E298" s="559"/>
      <c r="F298" s="559"/>
      <c r="G298" s="559"/>
      <c r="H298" s="559"/>
      <c r="I298" s="603"/>
      <c r="J298" s="603"/>
      <c r="K298" s="559"/>
      <c r="L298" s="559"/>
      <c r="M298" s="559"/>
      <c r="N298" s="559"/>
      <c r="O298" s="559"/>
      <c r="P298" s="559"/>
      <c r="Q298" s="603"/>
      <c r="R298" s="559"/>
      <c r="S298" s="559"/>
      <c r="T298" s="559"/>
      <c r="U298" s="559"/>
      <c r="V298" s="559"/>
      <c r="W298" s="559"/>
      <c r="X298" s="559"/>
      <c r="Y298" s="559"/>
      <c r="Z298" s="559"/>
      <c r="AA298" s="559"/>
      <c r="AB298" s="559"/>
    </row>
    <row r="299" spans="1:28">
      <c r="A299" s="594"/>
      <c r="B299" s="559"/>
      <c r="C299" s="559"/>
      <c r="D299" s="559"/>
      <c r="E299" s="559"/>
      <c r="F299" s="559"/>
      <c r="G299" s="559"/>
      <c r="H299" s="559"/>
      <c r="I299" s="603"/>
      <c r="J299" s="603"/>
      <c r="K299" s="559"/>
      <c r="L299" s="559"/>
      <c r="M299" s="559"/>
      <c r="N299" s="559"/>
      <c r="O299" s="559"/>
      <c r="P299" s="559"/>
      <c r="Q299" s="603"/>
      <c r="R299" s="559"/>
      <c r="S299" s="559"/>
      <c r="T299" s="559"/>
      <c r="U299" s="559"/>
      <c r="V299" s="559"/>
      <c r="W299" s="559"/>
      <c r="X299" s="559"/>
      <c r="Y299" s="559"/>
      <c r="Z299" s="559"/>
      <c r="AA299" s="559"/>
      <c r="AB299" s="559"/>
    </row>
    <row r="300" spans="1:28">
      <c r="A300" s="594"/>
      <c r="B300" s="559"/>
      <c r="C300" s="559"/>
      <c r="D300" s="559"/>
      <c r="E300" s="559"/>
      <c r="F300" s="559"/>
      <c r="G300" s="559"/>
      <c r="H300" s="559"/>
      <c r="I300" s="603"/>
      <c r="J300" s="603"/>
      <c r="K300" s="559"/>
      <c r="L300" s="559"/>
      <c r="M300" s="559"/>
      <c r="N300" s="559"/>
      <c r="O300" s="559"/>
      <c r="P300" s="559"/>
      <c r="Q300" s="603"/>
      <c r="R300" s="559"/>
      <c r="S300" s="559"/>
      <c r="T300" s="559"/>
      <c r="U300" s="559"/>
      <c r="V300" s="559"/>
      <c r="W300" s="559"/>
      <c r="X300" s="559"/>
      <c r="Y300" s="559"/>
      <c r="Z300" s="559"/>
      <c r="AA300" s="559"/>
      <c r="AB300" s="559"/>
    </row>
    <row r="301" spans="1:28">
      <c r="A301" s="594"/>
      <c r="B301" s="559"/>
      <c r="C301" s="559"/>
      <c r="D301" s="559"/>
      <c r="E301" s="559"/>
      <c r="F301" s="559"/>
      <c r="G301" s="559"/>
      <c r="H301" s="559"/>
      <c r="I301" s="603"/>
      <c r="J301" s="603"/>
      <c r="K301" s="559"/>
      <c r="L301" s="559"/>
      <c r="M301" s="559"/>
      <c r="N301" s="559"/>
      <c r="O301" s="559"/>
      <c r="P301" s="559"/>
      <c r="Q301" s="603"/>
      <c r="R301" s="559"/>
      <c r="S301" s="559"/>
      <c r="T301" s="559"/>
      <c r="U301" s="559"/>
      <c r="V301" s="559"/>
      <c r="W301" s="559"/>
      <c r="X301" s="559"/>
      <c r="Y301" s="559"/>
      <c r="Z301" s="559"/>
      <c r="AA301" s="559"/>
      <c r="AB301" s="559"/>
    </row>
    <row r="302" spans="1:28">
      <c r="A302" s="594"/>
      <c r="B302" s="559"/>
      <c r="C302" s="559"/>
      <c r="D302" s="559"/>
      <c r="E302" s="559"/>
      <c r="F302" s="559"/>
      <c r="G302" s="559"/>
      <c r="H302" s="559"/>
      <c r="I302" s="603"/>
      <c r="J302" s="603"/>
      <c r="K302" s="559"/>
      <c r="L302" s="559"/>
      <c r="M302" s="559"/>
      <c r="N302" s="559"/>
      <c r="O302" s="559"/>
      <c r="P302" s="559"/>
      <c r="Q302" s="603"/>
      <c r="R302" s="559"/>
      <c r="S302" s="559"/>
      <c r="T302" s="559"/>
      <c r="U302" s="559"/>
      <c r="V302" s="559"/>
      <c r="W302" s="559"/>
      <c r="X302" s="559"/>
      <c r="Y302" s="559"/>
      <c r="Z302" s="559"/>
      <c r="AA302" s="559"/>
      <c r="AB302" s="559"/>
    </row>
    <row r="303" spans="1:28">
      <c r="A303" s="594"/>
      <c r="B303" s="559"/>
      <c r="C303" s="559"/>
      <c r="D303" s="559"/>
      <c r="E303" s="559"/>
      <c r="F303" s="559"/>
      <c r="G303" s="559"/>
      <c r="H303" s="559"/>
      <c r="I303" s="603"/>
      <c r="J303" s="603"/>
      <c r="K303" s="559"/>
      <c r="L303" s="559"/>
      <c r="M303" s="559"/>
      <c r="N303" s="559"/>
      <c r="O303" s="559"/>
      <c r="P303" s="559"/>
      <c r="Q303" s="603"/>
      <c r="R303" s="559"/>
      <c r="S303" s="559"/>
      <c r="T303" s="559"/>
      <c r="U303" s="559"/>
      <c r="V303" s="559"/>
      <c r="W303" s="559"/>
      <c r="X303" s="559"/>
      <c r="Y303" s="559"/>
      <c r="Z303" s="559"/>
      <c r="AA303" s="559"/>
      <c r="AB303" s="559"/>
    </row>
    <row r="304" spans="1:28">
      <c r="A304" s="594"/>
      <c r="B304" s="559"/>
      <c r="C304" s="559"/>
      <c r="D304" s="559"/>
      <c r="E304" s="559"/>
      <c r="F304" s="559"/>
      <c r="G304" s="559"/>
      <c r="H304" s="559"/>
      <c r="I304" s="603"/>
      <c r="J304" s="603"/>
      <c r="K304" s="559"/>
      <c r="L304" s="559"/>
      <c r="M304" s="559"/>
      <c r="N304" s="559"/>
      <c r="O304" s="559"/>
      <c r="P304" s="559"/>
      <c r="Q304" s="603"/>
      <c r="R304" s="559"/>
      <c r="S304" s="559"/>
      <c r="T304" s="559"/>
      <c r="U304" s="559"/>
      <c r="V304" s="559"/>
      <c r="W304" s="559"/>
      <c r="X304" s="559"/>
      <c r="Y304" s="559"/>
      <c r="Z304" s="559"/>
      <c r="AA304" s="559"/>
      <c r="AB304" s="559"/>
    </row>
    <row r="305" spans="1:28">
      <c r="A305" s="594"/>
      <c r="B305" s="559"/>
      <c r="C305" s="559"/>
      <c r="D305" s="559"/>
      <c r="E305" s="559"/>
      <c r="F305" s="559"/>
      <c r="G305" s="559"/>
      <c r="H305" s="559"/>
      <c r="I305" s="603"/>
      <c r="J305" s="603"/>
      <c r="K305" s="559"/>
      <c r="L305" s="559"/>
      <c r="M305" s="559"/>
      <c r="N305" s="559"/>
      <c r="O305" s="559"/>
      <c r="P305" s="559"/>
      <c r="Q305" s="603"/>
      <c r="R305" s="559"/>
      <c r="S305" s="559"/>
      <c r="T305" s="559"/>
      <c r="U305" s="559"/>
      <c r="V305" s="559"/>
      <c r="W305" s="559"/>
      <c r="X305" s="559"/>
      <c r="Y305" s="559"/>
      <c r="Z305" s="559"/>
      <c r="AA305" s="559"/>
      <c r="AB305" s="559"/>
    </row>
    <row r="306" spans="1:28">
      <c r="A306" s="594"/>
      <c r="B306" s="559"/>
      <c r="C306" s="559"/>
      <c r="D306" s="559"/>
      <c r="E306" s="559"/>
      <c r="F306" s="559"/>
      <c r="G306" s="559"/>
      <c r="H306" s="559"/>
      <c r="I306" s="603"/>
      <c r="J306" s="603"/>
      <c r="K306" s="559"/>
      <c r="L306" s="559"/>
      <c r="M306" s="559"/>
      <c r="N306" s="559"/>
      <c r="O306" s="559"/>
      <c r="P306" s="559"/>
      <c r="Q306" s="603"/>
      <c r="R306" s="559"/>
      <c r="S306" s="559"/>
      <c r="T306" s="559"/>
      <c r="U306" s="559"/>
      <c r="V306" s="559"/>
      <c r="W306" s="559"/>
      <c r="X306" s="559"/>
      <c r="Y306" s="559"/>
      <c r="Z306" s="559"/>
      <c r="AA306" s="559"/>
      <c r="AB306" s="559"/>
    </row>
    <row r="307" spans="1:28">
      <c r="A307" s="594"/>
      <c r="B307" s="559"/>
      <c r="C307" s="559"/>
      <c r="D307" s="559"/>
      <c r="E307" s="559"/>
      <c r="F307" s="559"/>
      <c r="G307" s="559"/>
      <c r="H307" s="559"/>
      <c r="I307" s="603"/>
      <c r="J307" s="603"/>
      <c r="K307" s="559"/>
      <c r="L307" s="559"/>
      <c r="M307" s="559"/>
      <c r="N307" s="559"/>
      <c r="O307" s="559"/>
      <c r="P307" s="559"/>
      <c r="Q307" s="603"/>
      <c r="R307" s="559"/>
      <c r="S307" s="559"/>
      <c r="T307" s="559"/>
      <c r="U307" s="559"/>
      <c r="V307" s="559"/>
      <c r="W307" s="559"/>
      <c r="X307" s="559"/>
      <c r="Y307" s="559"/>
      <c r="Z307" s="559"/>
      <c r="AA307" s="559"/>
      <c r="AB307" s="559"/>
    </row>
    <row r="308" spans="1:28">
      <c r="A308" s="594"/>
      <c r="B308" s="559"/>
      <c r="C308" s="559"/>
      <c r="D308" s="559"/>
      <c r="E308" s="559"/>
      <c r="F308" s="559"/>
      <c r="G308" s="559"/>
      <c r="H308" s="559"/>
      <c r="I308" s="603"/>
      <c r="J308" s="603"/>
      <c r="K308" s="559"/>
      <c r="L308" s="559"/>
      <c r="M308" s="559"/>
      <c r="N308" s="559"/>
      <c r="O308" s="559"/>
      <c r="P308" s="559"/>
      <c r="Q308" s="603"/>
      <c r="R308" s="559"/>
      <c r="S308" s="559"/>
      <c r="T308" s="559"/>
      <c r="U308" s="559"/>
      <c r="V308" s="559"/>
      <c r="W308" s="559"/>
      <c r="X308" s="559"/>
      <c r="Y308" s="559"/>
      <c r="Z308" s="559"/>
      <c r="AA308" s="559"/>
      <c r="AB308" s="559"/>
    </row>
    <row r="309" spans="1:28">
      <c r="A309" s="594"/>
      <c r="B309" s="559"/>
      <c r="C309" s="559"/>
      <c r="D309" s="559"/>
      <c r="E309" s="559"/>
      <c r="F309" s="559"/>
      <c r="G309" s="559"/>
      <c r="H309" s="559"/>
      <c r="I309" s="603"/>
      <c r="J309" s="603"/>
      <c r="K309" s="559"/>
      <c r="L309" s="559"/>
      <c r="M309" s="559"/>
      <c r="N309" s="559"/>
      <c r="O309" s="559"/>
      <c r="P309" s="559"/>
      <c r="Q309" s="603"/>
      <c r="R309" s="559"/>
      <c r="S309" s="559"/>
      <c r="T309" s="559"/>
      <c r="U309" s="559"/>
      <c r="V309" s="559"/>
      <c r="W309" s="559"/>
      <c r="X309" s="559"/>
      <c r="Y309" s="559"/>
      <c r="Z309" s="559"/>
      <c r="AA309" s="559"/>
      <c r="AB309" s="559"/>
    </row>
    <row r="310" spans="1:28">
      <c r="A310" s="594"/>
      <c r="B310" s="559"/>
      <c r="C310" s="559"/>
      <c r="D310" s="559"/>
      <c r="E310" s="559"/>
      <c r="F310" s="559"/>
      <c r="G310" s="559"/>
      <c r="H310" s="559"/>
      <c r="I310" s="603"/>
      <c r="J310" s="603"/>
      <c r="K310" s="559"/>
      <c r="L310" s="559"/>
      <c r="M310" s="559"/>
      <c r="N310" s="559"/>
      <c r="O310" s="559"/>
      <c r="P310" s="559"/>
      <c r="Q310" s="603"/>
      <c r="R310" s="559"/>
      <c r="S310" s="559"/>
      <c r="T310" s="559"/>
      <c r="U310" s="559"/>
      <c r="V310" s="559"/>
      <c r="W310" s="559"/>
      <c r="X310" s="559"/>
      <c r="Y310" s="559"/>
      <c r="Z310" s="559"/>
      <c r="AA310" s="559"/>
      <c r="AB310" s="559"/>
    </row>
    <row r="311" spans="1:28">
      <c r="A311" s="594"/>
      <c r="B311" s="559"/>
      <c r="C311" s="559"/>
      <c r="D311" s="559"/>
      <c r="E311" s="559"/>
      <c r="F311" s="559"/>
      <c r="G311" s="559"/>
      <c r="H311" s="559"/>
      <c r="I311" s="603"/>
      <c r="J311" s="603"/>
      <c r="K311" s="559"/>
      <c r="L311" s="559"/>
      <c r="M311" s="559"/>
      <c r="N311" s="559"/>
      <c r="O311" s="559"/>
      <c r="P311" s="559"/>
      <c r="Q311" s="603"/>
      <c r="R311" s="559"/>
      <c r="S311" s="559"/>
      <c r="T311" s="559"/>
      <c r="U311" s="559"/>
      <c r="V311" s="559"/>
      <c r="W311" s="559"/>
      <c r="X311" s="559"/>
      <c r="Y311" s="559"/>
      <c r="Z311" s="559"/>
      <c r="AA311" s="559"/>
      <c r="AB311" s="559"/>
    </row>
    <row r="312" spans="1:28">
      <c r="A312" s="594"/>
      <c r="B312" s="559"/>
      <c r="C312" s="559"/>
      <c r="D312" s="559"/>
      <c r="E312" s="559"/>
      <c r="F312" s="559"/>
      <c r="G312" s="559"/>
      <c r="H312" s="559"/>
      <c r="I312" s="603"/>
      <c r="J312" s="603"/>
      <c r="K312" s="559"/>
      <c r="L312" s="559"/>
      <c r="M312" s="559"/>
      <c r="N312" s="559"/>
      <c r="O312" s="559"/>
      <c r="P312" s="559"/>
      <c r="Q312" s="603"/>
      <c r="R312" s="559"/>
      <c r="S312" s="559"/>
      <c r="T312" s="559"/>
      <c r="U312" s="559"/>
      <c r="V312" s="559"/>
      <c r="W312" s="559"/>
      <c r="X312" s="559"/>
      <c r="Y312" s="559"/>
      <c r="Z312" s="559"/>
      <c r="AA312" s="559"/>
      <c r="AB312" s="559"/>
    </row>
    <row r="313" spans="1:28">
      <c r="A313" s="594"/>
      <c r="B313" s="559"/>
      <c r="C313" s="559"/>
      <c r="D313" s="559"/>
      <c r="E313" s="559"/>
      <c r="F313" s="559"/>
      <c r="G313" s="559"/>
      <c r="H313" s="559"/>
      <c r="I313" s="603"/>
      <c r="J313" s="603"/>
      <c r="K313" s="559"/>
      <c r="L313" s="559"/>
      <c r="M313" s="559"/>
      <c r="N313" s="559"/>
      <c r="O313" s="559"/>
      <c r="P313" s="559"/>
      <c r="Q313" s="603"/>
      <c r="R313" s="559"/>
      <c r="S313" s="559"/>
      <c r="T313" s="559"/>
      <c r="U313" s="559"/>
      <c r="V313" s="559"/>
      <c r="W313" s="559"/>
      <c r="X313" s="559"/>
      <c r="Y313" s="559"/>
      <c r="Z313" s="559"/>
      <c r="AA313" s="559"/>
      <c r="AB313" s="559"/>
    </row>
    <row r="314" spans="1:28">
      <c r="A314" s="594"/>
      <c r="B314" s="559"/>
      <c r="C314" s="559"/>
      <c r="D314" s="559"/>
      <c r="E314" s="559"/>
      <c r="F314" s="559"/>
      <c r="G314" s="559"/>
      <c r="H314" s="559"/>
      <c r="I314" s="603"/>
      <c r="J314" s="603"/>
      <c r="K314" s="559"/>
      <c r="L314" s="559"/>
      <c r="M314" s="559"/>
      <c r="N314" s="559"/>
      <c r="O314" s="559"/>
      <c r="P314" s="559"/>
      <c r="Q314" s="603"/>
      <c r="R314" s="559"/>
      <c r="S314" s="559"/>
      <c r="T314" s="559"/>
      <c r="U314" s="559"/>
      <c r="V314" s="559"/>
      <c r="W314" s="559"/>
      <c r="X314" s="559"/>
      <c r="Y314" s="559"/>
      <c r="Z314" s="559"/>
      <c r="AA314" s="559"/>
      <c r="AB314" s="559"/>
    </row>
    <row r="315" spans="1:28">
      <c r="A315" s="594"/>
      <c r="B315" s="559"/>
      <c r="C315" s="559"/>
      <c r="D315" s="559"/>
      <c r="E315" s="559"/>
      <c r="F315" s="559"/>
      <c r="G315" s="559"/>
      <c r="H315" s="559"/>
      <c r="I315" s="603"/>
      <c r="J315" s="603"/>
      <c r="K315" s="559"/>
      <c r="L315" s="559"/>
      <c r="M315" s="559"/>
      <c r="N315" s="559"/>
      <c r="O315" s="559"/>
      <c r="P315" s="559"/>
      <c r="Q315" s="603"/>
      <c r="R315" s="559"/>
      <c r="S315" s="559"/>
      <c r="T315" s="559"/>
      <c r="U315" s="559"/>
      <c r="V315" s="559"/>
      <c r="W315" s="559"/>
      <c r="X315" s="559"/>
      <c r="Y315" s="559"/>
      <c r="Z315" s="559"/>
      <c r="AA315" s="559"/>
      <c r="AB315" s="559"/>
    </row>
    <row r="316" spans="1:28">
      <c r="A316" s="594"/>
      <c r="B316" s="559"/>
      <c r="C316" s="559"/>
      <c r="D316" s="559"/>
      <c r="E316" s="559"/>
      <c r="F316" s="559"/>
      <c r="G316" s="559"/>
      <c r="H316" s="559"/>
      <c r="I316" s="603"/>
      <c r="J316" s="603"/>
      <c r="K316" s="559"/>
      <c r="L316" s="559"/>
      <c r="M316" s="559"/>
      <c r="N316" s="559"/>
      <c r="O316" s="559"/>
      <c r="P316" s="559"/>
      <c r="Q316" s="603"/>
      <c r="R316" s="559"/>
      <c r="S316" s="559"/>
      <c r="T316" s="559"/>
      <c r="U316" s="559"/>
      <c r="V316" s="559"/>
      <c r="W316" s="559"/>
      <c r="X316" s="559"/>
      <c r="Y316" s="559"/>
      <c r="Z316" s="559"/>
      <c r="AA316" s="559"/>
      <c r="AB316" s="559"/>
    </row>
    <row r="317" spans="1:28">
      <c r="A317" s="594"/>
      <c r="B317" s="559"/>
      <c r="C317" s="559"/>
      <c r="D317" s="559"/>
      <c r="E317" s="559"/>
      <c r="F317" s="559"/>
      <c r="G317" s="559"/>
      <c r="H317" s="559"/>
      <c r="I317" s="603"/>
      <c r="J317" s="603"/>
      <c r="K317" s="559"/>
      <c r="L317" s="559"/>
      <c r="M317" s="559"/>
      <c r="N317" s="559"/>
      <c r="O317" s="559"/>
      <c r="P317" s="559"/>
      <c r="Q317" s="603"/>
      <c r="R317" s="559"/>
      <c r="S317" s="559"/>
      <c r="T317" s="559"/>
      <c r="U317" s="559"/>
      <c r="V317" s="559"/>
      <c r="W317" s="559"/>
      <c r="X317" s="559"/>
      <c r="Y317" s="559"/>
      <c r="Z317" s="559"/>
      <c r="AA317" s="559"/>
      <c r="AB317" s="559"/>
    </row>
    <row r="318" spans="1:28">
      <c r="A318" s="594"/>
      <c r="B318" s="559"/>
      <c r="C318" s="559"/>
      <c r="D318" s="559"/>
      <c r="E318" s="559"/>
      <c r="F318" s="559"/>
      <c r="G318" s="559"/>
      <c r="H318" s="559"/>
      <c r="I318" s="603"/>
      <c r="J318" s="603"/>
      <c r="K318" s="559"/>
      <c r="L318" s="559"/>
      <c r="M318" s="559"/>
      <c r="N318" s="559"/>
      <c r="O318" s="559"/>
      <c r="P318" s="559"/>
      <c r="Q318" s="603"/>
      <c r="R318" s="559"/>
      <c r="S318" s="559"/>
      <c r="T318" s="559"/>
      <c r="U318" s="559"/>
      <c r="V318" s="559"/>
      <c r="W318" s="559"/>
      <c r="X318" s="559"/>
      <c r="Y318" s="559"/>
      <c r="Z318" s="559"/>
      <c r="AA318" s="559"/>
      <c r="AB318" s="559"/>
    </row>
    <row r="319" spans="1:28">
      <c r="A319" s="594"/>
      <c r="B319" s="559"/>
      <c r="C319" s="559"/>
      <c r="D319" s="559"/>
      <c r="E319" s="559"/>
      <c r="F319" s="559"/>
      <c r="G319" s="559"/>
      <c r="H319" s="559"/>
      <c r="I319" s="603"/>
      <c r="J319" s="603"/>
      <c r="K319" s="559"/>
      <c r="L319" s="559"/>
      <c r="M319" s="559"/>
      <c r="N319" s="559"/>
      <c r="O319" s="559"/>
      <c r="P319" s="559"/>
      <c r="Q319" s="603"/>
      <c r="R319" s="559"/>
      <c r="S319" s="559"/>
      <c r="T319" s="559"/>
      <c r="U319" s="559"/>
      <c r="V319" s="559"/>
      <c r="W319" s="559"/>
      <c r="X319" s="559"/>
      <c r="Y319" s="559"/>
      <c r="Z319" s="559"/>
      <c r="AA319" s="559"/>
      <c r="AB319" s="559"/>
    </row>
    <row r="320" spans="1:28">
      <c r="A320" s="594"/>
      <c r="B320" s="559"/>
      <c r="C320" s="559"/>
      <c r="D320" s="559"/>
      <c r="E320" s="559"/>
      <c r="F320" s="559"/>
      <c r="G320" s="559"/>
      <c r="H320" s="559"/>
      <c r="I320" s="603"/>
      <c r="J320" s="603"/>
      <c r="K320" s="559"/>
      <c r="L320" s="559"/>
      <c r="M320" s="559"/>
      <c r="N320" s="559"/>
      <c r="O320" s="559"/>
      <c r="P320" s="559"/>
      <c r="Q320" s="603"/>
      <c r="R320" s="559"/>
      <c r="S320" s="559"/>
      <c r="T320" s="559"/>
      <c r="U320" s="559"/>
      <c r="V320" s="559"/>
      <c r="W320" s="559"/>
      <c r="X320" s="559"/>
      <c r="Y320" s="559"/>
      <c r="Z320" s="559"/>
      <c r="AA320" s="559"/>
      <c r="AB320" s="559"/>
    </row>
    <row r="321" spans="1:28">
      <c r="A321" s="594"/>
      <c r="B321" s="559"/>
      <c r="C321" s="559"/>
      <c r="D321" s="559"/>
      <c r="E321" s="559"/>
      <c r="F321" s="559"/>
      <c r="G321" s="559"/>
      <c r="H321" s="559"/>
      <c r="I321" s="603"/>
      <c r="J321" s="603"/>
      <c r="K321" s="559"/>
      <c r="L321" s="559"/>
      <c r="M321" s="559"/>
      <c r="N321" s="559"/>
      <c r="O321" s="559"/>
      <c r="P321" s="559"/>
      <c r="Q321" s="603"/>
      <c r="R321" s="559"/>
      <c r="S321" s="559"/>
      <c r="T321" s="559"/>
      <c r="U321" s="559"/>
      <c r="V321" s="559"/>
      <c r="W321" s="559"/>
      <c r="X321" s="559"/>
      <c r="Y321" s="559"/>
      <c r="Z321" s="559"/>
      <c r="AA321" s="559"/>
      <c r="AB321" s="559"/>
    </row>
    <row r="322" spans="1:28">
      <c r="A322" s="594"/>
      <c r="B322" s="559"/>
      <c r="C322" s="559"/>
      <c r="D322" s="559"/>
      <c r="E322" s="559"/>
      <c r="F322" s="559"/>
      <c r="G322" s="559"/>
      <c r="H322" s="559"/>
      <c r="I322" s="603"/>
      <c r="J322" s="603"/>
      <c r="K322" s="559"/>
      <c r="L322" s="559"/>
      <c r="M322" s="559"/>
      <c r="N322" s="559"/>
      <c r="O322" s="559"/>
      <c r="P322" s="559"/>
      <c r="Q322" s="603"/>
      <c r="R322" s="559"/>
      <c r="S322" s="559"/>
      <c r="T322" s="559"/>
      <c r="U322" s="559"/>
      <c r="V322" s="559"/>
      <c r="W322" s="559"/>
      <c r="X322" s="559"/>
      <c r="Y322" s="559"/>
      <c r="Z322" s="559"/>
      <c r="AA322" s="559"/>
      <c r="AB322" s="559"/>
    </row>
    <row r="323" spans="1:28">
      <c r="A323" s="594"/>
      <c r="B323" s="559"/>
      <c r="C323" s="559"/>
      <c r="D323" s="559"/>
      <c r="E323" s="559"/>
      <c r="F323" s="559"/>
      <c r="G323" s="559"/>
      <c r="H323" s="559"/>
      <c r="I323" s="603"/>
      <c r="J323" s="603"/>
      <c r="K323" s="559"/>
      <c r="L323" s="559"/>
      <c r="M323" s="559"/>
      <c r="N323" s="559"/>
      <c r="O323" s="559"/>
      <c r="P323" s="559"/>
      <c r="Q323" s="603"/>
      <c r="R323" s="559"/>
      <c r="S323" s="559"/>
      <c r="T323" s="559"/>
      <c r="U323" s="559"/>
      <c r="V323" s="559"/>
      <c r="W323" s="559"/>
      <c r="X323" s="559"/>
      <c r="Y323" s="559"/>
      <c r="Z323" s="559"/>
      <c r="AA323" s="559"/>
      <c r="AB323" s="559"/>
    </row>
    <row r="324" spans="1:28">
      <c r="A324" s="594"/>
      <c r="B324" s="559"/>
      <c r="C324" s="559"/>
      <c r="D324" s="559"/>
      <c r="E324" s="559"/>
      <c r="F324" s="559"/>
      <c r="G324" s="559"/>
      <c r="H324" s="559"/>
      <c r="I324" s="603"/>
      <c r="J324" s="603"/>
      <c r="K324" s="559"/>
      <c r="L324" s="559"/>
      <c r="M324" s="559"/>
      <c r="N324" s="559"/>
      <c r="O324" s="559"/>
      <c r="P324" s="559"/>
      <c r="Q324" s="603"/>
      <c r="R324" s="559"/>
      <c r="S324" s="559"/>
      <c r="T324" s="559"/>
      <c r="U324" s="559"/>
      <c r="V324" s="559"/>
      <c r="W324" s="559"/>
      <c r="X324" s="559"/>
      <c r="Y324" s="559"/>
      <c r="Z324" s="559"/>
      <c r="AA324" s="559"/>
      <c r="AB324" s="559"/>
    </row>
    <row r="325" spans="1:28">
      <c r="A325" s="594"/>
      <c r="B325" s="559"/>
      <c r="C325" s="559"/>
      <c r="D325" s="559"/>
      <c r="E325" s="559"/>
      <c r="F325" s="559"/>
      <c r="G325" s="559"/>
      <c r="H325" s="559"/>
      <c r="I325" s="603"/>
      <c r="J325" s="603"/>
      <c r="K325" s="559"/>
      <c r="L325" s="559"/>
      <c r="M325" s="559"/>
      <c r="N325" s="559"/>
      <c r="O325" s="559"/>
      <c r="P325" s="559"/>
      <c r="Q325" s="603"/>
      <c r="R325" s="559"/>
      <c r="S325" s="559"/>
      <c r="T325" s="559"/>
      <c r="U325" s="559"/>
      <c r="V325" s="559"/>
      <c r="W325" s="559"/>
      <c r="X325" s="559"/>
      <c r="Y325" s="559"/>
      <c r="Z325" s="559"/>
      <c r="AA325" s="559"/>
      <c r="AB325" s="559"/>
    </row>
    <row r="326" spans="1:28">
      <c r="A326" s="594"/>
      <c r="B326" s="559"/>
      <c r="C326" s="559"/>
      <c r="D326" s="559"/>
      <c r="E326" s="559"/>
      <c r="F326" s="559"/>
      <c r="G326" s="559"/>
      <c r="H326" s="559"/>
      <c r="I326" s="603"/>
      <c r="J326" s="603"/>
      <c r="K326" s="559"/>
      <c r="L326" s="559"/>
      <c r="M326" s="559"/>
      <c r="N326" s="559"/>
      <c r="O326" s="559"/>
      <c r="P326" s="559"/>
      <c r="Q326" s="603"/>
      <c r="R326" s="559"/>
      <c r="S326" s="559"/>
      <c r="T326" s="559"/>
      <c r="U326" s="559"/>
      <c r="V326" s="559"/>
      <c r="W326" s="559"/>
      <c r="X326" s="559"/>
      <c r="Y326" s="559"/>
      <c r="Z326" s="559"/>
      <c r="AA326" s="559"/>
      <c r="AB326" s="559"/>
    </row>
    <row r="327" spans="1:28">
      <c r="A327" s="594"/>
      <c r="B327" s="559"/>
      <c r="C327" s="559"/>
      <c r="D327" s="559"/>
      <c r="E327" s="559"/>
      <c r="F327" s="559"/>
      <c r="G327" s="559"/>
      <c r="H327" s="559"/>
      <c r="I327" s="603"/>
      <c r="J327" s="603"/>
      <c r="K327" s="559"/>
      <c r="L327" s="559"/>
      <c r="M327" s="559"/>
      <c r="N327" s="559"/>
      <c r="O327" s="559"/>
      <c r="P327" s="559"/>
      <c r="Q327" s="603"/>
      <c r="R327" s="559"/>
      <c r="S327" s="559"/>
      <c r="T327" s="559"/>
      <c r="U327" s="559"/>
      <c r="V327" s="559"/>
      <c r="W327" s="559"/>
      <c r="X327" s="559"/>
      <c r="Y327" s="559"/>
      <c r="Z327" s="559"/>
      <c r="AA327" s="559"/>
      <c r="AB327" s="559"/>
    </row>
    <row r="328" spans="1:28">
      <c r="A328" s="594"/>
      <c r="B328" s="559"/>
      <c r="C328" s="559"/>
      <c r="D328" s="559"/>
      <c r="E328" s="559"/>
      <c r="F328" s="559"/>
      <c r="G328" s="559"/>
      <c r="H328" s="559"/>
      <c r="I328" s="603"/>
      <c r="J328" s="603"/>
      <c r="K328" s="559"/>
      <c r="L328" s="559"/>
      <c r="M328" s="559"/>
      <c r="N328" s="559"/>
      <c r="O328" s="559"/>
      <c r="P328" s="559"/>
      <c r="Q328" s="603"/>
      <c r="R328" s="559"/>
      <c r="S328" s="559"/>
      <c r="T328" s="559"/>
      <c r="U328" s="559"/>
      <c r="V328" s="559"/>
      <c r="W328" s="559"/>
      <c r="X328" s="559"/>
      <c r="Y328" s="559"/>
      <c r="Z328" s="559"/>
      <c r="AA328" s="559"/>
      <c r="AB328" s="559"/>
    </row>
    <row r="329" spans="1:28">
      <c r="A329" s="594"/>
      <c r="B329" s="559"/>
      <c r="C329" s="559"/>
      <c r="D329" s="559"/>
      <c r="E329" s="559"/>
      <c r="F329" s="559"/>
      <c r="G329" s="559"/>
      <c r="H329" s="559"/>
      <c r="I329" s="603"/>
      <c r="J329" s="603"/>
      <c r="K329" s="559"/>
      <c r="L329" s="559"/>
      <c r="M329" s="559"/>
      <c r="N329" s="559"/>
      <c r="O329" s="559"/>
      <c r="P329" s="559"/>
      <c r="Q329" s="603"/>
      <c r="R329" s="559"/>
      <c r="S329" s="559"/>
      <c r="T329" s="559"/>
      <c r="U329" s="559"/>
      <c r="V329" s="559"/>
      <c r="W329" s="559"/>
      <c r="X329" s="559"/>
      <c r="Y329" s="559"/>
      <c r="Z329" s="559"/>
      <c r="AA329" s="559"/>
      <c r="AB329" s="559"/>
    </row>
    <row r="330" spans="1:28">
      <c r="A330" s="594"/>
      <c r="B330" s="559"/>
      <c r="C330" s="559"/>
      <c r="D330" s="559"/>
      <c r="E330" s="559"/>
      <c r="F330" s="559"/>
      <c r="G330" s="559"/>
      <c r="H330" s="559"/>
      <c r="I330" s="603"/>
      <c r="J330" s="603"/>
      <c r="K330" s="559"/>
      <c r="L330" s="559"/>
      <c r="M330" s="559"/>
      <c r="N330" s="559"/>
      <c r="O330" s="559"/>
      <c r="P330" s="559"/>
      <c r="Q330" s="603"/>
      <c r="R330" s="559"/>
      <c r="S330" s="559"/>
      <c r="T330" s="559"/>
      <c r="U330" s="559"/>
      <c r="V330" s="559"/>
      <c r="W330" s="559"/>
      <c r="X330" s="559"/>
      <c r="Y330" s="559"/>
      <c r="Z330" s="559"/>
      <c r="AA330" s="559"/>
      <c r="AB330" s="559"/>
    </row>
    <row r="331" spans="1:28">
      <c r="A331" s="594"/>
      <c r="B331" s="559"/>
      <c r="C331" s="559"/>
      <c r="D331" s="559"/>
      <c r="E331" s="559"/>
      <c r="F331" s="559"/>
      <c r="G331" s="559"/>
      <c r="H331" s="559"/>
      <c r="I331" s="603"/>
      <c r="J331" s="603"/>
      <c r="K331" s="559"/>
      <c r="L331" s="559"/>
      <c r="M331" s="559"/>
      <c r="N331" s="559"/>
      <c r="O331" s="559"/>
      <c r="P331" s="559"/>
      <c r="Q331" s="603"/>
      <c r="R331" s="559"/>
      <c r="S331" s="559"/>
      <c r="T331" s="559"/>
      <c r="U331" s="559"/>
      <c r="V331" s="559"/>
      <c r="W331" s="559"/>
      <c r="X331" s="559"/>
      <c r="Y331" s="559"/>
      <c r="Z331" s="559"/>
      <c r="AA331" s="559"/>
      <c r="AB331" s="559"/>
    </row>
    <row r="332" spans="1:28">
      <c r="A332" s="594"/>
      <c r="B332" s="559"/>
      <c r="C332" s="559"/>
      <c r="D332" s="559"/>
      <c r="E332" s="559"/>
      <c r="F332" s="559"/>
      <c r="G332" s="559"/>
      <c r="H332" s="559"/>
      <c r="I332" s="603"/>
      <c r="J332" s="603"/>
      <c r="K332" s="559"/>
      <c r="L332" s="559"/>
      <c r="M332" s="559"/>
      <c r="N332" s="559"/>
      <c r="O332" s="559"/>
      <c r="P332" s="559"/>
      <c r="Q332" s="603"/>
      <c r="R332" s="559"/>
      <c r="S332" s="559"/>
      <c r="T332" s="559"/>
      <c r="U332" s="559"/>
      <c r="V332" s="559"/>
      <c r="W332" s="559"/>
      <c r="X332" s="559"/>
      <c r="Y332" s="559"/>
      <c r="Z332" s="559"/>
      <c r="AA332" s="559"/>
      <c r="AB332" s="559"/>
    </row>
    <row r="333" spans="1:28">
      <c r="A333" s="594"/>
      <c r="B333" s="559"/>
      <c r="C333" s="559"/>
      <c r="D333" s="559"/>
      <c r="E333" s="559"/>
      <c r="F333" s="559"/>
      <c r="G333" s="559"/>
      <c r="H333" s="559"/>
      <c r="I333" s="603"/>
      <c r="J333" s="603"/>
      <c r="K333" s="559"/>
      <c r="L333" s="559"/>
      <c r="M333" s="559"/>
      <c r="N333" s="559"/>
      <c r="O333" s="559"/>
      <c r="P333" s="559"/>
      <c r="Q333" s="603"/>
      <c r="R333" s="559"/>
      <c r="S333" s="559"/>
      <c r="T333" s="559"/>
      <c r="U333" s="559"/>
      <c r="V333" s="559"/>
      <c r="W333" s="559"/>
      <c r="X333" s="559"/>
      <c r="Y333" s="559"/>
      <c r="Z333" s="559"/>
      <c r="AA333" s="559"/>
      <c r="AB333" s="559"/>
    </row>
    <row r="334" spans="1:28">
      <c r="A334" s="594"/>
      <c r="B334" s="559"/>
      <c r="C334" s="559"/>
      <c r="D334" s="559"/>
      <c r="E334" s="559"/>
      <c r="F334" s="559"/>
      <c r="G334" s="559"/>
      <c r="H334" s="559"/>
      <c r="I334" s="603"/>
      <c r="J334" s="603"/>
      <c r="K334" s="559"/>
      <c r="L334" s="559"/>
      <c r="M334" s="559"/>
      <c r="N334" s="559"/>
      <c r="O334" s="559"/>
      <c r="P334" s="559"/>
      <c r="Q334" s="603"/>
      <c r="R334" s="559"/>
      <c r="S334" s="559"/>
      <c r="T334" s="559"/>
      <c r="U334" s="559"/>
      <c r="V334" s="559"/>
      <c r="W334" s="559"/>
      <c r="X334" s="559"/>
      <c r="Y334" s="559"/>
      <c r="Z334" s="559"/>
      <c r="AA334" s="559"/>
      <c r="AB334" s="559"/>
    </row>
    <row r="335" spans="1:28">
      <c r="A335" s="594"/>
      <c r="B335" s="559"/>
      <c r="C335" s="559"/>
      <c r="D335" s="559"/>
      <c r="E335" s="559"/>
      <c r="F335" s="559"/>
      <c r="G335" s="559"/>
      <c r="H335" s="559"/>
      <c r="I335" s="603"/>
      <c r="J335" s="603"/>
      <c r="K335" s="559"/>
      <c r="L335" s="559"/>
      <c r="M335" s="559"/>
      <c r="N335" s="559"/>
      <c r="O335" s="559"/>
      <c r="P335" s="559"/>
      <c r="Q335" s="603"/>
      <c r="R335" s="559"/>
      <c r="S335" s="559"/>
      <c r="T335" s="559"/>
      <c r="U335" s="559"/>
      <c r="V335" s="559"/>
      <c r="W335" s="559"/>
      <c r="X335" s="559"/>
      <c r="Y335" s="559"/>
      <c r="Z335" s="559"/>
      <c r="AA335" s="559"/>
      <c r="AB335" s="559"/>
    </row>
    <row r="336" spans="1:28">
      <c r="A336" s="594"/>
      <c r="B336" s="559"/>
      <c r="C336" s="559"/>
      <c r="D336" s="559"/>
      <c r="E336" s="559"/>
      <c r="F336" s="559"/>
      <c r="G336" s="559"/>
      <c r="H336" s="559"/>
      <c r="I336" s="603"/>
      <c r="J336" s="603"/>
      <c r="K336" s="559"/>
      <c r="L336" s="559"/>
      <c r="M336" s="559"/>
      <c r="N336" s="559"/>
      <c r="O336" s="559"/>
      <c r="P336" s="559"/>
      <c r="Q336" s="603"/>
      <c r="R336" s="559"/>
      <c r="S336" s="559"/>
      <c r="T336" s="559"/>
      <c r="U336" s="559"/>
      <c r="V336" s="559"/>
      <c r="W336" s="559"/>
      <c r="X336" s="559"/>
      <c r="Y336" s="559"/>
      <c r="Z336" s="559"/>
      <c r="AA336" s="559"/>
      <c r="AB336" s="559"/>
    </row>
    <row r="337" spans="1:28">
      <c r="A337" s="594"/>
      <c r="B337" s="559"/>
      <c r="C337" s="559"/>
      <c r="D337" s="559"/>
      <c r="E337" s="559"/>
      <c r="F337" s="559"/>
      <c r="G337" s="559"/>
      <c r="H337" s="559"/>
      <c r="I337" s="603"/>
      <c r="J337" s="603"/>
      <c r="K337" s="559"/>
      <c r="L337" s="559"/>
      <c r="M337" s="559"/>
      <c r="N337" s="559"/>
      <c r="O337" s="559"/>
      <c r="P337" s="559"/>
      <c r="Q337" s="603"/>
      <c r="R337" s="559"/>
      <c r="S337" s="559"/>
      <c r="T337" s="559"/>
      <c r="U337" s="559"/>
      <c r="V337" s="559"/>
      <c r="W337" s="559"/>
      <c r="X337" s="559"/>
      <c r="Y337" s="559"/>
      <c r="Z337" s="559"/>
      <c r="AA337" s="559"/>
      <c r="AB337" s="559"/>
    </row>
    <row r="338" spans="1:28">
      <c r="A338" s="594"/>
      <c r="B338" s="559"/>
      <c r="C338" s="559"/>
      <c r="D338" s="559"/>
      <c r="E338" s="559"/>
      <c r="F338" s="559"/>
      <c r="G338" s="559"/>
      <c r="H338" s="559"/>
      <c r="I338" s="603"/>
      <c r="J338" s="603"/>
      <c r="K338" s="559"/>
      <c r="L338" s="559"/>
      <c r="M338" s="559"/>
      <c r="N338" s="559"/>
      <c r="O338" s="559"/>
      <c r="P338" s="559"/>
      <c r="Q338" s="603"/>
      <c r="R338" s="559"/>
      <c r="S338" s="559"/>
      <c r="T338" s="559"/>
      <c r="U338" s="559"/>
      <c r="V338" s="559"/>
      <c r="W338" s="559"/>
      <c r="X338" s="559"/>
      <c r="Y338" s="559"/>
      <c r="Z338" s="559"/>
      <c r="AA338" s="559"/>
      <c r="AB338" s="559"/>
    </row>
    <row r="339" spans="1:28">
      <c r="A339" s="594"/>
      <c r="B339" s="559"/>
      <c r="C339" s="559"/>
      <c r="D339" s="559"/>
      <c r="E339" s="559"/>
      <c r="F339" s="559"/>
      <c r="G339" s="559"/>
      <c r="H339" s="559"/>
      <c r="I339" s="603"/>
      <c r="J339" s="603"/>
      <c r="K339" s="559"/>
      <c r="L339" s="559"/>
      <c r="M339" s="559"/>
      <c r="N339" s="559"/>
      <c r="O339" s="559"/>
      <c r="P339" s="559"/>
      <c r="Q339" s="603"/>
      <c r="R339" s="559"/>
      <c r="S339" s="559"/>
      <c r="T339" s="559"/>
      <c r="U339" s="559"/>
      <c r="V339" s="559"/>
      <c r="W339" s="559"/>
      <c r="X339" s="559"/>
      <c r="Y339" s="559"/>
      <c r="Z339" s="559"/>
      <c r="AA339" s="559"/>
      <c r="AB339" s="559"/>
    </row>
    <row r="340" spans="1:28">
      <c r="A340" s="594"/>
      <c r="B340" s="559"/>
      <c r="C340" s="559"/>
      <c r="D340" s="559"/>
      <c r="E340" s="559"/>
      <c r="F340" s="559"/>
      <c r="G340" s="559"/>
      <c r="H340" s="559"/>
      <c r="I340" s="603"/>
      <c r="J340" s="603"/>
      <c r="K340" s="559"/>
      <c r="L340" s="559"/>
      <c r="M340" s="559"/>
      <c r="N340" s="559"/>
      <c r="O340" s="559"/>
      <c r="P340" s="559"/>
      <c r="Q340" s="603"/>
      <c r="R340" s="559"/>
      <c r="S340" s="559"/>
      <c r="T340" s="559"/>
      <c r="U340" s="559"/>
      <c r="V340" s="559"/>
      <c r="W340" s="559"/>
      <c r="X340" s="559"/>
      <c r="Y340" s="559"/>
      <c r="Z340" s="559"/>
      <c r="AA340" s="559"/>
      <c r="AB340" s="559"/>
    </row>
    <row r="341" spans="1:28">
      <c r="A341" s="594"/>
      <c r="B341" s="559"/>
      <c r="C341" s="559"/>
      <c r="D341" s="559"/>
      <c r="E341" s="559"/>
      <c r="F341" s="559"/>
      <c r="G341" s="559"/>
      <c r="H341" s="559"/>
      <c r="I341" s="603"/>
      <c r="J341" s="603"/>
      <c r="K341" s="559"/>
      <c r="L341" s="559"/>
      <c r="M341" s="559"/>
      <c r="N341" s="559"/>
      <c r="O341" s="559"/>
      <c r="P341" s="559"/>
      <c r="Q341" s="603"/>
      <c r="R341" s="559"/>
      <c r="S341" s="559"/>
      <c r="T341" s="559"/>
      <c r="U341" s="559"/>
      <c r="V341" s="559"/>
      <c r="W341" s="559"/>
      <c r="X341" s="559"/>
      <c r="Y341" s="559"/>
      <c r="Z341" s="559"/>
      <c r="AA341" s="559"/>
      <c r="AB341" s="559"/>
    </row>
    <row r="342" spans="1:28">
      <c r="A342" s="594"/>
      <c r="B342" s="559"/>
      <c r="C342" s="559"/>
      <c r="D342" s="559"/>
      <c r="E342" s="559"/>
      <c r="F342" s="559"/>
      <c r="G342" s="559"/>
      <c r="H342" s="559"/>
      <c r="I342" s="603"/>
      <c r="J342" s="603"/>
      <c r="K342" s="559"/>
      <c r="L342" s="559"/>
      <c r="M342" s="559"/>
      <c r="N342" s="559"/>
      <c r="O342" s="559"/>
      <c r="P342" s="559"/>
      <c r="Q342" s="603"/>
      <c r="R342" s="559"/>
      <c r="S342" s="559"/>
      <c r="T342" s="559"/>
      <c r="U342" s="559"/>
      <c r="V342" s="559"/>
      <c r="W342" s="559"/>
      <c r="X342" s="559"/>
      <c r="Y342" s="559"/>
      <c r="Z342" s="559"/>
      <c r="AA342" s="559"/>
      <c r="AB342" s="559"/>
    </row>
    <row r="343" spans="1:28">
      <c r="A343" s="594"/>
      <c r="B343" s="559"/>
      <c r="C343" s="559"/>
      <c r="D343" s="559"/>
      <c r="E343" s="559"/>
      <c r="F343" s="559"/>
      <c r="G343" s="559"/>
      <c r="H343" s="559"/>
      <c r="I343" s="603"/>
      <c r="J343" s="603"/>
      <c r="K343" s="559"/>
      <c r="L343" s="559"/>
      <c r="M343" s="559"/>
      <c r="N343" s="559"/>
      <c r="O343" s="559"/>
      <c r="P343" s="559"/>
      <c r="Q343" s="603"/>
      <c r="R343" s="559"/>
      <c r="S343" s="559"/>
      <c r="T343" s="559"/>
      <c r="U343" s="559"/>
      <c r="V343" s="559"/>
      <c r="W343" s="559"/>
      <c r="X343" s="559"/>
      <c r="Y343" s="559"/>
      <c r="Z343" s="559"/>
      <c r="AA343" s="559"/>
      <c r="AB343" s="559"/>
    </row>
    <row r="344" spans="1:28">
      <c r="A344" s="594"/>
      <c r="B344" s="559"/>
      <c r="C344" s="559"/>
      <c r="D344" s="559"/>
      <c r="E344" s="559"/>
      <c r="F344" s="559"/>
      <c r="G344" s="559"/>
      <c r="H344" s="559"/>
      <c r="I344" s="603"/>
      <c r="J344" s="603"/>
      <c r="K344" s="559"/>
      <c r="L344" s="559"/>
      <c r="M344" s="559"/>
      <c r="N344" s="559"/>
      <c r="O344" s="559"/>
      <c r="P344" s="559"/>
      <c r="Q344" s="603"/>
      <c r="R344" s="559"/>
      <c r="S344" s="559"/>
      <c r="T344" s="559"/>
      <c r="U344" s="559"/>
      <c r="V344" s="559"/>
      <c r="W344" s="559"/>
      <c r="X344" s="559"/>
      <c r="Y344" s="559"/>
      <c r="Z344" s="559"/>
      <c r="AA344" s="559"/>
      <c r="AB344" s="559"/>
    </row>
    <row r="345" spans="1:28">
      <c r="A345" s="594"/>
      <c r="B345" s="559"/>
      <c r="C345" s="559"/>
      <c r="D345" s="559"/>
      <c r="E345" s="559"/>
      <c r="F345" s="559"/>
      <c r="G345" s="559"/>
      <c r="H345" s="559"/>
      <c r="I345" s="603"/>
      <c r="J345" s="603"/>
      <c r="K345" s="559"/>
      <c r="L345" s="559"/>
      <c r="M345" s="559"/>
      <c r="N345" s="559"/>
      <c r="O345" s="559"/>
      <c r="P345" s="559"/>
      <c r="Q345" s="603"/>
      <c r="R345" s="559"/>
      <c r="S345" s="559"/>
      <c r="T345" s="559"/>
      <c r="U345" s="559"/>
      <c r="V345" s="559"/>
      <c r="W345" s="559"/>
      <c r="X345" s="559"/>
      <c r="Y345" s="559"/>
      <c r="Z345" s="559"/>
      <c r="AA345" s="559"/>
      <c r="AB345" s="559"/>
    </row>
    <row r="346" spans="1:28">
      <c r="A346" s="594"/>
      <c r="B346" s="559"/>
      <c r="C346" s="559"/>
      <c r="D346" s="559"/>
      <c r="E346" s="559"/>
      <c r="F346" s="559"/>
      <c r="G346" s="559"/>
      <c r="H346" s="559"/>
      <c r="I346" s="603"/>
      <c r="J346" s="603"/>
      <c r="K346" s="559"/>
      <c r="L346" s="559"/>
      <c r="M346" s="559"/>
      <c r="N346" s="559"/>
      <c r="O346" s="559"/>
      <c r="P346" s="559"/>
      <c r="Q346" s="603"/>
      <c r="R346" s="559"/>
      <c r="S346" s="559"/>
      <c r="T346" s="559"/>
      <c r="U346" s="559"/>
      <c r="V346" s="559"/>
      <c r="W346" s="559"/>
      <c r="X346" s="559"/>
      <c r="Y346" s="559"/>
      <c r="Z346" s="559"/>
      <c r="AA346" s="559"/>
      <c r="AB346" s="559"/>
    </row>
    <row r="347" spans="1:28">
      <c r="A347" s="594"/>
      <c r="B347" s="559"/>
      <c r="C347" s="559"/>
      <c r="D347" s="559"/>
      <c r="E347" s="559"/>
      <c r="F347" s="559"/>
      <c r="G347" s="559"/>
      <c r="H347" s="559"/>
      <c r="I347" s="603"/>
      <c r="J347" s="603"/>
      <c r="K347" s="559"/>
      <c r="L347" s="559"/>
      <c r="M347" s="559"/>
      <c r="N347" s="559"/>
      <c r="O347" s="559"/>
      <c r="P347" s="559"/>
      <c r="Q347" s="603"/>
      <c r="R347" s="559"/>
      <c r="S347" s="559"/>
      <c r="T347" s="559"/>
      <c r="U347" s="559"/>
      <c r="V347" s="559"/>
      <c r="W347" s="559"/>
      <c r="X347" s="559"/>
      <c r="Y347" s="559"/>
      <c r="Z347" s="559"/>
      <c r="AA347" s="559"/>
      <c r="AB347" s="559"/>
    </row>
    <row r="348" spans="1:28">
      <c r="A348" s="594"/>
      <c r="B348" s="559"/>
      <c r="C348" s="559"/>
      <c r="D348" s="559"/>
      <c r="E348" s="559"/>
      <c r="F348" s="559"/>
      <c r="G348" s="559"/>
      <c r="H348" s="559"/>
      <c r="I348" s="603"/>
      <c r="J348" s="603"/>
      <c r="K348" s="559"/>
      <c r="L348" s="559"/>
      <c r="M348" s="559"/>
      <c r="N348" s="559"/>
      <c r="O348" s="559"/>
      <c r="P348" s="559"/>
      <c r="Q348" s="603"/>
      <c r="R348" s="559"/>
      <c r="S348" s="559"/>
      <c r="T348" s="559"/>
      <c r="U348" s="559"/>
      <c r="V348" s="559"/>
      <c r="W348" s="559"/>
      <c r="X348" s="559"/>
      <c r="Y348" s="559"/>
      <c r="Z348" s="559"/>
      <c r="AA348" s="559"/>
      <c r="AB348" s="559"/>
    </row>
    <row r="349" spans="1:28">
      <c r="A349" s="594"/>
      <c r="B349" s="559"/>
      <c r="C349" s="559"/>
      <c r="D349" s="559"/>
      <c r="E349" s="559"/>
      <c r="F349" s="559"/>
      <c r="G349" s="559"/>
      <c r="H349" s="559"/>
      <c r="I349" s="603"/>
      <c r="J349" s="603"/>
      <c r="K349" s="559"/>
      <c r="L349" s="559"/>
      <c r="M349" s="559"/>
      <c r="N349" s="559"/>
      <c r="O349" s="559"/>
      <c r="P349" s="559"/>
      <c r="Q349" s="603"/>
      <c r="R349" s="559"/>
      <c r="S349" s="559"/>
      <c r="T349" s="559"/>
      <c r="U349" s="559"/>
      <c r="V349" s="559"/>
      <c r="W349" s="559"/>
      <c r="X349" s="559"/>
      <c r="Y349" s="559"/>
      <c r="Z349" s="559"/>
      <c r="AA349" s="559"/>
      <c r="AB349" s="559"/>
    </row>
    <row r="350" spans="1:28">
      <c r="A350" s="594"/>
      <c r="B350" s="559"/>
      <c r="C350" s="559"/>
      <c r="D350" s="559"/>
      <c r="E350" s="559"/>
      <c r="F350" s="559"/>
      <c r="G350" s="559"/>
      <c r="H350" s="559"/>
      <c r="I350" s="603"/>
      <c r="J350" s="603"/>
      <c r="K350" s="559"/>
      <c r="L350" s="559"/>
      <c r="M350" s="559"/>
      <c r="N350" s="559"/>
      <c r="O350" s="559"/>
      <c r="P350" s="559"/>
      <c r="Q350" s="603"/>
      <c r="R350" s="559"/>
      <c r="S350" s="559"/>
      <c r="T350" s="559"/>
      <c r="U350" s="559"/>
      <c r="V350" s="559"/>
      <c r="W350" s="559"/>
      <c r="X350" s="559"/>
      <c r="Y350" s="559"/>
      <c r="Z350" s="559"/>
      <c r="AA350" s="559"/>
      <c r="AB350" s="559"/>
    </row>
    <row r="351" spans="1:28">
      <c r="A351" s="594"/>
      <c r="B351" s="559"/>
      <c r="C351" s="559"/>
      <c r="D351" s="559"/>
      <c r="E351" s="559"/>
      <c r="F351" s="559"/>
      <c r="G351" s="559"/>
      <c r="H351" s="559"/>
      <c r="I351" s="603"/>
      <c r="J351" s="603"/>
      <c r="K351" s="559"/>
      <c r="L351" s="559"/>
      <c r="M351" s="559"/>
      <c r="N351" s="559"/>
      <c r="O351" s="559"/>
      <c r="P351" s="559"/>
      <c r="Q351" s="603"/>
      <c r="R351" s="559"/>
      <c r="S351" s="559"/>
      <c r="T351" s="559"/>
      <c r="U351" s="559"/>
      <c r="V351" s="559"/>
      <c r="W351" s="559"/>
      <c r="X351" s="559"/>
      <c r="Y351" s="559"/>
      <c r="Z351" s="559"/>
      <c r="AA351" s="559"/>
      <c r="AB351" s="559"/>
    </row>
    <row r="352" spans="1:28">
      <c r="A352" s="594"/>
      <c r="B352" s="559"/>
      <c r="C352" s="559"/>
      <c r="D352" s="559"/>
      <c r="E352" s="559"/>
      <c r="F352" s="559"/>
      <c r="G352" s="559"/>
      <c r="H352" s="559"/>
      <c r="I352" s="603"/>
      <c r="J352" s="603"/>
      <c r="K352" s="559"/>
      <c r="L352" s="559"/>
      <c r="M352" s="559"/>
      <c r="N352" s="559"/>
      <c r="O352" s="559"/>
      <c r="P352" s="559"/>
      <c r="Q352" s="603"/>
      <c r="R352" s="559"/>
      <c r="S352" s="559"/>
      <c r="T352" s="559"/>
      <c r="U352" s="559"/>
      <c r="V352" s="559"/>
      <c r="W352" s="559"/>
      <c r="X352" s="559"/>
      <c r="Y352" s="559"/>
      <c r="Z352" s="559"/>
      <c r="AA352" s="559"/>
      <c r="AB352" s="559"/>
    </row>
    <row r="353" spans="1:28">
      <c r="A353" s="594"/>
      <c r="B353" s="559"/>
      <c r="C353" s="559"/>
      <c r="D353" s="559"/>
      <c r="E353" s="559"/>
      <c r="F353" s="559"/>
      <c r="G353" s="559"/>
      <c r="H353" s="559"/>
      <c r="I353" s="603"/>
      <c r="J353" s="603"/>
      <c r="K353" s="559"/>
      <c r="L353" s="559"/>
      <c r="M353" s="559"/>
      <c r="N353" s="559"/>
      <c r="O353" s="559"/>
      <c r="P353" s="559"/>
      <c r="Q353" s="603"/>
      <c r="R353" s="559"/>
      <c r="S353" s="559"/>
      <c r="T353" s="559"/>
      <c r="U353" s="559"/>
      <c r="V353" s="559"/>
      <c r="W353" s="559"/>
      <c r="X353" s="559"/>
      <c r="Y353" s="559"/>
      <c r="Z353" s="559"/>
      <c r="AA353" s="559"/>
      <c r="AB353" s="559"/>
    </row>
    <row r="354" spans="1:28">
      <c r="A354" s="594"/>
      <c r="B354" s="559"/>
      <c r="C354" s="559"/>
      <c r="D354" s="559"/>
      <c r="E354" s="559"/>
      <c r="F354" s="559"/>
      <c r="G354" s="559"/>
      <c r="H354" s="559"/>
      <c r="I354" s="603"/>
      <c r="J354" s="603"/>
      <c r="K354" s="559"/>
      <c r="L354" s="559"/>
      <c r="M354" s="559"/>
      <c r="N354" s="559"/>
      <c r="O354" s="559"/>
      <c r="P354" s="559"/>
      <c r="Q354" s="603"/>
      <c r="R354" s="559"/>
      <c r="S354" s="559"/>
      <c r="T354" s="559"/>
      <c r="U354" s="559"/>
      <c r="V354" s="559"/>
      <c r="W354" s="559"/>
      <c r="X354" s="559"/>
      <c r="Y354" s="559"/>
      <c r="Z354" s="559"/>
      <c r="AA354" s="559"/>
      <c r="AB354" s="559"/>
    </row>
    <row r="355" spans="1:28">
      <c r="A355" s="594"/>
      <c r="B355" s="559"/>
      <c r="C355" s="559"/>
      <c r="D355" s="559"/>
      <c r="E355" s="559"/>
      <c r="F355" s="559"/>
      <c r="G355" s="559"/>
      <c r="H355" s="559"/>
      <c r="I355" s="603"/>
      <c r="J355" s="603"/>
      <c r="K355" s="559"/>
      <c r="L355" s="559"/>
      <c r="M355" s="559"/>
      <c r="N355" s="559"/>
      <c r="O355" s="559"/>
      <c r="P355" s="559"/>
      <c r="Q355" s="603"/>
      <c r="R355" s="559"/>
      <c r="S355" s="559"/>
      <c r="T355" s="559"/>
      <c r="U355" s="559"/>
      <c r="V355" s="559"/>
      <c r="W355" s="559"/>
      <c r="X355" s="559"/>
      <c r="Y355" s="559"/>
      <c r="Z355" s="559"/>
      <c r="AA355" s="559"/>
      <c r="AB355" s="559"/>
    </row>
    <row r="356" spans="1:28">
      <c r="A356" s="594"/>
      <c r="B356" s="559"/>
      <c r="C356" s="559"/>
      <c r="D356" s="559"/>
      <c r="E356" s="559"/>
      <c r="F356" s="559"/>
      <c r="G356" s="559"/>
      <c r="H356" s="559"/>
      <c r="I356" s="603"/>
      <c r="J356" s="603"/>
      <c r="K356" s="559"/>
      <c r="L356" s="559"/>
      <c r="M356" s="559"/>
      <c r="N356" s="559"/>
      <c r="O356" s="559"/>
      <c r="P356" s="559"/>
      <c r="Q356" s="603"/>
      <c r="R356" s="559"/>
      <c r="S356" s="559"/>
      <c r="T356" s="559"/>
      <c r="U356" s="559"/>
      <c r="V356" s="559"/>
      <c r="W356" s="559"/>
      <c r="X356" s="559"/>
      <c r="Y356" s="559"/>
      <c r="Z356" s="559"/>
      <c r="AA356" s="559"/>
      <c r="AB356" s="559"/>
    </row>
    <row r="357" spans="1:28">
      <c r="A357" s="594"/>
      <c r="B357" s="559"/>
      <c r="C357" s="559"/>
      <c r="D357" s="559"/>
      <c r="E357" s="559"/>
      <c r="F357" s="559"/>
      <c r="G357" s="559"/>
      <c r="H357" s="559"/>
      <c r="I357" s="603"/>
      <c r="J357" s="603"/>
      <c r="K357" s="559"/>
      <c r="L357" s="559"/>
      <c r="M357" s="559"/>
      <c r="N357" s="559"/>
      <c r="O357" s="559"/>
      <c r="P357" s="559"/>
      <c r="Q357" s="603"/>
      <c r="R357" s="559"/>
      <c r="S357" s="559"/>
      <c r="T357" s="559"/>
      <c r="U357" s="559"/>
      <c r="V357" s="559"/>
      <c r="W357" s="559"/>
      <c r="X357" s="559"/>
      <c r="Y357" s="559"/>
      <c r="Z357" s="559"/>
      <c r="AA357" s="559"/>
      <c r="AB357" s="559"/>
    </row>
    <row r="358" spans="1:28">
      <c r="A358" s="594"/>
      <c r="B358" s="559"/>
      <c r="C358" s="559"/>
      <c r="D358" s="559"/>
      <c r="E358" s="559"/>
      <c r="F358" s="559"/>
      <c r="G358" s="559"/>
      <c r="H358" s="559"/>
      <c r="I358" s="603"/>
      <c r="J358" s="603"/>
      <c r="K358" s="559"/>
      <c r="L358" s="559"/>
      <c r="M358" s="559"/>
      <c r="N358" s="559"/>
      <c r="O358" s="559"/>
      <c r="P358" s="559"/>
      <c r="Q358" s="603"/>
      <c r="R358" s="559"/>
      <c r="S358" s="559"/>
      <c r="T358" s="559"/>
      <c r="U358" s="559"/>
      <c r="V358" s="559"/>
      <c r="W358" s="559"/>
      <c r="X358" s="559"/>
      <c r="Y358" s="559"/>
      <c r="Z358" s="559"/>
      <c r="AA358" s="559"/>
      <c r="AB358" s="559"/>
    </row>
    <row r="359" spans="1:28">
      <c r="A359" s="594"/>
      <c r="B359" s="559"/>
      <c r="C359" s="559"/>
      <c r="D359" s="559"/>
      <c r="E359" s="559"/>
      <c r="F359" s="559"/>
      <c r="G359" s="559"/>
      <c r="H359" s="559"/>
      <c r="I359" s="603"/>
      <c r="J359" s="603"/>
      <c r="K359" s="559"/>
      <c r="L359" s="559"/>
      <c r="M359" s="559"/>
      <c r="N359" s="559"/>
      <c r="O359" s="559"/>
      <c r="P359" s="559"/>
      <c r="Q359" s="603"/>
      <c r="R359" s="559"/>
      <c r="S359" s="559"/>
      <c r="T359" s="559"/>
      <c r="U359" s="559"/>
      <c r="V359" s="559"/>
      <c r="W359" s="559"/>
      <c r="X359" s="559"/>
      <c r="Y359" s="559"/>
      <c r="Z359" s="559"/>
      <c r="AA359" s="559"/>
      <c r="AB359" s="559"/>
    </row>
    <row r="360" spans="1:28">
      <c r="A360" s="594"/>
      <c r="B360" s="559"/>
      <c r="C360" s="559"/>
      <c r="D360" s="559"/>
      <c r="E360" s="559"/>
      <c r="F360" s="559"/>
      <c r="G360" s="559"/>
      <c r="H360" s="559"/>
      <c r="I360" s="603"/>
      <c r="J360" s="603"/>
      <c r="K360" s="559"/>
      <c r="L360" s="559"/>
      <c r="M360" s="559"/>
      <c r="N360" s="559"/>
      <c r="O360" s="559"/>
      <c r="P360" s="559"/>
      <c r="Q360" s="603"/>
      <c r="R360" s="559"/>
      <c r="S360" s="559"/>
      <c r="T360" s="559"/>
      <c r="U360" s="559"/>
      <c r="V360" s="559"/>
      <c r="W360" s="559"/>
      <c r="X360" s="559"/>
      <c r="Y360" s="559"/>
      <c r="Z360" s="559"/>
      <c r="AA360" s="559"/>
      <c r="AB360" s="559"/>
    </row>
    <row r="361" spans="1:28">
      <c r="A361" s="594"/>
      <c r="B361" s="559"/>
      <c r="C361" s="559"/>
      <c r="D361" s="559"/>
      <c r="E361" s="559"/>
      <c r="F361" s="559"/>
      <c r="G361" s="559"/>
      <c r="H361" s="559"/>
      <c r="I361" s="603"/>
      <c r="J361" s="603"/>
      <c r="K361" s="559"/>
      <c r="L361" s="559"/>
      <c r="M361" s="559"/>
      <c r="N361" s="559"/>
      <c r="O361" s="559"/>
      <c r="P361" s="559"/>
      <c r="Q361" s="603"/>
      <c r="R361" s="559"/>
      <c r="S361" s="559"/>
      <c r="T361" s="559"/>
      <c r="U361" s="559"/>
      <c r="V361" s="559"/>
      <c r="W361" s="559"/>
      <c r="X361" s="559"/>
      <c r="Y361" s="559"/>
      <c r="Z361" s="559"/>
      <c r="AA361" s="559"/>
      <c r="AB361" s="559"/>
    </row>
    <row r="362" spans="1:28">
      <c r="A362" s="594"/>
      <c r="B362" s="559"/>
      <c r="C362" s="559"/>
      <c r="D362" s="559"/>
      <c r="E362" s="559"/>
      <c r="F362" s="559"/>
      <c r="G362" s="559"/>
      <c r="H362" s="559"/>
      <c r="I362" s="603"/>
      <c r="J362" s="603"/>
      <c r="K362" s="559"/>
      <c r="L362" s="559"/>
      <c r="M362" s="559"/>
      <c r="N362" s="559"/>
      <c r="O362" s="559"/>
      <c r="P362" s="559"/>
      <c r="Q362" s="603"/>
      <c r="R362" s="559"/>
      <c r="S362" s="559"/>
      <c r="T362" s="559"/>
      <c r="U362" s="559"/>
      <c r="V362" s="559"/>
      <c r="W362" s="559"/>
      <c r="X362" s="559"/>
      <c r="Y362" s="559"/>
      <c r="Z362" s="559"/>
      <c r="AA362" s="559"/>
      <c r="AB362" s="559"/>
    </row>
    <row r="363" spans="1:28">
      <c r="A363" s="594"/>
      <c r="B363" s="559"/>
      <c r="C363" s="559"/>
      <c r="D363" s="559"/>
      <c r="E363" s="559"/>
      <c r="F363" s="559"/>
      <c r="G363" s="559"/>
      <c r="H363" s="559"/>
      <c r="I363" s="603"/>
      <c r="J363" s="603"/>
      <c r="K363" s="559"/>
      <c r="L363" s="559"/>
      <c r="M363" s="559"/>
      <c r="N363" s="559"/>
      <c r="O363" s="559"/>
      <c r="P363" s="559"/>
      <c r="Q363" s="603"/>
      <c r="R363" s="559"/>
      <c r="S363" s="559"/>
      <c r="T363" s="559"/>
      <c r="U363" s="559"/>
      <c r="V363" s="559"/>
      <c r="W363" s="559"/>
      <c r="X363" s="559"/>
      <c r="Y363" s="559"/>
      <c r="Z363" s="559"/>
      <c r="AA363" s="559"/>
      <c r="AB363" s="559"/>
    </row>
    <row r="364" spans="1:28">
      <c r="A364" s="594"/>
      <c r="B364" s="559"/>
      <c r="C364" s="559"/>
      <c r="D364" s="559"/>
      <c r="E364" s="559"/>
      <c r="F364" s="559"/>
      <c r="G364" s="559"/>
      <c r="H364" s="559"/>
      <c r="I364" s="603"/>
      <c r="J364" s="603"/>
      <c r="K364" s="559"/>
      <c r="L364" s="559"/>
      <c r="M364" s="559"/>
      <c r="N364" s="559"/>
      <c r="O364" s="559"/>
      <c r="P364" s="559"/>
      <c r="Q364" s="603"/>
      <c r="R364" s="559"/>
      <c r="S364" s="559"/>
      <c r="T364" s="559"/>
      <c r="U364" s="559"/>
      <c r="V364" s="559"/>
      <c r="W364" s="559"/>
      <c r="X364" s="559"/>
      <c r="Y364" s="559"/>
      <c r="Z364" s="559"/>
      <c r="AA364" s="559"/>
      <c r="AB364" s="559"/>
    </row>
    <row r="365" spans="1:28">
      <c r="A365" s="594"/>
      <c r="B365" s="559"/>
      <c r="C365" s="559"/>
      <c r="D365" s="559"/>
      <c r="E365" s="559"/>
      <c r="F365" s="559"/>
      <c r="G365" s="559"/>
      <c r="H365" s="559"/>
      <c r="I365" s="603"/>
      <c r="J365" s="603"/>
      <c r="K365" s="559"/>
      <c r="L365" s="559"/>
      <c r="M365" s="559"/>
      <c r="N365" s="559"/>
      <c r="O365" s="559"/>
      <c r="P365" s="559"/>
      <c r="Q365" s="603"/>
      <c r="R365" s="559"/>
      <c r="S365" s="559"/>
      <c r="T365" s="559"/>
      <c r="U365" s="559"/>
      <c r="V365" s="559"/>
      <c r="W365" s="559"/>
      <c r="X365" s="559"/>
      <c r="Y365" s="559"/>
      <c r="Z365" s="559"/>
      <c r="AA365" s="559"/>
      <c r="AB365" s="559"/>
    </row>
    <row r="366" spans="1:28">
      <c r="A366" s="594"/>
      <c r="B366" s="559"/>
      <c r="C366" s="559"/>
      <c r="D366" s="559"/>
      <c r="E366" s="559"/>
      <c r="F366" s="559"/>
      <c r="G366" s="559"/>
      <c r="H366" s="559"/>
      <c r="I366" s="603"/>
      <c r="J366" s="603"/>
      <c r="K366" s="559"/>
      <c r="L366" s="559"/>
      <c r="M366" s="559"/>
      <c r="N366" s="559"/>
      <c r="O366" s="559"/>
      <c r="P366" s="559"/>
      <c r="Q366" s="603"/>
      <c r="R366" s="559"/>
      <c r="S366" s="559"/>
      <c r="T366" s="559"/>
      <c r="U366" s="559"/>
      <c r="V366" s="559"/>
      <c r="W366" s="559"/>
      <c r="X366" s="559"/>
      <c r="Y366" s="559"/>
      <c r="Z366" s="559"/>
      <c r="AA366" s="559"/>
      <c r="AB366" s="559"/>
    </row>
    <row r="367" spans="1:28">
      <c r="A367" s="594"/>
      <c r="B367" s="559"/>
      <c r="C367" s="559"/>
      <c r="D367" s="559"/>
      <c r="E367" s="559"/>
      <c r="F367" s="559"/>
      <c r="G367" s="559"/>
      <c r="H367" s="559"/>
      <c r="I367" s="603"/>
      <c r="J367" s="603"/>
      <c r="K367" s="559"/>
      <c r="L367" s="559"/>
      <c r="M367" s="559"/>
      <c r="N367" s="559"/>
      <c r="O367" s="559"/>
      <c r="P367" s="559"/>
      <c r="Q367" s="603"/>
      <c r="R367" s="559"/>
      <c r="S367" s="559"/>
      <c r="T367" s="559"/>
      <c r="U367" s="559"/>
      <c r="V367" s="559"/>
      <c r="W367" s="559"/>
      <c r="X367" s="559"/>
      <c r="Y367" s="559"/>
      <c r="Z367" s="559"/>
      <c r="AA367" s="559"/>
      <c r="AB367" s="559"/>
    </row>
    <row r="368" spans="1:28">
      <c r="A368" s="594"/>
      <c r="B368" s="559"/>
      <c r="C368" s="559"/>
      <c r="D368" s="559"/>
      <c r="E368" s="559"/>
      <c r="F368" s="559"/>
      <c r="G368" s="559"/>
      <c r="H368" s="559"/>
      <c r="I368" s="603"/>
      <c r="J368" s="603"/>
      <c r="K368" s="559"/>
      <c r="L368" s="559"/>
      <c r="M368" s="559"/>
      <c r="N368" s="559"/>
      <c r="O368" s="559"/>
      <c r="P368" s="559"/>
      <c r="Q368" s="603"/>
      <c r="R368" s="559"/>
      <c r="S368" s="559"/>
      <c r="T368" s="559"/>
      <c r="U368" s="559"/>
      <c r="V368" s="559"/>
      <c r="W368" s="559"/>
      <c r="X368" s="559"/>
      <c r="Y368" s="559"/>
      <c r="Z368" s="559"/>
      <c r="AA368" s="559"/>
      <c r="AB368" s="559"/>
    </row>
    <row r="369" spans="1:28">
      <c r="A369" s="594"/>
      <c r="B369" s="559"/>
      <c r="C369" s="559"/>
      <c r="D369" s="559"/>
      <c r="E369" s="559"/>
      <c r="F369" s="559"/>
      <c r="G369" s="559"/>
      <c r="H369" s="559"/>
      <c r="I369" s="603"/>
      <c r="J369" s="603"/>
      <c r="K369" s="559"/>
      <c r="L369" s="559"/>
      <c r="M369" s="559"/>
      <c r="N369" s="559"/>
      <c r="O369" s="559"/>
      <c r="P369" s="559"/>
      <c r="Q369" s="603"/>
      <c r="R369" s="559"/>
      <c r="S369" s="559"/>
      <c r="T369" s="559"/>
      <c r="U369" s="559"/>
      <c r="V369" s="559"/>
      <c r="W369" s="559"/>
      <c r="X369" s="559"/>
      <c r="Y369" s="559"/>
      <c r="Z369" s="559"/>
      <c r="AA369" s="559"/>
      <c r="AB369" s="559"/>
    </row>
    <row r="370" spans="1:28">
      <c r="A370" s="594"/>
      <c r="B370" s="559"/>
      <c r="C370" s="559"/>
      <c r="D370" s="559"/>
      <c r="E370" s="559"/>
      <c r="F370" s="559"/>
      <c r="G370" s="559"/>
      <c r="H370" s="559"/>
      <c r="I370" s="603"/>
      <c r="J370" s="603"/>
      <c r="K370" s="559"/>
      <c r="L370" s="559"/>
      <c r="M370" s="559"/>
      <c r="N370" s="559"/>
      <c r="O370" s="559"/>
      <c r="P370" s="559"/>
      <c r="Q370" s="603"/>
      <c r="R370" s="559"/>
      <c r="S370" s="559"/>
      <c r="T370" s="559"/>
      <c r="U370" s="559"/>
      <c r="V370" s="559"/>
      <c r="W370" s="559"/>
      <c r="X370" s="559"/>
      <c r="Y370" s="559"/>
      <c r="Z370" s="559"/>
      <c r="AA370" s="559"/>
      <c r="AB370" s="559"/>
    </row>
    <row r="371" spans="1:28">
      <c r="A371" s="594"/>
      <c r="B371" s="559"/>
      <c r="C371" s="559"/>
      <c r="D371" s="559"/>
      <c r="E371" s="559"/>
      <c r="F371" s="559"/>
      <c r="G371" s="559"/>
      <c r="H371" s="559"/>
      <c r="I371" s="603"/>
      <c r="J371" s="603"/>
      <c r="K371" s="559"/>
      <c r="L371" s="559"/>
      <c r="M371" s="559"/>
      <c r="N371" s="559"/>
      <c r="O371" s="559"/>
      <c r="P371" s="559"/>
      <c r="Q371" s="603"/>
      <c r="R371" s="559"/>
      <c r="S371" s="559"/>
      <c r="T371" s="559"/>
      <c r="U371" s="559"/>
      <c r="V371" s="559"/>
      <c r="W371" s="559"/>
      <c r="X371" s="559"/>
      <c r="Y371" s="559"/>
      <c r="Z371" s="559"/>
      <c r="AA371" s="559"/>
      <c r="AB371" s="559"/>
    </row>
    <row r="372" spans="1:28">
      <c r="A372" s="594"/>
      <c r="B372" s="559"/>
      <c r="C372" s="559"/>
      <c r="D372" s="559"/>
      <c r="E372" s="559"/>
      <c r="F372" s="559"/>
      <c r="G372" s="559"/>
      <c r="H372" s="559"/>
      <c r="I372" s="603"/>
      <c r="J372" s="603"/>
      <c r="K372" s="559"/>
      <c r="L372" s="559"/>
      <c r="M372" s="559"/>
      <c r="N372" s="559"/>
      <c r="O372" s="559"/>
      <c r="P372" s="559"/>
      <c r="Q372" s="603"/>
      <c r="R372" s="559"/>
      <c r="S372" s="559"/>
      <c r="T372" s="559"/>
      <c r="U372" s="559"/>
      <c r="V372" s="559"/>
      <c r="W372" s="559"/>
      <c r="X372" s="559"/>
      <c r="Y372" s="559"/>
      <c r="Z372" s="559"/>
      <c r="AA372" s="559"/>
      <c r="AB372" s="559"/>
    </row>
    <row r="373" spans="1:28">
      <c r="A373" s="594"/>
      <c r="B373" s="559"/>
      <c r="C373" s="559"/>
      <c r="D373" s="559"/>
      <c r="E373" s="559"/>
      <c r="F373" s="559"/>
      <c r="G373" s="559"/>
      <c r="H373" s="559"/>
      <c r="I373" s="603"/>
      <c r="J373" s="603"/>
      <c r="K373" s="559"/>
      <c r="L373" s="559"/>
      <c r="M373" s="559"/>
      <c r="N373" s="559"/>
      <c r="O373" s="559"/>
      <c r="P373" s="559"/>
      <c r="Q373" s="603"/>
      <c r="R373" s="559"/>
      <c r="S373" s="559"/>
      <c r="T373" s="559"/>
      <c r="U373" s="559"/>
      <c r="V373" s="559"/>
      <c r="W373" s="559"/>
      <c r="X373" s="559"/>
      <c r="Y373" s="559"/>
      <c r="Z373" s="559"/>
      <c r="AA373" s="559"/>
      <c r="AB373" s="559"/>
    </row>
    <row r="374" spans="1:28">
      <c r="A374" s="594"/>
      <c r="B374" s="559"/>
      <c r="C374" s="559"/>
      <c r="D374" s="559"/>
      <c r="E374" s="559"/>
      <c r="F374" s="559"/>
      <c r="G374" s="559"/>
      <c r="H374" s="559"/>
      <c r="I374" s="603"/>
      <c r="J374" s="603"/>
      <c r="K374" s="559"/>
      <c r="L374" s="559"/>
      <c r="M374" s="559"/>
      <c r="N374" s="559"/>
      <c r="O374" s="559"/>
      <c r="P374" s="559"/>
      <c r="Q374" s="603"/>
      <c r="R374" s="559"/>
      <c r="S374" s="559"/>
      <c r="T374" s="559"/>
      <c r="U374" s="559"/>
      <c r="V374" s="559"/>
      <c r="W374" s="559"/>
      <c r="X374" s="559"/>
      <c r="Y374" s="559"/>
      <c r="Z374" s="559"/>
      <c r="AA374" s="559"/>
      <c r="AB374" s="559"/>
    </row>
    <row r="375" spans="1:28">
      <c r="A375" s="594"/>
      <c r="B375" s="559"/>
      <c r="C375" s="559"/>
      <c r="D375" s="559"/>
      <c r="E375" s="559"/>
      <c r="F375" s="559"/>
      <c r="G375" s="559"/>
      <c r="H375" s="559"/>
      <c r="I375" s="603"/>
      <c r="J375" s="603"/>
      <c r="K375" s="559"/>
      <c r="L375" s="559"/>
      <c r="M375" s="559"/>
      <c r="N375" s="559"/>
      <c r="O375" s="559"/>
      <c r="P375" s="559"/>
      <c r="Q375" s="603"/>
      <c r="R375" s="559"/>
      <c r="S375" s="559"/>
      <c r="T375" s="559"/>
      <c r="U375" s="559"/>
      <c r="V375" s="559"/>
      <c r="W375" s="559"/>
      <c r="X375" s="559"/>
      <c r="Y375" s="559"/>
      <c r="Z375" s="559"/>
      <c r="AA375" s="559"/>
      <c r="AB375" s="559"/>
    </row>
    <row r="376" spans="1:28">
      <c r="A376" s="594"/>
      <c r="B376" s="559"/>
      <c r="C376" s="559"/>
      <c r="D376" s="559"/>
      <c r="E376" s="559"/>
      <c r="F376" s="559"/>
      <c r="G376" s="559"/>
      <c r="H376" s="559"/>
      <c r="I376" s="603"/>
      <c r="J376" s="603"/>
      <c r="K376" s="559"/>
      <c r="L376" s="559"/>
      <c r="M376" s="559"/>
      <c r="N376" s="559"/>
      <c r="O376" s="559"/>
      <c r="P376" s="559"/>
      <c r="Q376" s="603"/>
      <c r="R376" s="559"/>
      <c r="S376" s="559"/>
      <c r="T376" s="559"/>
      <c r="U376" s="559"/>
      <c r="V376" s="559"/>
      <c r="W376" s="559"/>
      <c r="X376" s="559"/>
      <c r="Y376" s="559"/>
      <c r="Z376" s="559"/>
      <c r="AA376" s="559"/>
      <c r="AB376" s="559"/>
    </row>
    <row r="377" spans="1:28">
      <c r="A377" s="594"/>
      <c r="B377" s="559"/>
      <c r="C377" s="559"/>
      <c r="D377" s="559"/>
      <c r="E377" s="559"/>
      <c r="F377" s="559"/>
      <c r="G377" s="559"/>
      <c r="H377" s="559"/>
      <c r="I377" s="603"/>
      <c r="J377" s="603"/>
      <c r="K377" s="559"/>
      <c r="L377" s="559"/>
      <c r="M377" s="559"/>
      <c r="N377" s="559"/>
      <c r="O377" s="559"/>
      <c r="P377" s="559"/>
      <c r="Q377" s="603"/>
      <c r="R377" s="559"/>
      <c r="S377" s="559"/>
      <c r="T377" s="559"/>
      <c r="U377" s="559"/>
      <c r="V377" s="559"/>
      <c r="W377" s="559"/>
      <c r="X377" s="559"/>
      <c r="Y377" s="559"/>
      <c r="Z377" s="559"/>
      <c r="AA377" s="559"/>
      <c r="AB377" s="559"/>
    </row>
    <row r="378" spans="1:28">
      <c r="A378" s="594"/>
      <c r="B378" s="559"/>
      <c r="C378" s="559"/>
      <c r="D378" s="559"/>
      <c r="E378" s="559"/>
      <c r="F378" s="559"/>
      <c r="G378" s="559"/>
      <c r="H378" s="559"/>
      <c r="I378" s="603"/>
      <c r="J378" s="603"/>
      <c r="K378" s="559"/>
      <c r="L378" s="559"/>
      <c r="M378" s="559"/>
      <c r="N378" s="559"/>
      <c r="O378" s="559"/>
      <c r="P378" s="559"/>
      <c r="Q378" s="603"/>
      <c r="R378" s="559"/>
      <c r="S378" s="559"/>
      <c r="T378" s="559"/>
      <c r="U378" s="559"/>
      <c r="V378" s="559"/>
      <c r="W378" s="559"/>
      <c r="X378" s="559"/>
      <c r="Y378" s="559"/>
      <c r="Z378" s="559"/>
      <c r="AA378" s="559"/>
      <c r="AB378" s="559"/>
    </row>
    <row r="379" spans="1:28">
      <c r="A379" s="594"/>
      <c r="B379" s="559"/>
      <c r="C379" s="559"/>
      <c r="D379" s="559"/>
      <c r="E379" s="559"/>
      <c r="F379" s="559"/>
      <c r="G379" s="559"/>
      <c r="H379" s="559"/>
      <c r="I379" s="603"/>
      <c r="J379" s="603"/>
      <c r="K379" s="559"/>
      <c r="L379" s="559"/>
      <c r="M379" s="559"/>
      <c r="N379" s="559"/>
      <c r="O379" s="559"/>
      <c r="P379" s="559"/>
      <c r="Q379" s="603"/>
      <c r="R379" s="559"/>
      <c r="S379" s="559"/>
      <c r="T379" s="559"/>
      <c r="U379" s="559"/>
      <c r="V379" s="559"/>
      <c r="W379" s="559"/>
      <c r="X379" s="559"/>
      <c r="Y379" s="559"/>
      <c r="Z379" s="559"/>
      <c r="AA379" s="559"/>
      <c r="AB379" s="559"/>
    </row>
    <row r="380" spans="1:28">
      <c r="A380" s="594"/>
      <c r="B380" s="559"/>
      <c r="C380" s="559"/>
      <c r="D380" s="559"/>
      <c r="E380" s="559"/>
      <c r="F380" s="559"/>
      <c r="G380" s="559"/>
      <c r="H380" s="559"/>
      <c r="I380" s="603"/>
      <c r="J380" s="603"/>
      <c r="K380" s="559"/>
      <c r="L380" s="559"/>
      <c r="M380" s="559"/>
      <c r="N380" s="559"/>
      <c r="O380" s="559"/>
      <c r="P380" s="559"/>
      <c r="Q380" s="603"/>
      <c r="R380" s="559"/>
      <c r="S380" s="559"/>
      <c r="T380" s="559"/>
      <c r="U380" s="559"/>
      <c r="V380" s="559"/>
      <c r="W380" s="559"/>
      <c r="X380" s="559"/>
      <c r="Y380" s="559"/>
      <c r="Z380" s="559"/>
      <c r="AA380" s="559"/>
      <c r="AB380" s="559"/>
    </row>
    <row r="381" spans="1:28">
      <c r="A381" s="594"/>
      <c r="B381" s="559"/>
      <c r="C381" s="559"/>
      <c r="D381" s="559"/>
      <c r="E381" s="559"/>
      <c r="F381" s="559"/>
      <c r="G381" s="559"/>
      <c r="H381" s="559"/>
      <c r="I381" s="603"/>
      <c r="J381" s="603"/>
      <c r="K381" s="559"/>
      <c r="L381" s="559"/>
      <c r="M381" s="559"/>
      <c r="N381" s="559"/>
      <c r="O381" s="559"/>
      <c r="P381" s="559"/>
      <c r="Q381" s="603"/>
      <c r="R381" s="559"/>
      <c r="S381" s="559"/>
      <c r="T381" s="559"/>
      <c r="U381" s="559"/>
      <c r="V381" s="559"/>
      <c r="W381" s="559"/>
      <c r="X381" s="559"/>
      <c r="Y381" s="559"/>
      <c r="Z381" s="559"/>
      <c r="AA381" s="559"/>
      <c r="AB381" s="559"/>
    </row>
    <row r="382" spans="1:28">
      <c r="A382" s="594"/>
      <c r="B382" s="559"/>
      <c r="C382" s="559"/>
      <c r="D382" s="559"/>
      <c r="E382" s="559"/>
      <c r="F382" s="559"/>
      <c r="G382" s="559"/>
      <c r="H382" s="559"/>
      <c r="I382" s="603"/>
      <c r="J382" s="603"/>
      <c r="K382" s="559"/>
      <c r="L382" s="559"/>
      <c r="M382" s="559"/>
      <c r="N382" s="559"/>
      <c r="O382" s="559"/>
      <c r="P382" s="559"/>
      <c r="Q382" s="603"/>
      <c r="R382" s="559"/>
      <c r="S382" s="559"/>
      <c r="T382" s="559"/>
      <c r="U382" s="559"/>
      <c r="V382" s="559"/>
      <c r="W382" s="559"/>
      <c r="X382" s="559"/>
      <c r="Y382" s="559"/>
      <c r="Z382" s="559"/>
      <c r="AA382" s="559"/>
      <c r="AB382" s="559"/>
    </row>
    <row r="383" spans="1:28">
      <c r="A383" s="594"/>
      <c r="B383" s="559"/>
      <c r="C383" s="559"/>
      <c r="D383" s="559"/>
      <c r="E383" s="559"/>
      <c r="F383" s="559"/>
      <c r="G383" s="559"/>
      <c r="H383" s="559"/>
      <c r="I383" s="603"/>
      <c r="J383" s="603"/>
      <c r="K383" s="559"/>
      <c r="L383" s="559"/>
      <c r="M383" s="559"/>
      <c r="N383" s="559"/>
      <c r="O383" s="559"/>
      <c r="P383" s="559"/>
      <c r="Q383" s="603"/>
      <c r="R383" s="559"/>
      <c r="S383" s="559"/>
      <c r="T383" s="559"/>
      <c r="U383" s="559"/>
      <c r="V383" s="559"/>
      <c r="W383" s="559"/>
      <c r="X383" s="559"/>
      <c r="Y383" s="559"/>
      <c r="Z383" s="559"/>
      <c r="AA383" s="559"/>
      <c r="AB383" s="559"/>
    </row>
    <row r="384" spans="1:28">
      <c r="A384" s="594"/>
      <c r="B384" s="559"/>
      <c r="C384" s="559"/>
      <c r="D384" s="559"/>
      <c r="E384" s="559"/>
      <c r="F384" s="559"/>
      <c r="G384" s="559"/>
      <c r="H384" s="559"/>
      <c r="I384" s="603"/>
      <c r="J384" s="603"/>
      <c r="K384" s="559"/>
      <c r="L384" s="559"/>
      <c r="M384" s="559"/>
      <c r="N384" s="559"/>
      <c r="O384" s="559"/>
      <c r="P384" s="559"/>
      <c r="Q384" s="603"/>
      <c r="R384" s="559"/>
      <c r="S384" s="559"/>
      <c r="T384" s="559"/>
      <c r="U384" s="559"/>
      <c r="V384" s="559"/>
      <c r="W384" s="559"/>
      <c r="X384" s="559"/>
      <c r="Y384" s="559"/>
      <c r="Z384" s="559"/>
      <c r="AA384" s="559"/>
      <c r="AB384" s="559"/>
    </row>
    <row r="385" spans="1:28">
      <c r="A385" s="594"/>
      <c r="B385" s="559"/>
      <c r="C385" s="559"/>
      <c r="D385" s="559"/>
      <c r="E385" s="559"/>
      <c r="F385" s="559"/>
      <c r="G385" s="559"/>
      <c r="H385" s="559"/>
      <c r="I385" s="603"/>
      <c r="J385" s="603"/>
      <c r="K385" s="559"/>
      <c r="L385" s="559"/>
      <c r="M385" s="559"/>
      <c r="N385" s="559"/>
      <c r="O385" s="559"/>
      <c r="P385" s="559"/>
      <c r="Q385" s="603"/>
      <c r="R385" s="559"/>
      <c r="S385" s="559"/>
      <c r="T385" s="559"/>
      <c r="U385" s="559"/>
      <c r="V385" s="559"/>
      <c r="W385" s="559"/>
      <c r="X385" s="559"/>
      <c r="Y385" s="559"/>
      <c r="Z385" s="559"/>
      <c r="AA385" s="559"/>
      <c r="AB385" s="559"/>
    </row>
    <row r="386" spans="1:28">
      <c r="A386" s="594"/>
      <c r="B386" s="559"/>
      <c r="C386" s="559"/>
      <c r="D386" s="559"/>
      <c r="E386" s="559"/>
      <c r="F386" s="559"/>
      <c r="G386" s="559"/>
      <c r="H386" s="559"/>
      <c r="I386" s="603"/>
      <c r="J386" s="603"/>
      <c r="K386" s="559"/>
      <c r="L386" s="559"/>
      <c r="M386" s="559"/>
      <c r="N386" s="559"/>
      <c r="O386" s="559"/>
      <c r="P386" s="559"/>
      <c r="Q386" s="603"/>
      <c r="R386" s="559"/>
      <c r="S386" s="559"/>
      <c r="T386" s="559"/>
      <c r="U386" s="559"/>
      <c r="V386" s="559"/>
      <c r="W386" s="559"/>
      <c r="X386" s="559"/>
      <c r="Y386" s="559"/>
      <c r="Z386" s="559"/>
      <c r="AA386" s="559"/>
      <c r="AB386" s="559"/>
    </row>
    <row r="387" spans="1:28">
      <c r="A387" s="594"/>
      <c r="B387" s="559"/>
      <c r="C387" s="559"/>
      <c r="D387" s="559"/>
      <c r="E387" s="559"/>
      <c r="F387" s="559"/>
      <c r="G387" s="559"/>
      <c r="H387" s="559"/>
      <c r="I387" s="603"/>
      <c r="J387" s="603"/>
      <c r="K387" s="559"/>
      <c r="L387" s="559"/>
      <c r="M387" s="559"/>
      <c r="N387" s="559"/>
      <c r="O387" s="559"/>
      <c r="P387" s="559"/>
      <c r="Q387" s="603"/>
      <c r="R387" s="559"/>
      <c r="S387" s="559"/>
      <c r="T387" s="559"/>
      <c r="U387" s="559"/>
      <c r="V387" s="559"/>
      <c r="W387" s="559"/>
      <c r="X387" s="559"/>
      <c r="Y387" s="559"/>
      <c r="Z387" s="559"/>
      <c r="AA387" s="559"/>
      <c r="AB387" s="559"/>
    </row>
    <row r="388" spans="1:28">
      <c r="A388" s="594"/>
      <c r="B388" s="559"/>
      <c r="C388" s="559"/>
      <c r="D388" s="559"/>
      <c r="E388" s="559"/>
      <c r="F388" s="559"/>
      <c r="G388" s="559"/>
      <c r="H388" s="559"/>
      <c r="I388" s="603"/>
      <c r="J388" s="603"/>
      <c r="K388" s="559"/>
      <c r="L388" s="559"/>
      <c r="M388" s="559"/>
      <c r="N388" s="559"/>
      <c r="O388" s="559"/>
      <c r="P388" s="559"/>
      <c r="Q388" s="603"/>
      <c r="R388" s="559"/>
      <c r="S388" s="559"/>
      <c r="T388" s="559"/>
      <c r="U388" s="559"/>
      <c r="V388" s="559"/>
      <c r="W388" s="559"/>
      <c r="X388" s="559"/>
      <c r="Y388" s="559"/>
      <c r="Z388" s="559"/>
      <c r="AA388" s="559"/>
      <c r="AB388" s="559"/>
    </row>
    <row r="389" spans="1:28">
      <c r="A389" s="594"/>
      <c r="B389" s="559"/>
      <c r="C389" s="559"/>
      <c r="D389" s="559"/>
      <c r="E389" s="559"/>
      <c r="F389" s="559"/>
      <c r="G389" s="559"/>
      <c r="H389" s="559"/>
      <c r="I389" s="603"/>
      <c r="J389" s="603"/>
      <c r="K389" s="559"/>
      <c r="L389" s="559"/>
      <c r="M389" s="559"/>
      <c r="N389" s="559"/>
      <c r="O389" s="559"/>
      <c r="P389" s="559"/>
      <c r="Q389" s="603"/>
      <c r="R389" s="559"/>
      <c r="S389" s="559"/>
      <c r="T389" s="559"/>
      <c r="U389" s="559"/>
      <c r="V389" s="559"/>
      <c r="W389" s="559"/>
      <c r="X389" s="559"/>
      <c r="Y389" s="559"/>
      <c r="Z389" s="559"/>
      <c r="AA389" s="559"/>
      <c r="AB389" s="559"/>
    </row>
    <row r="390" spans="1:28">
      <c r="A390" s="594"/>
      <c r="B390" s="559"/>
      <c r="C390" s="559"/>
      <c r="D390" s="559"/>
      <c r="E390" s="559"/>
      <c r="F390" s="559"/>
      <c r="G390" s="559"/>
      <c r="H390" s="559"/>
      <c r="I390" s="603"/>
      <c r="J390" s="603"/>
      <c r="K390" s="559"/>
      <c r="L390" s="559"/>
      <c r="M390" s="559"/>
      <c r="N390" s="559"/>
      <c r="O390" s="559"/>
      <c r="P390" s="559"/>
      <c r="Q390" s="603"/>
      <c r="R390" s="559"/>
      <c r="S390" s="559"/>
      <c r="T390" s="559"/>
      <c r="U390" s="559"/>
      <c r="V390" s="559"/>
      <c r="W390" s="559"/>
      <c r="X390" s="559"/>
      <c r="Y390" s="559"/>
      <c r="Z390" s="559"/>
      <c r="AA390" s="559"/>
      <c r="AB390" s="559"/>
    </row>
    <row r="391" spans="1:28">
      <c r="A391" s="594"/>
      <c r="B391" s="559"/>
      <c r="C391" s="559"/>
      <c r="D391" s="559"/>
      <c r="E391" s="559"/>
      <c r="F391" s="559"/>
      <c r="G391" s="559"/>
      <c r="H391" s="559"/>
      <c r="I391" s="603"/>
      <c r="J391" s="603"/>
      <c r="K391" s="559"/>
      <c r="L391" s="559"/>
      <c r="M391" s="559"/>
      <c r="N391" s="559"/>
      <c r="O391" s="559"/>
      <c r="P391" s="559"/>
      <c r="Q391" s="603"/>
      <c r="R391" s="559"/>
      <c r="S391" s="559"/>
      <c r="T391" s="559"/>
      <c r="U391" s="559"/>
      <c r="V391" s="559"/>
      <c r="W391" s="559"/>
      <c r="X391" s="559"/>
      <c r="Y391" s="559"/>
      <c r="Z391" s="559"/>
      <c r="AA391" s="559"/>
      <c r="AB391" s="559"/>
    </row>
    <row r="392" spans="1:28">
      <c r="A392" s="594"/>
      <c r="B392" s="559"/>
      <c r="C392" s="559"/>
      <c r="D392" s="559"/>
      <c r="E392" s="559"/>
      <c r="F392" s="559"/>
      <c r="G392" s="559"/>
      <c r="H392" s="559"/>
      <c r="I392" s="603"/>
      <c r="J392" s="603"/>
      <c r="K392" s="559"/>
      <c r="L392" s="559"/>
      <c r="M392" s="559"/>
      <c r="N392" s="559"/>
      <c r="O392" s="559"/>
      <c r="P392" s="559"/>
      <c r="Q392" s="603"/>
      <c r="R392" s="559"/>
      <c r="S392" s="559"/>
      <c r="T392" s="559"/>
      <c r="U392" s="559"/>
      <c r="V392" s="559"/>
      <c r="W392" s="559"/>
      <c r="X392" s="559"/>
      <c r="Y392" s="559"/>
      <c r="Z392" s="559"/>
      <c r="AA392" s="559"/>
      <c r="AB392" s="559"/>
    </row>
    <row r="393" spans="1:28">
      <c r="A393" s="594"/>
      <c r="B393" s="559"/>
      <c r="C393" s="559"/>
      <c r="D393" s="559"/>
      <c r="E393" s="559"/>
      <c r="F393" s="559"/>
      <c r="G393" s="559"/>
      <c r="H393" s="559"/>
      <c r="I393" s="603"/>
      <c r="J393" s="603"/>
      <c r="K393" s="559"/>
      <c r="L393" s="559"/>
      <c r="M393" s="559"/>
      <c r="N393" s="559"/>
      <c r="O393" s="559"/>
      <c r="P393" s="559"/>
      <c r="Q393" s="603"/>
      <c r="R393" s="559"/>
      <c r="S393" s="559"/>
      <c r="T393" s="559"/>
      <c r="U393" s="559"/>
      <c r="V393" s="559"/>
      <c r="W393" s="559"/>
      <c r="X393" s="559"/>
      <c r="Y393" s="559"/>
      <c r="Z393" s="559"/>
      <c r="AA393" s="559"/>
      <c r="AB393" s="559"/>
    </row>
    <row r="394" spans="1:28">
      <c r="A394" s="594"/>
      <c r="B394" s="559"/>
      <c r="C394" s="559"/>
      <c r="D394" s="559"/>
      <c r="E394" s="559"/>
      <c r="F394" s="559"/>
      <c r="G394" s="559"/>
      <c r="H394" s="559"/>
      <c r="I394" s="603"/>
      <c r="J394" s="603"/>
      <c r="K394" s="559"/>
      <c r="L394" s="559"/>
      <c r="M394" s="559"/>
      <c r="N394" s="559"/>
      <c r="O394" s="559"/>
      <c r="P394" s="559"/>
      <c r="Q394" s="603"/>
      <c r="R394" s="559"/>
      <c r="S394" s="559"/>
      <c r="T394" s="559"/>
      <c r="U394" s="559"/>
      <c r="V394" s="559"/>
      <c r="W394" s="559"/>
      <c r="X394" s="559"/>
      <c r="Y394" s="559"/>
      <c r="Z394" s="559"/>
      <c r="AA394" s="559"/>
      <c r="AB394" s="559"/>
    </row>
    <row r="395" spans="1:28">
      <c r="A395" s="594"/>
      <c r="B395" s="559"/>
      <c r="C395" s="559"/>
      <c r="D395" s="559"/>
      <c r="E395" s="559"/>
      <c r="F395" s="559"/>
      <c r="G395" s="559"/>
      <c r="H395" s="559"/>
      <c r="I395" s="603"/>
      <c r="J395" s="603"/>
      <c r="K395" s="559"/>
      <c r="L395" s="559"/>
      <c r="M395" s="559"/>
      <c r="N395" s="559"/>
      <c r="O395" s="559"/>
      <c r="P395" s="559"/>
      <c r="Q395" s="603"/>
      <c r="R395" s="559"/>
      <c r="S395" s="559"/>
      <c r="T395" s="559"/>
      <c r="U395" s="559"/>
      <c r="V395" s="559"/>
      <c r="W395" s="559"/>
      <c r="X395" s="559"/>
      <c r="Y395" s="559"/>
      <c r="Z395" s="559"/>
      <c r="AA395" s="559"/>
      <c r="AB395" s="559"/>
    </row>
    <row r="396" spans="1:28">
      <c r="A396" s="594"/>
      <c r="B396" s="559"/>
      <c r="C396" s="559"/>
      <c r="D396" s="559"/>
      <c r="E396" s="559"/>
      <c r="F396" s="559"/>
      <c r="G396" s="559"/>
      <c r="H396" s="559"/>
      <c r="I396" s="603"/>
      <c r="J396" s="603"/>
      <c r="K396" s="559"/>
      <c r="L396" s="559"/>
      <c r="M396" s="559"/>
      <c r="N396" s="559"/>
      <c r="O396" s="559"/>
      <c r="P396" s="559"/>
      <c r="Q396" s="603"/>
      <c r="R396" s="559"/>
      <c r="S396" s="559"/>
      <c r="T396" s="559"/>
      <c r="U396" s="559"/>
      <c r="V396" s="559"/>
      <c r="W396" s="559"/>
      <c r="X396" s="559"/>
      <c r="Y396" s="559"/>
      <c r="Z396" s="559"/>
      <c r="AA396" s="559"/>
      <c r="AB396" s="559"/>
    </row>
    <row r="397" spans="1:28">
      <c r="A397" s="594"/>
      <c r="B397" s="559"/>
      <c r="C397" s="559"/>
      <c r="D397" s="559"/>
      <c r="E397" s="559"/>
      <c r="F397" s="559"/>
      <c r="G397" s="559"/>
      <c r="H397" s="559"/>
      <c r="I397" s="603"/>
      <c r="J397" s="603"/>
      <c r="K397" s="559"/>
      <c r="L397" s="559"/>
      <c r="M397" s="559"/>
      <c r="N397" s="559"/>
      <c r="O397" s="559"/>
      <c r="P397" s="559"/>
      <c r="Q397" s="603"/>
      <c r="R397" s="559"/>
      <c r="S397" s="559"/>
      <c r="T397" s="559"/>
      <c r="U397" s="559"/>
      <c r="V397" s="559"/>
      <c r="W397" s="559"/>
      <c r="X397" s="559"/>
      <c r="Y397" s="559"/>
      <c r="Z397" s="559"/>
      <c r="AA397" s="559"/>
      <c r="AB397" s="559"/>
    </row>
    <row r="398" spans="1:28">
      <c r="A398" s="594"/>
      <c r="B398" s="559"/>
      <c r="C398" s="559"/>
      <c r="D398" s="559"/>
      <c r="E398" s="559"/>
      <c r="F398" s="559"/>
      <c r="G398" s="559"/>
      <c r="H398" s="559"/>
      <c r="I398" s="603"/>
      <c r="J398" s="603"/>
      <c r="K398" s="559"/>
      <c r="L398" s="559"/>
      <c r="M398" s="559"/>
      <c r="N398" s="559"/>
      <c r="O398" s="559"/>
      <c r="P398" s="559"/>
      <c r="Q398" s="603"/>
      <c r="R398" s="559"/>
      <c r="S398" s="559"/>
      <c r="T398" s="559"/>
      <c r="U398" s="559"/>
      <c r="V398" s="559"/>
      <c r="W398" s="559"/>
      <c r="X398" s="559"/>
      <c r="Y398" s="559"/>
      <c r="Z398" s="559"/>
      <c r="AA398" s="559"/>
      <c r="AB398" s="559"/>
    </row>
    <row r="399" spans="1:28">
      <c r="A399" s="594"/>
      <c r="B399" s="559"/>
      <c r="C399" s="559"/>
      <c r="D399" s="559"/>
      <c r="E399" s="559"/>
      <c r="F399" s="559"/>
      <c r="G399" s="559"/>
      <c r="H399" s="559"/>
      <c r="I399" s="603"/>
      <c r="J399" s="603"/>
      <c r="K399" s="559"/>
      <c r="L399" s="559"/>
      <c r="M399" s="559"/>
      <c r="N399" s="559"/>
      <c r="O399" s="559"/>
      <c r="P399" s="559"/>
      <c r="Q399" s="603"/>
      <c r="R399" s="559"/>
      <c r="S399" s="559"/>
      <c r="T399" s="559"/>
      <c r="U399" s="559"/>
      <c r="V399" s="559"/>
      <c r="W399" s="559"/>
      <c r="X399" s="559"/>
      <c r="Y399" s="559"/>
      <c r="Z399" s="559"/>
      <c r="AA399" s="559"/>
      <c r="AB399" s="559"/>
    </row>
    <row r="400" spans="1:28">
      <c r="A400" s="594"/>
      <c r="B400" s="559"/>
      <c r="C400" s="559"/>
      <c r="D400" s="559"/>
      <c r="E400" s="559"/>
      <c r="F400" s="559"/>
      <c r="G400" s="559"/>
      <c r="H400" s="559"/>
      <c r="I400" s="603"/>
      <c r="J400" s="603"/>
      <c r="K400" s="559"/>
      <c r="L400" s="559"/>
      <c r="M400" s="559"/>
      <c r="N400" s="559"/>
      <c r="O400" s="559"/>
      <c r="P400" s="559"/>
      <c r="Q400" s="603"/>
      <c r="R400" s="559"/>
      <c r="S400" s="559"/>
      <c r="T400" s="559"/>
      <c r="U400" s="559"/>
      <c r="V400" s="559"/>
      <c r="W400" s="559"/>
      <c r="X400" s="559"/>
      <c r="Y400" s="559"/>
      <c r="Z400" s="559"/>
      <c r="AA400" s="559"/>
      <c r="AB400" s="559"/>
    </row>
    <row r="401" spans="1:28">
      <c r="A401" s="594"/>
      <c r="B401" s="559"/>
      <c r="C401" s="559"/>
      <c r="D401" s="559"/>
      <c r="E401" s="559"/>
      <c r="F401" s="559"/>
      <c r="G401" s="559"/>
      <c r="H401" s="559"/>
      <c r="I401" s="603"/>
      <c r="J401" s="603"/>
      <c r="K401" s="559"/>
      <c r="L401" s="559"/>
      <c r="M401" s="559"/>
      <c r="N401" s="559"/>
      <c r="O401" s="559"/>
      <c r="P401" s="559"/>
      <c r="Q401" s="603"/>
      <c r="R401" s="559"/>
      <c r="S401" s="559"/>
      <c r="T401" s="559"/>
      <c r="U401" s="559"/>
      <c r="V401" s="559"/>
      <c r="W401" s="559"/>
      <c r="X401" s="559"/>
      <c r="Y401" s="559"/>
      <c r="Z401" s="559"/>
      <c r="AA401" s="559"/>
      <c r="AB401" s="559"/>
    </row>
    <row r="402" spans="1:28">
      <c r="A402" s="594"/>
      <c r="B402" s="559"/>
      <c r="C402" s="559"/>
      <c r="D402" s="559"/>
      <c r="E402" s="559"/>
      <c r="F402" s="559"/>
      <c r="G402" s="559"/>
      <c r="H402" s="559"/>
      <c r="I402" s="603"/>
      <c r="J402" s="603"/>
      <c r="K402" s="559"/>
      <c r="L402" s="559"/>
      <c r="M402" s="559"/>
      <c r="N402" s="559"/>
      <c r="O402" s="559"/>
      <c r="P402" s="559"/>
      <c r="Q402" s="603"/>
      <c r="R402" s="559"/>
      <c r="S402" s="559"/>
      <c r="T402" s="559"/>
      <c r="U402" s="559"/>
      <c r="V402" s="559"/>
      <c r="W402" s="559"/>
      <c r="X402" s="559"/>
      <c r="Y402" s="559"/>
      <c r="Z402" s="559"/>
      <c r="AA402" s="559"/>
      <c r="AB402" s="559"/>
    </row>
    <row r="403" spans="1:28">
      <c r="A403" s="594"/>
      <c r="B403" s="559"/>
      <c r="C403" s="559"/>
      <c r="D403" s="559"/>
      <c r="E403" s="559"/>
      <c r="F403" s="559"/>
      <c r="G403" s="559"/>
      <c r="H403" s="559"/>
      <c r="I403" s="603"/>
      <c r="J403" s="603"/>
      <c r="K403" s="559"/>
      <c r="L403" s="559"/>
      <c r="M403" s="559"/>
      <c r="N403" s="559"/>
      <c r="O403" s="559"/>
      <c r="P403" s="559"/>
      <c r="Q403" s="603"/>
      <c r="R403" s="559"/>
      <c r="S403" s="559"/>
      <c r="T403" s="559"/>
      <c r="U403" s="559"/>
      <c r="V403" s="559"/>
      <c r="W403" s="559"/>
      <c r="X403" s="559"/>
      <c r="Y403" s="559"/>
      <c r="Z403" s="559"/>
      <c r="AA403" s="559"/>
      <c r="AB403" s="559"/>
    </row>
    <row r="404" spans="1:28">
      <c r="A404" s="594"/>
      <c r="B404" s="559"/>
      <c r="C404" s="559"/>
      <c r="D404" s="559"/>
      <c r="E404" s="559"/>
      <c r="F404" s="559"/>
      <c r="G404" s="559"/>
      <c r="H404" s="559"/>
      <c r="I404" s="603"/>
      <c r="J404" s="603"/>
      <c r="K404" s="559"/>
      <c r="L404" s="559"/>
      <c r="M404" s="559"/>
      <c r="N404" s="559"/>
      <c r="O404" s="559"/>
      <c r="P404" s="559"/>
      <c r="Q404" s="603"/>
      <c r="R404" s="559"/>
      <c r="S404" s="559"/>
      <c r="T404" s="559"/>
      <c r="U404" s="559"/>
      <c r="V404" s="559"/>
      <c r="W404" s="559"/>
      <c r="X404" s="559"/>
      <c r="Y404" s="559"/>
      <c r="Z404" s="559"/>
      <c r="AA404" s="559"/>
      <c r="AB404" s="559"/>
    </row>
    <row r="405" spans="1:28">
      <c r="A405" s="594"/>
      <c r="B405" s="559"/>
      <c r="C405" s="559"/>
      <c r="D405" s="559"/>
      <c r="E405" s="559"/>
      <c r="F405" s="559"/>
      <c r="G405" s="559"/>
      <c r="H405" s="559"/>
      <c r="I405" s="603"/>
      <c r="J405" s="603"/>
      <c r="K405" s="559"/>
      <c r="L405" s="559"/>
      <c r="M405" s="559"/>
      <c r="N405" s="559"/>
      <c r="O405" s="559"/>
      <c r="P405" s="559"/>
      <c r="Q405" s="603"/>
      <c r="R405" s="559"/>
      <c r="S405" s="559"/>
      <c r="T405" s="559"/>
      <c r="U405" s="559"/>
      <c r="V405" s="559"/>
      <c r="W405" s="559"/>
      <c r="X405" s="559"/>
      <c r="Y405" s="559"/>
      <c r="Z405" s="559"/>
      <c r="AA405" s="559"/>
      <c r="AB405" s="559"/>
    </row>
    <row r="406" spans="1:28">
      <c r="A406" s="594"/>
      <c r="B406" s="559"/>
      <c r="C406" s="559"/>
      <c r="D406" s="559"/>
      <c r="E406" s="559"/>
      <c r="F406" s="559"/>
      <c r="G406" s="559"/>
      <c r="H406" s="559"/>
      <c r="I406" s="603"/>
      <c r="J406" s="603"/>
      <c r="K406" s="559"/>
      <c r="L406" s="559"/>
      <c r="M406" s="559"/>
      <c r="N406" s="559"/>
      <c r="O406" s="559"/>
      <c r="P406" s="559"/>
      <c r="Q406" s="603"/>
      <c r="R406" s="559"/>
      <c r="S406" s="559"/>
      <c r="T406" s="559"/>
      <c r="U406" s="559"/>
      <c r="V406" s="559"/>
      <c r="W406" s="559"/>
      <c r="X406" s="559"/>
      <c r="Y406" s="559"/>
      <c r="Z406" s="559"/>
      <c r="AA406" s="559"/>
      <c r="AB406" s="559"/>
    </row>
    <row r="407" spans="1:28">
      <c r="A407" s="594"/>
      <c r="B407" s="559"/>
      <c r="C407" s="559"/>
      <c r="D407" s="559"/>
      <c r="E407" s="559"/>
      <c r="F407" s="559"/>
      <c r="G407" s="559"/>
      <c r="H407" s="559"/>
      <c r="I407" s="603"/>
      <c r="J407" s="603"/>
      <c r="K407" s="559"/>
      <c r="L407" s="559"/>
      <c r="M407" s="559"/>
      <c r="N407" s="559"/>
      <c r="O407" s="559"/>
      <c r="P407" s="559"/>
      <c r="Q407" s="603"/>
      <c r="R407" s="559"/>
      <c r="S407" s="559"/>
      <c r="T407" s="559"/>
      <c r="U407" s="559"/>
      <c r="V407" s="559"/>
      <c r="W407" s="559"/>
      <c r="X407" s="559"/>
      <c r="Y407" s="559"/>
      <c r="Z407" s="559"/>
      <c r="AA407" s="559"/>
      <c r="AB407" s="559"/>
    </row>
    <row r="408" spans="1:28">
      <c r="A408" s="594"/>
      <c r="B408" s="559"/>
      <c r="C408" s="559"/>
      <c r="D408" s="559"/>
      <c r="E408" s="559"/>
      <c r="F408" s="559"/>
      <c r="G408" s="559"/>
      <c r="H408" s="559"/>
      <c r="I408" s="603"/>
      <c r="J408" s="603"/>
      <c r="K408" s="559"/>
      <c r="L408" s="559"/>
      <c r="M408" s="559"/>
      <c r="N408" s="559"/>
      <c r="O408" s="559"/>
      <c r="P408" s="559"/>
      <c r="Q408" s="603"/>
      <c r="R408" s="559"/>
      <c r="S408" s="559"/>
      <c r="T408" s="559"/>
      <c r="U408" s="559"/>
      <c r="V408" s="559"/>
      <c r="W408" s="559"/>
      <c r="X408" s="559"/>
      <c r="Y408" s="559"/>
      <c r="Z408" s="559"/>
      <c r="AA408" s="559"/>
      <c r="AB408" s="559"/>
    </row>
    <row r="409" spans="1:28">
      <c r="A409" s="594"/>
      <c r="B409" s="559"/>
      <c r="C409" s="559"/>
      <c r="D409" s="559"/>
      <c r="E409" s="559"/>
      <c r="F409" s="559"/>
      <c r="G409" s="559"/>
      <c r="H409" s="559"/>
      <c r="I409" s="603"/>
      <c r="J409" s="603"/>
      <c r="K409" s="559"/>
      <c r="L409" s="559"/>
      <c r="M409" s="559"/>
      <c r="N409" s="559"/>
      <c r="O409" s="559"/>
      <c r="P409" s="559"/>
      <c r="Q409" s="603"/>
      <c r="R409" s="559"/>
      <c r="S409" s="559"/>
      <c r="T409" s="559"/>
      <c r="U409" s="559"/>
      <c r="V409" s="559"/>
      <c r="W409" s="559"/>
      <c r="X409" s="559"/>
      <c r="Y409" s="559"/>
      <c r="Z409" s="559"/>
      <c r="AA409" s="559"/>
      <c r="AB409" s="559"/>
    </row>
    <row r="410" spans="1:28">
      <c r="A410" s="594"/>
      <c r="B410" s="559"/>
      <c r="C410" s="559"/>
      <c r="D410" s="559"/>
      <c r="E410" s="559"/>
      <c r="F410" s="559"/>
      <c r="G410" s="559"/>
      <c r="H410" s="559"/>
      <c r="I410" s="603"/>
      <c r="J410" s="603"/>
      <c r="K410" s="559"/>
      <c r="L410" s="559"/>
      <c r="M410" s="559"/>
      <c r="N410" s="559"/>
      <c r="O410" s="559"/>
      <c r="P410" s="559"/>
      <c r="Q410" s="603"/>
      <c r="R410" s="559"/>
      <c r="S410" s="559"/>
      <c r="T410" s="559"/>
      <c r="U410" s="559"/>
      <c r="V410" s="559"/>
      <c r="W410" s="559"/>
      <c r="X410" s="559"/>
      <c r="Y410" s="559"/>
      <c r="Z410" s="559"/>
      <c r="AA410" s="559"/>
      <c r="AB410" s="559"/>
    </row>
    <row r="411" spans="1:28">
      <c r="A411" s="594"/>
      <c r="B411" s="559"/>
      <c r="C411" s="559"/>
      <c r="D411" s="559"/>
      <c r="E411" s="559"/>
      <c r="F411" s="559"/>
      <c r="G411" s="559"/>
      <c r="H411" s="559"/>
      <c r="I411" s="603"/>
      <c r="J411" s="603"/>
      <c r="K411" s="559"/>
      <c r="L411" s="559"/>
      <c r="M411" s="559"/>
      <c r="N411" s="559"/>
      <c r="O411" s="559"/>
      <c r="P411" s="559"/>
      <c r="Q411" s="603"/>
      <c r="R411" s="559"/>
      <c r="S411" s="559"/>
      <c r="T411" s="559"/>
      <c r="U411" s="559"/>
      <c r="V411" s="559"/>
      <c r="W411" s="559"/>
      <c r="X411" s="559"/>
      <c r="Y411" s="559"/>
      <c r="Z411" s="559"/>
      <c r="AA411" s="559"/>
      <c r="AB411" s="559"/>
    </row>
    <row r="412" spans="1:28">
      <c r="A412" s="594"/>
      <c r="B412" s="559"/>
      <c r="C412" s="559"/>
      <c r="D412" s="559"/>
      <c r="E412" s="559"/>
      <c r="F412" s="559"/>
      <c r="G412" s="559"/>
      <c r="H412" s="559"/>
      <c r="I412" s="603"/>
      <c r="J412" s="603"/>
      <c r="K412" s="559"/>
      <c r="L412" s="559"/>
      <c r="M412" s="559"/>
      <c r="N412" s="559"/>
      <c r="O412" s="559"/>
      <c r="P412" s="559"/>
      <c r="Q412" s="603"/>
      <c r="R412" s="559"/>
      <c r="S412" s="559"/>
      <c r="T412" s="559"/>
      <c r="U412" s="559"/>
      <c r="V412" s="559"/>
      <c r="W412" s="559"/>
      <c r="X412" s="559"/>
      <c r="Y412" s="559"/>
      <c r="Z412" s="559"/>
      <c r="AA412" s="559"/>
      <c r="AB412" s="559"/>
    </row>
    <row r="413" spans="1:28">
      <c r="A413" s="594"/>
      <c r="B413" s="559"/>
      <c r="C413" s="559"/>
      <c r="D413" s="559"/>
      <c r="E413" s="559"/>
      <c r="F413" s="559"/>
      <c r="G413" s="559"/>
      <c r="H413" s="559"/>
      <c r="I413" s="603"/>
      <c r="J413" s="603"/>
      <c r="K413" s="559"/>
      <c r="L413" s="559"/>
      <c r="M413" s="559"/>
      <c r="N413" s="559"/>
      <c r="O413" s="559"/>
      <c r="P413" s="559"/>
      <c r="Q413" s="603"/>
      <c r="R413" s="559"/>
      <c r="S413" s="559"/>
      <c r="T413" s="559"/>
      <c r="U413" s="559"/>
      <c r="V413" s="559"/>
      <c r="W413" s="559"/>
      <c r="X413" s="559"/>
      <c r="Y413" s="559"/>
      <c r="Z413" s="559"/>
      <c r="AA413" s="559"/>
      <c r="AB413" s="559"/>
    </row>
    <row r="414" spans="1:28">
      <c r="A414" s="594"/>
      <c r="B414" s="559"/>
      <c r="C414" s="559"/>
      <c r="D414" s="559"/>
      <c r="E414" s="559"/>
      <c r="F414" s="559"/>
      <c r="G414" s="559"/>
      <c r="H414" s="559"/>
      <c r="I414" s="603"/>
      <c r="J414" s="603"/>
      <c r="K414" s="559"/>
      <c r="L414" s="559"/>
      <c r="M414" s="559"/>
      <c r="N414" s="559"/>
      <c r="O414" s="559"/>
      <c r="P414" s="559"/>
      <c r="Q414" s="603"/>
      <c r="R414" s="559"/>
      <c r="S414" s="559"/>
      <c r="T414" s="559"/>
      <c r="U414" s="559"/>
      <c r="V414" s="559"/>
      <c r="W414" s="559"/>
      <c r="X414" s="559"/>
      <c r="Y414" s="559"/>
      <c r="Z414" s="559"/>
      <c r="AA414" s="559"/>
      <c r="AB414" s="559"/>
    </row>
    <row r="415" spans="1:28">
      <c r="A415" s="594"/>
      <c r="B415" s="559"/>
      <c r="C415" s="559"/>
      <c r="D415" s="559"/>
      <c r="E415" s="559"/>
      <c r="F415" s="559"/>
      <c r="G415" s="559"/>
      <c r="H415" s="559"/>
      <c r="I415" s="603"/>
      <c r="J415" s="603"/>
      <c r="K415" s="559"/>
      <c r="L415" s="559"/>
      <c r="M415" s="559"/>
      <c r="N415" s="559"/>
      <c r="O415" s="559"/>
      <c r="P415" s="559"/>
      <c r="Q415" s="603"/>
      <c r="R415" s="559"/>
      <c r="S415" s="559"/>
      <c r="T415" s="559"/>
      <c r="U415" s="559"/>
      <c r="V415" s="559"/>
      <c r="W415" s="559"/>
      <c r="X415" s="559"/>
      <c r="Y415" s="559"/>
      <c r="Z415" s="559"/>
      <c r="AA415" s="559"/>
      <c r="AB415" s="559"/>
    </row>
    <row r="416" spans="1:28">
      <c r="A416" s="594"/>
      <c r="B416" s="559"/>
      <c r="C416" s="559"/>
      <c r="D416" s="559"/>
      <c r="E416" s="559"/>
      <c r="F416" s="559"/>
      <c r="G416" s="559"/>
      <c r="H416" s="559"/>
      <c r="I416" s="603"/>
      <c r="J416" s="603"/>
      <c r="K416" s="559"/>
      <c r="L416" s="559"/>
      <c r="M416" s="559"/>
      <c r="N416" s="559"/>
      <c r="O416" s="559"/>
      <c r="P416" s="559"/>
      <c r="Q416" s="603"/>
      <c r="R416" s="559"/>
      <c r="S416" s="559"/>
      <c r="T416" s="559"/>
      <c r="U416" s="559"/>
      <c r="V416" s="559"/>
      <c r="W416" s="559"/>
      <c r="X416" s="559"/>
      <c r="Y416" s="559"/>
      <c r="Z416" s="559"/>
      <c r="AA416" s="559"/>
      <c r="AB416" s="559"/>
    </row>
    <row r="417" spans="1:28">
      <c r="A417" s="594"/>
      <c r="B417" s="559"/>
      <c r="C417" s="559"/>
      <c r="D417" s="559"/>
      <c r="E417" s="559"/>
      <c r="F417" s="559"/>
      <c r="G417" s="559"/>
      <c r="H417" s="559"/>
      <c r="I417" s="603"/>
      <c r="J417" s="603"/>
      <c r="K417" s="559"/>
      <c r="L417" s="559"/>
      <c r="M417" s="559"/>
      <c r="N417" s="559"/>
      <c r="O417" s="559"/>
      <c r="P417" s="559"/>
      <c r="Q417" s="603"/>
      <c r="R417" s="559"/>
      <c r="S417" s="559"/>
      <c r="T417" s="559"/>
      <c r="U417" s="559"/>
      <c r="V417" s="559"/>
      <c r="W417" s="559"/>
      <c r="X417" s="559"/>
      <c r="Y417" s="559"/>
      <c r="Z417" s="559"/>
      <c r="AA417" s="559"/>
      <c r="AB417" s="559"/>
    </row>
    <row r="418" spans="1:28">
      <c r="A418" s="594"/>
      <c r="B418" s="559"/>
      <c r="C418" s="559"/>
      <c r="D418" s="559"/>
      <c r="E418" s="559"/>
      <c r="F418" s="559"/>
      <c r="G418" s="559"/>
      <c r="H418" s="559"/>
      <c r="I418" s="603"/>
      <c r="J418" s="603"/>
      <c r="K418" s="559"/>
      <c r="L418" s="559"/>
      <c r="M418" s="559"/>
      <c r="N418" s="559"/>
      <c r="O418" s="559"/>
      <c r="P418" s="559"/>
      <c r="Q418" s="603"/>
      <c r="R418" s="559"/>
      <c r="S418" s="559"/>
      <c r="T418" s="559"/>
      <c r="U418" s="559"/>
      <c r="V418" s="559"/>
      <c r="W418" s="559"/>
      <c r="X418" s="559"/>
      <c r="Y418" s="559"/>
      <c r="Z418" s="559"/>
      <c r="AA418" s="559"/>
      <c r="AB418" s="559"/>
    </row>
    <row r="419" spans="1:28">
      <c r="A419" s="594"/>
      <c r="B419" s="559"/>
      <c r="C419" s="559"/>
      <c r="D419" s="559"/>
      <c r="E419" s="559"/>
      <c r="F419" s="559"/>
      <c r="G419" s="559"/>
      <c r="H419" s="559"/>
      <c r="I419" s="603"/>
      <c r="J419" s="603"/>
      <c r="K419" s="559"/>
      <c r="L419" s="559"/>
      <c r="M419" s="559"/>
      <c r="N419" s="559"/>
      <c r="O419" s="559"/>
      <c r="P419" s="559"/>
      <c r="Q419" s="603"/>
      <c r="R419" s="559"/>
      <c r="S419" s="559"/>
      <c r="T419" s="559"/>
      <c r="U419" s="559"/>
      <c r="V419" s="559"/>
      <c r="W419" s="559"/>
      <c r="X419" s="559"/>
      <c r="Y419" s="559"/>
      <c r="Z419" s="559"/>
      <c r="AA419" s="559"/>
      <c r="AB419" s="559"/>
    </row>
    <row r="420" spans="1:28">
      <c r="A420" s="594"/>
      <c r="B420" s="559"/>
      <c r="C420" s="559"/>
      <c r="D420" s="559"/>
      <c r="E420" s="559"/>
      <c r="F420" s="559"/>
      <c r="G420" s="559"/>
      <c r="H420" s="559"/>
      <c r="I420" s="603"/>
      <c r="J420" s="603"/>
      <c r="K420" s="559"/>
      <c r="L420" s="559"/>
      <c r="M420" s="559"/>
      <c r="N420" s="559"/>
      <c r="O420" s="559"/>
      <c r="P420" s="559"/>
      <c r="Q420" s="603"/>
      <c r="R420" s="559"/>
      <c r="S420" s="559"/>
      <c r="T420" s="559"/>
      <c r="U420" s="559"/>
      <c r="V420" s="559"/>
      <c r="W420" s="559"/>
      <c r="X420" s="559"/>
      <c r="Y420" s="559"/>
      <c r="Z420" s="559"/>
      <c r="AA420" s="559"/>
      <c r="AB420" s="559"/>
    </row>
    <row r="421" spans="1:28">
      <c r="A421" s="594"/>
      <c r="B421" s="559"/>
      <c r="C421" s="559"/>
      <c r="D421" s="559"/>
      <c r="E421" s="559"/>
      <c r="F421" s="559"/>
      <c r="G421" s="559"/>
      <c r="H421" s="559"/>
      <c r="I421" s="603"/>
      <c r="J421" s="603"/>
      <c r="K421" s="559"/>
      <c r="L421" s="559"/>
      <c r="M421" s="559"/>
      <c r="N421" s="559"/>
      <c r="O421" s="559"/>
      <c r="P421" s="559"/>
      <c r="Q421" s="603"/>
      <c r="R421" s="559"/>
      <c r="S421" s="559"/>
      <c r="T421" s="559"/>
      <c r="U421" s="559"/>
      <c r="V421" s="559"/>
      <c r="W421" s="559"/>
      <c r="X421" s="559"/>
      <c r="Y421" s="559"/>
      <c r="Z421" s="559"/>
      <c r="AA421" s="559"/>
      <c r="AB421" s="559"/>
    </row>
    <row r="422" spans="1:28">
      <c r="A422" s="594"/>
      <c r="B422" s="559"/>
      <c r="C422" s="559"/>
      <c r="D422" s="559"/>
      <c r="E422" s="559"/>
      <c r="F422" s="559"/>
      <c r="G422" s="559"/>
      <c r="H422" s="559"/>
      <c r="I422" s="603"/>
      <c r="J422" s="603"/>
      <c r="K422" s="559"/>
      <c r="L422" s="559"/>
      <c r="M422" s="559"/>
      <c r="N422" s="559"/>
      <c r="O422" s="559"/>
      <c r="P422" s="559"/>
      <c r="Q422" s="603"/>
      <c r="R422" s="559"/>
      <c r="S422" s="559"/>
      <c r="T422" s="559"/>
      <c r="U422" s="559"/>
      <c r="V422" s="559"/>
      <c r="W422" s="559"/>
      <c r="X422" s="559"/>
      <c r="Y422" s="559"/>
      <c r="Z422" s="559"/>
      <c r="AA422" s="559"/>
      <c r="AB422" s="559"/>
    </row>
    <row r="423" spans="1:28">
      <c r="A423" s="594"/>
      <c r="B423" s="559"/>
      <c r="C423" s="559"/>
      <c r="D423" s="559"/>
      <c r="E423" s="559"/>
      <c r="F423" s="559"/>
      <c r="G423" s="559"/>
      <c r="H423" s="559"/>
      <c r="I423" s="603"/>
      <c r="J423" s="603"/>
      <c r="K423" s="559"/>
      <c r="L423" s="559"/>
      <c r="M423" s="559"/>
      <c r="N423" s="559"/>
      <c r="O423" s="559"/>
      <c r="P423" s="559"/>
      <c r="Q423" s="603"/>
      <c r="R423" s="559"/>
      <c r="S423" s="559"/>
      <c r="T423" s="559"/>
      <c r="U423" s="559"/>
      <c r="V423" s="559"/>
      <c r="W423" s="559"/>
      <c r="X423" s="559"/>
      <c r="Y423" s="559"/>
      <c r="Z423" s="559"/>
      <c r="AA423" s="559"/>
      <c r="AB423" s="559"/>
    </row>
    <row r="424" spans="1:28">
      <c r="A424" s="594"/>
      <c r="B424" s="559"/>
      <c r="C424" s="559"/>
      <c r="D424" s="559"/>
      <c r="E424" s="559"/>
      <c r="F424" s="559"/>
      <c r="G424" s="559"/>
      <c r="H424" s="559"/>
      <c r="I424" s="603"/>
      <c r="J424" s="603"/>
      <c r="K424" s="559"/>
      <c r="L424" s="559"/>
      <c r="M424" s="559"/>
      <c r="N424" s="559"/>
      <c r="O424" s="559"/>
      <c r="P424" s="559"/>
      <c r="Q424" s="603"/>
      <c r="R424" s="559"/>
      <c r="S424" s="559"/>
      <c r="T424" s="559"/>
      <c r="U424" s="559"/>
      <c r="V424" s="559"/>
      <c r="W424" s="559"/>
      <c r="X424" s="559"/>
      <c r="Y424" s="559"/>
      <c r="Z424" s="559"/>
      <c r="AA424" s="559"/>
      <c r="AB424" s="559"/>
    </row>
    <row r="425" spans="1:28">
      <c r="A425" s="594"/>
      <c r="B425" s="559"/>
      <c r="C425" s="559"/>
      <c r="D425" s="559"/>
      <c r="E425" s="559"/>
      <c r="F425" s="559"/>
      <c r="G425" s="559"/>
      <c r="H425" s="559"/>
      <c r="I425" s="603"/>
      <c r="J425" s="603"/>
      <c r="K425" s="559"/>
      <c r="L425" s="559"/>
      <c r="M425" s="559"/>
      <c r="N425" s="559"/>
      <c r="O425" s="559"/>
      <c r="P425" s="559"/>
      <c r="Q425" s="603"/>
      <c r="R425" s="559"/>
      <c r="S425" s="559"/>
      <c r="T425" s="559"/>
      <c r="U425" s="559"/>
      <c r="V425" s="559"/>
      <c r="W425" s="559"/>
      <c r="X425" s="559"/>
      <c r="Y425" s="559"/>
      <c r="Z425" s="559"/>
      <c r="AA425" s="559"/>
      <c r="AB425" s="559"/>
    </row>
    <row r="426" spans="1:28">
      <c r="A426" s="594"/>
      <c r="B426" s="559"/>
      <c r="C426" s="559"/>
      <c r="D426" s="559"/>
      <c r="E426" s="559"/>
      <c r="F426" s="559"/>
      <c r="G426" s="559"/>
      <c r="H426" s="559"/>
      <c r="I426" s="603"/>
      <c r="J426" s="603"/>
      <c r="K426" s="559"/>
      <c r="L426" s="559"/>
      <c r="M426" s="559"/>
      <c r="N426" s="559"/>
      <c r="O426" s="559"/>
      <c r="P426" s="559"/>
      <c r="Q426" s="603"/>
      <c r="R426" s="559"/>
      <c r="S426" s="559"/>
      <c r="T426" s="559"/>
      <c r="U426" s="559"/>
      <c r="V426" s="559"/>
      <c r="W426" s="559"/>
      <c r="X426" s="559"/>
      <c r="Y426" s="559"/>
      <c r="Z426" s="559"/>
      <c r="AA426" s="559"/>
      <c r="AB426" s="559"/>
    </row>
    <row r="427" spans="1:28">
      <c r="A427" s="594"/>
      <c r="B427" s="559"/>
      <c r="C427" s="559"/>
      <c r="D427" s="559"/>
      <c r="E427" s="559"/>
      <c r="F427" s="559"/>
      <c r="G427" s="559"/>
      <c r="H427" s="559"/>
      <c r="I427" s="603"/>
      <c r="J427" s="603"/>
      <c r="K427" s="559"/>
      <c r="L427" s="559"/>
      <c r="M427" s="559"/>
      <c r="N427" s="559"/>
      <c r="O427" s="559"/>
      <c r="P427" s="559"/>
      <c r="Q427" s="603"/>
      <c r="R427" s="559"/>
      <c r="S427" s="559"/>
      <c r="T427" s="559"/>
      <c r="U427" s="559"/>
      <c r="V427" s="559"/>
      <c r="W427" s="559"/>
      <c r="X427" s="559"/>
      <c r="Y427" s="559"/>
      <c r="Z427" s="559"/>
      <c r="AA427" s="559"/>
      <c r="AB427" s="559"/>
    </row>
    <row r="428" spans="1:28">
      <c r="A428" s="594"/>
      <c r="B428" s="559"/>
      <c r="C428" s="559"/>
      <c r="D428" s="559"/>
      <c r="E428" s="559"/>
      <c r="F428" s="559"/>
      <c r="G428" s="559"/>
      <c r="H428" s="559"/>
      <c r="I428" s="603"/>
      <c r="J428" s="603"/>
      <c r="K428" s="559"/>
      <c r="L428" s="559"/>
      <c r="M428" s="559"/>
      <c r="N428" s="559"/>
      <c r="O428" s="559"/>
      <c r="P428" s="559"/>
      <c r="Q428" s="603"/>
      <c r="R428" s="559"/>
      <c r="S428" s="559"/>
      <c r="T428" s="559"/>
      <c r="U428" s="559"/>
      <c r="V428" s="559"/>
      <c r="W428" s="559"/>
      <c r="X428" s="559"/>
      <c r="Y428" s="559"/>
      <c r="Z428" s="559"/>
      <c r="AA428" s="559"/>
      <c r="AB428" s="559"/>
    </row>
    <row r="429" spans="1:28">
      <c r="A429" s="594"/>
      <c r="B429" s="559"/>
      <c r="C429" s="559"/>
      <c r="D429" s="559"/>
      <c r="E429" s="559"/>
      <c r="F429" s="559"/>
      <c r="G429" s="559"/>
      <c r="H429" s="559"/>
      <c r="I429" s="603"/>
      <c r="J429" s="603"/>
      <c r="K429" s="559"/>
      <c r="L429" s="559"/>
      <c r="M429" s="559"/>
      <c r="N429" s="559"/>
      <c r="O429" s="559"/>
      <c r="P429" s="559"/>
      <c r="Q429" s="603"/>
      <c r="R429" s="559"/>
      <c r="S429" s="559"/>
      <c r="T429" s="559"/>
      <c r="U429" s="559"/>
      <c r="V429" s="559"/>
      <c r="W429" s="559"/>
      <c r="X429" s="559"/>
      <c r="Y429" s="559"/>
      <c r="Z429" s="559"/>
      <c r="AA429" s="559"/>
      <c r="AB429" s="559"/>
    </row>
    <row r="430" spans="1:28">
      <c r="A430" s="594"/>
      <c r="B430" s="559"/>
      <c r="C430" s="559"/>
      <c r="D430" s="559"/>
      <c r="E430" s="559"/>
      <c r="F430" s="559"/>
      <c r="G430" s="559"/>
      <c r="H430" s="559"/>
      <c r="I430" s="603"/>
      <c r="J430" s="603"/>
      <c r="K430" s="559"/>
      <c r="L430" s="559"/>
      <c r="M430" s="559"/>
      <c r="N430" s="559"/>
      <c r="O430" s="559"/>
      <c r="P430" s="559"/>
      <c r="Q430" s="603"/>
      <c r="R430" s="559"/>
      <c r="S430" s="559"/>
      <c r="T430" s="559"/>
      <c r="U430" s="559"/>
      <c r="V430" s="559"/>
      <c r="W430" s="559"/>
      <c r="X430" s="559"/>
      <c r="Y430" s="559"/>
      <c r="Z430" s="559"/>
      <c r="AA430" s="559"/>
      <c r="AB430" s="559"/>
    </row>
    <row r="431" spans="1:28">
      <c r="A431" s="594"/>
      <c r="B431" s="559"/>
      <c r="C431" s="559"/>
      <c r="D431" s="559"/>
      <c r="E431" s="559"/>
      <c r="F431" s="559"/>
      <c r="G431" s="559"/>
      <c r="H431" s="559"/>
      <c r="I431" s="603"/>
      <c r="J431" s="603"/>
      <c r="K431" s="559"/>
      <c r="L431" s="559"/>
      <c r="M431" s="559"/>
      <c r="N431" s="559"/>
      <c r="O431" s="559"/>
      <c r="P431" s="559"/>
      <c r="Q431" s="603"/>
      <c r="R431" s="559"/>
      <c r="S431" s="559"/>
      <c r="T431" s="559"/>
      <c r="U431" s="559"/>
      <c r="V431" s="559"/>
      <c r="W431" s="559"/>
      <c r="X431" s="559"/>
      <c r="Y431" s="559"/>
      <c r="Z431" s="559"/>
      <c r="AA431" s="559"/>
      <c r="AB431" s="559"/>
    </row>
    <row r="432" spans="1:28">
      <c r="A432" s="594"/>
      <c r="B432" s="559"/>
      <c r="C432" s="559"/>
      <c r="D432" s="559"/>
      <c r="E432" s="559"/>
      <c r="F432" s="559"/>
      <c r="G432" s="559"/>
      <c r="H432" s="559"/>
      <c r="I432" s="603"/>
      <c r="J432" s="603"/>
      <c r="K432" s="559"/>
      <c r="L432" s="559"/>
      <c r="M432" s="559"/>
      <c r="N432" s="559"/>
      <c r="O432" s="559"/>
      <c r="P432" s="559"/>
      <c r="Q432" s="603"/>
      <c r="R432" s="559"/>
      <c r="S432" s="559"/>
      <c r="T432" s="559"/>
      <c r="U432" s="559"/>
      <c r="V432" s="559"/>
      <c r="W432" s="559"/>
      <c r="X432" s="559"/>
      <c r="Y432" s="559"/>
      <c r="Z432" s="559"/>
      <c r="AA432" s="559"/>
      <c r="AB432" s="559"/>
    </row>
    <row r="433" spans="1:28">
      <c r="A433" s="594"/>
      <c r="B433" s="559"/>
      <c r="C433" s="559"/>
      <c r="D433" s="559"/>
      <c r="E433" s="559"/>
      <c r="F433" s="559"/>
      <c r="G433" s="559"/>
      <c r="H433" s="559"/>
      <c r="I433" s="603"/>
      <c r="J433" s="603"/>
      <c r="K433" s="559"/>
      <c r="L433" s="559"/>
      <c r="M433" s="559"/>
      <c r="N433" s="559"/>
      <c r="O433" s="559"/>
      <c r="P433" s="559"/>
      <c r="Q433" s="603"/>
      <c r="R433" s="559"/>
      <c r="S433" s="559"/>
      <c r="T433" s="559"/>
      <c r="U433" s="559"/>
      <c r="V433" s="559"/>
      <c r="W433" s="559"/>
      <c r="X433" s="559"/>
      <c r="Y433" s="559"/>
      <c r="Z433" s="559"/>
      <c r="AA433" s="559"/>
      <c r="AB433" s="559"/>
    </row>
    <row r="434" spans="1:28">
      <c r="A434" s="594"/>
      <c r="B434" s="559"/>
      <c r="C434" s="559"/>
      <c r="D434" s="559"/>
      <c r="E434" s="559"/>
      <c r="F434" s="559"/>
      <c r="G434" s="559"/>
      <c r="H434" s="559"/>
      <c r="I434" s="603"/>
      <c r="J434" s="603"/>
      <c r="K434" s="559"/>
      <c r="L434" s="559"/>
      <c r="M434" s="559"/>
      <c r="N434" s="559"/>
      <c r="O434" s="559"/>
      <c r="P434" s="559"/>
      <c r="Q434" s="603"/>
      <c r="R434" s="559"/>
      <c r="S434" s="559"/>
      <c r="T434" s="559"/>
      <c r="U434" s="559"/>
      <c r="V434" s="559"/>
      <c r="W434" s="559"/>
      <c r="X434" s="559"/>
      <c r="Y434" s="559"/>
      <c r="Z434" s="559"/>
      <c r="AA434" s="559"/>
      <c r="AB434" s="559"/>
    </row>
    <row r="435" spans="1:28">
      <c r="A435" s="594"/>
      <c r="B435" s="559"/>
      <c r="C435" s="559"/>
      <c r="D435" s="559"/>
      <c r="E435" s="559"/>
      <c r="F435" s="559"/>
      <c r="G435" s="559"/>
      <c r="H435" s="559"/>
      <c r="I435" s="603"/>
      <c r="J435" s="603"/>
      <c r="K435" s="559"/>
      <c r="L435" s="559"/>
      <c r="M435" s="559"/>
      <c r="N435" s="559"/>
      <c r="O435" s="559"/>
      <c r="P435" s="559"/>
      <c r="Q435" s="603"/>
      <c r="R435" s="559"/>
      <c r="S435" s="559"/>
      <c r="T435" s="559"/>
      <c r="U435" s="559"/>
      <c r="V435" s="559"/>
      <c r="W435" s="559"/>
      <c r="X435" s="559"/>
      <c r="Y435" s="559"/>
      <c r="Z435" s="559"/>
      <c r="AA435" s="559"/>
      <c r="AB435" s="559"/>
    </row>
    <row r="436" spans="1:28">
      <c r="A436" s="594"/>
      <c r="B436" s="559"/>
      <c r="C436" s="559"/>
      <c r="D436" s="559"/>
      <c r="E436" s="559"/>
      <c r="F436" s="559"/>
      <c r="G436" s="559"/>
      <c r="H436" s="559"/>
      <c r="I436" s="603"/>
      <c r="J436" s="603"/>
      <c r="K436" s="559"/>
      <c r="L436" s="559"/>
      <c r="M436" s="559"/>
      <c r="N436" s="559"/>
      <c r="O436" s="559"/>
      <c r="P436" s="559"/>
      <c r="Q436" s="603"/>
      <c r="R436" s="559"/>
      <c r="S436" s="559"/>
      <c r="T436" s="559"/>
      <c r="U436" s="559"/>
      <c r="V436" s="559"/>
      <c r="W436" s="559"/>
      <c r="X436" s="559"/>
      <c r="Y436" s="559"/>
      <c r="Z436" s="559"/>
      <c r="AA436" s="559"/>
      <c r="AB436" s="559"/>
    </row>
    <row r="437" spans="1:28">
      <c r="A437" s="594"/>
      <c r="B437" s="559"/>
      <c r="C437" s="559"/>
      <c r="D437" s="559"/>
      <c r="E437" s="559"/>
      <c r="F437" s="559"/>
      <c r="G437" s="559"/>
      <c r="H437" s="559"/>
      <c r="I437" s="603"/>
      <c r="J437" s="603"/>
      <c r="K437" s="559"/>
      <c r="L437" s="559"/>
      <c r="M437" s="559"/>
      <c r="N437" s="559"/>
      <c r="O437" s="559"/>
      <c r="P437" s="559"/>
      <c r="Q437" s="603"/>
      <c r="R437" s="559"/>
      <c r="S437" s="559"/>
      <c r="T437" s="559"/>
      <c r="U437" s="559"/>
      <c r="V437" s="559"/>
      <c r="W437" s="559"/>
      <c r="X437" s="559"/>
      <c r="Y437" s="559"/>
      <c r="Z437" s="559"/>
      <c r="AA437" s="559"/>
      <c r="AB437" s="559"/>
    </row>
    <row r="438" spans="1:28">
      <c r="A438" s="594"/>
      <c r="B438" s="559"/>
      <c r="C438" s="559"/>
      <c r="D438" s="559"/>
      <c r="E438" s="559"/>
      <c r="F438" s="559"/>
      <c r="G438" s="559"/>
      <c r="H438" s="559"/>
      <c r="I438" s="603"/>
      <c r="J438" s="603"/>
      <c r="K438" s="559"/>
      <c r="L438" s="559"/>
      <c r="M438" s="559"/>
      <c r="N438" s="559"/>
      <c r="O438" s="559"/>
      <c r="P438" s="559"/>
      <c r="Q438" s="603"/>
      <c r="R438" s="559"/>
      <c r="S438" s="559"/>
      <c r="T438" s="559"/>
      <c r="U438" s="559"/>
      <c r="V438" s="559"/>
      <c r="W438" s="559"/>
      <c r="X438" s="559"/>
      <c r="Y438" s="559"/>
      <c r="Z438" s="559"/>
      <c r="AA438" s="559"/>
      <c r="AB438" s="559"/>
    </row>
    <row r="439" spans="1:28">
      <c r="A439" s="594"/>
      <c r="B439" s="559"/>
      <c r="C439" s="559"/>
      <c r="D439" s="559"/>
      <c r="E439" s="559"/>
      <c r="F439" s="559"/>
      <c r="G439" s="559"/>
      <c r="H439" s="559"/>
      <c r="I439" s="603"/>
      <c r="J439" s="603"/>
      <c r="K439" s="559"/>
      <c r="L439" s="559"/>
      <c r="M439" s="559"/>
      <c r="N439" s="559"/>
      <c r="O439" s="559"/>
      <c r="P439" s="559"/>
      <c r="Q439" s="603"/>
      <c r="R439" s="559"/>
      <c r="S439" s="559"/>
      <c r="T439" s="559"/>
      <c r="U439" s="559"/>
      <c r="V439" s="559"/>
      <c r="W439" s="559"/>
      <c r="X439" s="559"/>
      <c r="Y439" s="559"/>
      <c r="Z439" s="559"/>
      <c r="AA439" s="559"/>
      <c r="AB439" s="559"/>
    </row>
    <row r="440" spans="1:28">
      <c r="A440" s="594"/>
      <c r="B440" s="559"/>
      <c r="C440" s="559"/>
      <c r="D440" s="559"/>
      <c r="E440" s="559"/>
      <c r="F440" s="559"/>
      <c r="G440" s="559"/>
      <c r="H440" s="559"/>
      <c r="I440" s="603"/>
      <c r="J440" s="603"/>
      <c r="K440" s="559"/>
      <c r="L440" s="559"/>
      <c r="M440" s="559"/>
      <c r="N440" s="559"/>
      <c r="O440" s="559"/>
      <c r="P440" s="559"/>
      <c r="Q440" s="603"/>
      <c r="R440" s="559"/>
      <c r="S440" s="559"/>
      <c r="T440" s="559"/>
      <c r="U440" s="559"/>
      <c r="V440" s="559"/>
      <c r="W440" s="559"/>
      <c r="X440" s="559"/>
      <c r="Y440" s="559"/>
      <c r="Z440" s="559"/>
      <c r="AA440" s="559"/>
      <c r="AB440" s="559"/>
    </row>
    <row r="441" spans="1:28">
      <c r="A441" s="594"/>
      <c r="B441" s="559"/>
      <c r="C441" s="559"/>
      <c r="D441" s="559"/>
      <c r="E441" s="559"/>
      <c r="F441" s="559"/>
      <c r="G441" s="559"/>
      <c r="H441" s="559"/>
      <c r="I441" s="603"/>
      <c r="J441" s="603"/>
      <c r="K441" s="559"/>
      <c r="L441" s="559"/>
      <c r="M441" s="559"/>
      <c r="N441" s="559"/>
      <c r="O441" s="559"/>
      <c r="P441" s="559"/>
      <c r="Q441" s="603"/>
      <c r="R441" s="559"/>
      <c r="S441" s="559"/>
      <c r="T441" s="559"/>
      <c r="U441" s="559"/>
      <c r="V441" s="559"/>
      <c r="W441" s="559"/>
      <c r="X441" s="559"/>
      <c r="Y441" s="559"/>
      <c r="Z441" s="559"/>
      <c r="AA441" s="559"/>
      <c r="AB441" s="559"/>
    </row>
    <row r="442" spans="1:28">
      <c r="A442" s="594"/>
      <c r="B442" s="559"/>
      <c r="C442" s="559"/>
      <c r="D442" s="559"/>
      <c r="E442" s="559"/>
      <c r="F442" s="559"/>
      <c r="G442" s="559"/>
      <c r="H442" s="559"/>
      <c r="I442" s="603"/>
      <c r="J442" s="603"/>
      <c r="K442" s="559"/>
      <c r="L442" s="559"/>
      <c r="M442" s="559"/>
      <c r="N442" s="559"/>
      <c r="O442" s="559"/>
      <c r="P442" s="559"/>
      <c r="Q442" s="603"/>
      <c r="R442" s="559"/>
      <c r="S442" s="559"/>
      <c r="T442" s="559"/>
      <c r="U442" s="559"/>
      <c r="V442" s="559"/>
      <c r="W442" s="559"/>
      <c r="X442" s="559"/>
      <c r="Y442" s="559"/>
      <c r="Z442" s="559"/>
      <c r="AA442" s="559"/>
      <c r="AB442" s="559"/>
    </row>
    <row r="443" spans="1:28">
      <c r="A443" s="594"/>
      <c r="B443" s="559"/>
      <c r="C443" s="559"/>
      <c r="D443" s="559"/>
      <c r="E443" s="559"/>
      <c r="F443" s="559"/>
      <c r="G443" s="559"/>
      <c r="H443" s="559"/>
      <c r="I443" s="603"/>
      <c r="J443" s="603"/>
      <c r="K443" s="559"/>
      <c r="L443" s="559"/>
      <c r="M443" s="559"/>
      <c r="N443" s="559"/>
      <c r="O443" s="559"/>
      <c r="P443" s="559"/>
      <c r="Q443" s="603"/>
      <c r="R443" s="559"/>
      <c r="S443" s="559"/>
      <c r="T443" s="559"/>
      <c r="U443" s="559"/>
      <c r="V443" s="559"/>
      <c r="W443" s="559"/>
      <c r="X443" s="559"/>
      <c r="Y443" s="559"/>
      <c r="Z443" s="559"/>
      <c r="AA443" s="559"/>
      <c r="AB443" s="559"/>
    </row>
    <row r="444" spans="1:28">
      <c r="A444" s="594"/>
      <c r="B444" s="559"/>
      <c r="C444" s="559"/>
      <c r="D444" s="559"/>
      <c r="E444" s="559"/>
      <c r="F444" s="559"/>
      <c r="G444" s="559"/>
      <c r="H444" s="559"/>
      <c r="I444" s="603"/>
      <c r="J444" s="603"/>
      <c r="K444" s="559"/>
      <c r="L444" s="559"/>
      <c r="M444" s="559"/>
      <c r="N444" s="559"/>
      <c r="O444" s="559"/>
      <c r="P444" s="559"/>
      <c r="Q444" s="603"/>
      <c r="R444" s="559"/>
      <c r="S444" s="559"/>
      <c r="T444" s="559"/>
      <c r="U444" s="559"/>
      <c r="V444" s="559"/>
      <c r="W444" s="559"/>
      <c r="X444" s="559"/>
      <c r="Y444" s="559"/>
      <c r="Z444" s="559"/>
      <c r="AA444" s="559"/>
      <c r="AB444" s="559"/>
    </row>
    <row r="445" spans="1:28">
      <c r="A445" s="594"/>
      <c r="B445" s="559"/>
      <c r="C445" s="559"/>
      <c r="D445" s="559"/>
      <c r="E445" s="559"/>
      <c r="F445" s="559"/>
      <c r="G445" s="559"/>
      <c r="H445" s="559"/>
      <c r="I445" s="603"/>
      <c r="J445" s="603"/>
      <c r="K445" s="559"/>
      <c r="L445" s="559"/>
      <c r="M445" s="559"/>
      <c r="N445" s="559"/>
      <c r="O445" s="559"/>
      <c r="P445" s="559"/>
      <c r="Q445" s="603"/>
      <c r="R445" s="559"/>
      <c r="S445" s="559"/>
      <c r="T445" s="559"/>
      <c r="U445" s="559"/>
      <c r="V445" s="559"/>
      <c r="W445" s="559"/>
      <c r="X445" s="559"/>
      <c r="Y445" s="559"/>
      <c r="Z445" s="559"/>
      <c r="AA445" s="559"/>
      <c r="AB445" s="559"/>
    </row>
    <row r="446" spans="1:28">
      <c r="A446" s="594"/>
      <c r="B446" s="559"/>
      <c r="C446" s="559"/>
      <c r="D446" s="559"/>
      <c r="E446" s="559"/>
      <c r="F446" s="559"/>
      <c r="G446" s="559"/>
      <c r="H446" s="559"/>
      <c r="I446" s="603"/>
      <c r="J446" s="603"/>
      <c r="K446" s="559"/>
      <c r="L446" s="559"/>
      <c r="M446" s="559"/>
      <c r="N446" s="559"/>
      <c r="O446" s="559"/>
      <c r="P446" s="559"/>
      <c r="Q446" s="603"/>
      <c r="R446" s="559"/>
      <c r="S446" s="559"/>
      <c r="T446" s="559"/>
      <c r="U446" s="559"/>
      <c r="V446" s="559"/>
      <c r="W446" s="559"/>
      <c r="X446" s="559"/>
      <c r="Y446" s="559"/>
      <c r="Z446" s="559"/>
      <c r="AA446" s="559"/>
      <c r="AB446" s="559"/>
    </row>
    <row r="447" spans="1:28">
      <c r="A447" s="594"/>
      <c r="B447" s="559"/>
      <c r="C447" s="559"/>
      <c r="D447" s="559"/>
      <c r="E447" s="559"/>
      <c r="F447" s="559"/>
      <c r="G447" s="559"/>
      <c r="H447" s="559"/>
      <c r="I447" s="603"/>
      <c r="J447" s="603"/>
      <c r="K447" s="559"/>
      <c r="L447" s="559"/>
      <c r="M447" s="559"/>
      <c r="N447" s="559"/>
      <c r="O447" s="559"/>
      <c r="P447" s="559"/>
      <c r="Q447" s="603"/>
      <c r="R447" s="559"/>
      <c r="S447" s="559"/>
      <c r="T447" s="559"/>
      <c r="U447" s="559"/>
      <c r="V447" s="559"/>
      <c r="W447" s="559"/>
      <c r="X447" s="559"/>
      <c r="Y447" s="559"/>
      <c r="Z447" s="559"/>
      <c r="AA447" s="559"/>
      <c r="AB447" s="559"/>
    </row>
    <row r="448" spans="1:28">
      <c r="A448" s="594"/>
      <c r="B448" s="559"/>
      <c r="C448" s="559"/>
      <c r="D448" s="559"/>
      <c r="E448" s="559"/>
      <c r="F448" s="559"/>
      <c r="G448" s="559"/>
      <c r="H448" s="559"/>
      <c r="I448" s="603"/>
      <c r="J448" s="603"/>
      <c r="K448" s="559"/>
      <c r="L448" s="559"/>
      <c r="M448" s="559"/>
      <c r="N448" s="559"/>
      <c r="O448" s="559"/>
      <c r="P448" s="559"/>
      <c r="Q448" s="603"/>
      <c r="R448" s="559"/>
      <c r="S448" s="559"/>
      <c r="T448" s="559"/>
      <c r="U448" s="559"/>
      <c r="V448" s="559"/>
      <c r="W448" s="559"/>
      <c r="X448" s="559"/>
      <c r="Y448" s="559"/>
      <c r="Z448" s="559"/>
      <c r="AA448" s="559"/>
      <c r="AB448" s="559"/>
    </row>
    <row r="449" spans="1:28">
      <c r="A449" s="594"/>
      <c r="B449" s="559"/>
      <c r="C449" s="559"/>
      <c r="D449" s="559"/>
      <c r="E449" s="559"/>
      <c r="F449" s="559"/>
      <c r="G449" s="559"/>
      <c r="H449" s="559"/>
      <c r="I449" s="603"/>
      <c r="J449" s="603"/>
      <c r="K449" s="559"/>
      <c r="L449" s="559"/>
      <c r="M449" s="559"/>
      <c r="N449" s="559"/>
      <c r="O449" s="559"/>
      <c r="P449" s="559"/>
      <c r="Q449" s="603"/>
      <c r="R449" s="559"/>
      <c r="S449" s="559"/>
      <c r="T449" s="559"/>
      <c r="U449" s="559"/>
      <c r="V449" s="559"/>
      <c r="W449" s="559"/>
      <c r="X449" s="559"/>
      <c r="Y449" s="559"/>
      <c r="Z449" s="559"/>
      <c r="AA449" s="559"/>
      <c r="AB449" s="559"/>
    </row>
    <row r="450" spans="1:28">
      <c r="A450" s="594"/>
      <c r="B450" s="559"/>
      <c r="C450" s="559"/>
      <c r="D450" s="559"/>
      <c r="E450" s="559"/>
      <c r="F450" s="559"/>
      <c r="G450" s="559"/>
      <c r="H450" s="559"/>
      <c r="I450" s="603"/>
      <c r="J450" s="603"/>
      <c r="K450" s="559"/>
      <c r="L450" s="559"/>
      <c r="M450" s="559"/>
      <c r="N450" s="559"/>
      <c r="O450" s="559"/>
      <c r="P450" s="559"/>
      <c r="Q450" s="603"/>
      <c r="R450" s="559"/>
      <c r="S450" s="559"/>
      <c r="T450" s="559"/>
      <c r="U450" s="559"/>
      <c r="V450" s="559"/>
      <c r="W450" s="559"/>
      <c r="X450" s="559"/>
      <c r="Y450" s="559"/>
      <c r="Z450" s="559"/>
      <c r="AA450" s="559"/>
      <c r="AB450" s="559"/>
    </row>
    <row r="451" spans="1:28">
      <c r="A451" s="594"/>
      <c r="B451" s="559"/>
      <c r="C451" s="559"/>
      <c r="D451" s="559"/>
      <c r="E451" s="559"/>
      <c r="F451" s="559"/>
      <c r="G451" s="559"/>
      <c r="H451" s="559"/>
      <c r="I451" s="603"/>
      <c r="J451" s="603"/>
      <c r="K451" s="559"/>
      <c r="L451" s="559"/>
      <c r="M451" s="559"/>
      <c r="N451" s="559"/>
      <c r="O451" s="559"/>
      <c r="P451" s="559"/>
      <c r="Q451" s="603"/>
      <c r="R451" s="559"/>
      <c r="S451" s="559"/>
      <c r="T451" s="559"/>
      <c r="U451" s="559"/>
      <c r="V451" s="559"/>
      <c r="W451" s="559"/>
      <c r="X451" s="559"/>
      <c r="Y451" s="559"/>
      <c r="Z451" s="559"/>
      <c r="AA451" s="559"/>
      <c r="AB451" s="559"/>
    </row>
  </sheetData>
  <mergeCells count="24">
    <mergeCell ref="A1:AB1"/>
    <mergeCell ref="A2:AB4"/>
    <mergeCell ref="A5:A6"/>
    <mergeCell ref="B5:B6"/>
    <mergeCell ref="C5:C6"/>
    <mergeCell ref="D5:D6"/>
    <mergeCell ref="E5:E6"/>
    <mergeCell ref="F5:F6"/>
    <mergeCell ref="G5:G6"/>
    <mergeCell ref="I5:I6"/>
    <mergeCell ref="AC5:AH5"/>
    <mergeCell ref="A7:B7"/>
    <mergeCell ref="C8:D8"/>
    <mergeCell ref="J5:J6"/>
    <mergeCell ref="K5:K6"/>
    <mergeCell ref="L5:L6"/>
    <mergeCell ref="M5:M6"/>
    <mergeCell ref="N5:N6"/>
    <mergeCell ref="O5:O6"/>
    <mergeCell ref="P13:P14"/>
    <mergeCell ref="V40:AB40"/>
    <mergeCell ref="P5:P6"/>
    <mergeCell ref="Q5:V5"/>
    <mergeCell ref="W5:AB5"/>
  </mergeCells>
  <pageMargins left="0.7" right="0.7" top="0.75" bottom="0.75" header="0.3" footer="0.3"/>
  <pageSetup scale="5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8</vt:i4>
      </vt:variant>
    </vt:vector>
  </HeadingPairs>
  <TitlesOfParts>
    <vt:vector size="28" baseType="lpstr">
      <vt:lpstr>Tong muc dau tu</vt:lpstr>
      <vt:lpstr>1.Thiet bi</vt:lpstr>
      <vt:lpstr>Thiet bị</vt:lpstr>
      <vt:lpstr>Quotation_Keysight</vt:lpstr>
      <vt:lpstr>Quotation_R&amp;S conducted</vt:lpstr>
      <vt:lpstr>Quotation_OTA</vt:lpstr>
      <vt:lpstr>Quotation_R&amp;S ZNBT8</vt:lpstr>
      <vt:lpstr>So cu 5G team</vt:lpstr>
      <vt:lpstr>Sheet1</vt:lpstr>
      <vt:lpstr>PL_chi phi giam sat</vt:lpstr>
      <vt:lpstr>2.Qlgs va cac chi phi khac</vt:lpstr>
      <vt:lpstr>PL_Kiem toan</vt:lpstr>
      <vt:lpstr>PL_Quan ly du an</vt:lpstr>
      <vt:lpstr>Nhu cau von</vt:lpstr>
      <vt:lpstr>So sanh giai phap</vt:lpstr>
      <vt:lpstr>SS giai phap</vt:lpstr>
      <vt:lpstr>Mua &amp; Nang cap</vt:lpstr>
      <vt:lpstr>Sheet6</vt:lpstr>
      <vt:lpstr>Sheet5</vt:lpstr>
      <vt:lpstr>Quy mo thiet bi</vt:lpstr>
      <vt:lpstr>'1.Thiet bi'!Print_Area</vt:lpstr>
      <vt:lpstr>Quotation_Keysight!Print_Area</vt:lpstr>
      <vt:lpstr>'Quy mo thiet bi'!Print_Area</vt:lpstr>
      <vt:lpstr>'So sanh giai phap'!Print_Area</vt:lpstr>
      <vt:lpstr>'Thiet bị'!Print_Area</vt:lpstr>
      <vt:lpstr>'Tong muc dau tu'!Print_Area</vt:lpstr>
      <vt:lpstr>'2.Qlgs va cac chi phi khac'!Print_Titles</vt:lpstr>
      <vt:lpstr>Quotation_Keysight!Print_Titles</vt:lpstr>
    </vt:vector>
  </TitlesOfParts>
  <Company>Agilent Technologies,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manhhdao</dc:creator>
  <cp:lastModifiedBy>thanhnt148</cp:lastModifiedBy>
  <cp:lastPrinted>2019-09-27T01:43:45Z</cp:lastPrinted>
  <dcterms:created xsi:type="dcterms:W3CDTF">2009-04-04T13:19:21Z</dcterms:created>
  <dcterms:modified xsi:type="dcterms:W3CDTF">2023-12-05T07:45:59Z</dcterms:modified>
</cp:coreProperties>
</file>