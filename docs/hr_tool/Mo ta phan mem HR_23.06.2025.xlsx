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C:\Users\trangdt75\Documents\QLNCKHVHT\2026.T01_VHT_Chuyendoiso\2026.T01_VHT_Quan tri toan trinh\Tài liệu VHT gửi\Nhan su\KH gửi\"/>
    </mc:Choice>
  </mc:AlternateContent>
  <bookViews>
    <workbookView xWindow="0" yWindow="0" windowWidth="28800" windowHeight="12210" tabRatio="799" firstSheet="5" activeTab="12"/>
  </bookViews>
  <sheets>
    <sheet name="MotaCV" sheetId="1" r:id="rId1"/>
    <sheet name="1. NhapDeTai" sheetId="2" r:id="rId2"/>
    <sheet name="2.DSNhanSu" sheetId="6" r:id="rId3"/>
    <sheet name="3.LuongMucTieu" sheetId="4" r:id="rId4"/>
    <sheet name="4.HR_CÔNG TÍNH LƯƠNG" sheetId="3" r:id="rId5"/>
    <sheet name="5.LuongThang" sheetId="7" r:id="rId6"/>
    <sheet name="6. BM3.1 DV_CÔNG PHÂN BỔ " sheetId="5" r:id="rId7"/>
    <sheet name="7. BM3.2 HR_BTH CÔNG TCT" sheetId="12" r:id="rId8"/>
    <sheet name="8.PhanBoCPNC" sheetId="8" r:id="rId9"/>
    <sheet name="9. BM4.1 HR_PBNC thang" sheetId="11" r:id="rId10"/>
    <sheet name="10. BM4.2 HR_BTH PBNC TCT" sheetId="13" r:id="rId11"/>
    <sheet name="11.BTH CPNC" sheetId="9" r:id="rId12"/>
    <sheet name="12.BM05" sheetId="14" r:id="rId13"/>
  </sheets>
  <externalReferences>
    <externalReference r:id="rId14"/>
    <externalReference r:id="rId15"/>
    <externalReference r:id="rId16"/>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9" i="14" l="1"/>
  <c r="E19" i="14"/>
  <c r="D19" i="14"/>
  <c r="P18" i="14"/>
  <c r="P17" i="14"/>
  <c r="P15" i="14" s="1"/>
  <c r="R15" i="14" s="1"/>
  <c r="P16" i="14"/>
  <c r="Q15" i="14"/>
  <c r="O15" i="14"/>
  <c r="N15" i="14"/>
  <c r="M15" i="14"/>
  <c r="L15" i="14"/>
  <c r="K15" i="14"/>
  <c r="J15" i="14"/>
  <c r="I15" i="14"/>
  <c r="H15" i="14"/>
  <c r="G15" i="14"/>
  <c r="F15" i="14"/>
  <c r="P14" i="14"/>
  <c r="P13" i="14" s="1"/>
  <c r="O13" i="14"/>
  <c r="O19" i="14" s="1"/>
  <c r="N13" i="14"/>
  <c r="N19" i="14" s="1"/>
  <c r="M13" i="14"/>
  <c r="M19" i="14" s="1"/>
  <c r="L13" i="14"/>
  <c r="L19" i="14" s="1"/>
  <c r="K13" i="14"/>
  <c r="K19" i="14" s="1"/>
  <c r="J13" i="14"/>
  <c r="I13" i="14"/>
  <c r="I19" i="14" s="1"/>
  <c r="H13" i="14"/>
  <c r="H19" i="14" s="1"/>
  <c r="G13" i="14"/>
  <c r="G19" i="14" s="1"/>
  <c r="F13" i="14"/>
  <c r="Q13" i="14" s="1"/>
  <c r="Q19" i="14" s="1"/>
  <c r="N12" i="13"/>
  <c r="M12" i="13"/>
  <c r="L12" i="13"/>
  <c r="K12" i="13"/>
  <c r="J12" i="13"/>
  <c r="I12" i="13"/>
  <c r="H12" i="13"/>
  <c r="G12" i="13"/>
  <c r="F12" i="13"/>
  <c r="E12" i="13"/>
  <c r="AC5" i="8"/>
  <c r="AC6" i="8"/>
  <c r="AC4" i="8"/>
  <c r="A6" i="8"/>
  <c r="A5" i="8"/>
  <c r="A4" i="8"/>
  <c r="P19" i="14" l="1"/>
  <c r="R13" i="14"/>
  <c r="R19" i="14" s="1"/>
  <c r="F19" i="14"/>
  <c r="AL6" i="8" l="1"/>
  <c r="AM5" i="8"/>
  <c r="AL5" i="8"/>
  <c r="AD5" i="8"/>
  <c r="AK5" i="8"/>
  <c r="AJ5" i="8"/>
  <c r="AJ6" i="8" s="1"/>
  <c r="AN5" i="8"/>
  <c r="AN6" i="8" s="1"/>
  <c r="AQ5" i="8"/>
  <c r="AI5" i="8"/>
  <c r="AI6" i="8" s="1"/>
  <c r="AP5" i="8"/>
  <c r="AH5" i="8"/>
  <c r="AO5" i="8"/>
  <c r="AG5" i="8"/>
  <c r="AF5" i="8"/>
  <c r="AP4" i="8"/>
  <c r="AP6" i="8" s="1"/>
  <c r="AH4" i="8"/>
  <c r="AQ4" i="8"/>
  <c r="AQ6" i="8" s="1"/>
  <c r="AI4" i="8"/>
  <c r="AO4" i="8"/>
  <c r="AG4" i="8"/>
  <c r="AN4" i="8"/>
  <c r="AF4" i="8"/>
  <c r="AM4" i="8"/>
  <c r="AM6" i="8" s="1"/>
  <c r="AL4" i="8"/>
  <c r="AD4" i="8"/>
  <c r="AK4" i="8"/>
  <c r="AJ4" i="8"/>
  <c r="AO6" i="8"/>
  <c r="AG6" i="8"/>
  <c r="AF6" i="8"/>
  <c r="AK6" i="8"/>
  <c r="AH6" i="8" l="1"/>
  <c r="AE4" i="8"/>
  <c r="AD6" i="8"/>
  <c r="AE6" i="8" s="1"/>
  <c r="AR6" i="8" s="1"/>
  <c r="AR4" i="8"/>
  <c r="AE5" i="8"/>
  <c r="AR5" i="8" s="1"/>
  <c r="A22" i="9" l="1"/>
  <c r="A21" i="9"/>
  <c r="A19" i="9"/>
  <c r="A18" i="9"/>
  <c r="A16" i="9"/>
  <c r="V15" i="9"/>
  <c r="A15" i="9"/>
  <c r="A13" i="9"/>
  <c r="V12" i="9"/>
  <c r="A12" i="9"/>
  <c r="A10" i="9"/>
  <c r="U9" i="9"/>
  <c r="U10" i="9" s="1"/>
  <c r="U8" i="9" s="1"/>
  <c r="T9" i="9"/>
  <c r="T10" i="9" s="1"/>
  <c r="T8" i="9" s="1"/>
  <c r="S9" i="9"/>
  <c r="S10" i="9" s="1"/>
  <c r="S8" i="9" s="1"/>
  <c r="R9" i="9"/>
  <c r="R10" i="9" s="1"/>
  <c r="R8" i="9" s="1"/>
  <c r="Q9" i="9"/>
  <c r="Q10" i="9" s="1"/>
  <c r="Q8" i="9" s="1"/>
  <c r="P9" i="9"/>
  <c r="P10" i="9" s="1"/>
  <c r="P8" i="9" s="1"/>
  <c r="O9" i="9"/>
  <c r="N9" i="9"/>
  <c r="N10" i="9" s="1"/>
  <c r="N8" i="9" s="1"/>
  <c r="M9" i="9"/>
  <c r="M10" i="9" s="1"/>
  <c r="L9" i="9"/>
  <c r="K9" i="9"/>
  <c r="K10" i="9" s="1"/>
  <c r="K8" i="9" s="1"/>
  <c r="J9" i="9"/>
  <c r="J10" i="9" s="1"/>
  <c r="J8" i="9" s="1"/>
  <c r="I9" i="9"/>
  <c r="H9" i="9"/>
  <c r="H10" i="9" s="1"/>
  <c r="H8" i="9" s="1"/>
  <c r="A9" i="9"/>
  <c r="V9" i="9" l="1"/>
  <c r="V18" i="9"/>
  <c r="V21" i="9"/>
  <c r="I10" i="9"/>
  <c r="L10" i="9"/>
  <c r="L8" i="9" s="1"/>
  <c r="O10" i="9"/>
  <c r="O8" i="9" s="1"/>
  <c r="M8" i="9"/>
  <c r="V22" i="9" l="1"/>
  <c r="V20" i="9" s="1"/>
  <c r="V19" i="9"/>
  <c r="V17" i="9" s="1"/>
  <c r="V16" i="9"/>
  <c r="V14" i="9" s="1"/>
  <c r="V13" i="9"/>
  <c r="V11" i="9" s="1"/>
  <c r="V10" i="9"/>
  <c r="V8" i="9" s="1"/>
  <c r="I8" i="9"/>
  <c r="A20" i="9" l="1"/>
  <c r="A14" i="9"/>
  <c r="A17" i="9"/>
  <c r="A11" i="9"/>
  <c r="A8" i="9"/>
  <c r="U9" i="7" l="1"/>
  <c r="U8" i="7"/>
  <c r="U7" i="7"/>
  <c r="U6" i="7" s="1"/>
  <c r="T6" i="7"/>
  <c r="S6" i="7"/>
  <c r="R6" i="7"/>
  <c r="Q6" i="7"/>
  <c r="P6" i="7"/>
  <c r="O6" i="7"/>
  <c r="N6" i="7"/>
  <c r="M6" i="7"/>
  <c r="L6" i="7"/>
  <c r="K6" i="7"/>
  <c r="J6" i="7"/>
  <c r="I6" i="7"/>
  <c r="H6" i="7"/>
  <c r="G6" i="7"/>
  <c r="C1" i="7"/>
  <c r="D1" i="7" s="1"/>
  <c r="E1" i="7" s="1"/>
  <c r="F1" i="7" s="1"/>
  <c r="G1" i="7" s="1"/>
  <c r="H1" i="7" s="1"/>
  <c r="I1" i="7" s="1"/>
  <c r="J1" i="7" s="1"/>
  <c r="K1" i="7" s="1"/>
  <c r="L1" i="7" s="1"/>
  <c r="M1" i="7" s="1"/>
  <c r="D13" i="6" l="1"/>
  <c r="AJ19" i="5"/>
  <c r="AJ17" i="5"/>
  <c r="AJ14" i="5"/>
  <c r="AJ13" i="5"/>
  <c r="AJ20" i="5" l="1"/>
  <c r="I23" i="11"/>
</calcChain>
</file>

<file path=xl/comments1.xml><?xml version="1.0" encoding="utf-8"?>
<comments xmlns="http://schemas.openxmlformats.org/spreadsheetml/2006/main">
  <authors>
    <author>Author</author>
  </authors>
  <commentList>
    <comment ref="E11" authorId="0" shapeId="0">
      <text>
        <r>
          <rPr>
            <b/>
            <sz val="9"/>
            <color indexed="81"/>
            <rFont val="Tahoma"/>
            <family val="2"/>
          </rPr>
          <t>Author:</t>
        </r>
        <r>
          <rPr>
            <sz val="9"/>
            <color indexed="81"/>
            <rFont val="Tahoma"/>
            <family val="2"/>
          </rPr>
          <t xml:space="preserve">
Theo các nội dung công việc được phê duyệt trong dự toán</t>
        </r>
      </text>
    </comment>
  </commentList>
</comments>
</file>

<file path=xl/comments2.xml><?xml version="1.0" encoding="utf-8"?>
<comments xmlns="http://schemas.openxmlformats.org/spreadsheetml/2006/main">
  <authors>
    <author>huonghtt22</author>
  </authors>
  <commentList>
    <comment ref="G6" authorId="0" shapeId="0">
      <text>
        <r>
          <rPr>
            <b/>
            <sz val="9"/>
            <color indexed="81"/>
            <rFont val="Tahoma"/>
            <family val="2"/>
          </rPr>
          <t>huonghtt22:</t>
        </r>
        <r>
          <rPr>
            <sz val="9"/>
            <color indexed="81"/>
            <rFont val="Tahoma"/>
            <family val="2"/>
          </rPr>
          <t xml:space="preserve">
lương tháng - lương LT - lương phép
</t>
        </r>
      </text>
    </comment>
  </commentList>
</comments>
</file>

<file path=xl/comments3.xml><?xml version="1.0" encoding="utf-8"?>
<comments xmlns="http://schemas.openxmlformats.org/spreadsheetml/2006/main">
  <authors>
    <author>Pham Thuy Quynh</author>
  </authors>
  <commentList>
    <comment ref="AK11" authorId="0" shapeId="0">
      <text>
        <r>
          <rPr>
            <sz val="9"/>
            <color indexed="81"/>
            <rFont val="Tahoma"/>
            <family val="2"/>
          </rPr>
          <t xml:space="preserve">Số ngày tham gia đề tài/ Số ngày công chế độ </t>
        </r>
      </text>
    </comment>
    <comment ref="B12" authorId="0" shapeId="0">
      <text>
        <r>
          <rPr>
            <sz val="9"/>
            <color indexed="81"/>
            <rFont val="Tahoma"/>
            <family val="2"/>
          </rPr>
          <t>Chỉ bao gồm chủ nhiệm và thư ký đề tài. Nhân công gián tiếp khác phục công tác quản lý đề tài không cần chấm công.</t>
        </r>
      </text>
    </comment>
    <comment ref="B16" authorId="0" shapeId="0">
      <text>
        <r>
          <rPr>
            <sz val="9"/>
            <color indexed="81"/>
            <rFont val="Tahoma"/>
            <family val="2"/>
          </rPr>
          <t>nội dung công việc được phê duyệt trong dự toán đề tài, trường hợp 1 nhân sự tham gia nhiều nội dung công việc thì phân tách chấm công riêng từng nội dung (tách dòng)</t>
        </r>
      </text>
    </comment>
  </commentList>
</comments>
</file>

<file path=xl/comments4.xml><?xml version="1.0" encoding="utf-8"?>
<comments xmlns="http://schemas.openxmlformats.org/spreadsheetml/2006/main">
  <authors>
    <author>hahtv</author>
  </authors>
  <commentList>
    <comment ref="F7" authorId="0" shapeId="0">
      <text>
        <r>
          <rPr>
            <sz val="9"/>
            <color indexed="81"/>
            <rFont val="Tahoma"/>
            <family val="2"/>
          </rPr>
          <t xml:space="preserve">Tổng hợp tất cả các nhiệm vụ KHCN của đơn vị
</t>
        </r>
      </text>
    </comment>
    <comment ref="Q9" authorId="0" shapeId="0">
      <text>
        <r>
          <rPr>
            <sz val="9"/>
            <color indexed="81"/>
            <rFont val="Tahoma"/>
            <family val="2"/>
          </rPr>
          <t>Chênh lệch = Công tính lương - Số ngày</t>
        </r>
      </text>
    </comment>
  </commentList>
</comments>
</file>

<file path=xl/comments5.xml><?xml version="1.0" encoding="utf-8"?>
<comments xmlns="http://schemas.openxmlformats.org/spreadsheetml/2006/main">
  <authors>
    <author>Author</author>
  </authors>
  <commentList>
    <comment ref="B15" authorId="0" shapeId="0">
      <text>
        <r>
          <rPr>
            <sz val="9"/>
            <color indexed="81"/>
            <rFont val="Tahoma"/>
            <family val="2"/>
          </rPr>
          <t>Chỉ bao gồm chủ nhiệm và thư ký đề tài.</t>
        </r>
      </text>
    </comment>
    <comment ref="B19" authorId="0" shapeId="0">
      <text>
        <r>
          <rPr>
            <sz val="9"/>
            <color indexed="81"/>
            <rFont val="Tahoma"/>
            <family val="2"/>
          </rPr>
          <t>phân bổ chi phí theo các nội dung công việc trong dự toán đề tài, trường hợp 1 nhân sự tham gia nhiều nội dung thì phân bổ chi phí riêng từng nội dung (tách dòng)</t>
        </r>
      </text>
    </comment>
    <comment ref="B29" authorId="0" shapeId="0">
      <text>
        <r>
          <rPr>
            <sz val="9"/>
            <color indexed="81"/>
            <rFont val="Tahoma"/>
            <family val="2"/>
          </rPr>
          <t>D=B+C</t>
        </r>
      </text>
    </comment>
    <comment ref="B30" authorId="0" shapeId="0">
      <text>
        <r>
          <rPr>
            <sz val="9"/>
            <color indexed="81"/>
            <rFont val="Tahoma"/>
            <family val="2"/>
          </rPr>
          <t>E=A-D</t>
        </r>
      </text>
    </comment>
  </commentList>
</comments>
</file>

<file path=xl/comments6.xml><?xml version="1.0" encoding="utf-8"?>
<comments xmlns="http://schemas.openxmlformats.org/spreadsheetml/2006/main">
  <authors>
    <author>Pham Thuy Quynh</author>
  </authors>
  <commentList>
    <comment ref="B13" authorId="0" shapeId="0">
      <text>
        <r>
          <rPr>
            <sz val="9"/>
            <color indexed="81"/>
            <rFont val="Tahoma"/>
            <family val="2"/>
          </rPr>
          <t>các nội dung công việc phải khớp với dự toán đề tài, trường hợp 1 nhân sự tham gia nhiều nội dung thì thống kê chi phí theo từng nội dung</t>
        </r>
      </text>
    </comment>
  </commentList>
</comments>
</file>

<file path=xl/sharedStrings.xml><?xml version="1.0" encoding="utf-8"?>
<sst xmlns="http://schemas.openxmlformats.org/spreadsheetml/2006/main" count="7956" uniqueCount="1539">
  <si>
    <t>Phần mềm Quản trị nguồn lực nhân sự</t>
  </si>
  <si>
    <t>STT</t>
  </si>
  <si>
    <t>Nội dung thực hiện</t>
  </si>
  <si>
    <t>Input</t>
  </si>
  <si>
    <t>TT</t>
  </si>
  <si>
    <t>KHỐI</t>
  </si>
  <si>
    <t>ĐV Chủ trì</t>
  </si>
  <si>
    <t>ĐV Phân bổ</t>
  </si>
  <si>
    <t>TÊN ĐỀ TÀI/DỰ ÁN</t>
  </si>
  <si>
    <t>NGUỒN</t>
  </si>
  <si>
    <t>PHÂN LOẠI</t>
  </si>
  <si>
    <t>TỔNG DỰ TOÁN</t>
  </si>
  <si>
    <t>CP NHÂN CÔNG THEO DỰ TOÁN</t>
  </si>
  <si>
    <t>BẮT ĐẦU</t>
  </si>
  <si>
    <t>KẾT THÚC</t>
  </si>
  <si>
    <t>Chủ nhiệm đề tài/dự án</t>
  </si>
  <si>
    <t>MÃ ĐỀ TÀI</t>
  </si>
  <si>
    <t xml:space="preserve">Chi phí còn lại chưa phân bổ </t>
  </si>
  <si>
    <t xml:space="preserve">Lũy kế đã phân bổ </t>
  </si>
  <si>
    <t>Tháng 01/2024</t>
  </si>
  <si>
    <t>Tháng 02/2024</t>
  </si>
  <si>
    <t>Tháng 3/2024</t>
  </si>
  <si>
    <t>Tháng 4/2024</t>
  </si>
  <si>
    <t>Tháng 5/2024</t>
  </si>
  <si>
    <t>Tháng 6/2024</t>
  </si>
  <si>
    <t>Tháng 7/2024</t>
  </si>
  <si>
    <t>6 Tháng</t>
  </si>
  <si>
    <t>Tháng 8/2024</t>
  </si>
  <si>
    <t>Tháng 9/2024</t>
  </si>
  <si>
    <t>Tháng 10/2024</t>
  </si>
  <si>
    <t>Tháng 11/2024</t>
  </si>
  <si>
    <t>Tháng 12/2024</t>
  </si>
  <si>
    <t>Lương SXKD Năm 2024</t>
  </si>
  <si>
    <t>Lương SXKD BS Năm 2024</t>
  </si>
  <si>
    <t>Khối 1</t>
  </si>
  <si>
    <t>Ban Giám đốc Khối</t>
  </si>
  <si>
    <t>Phòng Kiểu dáng và đồ họa</t>
  </si>
  <si>
    <t>Phòng Kinh doanh</t>
  </si>
  <si>
    <t>Phòng Tổng hợp</t>
  </si>
  <si>
    <t>Trung tâm Chỉ huy điều khiển</t>
  </si>
  <si>
    <t>Trung tâm Công nghệ Cơ khí - Tự động hóa</t>
  </si>
  <si>
    <t>Trung tâm Đảm bảo chất lượng</t>
  </si>
  <si>
    <t>Trung tâm dịch vụ sau bán hàng</t>
  </si>
  <si>
    <t>Trung tâm Khí cụ bay</t>
  </si>
  <si>
    <t>Trung tâm Mô hình mô phỏng</t>
  </si>
  <si>
    <t>Trung tâm Nghiên cứu giải pháp tích hợp công nghệ cao</t>
  </si>
  <si>
    <t>Trung tâm Quang điện tử</t>
  </si>
  <si>
    <t>Trung tâm Rada</t>
  </si>
  <si>
    <t>Trung tâm sản xuất</t>
  </si>
  <si>
    <t>Trung tâm Tác chiến điện tử</t>
  </si>
  <si>
    <t>Trung tâm Thông tin Quân sự</t>
  </si>
  <si>
    <t>Trung tâm Thông tin và Tác chiến điện tử</t>
  </si>
  <si>
    <t>Khối 2</t>
  </si>
  <si>
    <t>Phòng Quản lý sản xuất</t>
  </si>
  <si>
    <t>Trung tâm Kỹ thuật công nghệ</t>
  </si>
  <si>
    <t>Trung tâm Nghiên cứu Công nghệ chuyển mạch</t>
  </si>
  <si>
    <t>Trung tâm Nghiên cứu công nghệ Đa phương tiện</t>
  </si>
  <si>
    <t>Trung tâm Nghiên cứu Công nghệ truyền dẫn</t>
  </si>
  <si>
    <t>Trung tâm Nghiên cứu thiết bị vô tuyến băng rộng</t>
  </si>
  <si>
    <t>Trung tâm Phát triển nền tảng thanh toán</t>
  </si>
  <si>
    <t>Khối 3</t>
  </si>
  <si>
    <t>Ban Giám đốc</t>
  </si>
  <si>
    <t>Phòng Quản lý chất lượng</t>
  </si>
  <si>
    <t>Trung tâm Camera</t>
  </si>
  <si>
    <t>Trung tâm Nền tảng IOT</t>
  </si>
  <si>
    <t>Trung tâm Kinh doanh - TCT CNC</t>
  </si>
  <si>
    <t>KHCN</t>
  </si>
  <si>
    <t>SXKD</t>
  </si>
  <si>
    <t>QPAN</t>
  </si>
  <si>
    <t>DADT</t>
  </si>
  <si>
    <t>Bán hàng</t>
  </si>
  <si>
    <t>Bảo hành</t>
  </si>
  <si>
    <t>Đang trình phê duyệt</t>
  </si>
  <si>
    <t>Đang phân bổ</t>
  </si>
  <si>
    <t>Đã hết hạn</t>
  </si>
  <si>
    <t>dd/mm/yyyy</t>
  </si>
  <si>
    <t>Mã NV</t>
  </si>
  <si>
    <t>(1) VND</t>
  </si>
  <si>
    <t>(2) VND</t>
  </si>
  <si>
    <t>(3) = Tổng các tháng đã phân bổ</t>
  </si>
  <si>
    <t>=(2)-(3)</t>
  </si>
  <si>
    <t>Tên sản phẩm thuộc Đề tài/dự án</t>
  </si>
  <si>
    <t>A</t>
  </si>
  <si>
    <t>A1</t>
  </si>
  <si>
    <t>A2</t>
  </si>
  <si>
    <t>B</t>
  </si>
  <si>
    <t>B1</t>
  </si>
  <si>
    <t>B2</t>
  </si>
  <si>
    <t xml:space="preserve">Nhập thông tin đề tài dự án </t>
  </si>
  <si>
    <t>Phân bổ nhân công đề tài dự án</t>
  </si>
  <si>
    <t>04. Đơn vị cấp 4</t>
  </si>
  <si>
    <t>05. Đơn vị cấp 5 (F)</t>
  </si>
  <si>
    <t>ID cá nhân</t>
  </si>
  <si>
    <t>Tên đầy đủ</t>
  </si>
  <si>
    <t>Đối tượng (Picklist Label)</t>
  </si>
  <si>
    <t>01</t>
  </si>
  <si>
    <t>02</t>
  </si>
  <si>
    <t>03</t>
  </si>
  <si>
    <t>04</t>
  </si>
  <si>
    <t>05</t>
  </si>
  <si>
    <t>06</t>
  </si>
  <si>
    <t>d07</t>
  </si>
  <si>
    <t>08</t>
  </si>
  <si>
    <t>09</t>
  </si>
  <si>
    <t>10</t>
  </si>
  <si>
    <t>11</t>
  </si>
  <si>
    <t>12</t>
  </si>
  <si>
    <t>13</t>
  </si>
  <si>
    <t>14</t>
  </si>
  <si>
    <t>15</t>
  </si>
  <si>
    <t>16</t>
  </si>
  <si>
    <t>17</t>
  </si>
  <si>
    <t>18</t>
  </si>
  <si>
    <t>19</t>
  </si>
  <si>
    <t>20</t>
  </si>
  <si>
    <t>21</t>
  </si>
  <si>
    <t>22</t>
  </si>
  <si>
    <t>23</t>
  </si>
  <si>
    <t>24</t>
  </si>
  <si>
    <t>25</t>
  </si>
  <si>
    <t>26</t>
  </si>
  <si>
    <t>27</t>
  </si>
  <si>
    <t>28</t>
  </si>
  <si>
    <t>29</t>
  </si>
  <si>
    <t>30</t>
  </si>
  <si>
    <t>31</t>
  </si>
  <si>
    <t>Ngày công chế độ</t>
  </si>
  <si>
    <t>Công tính lương</t>
  </si>
  <si>
    <t>Cộng lại Công tính lương</t>
  </si>
  <si>
    <t>Check</t>
  </si>
  <si>
    <t>Check chuyển diện</t>
  </si>
  <si>
    <t>Khối 2 - TCT CNC - 9013949</t>
  </si>
  <si>
    <t>Ban Giám đốc Khối - 9014102</t>
  </si>
  <si>
    <t>019658</t>
  </si>
  <si>
    <t>Lê Trường Giang</t>
  </si>
  <si>
    <t>Trong danh sách</t>
  </si>
  <si>
    <t/>
  </si>
  <si>
    <t>004011</t>
  </si>
  <si>
    <t>Phan Thanh Trung</t>
  </si>
  <si>
    <t>Phòng Kinh doanh - 9033803</t>
  </si>
  <si>
    <t>527988</t>
  </si>
  <si>
    <t>Hoàng Hồng Ngọc</t>
  </si>
  <si>
    <t>058347</t>
  </si>
  <si>
    <t>Nguyễn Hữu Huy</t>
  </si>
  <si>
    <t>175276</t>
  </si>
  <si>
    <t>Nguyễn Thị Hồng Nhung</t>
  </si>
  <si>
    <t>077152</t>
  </si>
  <si>
    <t>Trần Trọng Dũng</t>
  </si>
  <si>
    <t>Phòng Quản lý sản xuất - 9014138</t>
  </si>
  <si>
    <t>247044</t>
  </si>
  <si>
    <t>Dương Hoàng Liên</t>
  </si>
  <si>
    <t>243952</t>
  </si>
  <si>
    <t>Lê Minh Hiếu</t>
  </si>
  <si>
    <t>281298</t>
  </si>
  <si>
    <t>Lương Thị Thoa</t>
  </si>
  <si>
    <t>123637</t>
  </si>
  <si>
    <t>Lương Văn Toản</t>
  </si>
  <si>
    <t>251015</t>
  </si>
  <si>
    <t>Nghiêm Văn Hào</t>
  </si>
  <si>
    <t>441295</t>
  </si>
  <si>
    <t>Nguyễn Thanh Tùng</t>
  </si>
  <si>
    <t>262586</t>
  </si>
  <si>
    <t>Vũ Thị Ngọc Lanh</t>
  </si>
  <si>
    <t>109018</t>
  </si>
  <si>
    <t>Vũ Thị Thanh Hoa</t>
  </si>
  <si>
    <t>Phòng Tổng hợp - 9014149</t>
  </si>
  <si>
    <t>071839</t>
  </si>
  <si>
    <t>Chu Thái Bảo</t>
  </si>
  <si>
    <t>059868</t>
  </si>
  <si>
    <t>Lê Thị Hằng</t>
  </si>
  <si>
    <t>198558</t>
  </si>
  <si>
    <t>Lê Thị Tuyết Thanh</t>
  </si>
  <si>
    <t>098288</t>
  </si>
  <si>
    <t>Lưu Thị Phương Thảo</t>
  </si>
  <si>
    <t>127496</t>
  </si>
  <si>
    <t>Nghiêm Ngọc Ly</t>
  </si>
  <si>
    <t>204656</t>
  </si>
  <si>
    <t>Nguyễn Tiến Thành</t>
  </si>
  <si>
    <t>008189</t>
  </si>
  <si>
    <t>Trần Thị Phương Lan</t>
  </si>
  <si>
    <t>125636</t>
  </si>
  <si>
    <t>Trịnh Thị Thanh Loan</t>
  </si>
  <si>
    <t>202023</t>
  </si>
  <si>
    <t>Đoàn Thị Ngoan</t>
  </si>
  <si>
    <t>Trung tâm Kỹ thuật công nghệ - TCT CNC - 9014174</t>
  </si>
  <si>
    <t>084922</t>
  </si>
  <si>
    <t>Bùi Thị Khanh</t>
  </si>
  <si>
    <t>459615</t>
  </si>
  <si>
    <t>Dương Minh Trung</t>
  </si>
  <si>
    <t>443806</t>
  </si>
  <si>
    <t>Hoàng Minh Tân</t>
  </si>
  <si>
    <t>120350</t>
  </si>
  <si>
    <t>Hoàng Tiến Trung</t>
  </si>
  <si>
    <t>198557</t>
  </si>
  <si>
    <t>Khổng Văn Mạnh</t>
  </si>
  <si>
    <t>266900</t>
  </si>
  <si>
    <t>Lê Như Quỳnh</t>
  </si>
  <si>
    <t>094479</t>
  </si>
  <si>
    <t>Lê Thị Thanh</t>
  </si>
  <si>
    <t>071897</t>
  </si>
  <si>
    <t>Nguyễn Anh Tuấn</t>
  </si>
  <si>
    <t>214110</t>
  </si>
  <si>
    <t>Nguyễn Công Chiểu</t>
  </si>
  <si>
    <t>272207</t>
  </si>
  <si>
    <t>Nguyễn Huy Hoàng</t>
  </si>
  <si>
    <t>262696</t>
  </si>
  <si>
    <t>Nguyễn Khắc Tùng</t>
  </si>
  <si>
    <t>470351</t>
  </si>
  <si>
    <t>Nguyễn Quang Trường</t>
  </si>
  <si>
    <t>251354</t>
  </si>
  <si>
    <t>Nguyễn Quốc Hùng</t>
  </si>
  <si>
    <t>453411</t>
  </si>
  <si>
    <t>Nguyễn Thành Long</t>
  </si>
  <si>
    <t>065624</t>
  </si>
  <si>
    <t>Nguyễn Thị Nga</t>
  </si>
  <si>
    <t>206741</t>
  </si>
  <si>
    <t>Nguyễn Tiến Lực</t>
  </si>
  <si>
    <t>465719</t>
  </si>
  <si>
    <t>Nguyễn Trọng Công</t>
  </si>
  <si>
    <t>238914</t>
  </si>
  <si>
    <t>Nguyễn Trọng Đức</t>
  </si>
  <si>
    <t>092260</t>
  </si>
  <si>
    <t>Nguyễn Tử Minh Diện</t>
  </si>
  <si>
    <t>433120</t>
  </si>
  <si>
    <t>Nguyễn Văn Hướng</t>
  </si>
  <si>
    <t>246396</t>
  </si>
  <si>
    <t>Nguyễn Đình Dương</t>
  </si>
  <si>
    <t>198494</t>
  </si>
  <si>
    <t>Nguyễn Đăng Tùng</t>
  </si>
  <si>
    <t>204657</t>
  </si>
  <si>
    <t>Nguyễn Đức Diễn</t>
  </si>
  <si>
    <t>185497</t>
  </si>
  <si>
    <t>Nguyễn Đức Hùng</t>
  </si>
  <si>
    <t>240002</t>
  </si>
  <si>
    <t>Nguyễn Đức Thịnh</t>
  </si>
  <si>
    <t>263012</t>
  </si>
  <si>
    <t>Ngô Tuấn Minh</t>
  </si>
  <si>
    <t>198513</t>
  </si>
  <si>
    <t>Phí Ngọc Tú</t>
  </si>
  <si>
    <t>166924</t>
  </si>
  <si>
    <t>Phạm Thị Hằng</t>
  </si>
  <si>
    <t>199314</t>
  </si>
  <si>
    <t>Phạm Trần Anh Thảo</t>
  </si>
  <si>
    <t>209028</t>
  </si>
  <si>
    <t>Trần Quang Hòa</t>
  </si>
  <si>
    <t>274170</t>
  </si>
  <si>
    <t>Trần Thanh Tùng</t>
  </si>
  <si>
    <t>198512</t>
  </si>
  <si>
    <t>Trần Thị Hoài</t>
  </si>
  <si>
    <t>275850</t>
  </si>
  <si>
    <t>Trần Thị Thu Huệ</t>
  </si>
  <si>
    <t>047735</t>
  </si>
  <si>
    <t>Trần Xuân Dũng</t>
  </si>
  <si>
    <t>209840</t>
  </si>
  <si>
    <t>Trần Xuân Hiền</t>
  </si>
  <si>
    <t>251019</t>
  </si>
  <si>
    <t>Trịnh Thị Thảo</t>
  </si>
  <si>
    <t>458725</t>
  </si>
  <si>
    <t>Võ Kiều Trinh</t>
  </si>
  <si>
    <t>194824</t>
  </si>
  <si>
    <t>Vũ Mạnh Cường</t>
  </si>
  <si>
    <t>266903</t>
  </si>
  <si>
    <t>Vũ Nhật Hiếu</t>
  </si>
  <si>
    <t>095676</t>
  </si>
  <si>
    <t>Vũ Tuấn Đức</t>
  </si>
  <si>
    <t>432485</t>
  </si>
  <si>
    <t>Vũ Xuân Lâm</t>
  </si>
  <si>
    <t>198502</t>
  </si>
  <si>
    <t>Đinh Thu Giang</t>
  </si>
  <si>
    <t>217297</t>
  </si>
  <si>
    <t>Đinh Văn Hải</t>
  </si>
  <si>
    <t>265289</t>
  </si>
  <si>
    <t>Đặng Thanh Huyền</t>
  </si>
  <si>
    <t>Trung tâm Nghiên cứu Công nghệ chuyển mạch - 9014117</t>
  </si>
  <si>
    <t>216017</t>
  </si>
  <si>
    <t>Bá Đình Hoài</t>
  </si>
  <si>
    <t>440660</t>
  </si>
  <si>
    <t>Dương Đức Thăng</t>
  </si>
  <si>
    <t>438155</t>
  </si>
  <si>
    <t>Hà Long Quyền</t>
  </si>
  <si>
    <t>433642</t>
  </si>
  <si>
    <t>Lê Chí Phát</t>
  </si>
  <si>
    <t>240447</t>
  </si>
  <si>
    <t>Lê Hồng Quân</t>
  </si>
  <si>
    <t>182577</t>
  </si>
  <si>
    <t>Lê Minh Tú</t>
  </si>
  <si>
    <t>228876</t>
  </si>
  <si>
    <t>Lê Mạnh Hà</t>
  </si>
  <si>
    <t>270944</t>
  </si>
  <si>
    <t>Lê Ngọc Lâm</t>
  </si>
  <si>
    <t>206261</t>
  </si>
  <si>
    <t>Lê Ngọc Toàn</t>
  </si>
  <si>
    <t>134597</t>
  </si>
  <si>
    <t>Lê Quốc Trung</t>
  </si>
  <si>
    <t>102077</t>
  </si>
  <si>
    <t>Lê Văn Hiên</t>
  </si>
  <si>
    <t>282985</t>
  </si>
  <si>
    <t>Lê Văn Hiếu</t>
  </si>
  <si>
    <t>271598</t>
  </si>
  <si>
    <t>Lê Văn Sáng</t>
  </si>
  <si>
    <t>207855</t>
  </si>
  <si>
    <t>Lưu Văn Hoan</t>
  </si>
  <si>
    <t>451083</t>
  </si>
  <si>
    <t>Lại Minh Hà</t>
  </si>
  <si>
    <t>450567</t>
  </si>
  <si>
    <t>Mai Ngọc Trinh</t>
  </si>
  <si>
    <t>439129</t>
  </si>
  <si>
    <t>Mai Xuân Ngọc</t>
  </si>
  <si>
    <t>271297</t>
  </si>
  <si>
    <t>469061</t>
  </si>
  <si>
    <t>Nguyễn Bảo Trâm</t>
  </si>
  <si>
    <t>454233</t>
  </si>
  <si>
    <t>Nguyễn Ngọc Dũng</t>
  </si>
  <si>
    <t>273675</t>
  </si>
  <si>
    <t>Nguyễn Phương Nam</t>
  </si>
  <si>
    <t>209837</t>
  </si>
  <si>
    <t>Nguyễn Thế Hiếu</t>
  </si>
  <si>
    <t>204708</t>
  </si>
  <si>
    <t>Nguyễn Thị Huyền Trang</t>
  </si>
  <si>
    <t>272779</t>
  </si>
  <si>
    <t>Nguyễn Thị Huế</t>
  </si>
  <si>
    <t>240739</t>
  </si>
  <si>
    <t>Nguyễn Thị Loan</t>
  </si>
  <si>
    <t>452787</t>
  </si>
  <si>
    <t>Nguyễn Thị Thanh</t>
  </si>
  <si>
    <t>096877</t>
  </si>
  <si>
    <t>Nguyễn Thị Thu Thảo</t>
  </si>
  <si>
    <t>065452</t>
  </si>
  <si>
    <t>Nguyễn Tiến Uy</t>
  </si>
  <si>
    <t>218135</t>
  </si>
  <si>
    <t>Nguyễn Tiến Đông</t>
  </si>
  <si>
    <t>196197</t>
  </si>
  <si>
    <t>Nguyễn Việt Anh</t>
  </si>
  <si>
    <t>204686</t>
  </si>
  <si>
    <t>Nguyễn Văn Huy</t>
  </si>
  <si>
    <t>448237</t>
  </si>
  <si>
    <t>Nguyễn Đình Hiếu</t>
  </si>
  <si>
    <t>246234</t>
  </si>
  <si>
    <t>Nguyễn Đắc Hoàn</t>
  </si>
  <si>
    <t>192595</t>
  </si>
  <si>
    <t>Ngô Mạnh Quyền</t>
  </si>
  <si>
    <t>451139</t>
  </si>
  <si>
    <t>Phan Tuấn Bách</t>
  </si>
  <si>
    <t>199313</t>
  </si>
  <si>
    <t>Phùng Thị Thỏa</t>
  </si>
  <si>
    <t>461177</t>
  </si>
  <si>
    <t>Phạm Hồng Hùng</t>
  </si>
  <si>
    <t>116661</t>
  </si>
  <si>
    <t>Phạm Quang Điệp</t>
  </si>
  <si>
    <t>218881</t>
  </si>
  <si>
    <t>Phạm Thanh Phong</t>
  </si>
  <si>
    <t>208402</t>
  </si>
  <si>
    <t>Phạm Tuấn Anh</t>
  </si>
  <si>
    <t>206120</t>
  </si>
  <si>
    <t>Phạm Đức Mạnh</t>
  </si>
  <si>
    <t>191573</t>
  </si>
  <si>
    <t>Triệu Tuấn Anh</t>
  </si>
  <si>
    <t>469749</t>
  </si>
  <si>
    <t>Trần Minh Đạt</t>
  </si>
  <si>
    <t>443367</t>
  </si>
  <si>
    <t>Trần Quang Vinh</t>
  </si>
  <si>
    <t>116662</t>
  </si>
  <si>
    <t>Trần Thị Vân Anh</t>
  </si>
  <si>
    <t>469145</t>
  </si>
  <si>
    <t>Trần Văn Tài</t>
  </si>
  <si>
    <t>177564</t>
  </si>
  <si>
    <t>Trần Đức Bình</t>
  </si>
  <si>
    <t>290136</t>
  </si>
  <si>
    <t>Tô Quốc Hùng</t>
  </si>
  <si>
    <t>045191</t>
  </si>
  <si>
    <t>Đinh Viết Quân</t>
  </si>
  <si>
    <t>240738</t>
  </si>
  <si>
    <t>Đào Thị Huyền</t>
  </si>
  <si>
    <t>196295</t>
  </si>
  <si>
    <t>Đặng Thị Huyền</t>
  </si>
  <si>
    <t>070872</t>
  </si>
  <si>
    <t>Đỗ Kiều Minh</t>
  </si>
  <si>
    <t>169194</t>
  </si>
  <si>
    <t>Đỗ Ngọc Thanh</t>
  </si>
  <si>
    <t>198508</t>
  </si>
  <si>
    <t>Đỗ Thế Anh</t>
  </si>
  <si>
    <t>463317</t>
  </si>
  <si>
    <t>Đỗ Tuấn Anh</t>
  </si>
  <si>
    <t>Trung tâm Nghiên cứu Công nghệ truyền dẫn - 9014111</t>
  </si>
  <si>
    <t>446297</t>
  </si>
  <si>
    <t>Bùi Duy Tiến</t>
  </si>
  <si>
    <t>439127</t>
  </si>
  <si>
    <t>Bùi Thế Lâm</t>
  </si>
  <si>
    <t>241091</t>
  </si>
  <si>
    <t>Bùi Thị Loan</t>
  </si>
  <si>
    <t>467159</t>
  </si>
  <si>
    <t>Bùi Văn Nam</t>
  </si>
  <si>
    <t>226805</t>
  </si>
  <si>
    <t>Bùi Đình Dũng</t>
  </si>
  <si>
    <t>250803</t>
  </si>
  <si>
    <t>Hoàng Công Tánh</t>
  </si>
  <si>
    <t>245349</t>
  </si>
  <si>
    <t>Huỳnh Nhật Tú</t>
  </si>
  <si>
    <t>430132</t>
  </si>
  <si>
    <t>Hà Văn Đạt</t>
  </si>
  <si>
    <t>277729</t>
  </si>
  <si>
    <t>Hồ Hưng Duy</t>
  </si>
  <si>
    <t>460689</t>
  </si>
  <si>
    <t>Hồ Thái Đại Lợi</t>
  </si>
  <si>
    <t>245352</t>
  </si>
  <si>
    <t>Hứa Thái Châu</t>
  </si>
  <si>
    <t>446289</t>
  </si>
  <si>
    <t>Kiều Tấn Phát</t>
  </si>
  <si>
    <t>213254</t>
  </si>
  <si>
    <t>La Văn Thiện</t>
  </si>
  <si>
    <t>470347</t>
  </si>
  <si>
    <t>Lê Đinh Hoàng</t>
  </si>
  <si>
    <t>440201</t>
  </si>
  <si>
    <t>Lê Đức Lâm Vũ</t>
  </si>
  <si>
    <t>196178</t>
  </si>
  <si>
    <t>Lương Đình Thọ</t>
  </si>
  <si>
    <t>443805</t>
  </si>
  <si>
    <t>Lương Đức Huy</t>
  </si>
  <si>
    <t>087196</t>
  </si>
  <si>
    <t>Nguyễn Hạnh Trang</t>
  </si>
  <si>
    <t>432361</t>
  </si>
  <si>
    <t>Nguyễn Hồng Sơn</t>
  </si>
  <si>
    <t>469157</t>
  </si>
  <si>
    <t>Nguyễn Lâm Vĩnh Gia</t>
  </si>
  <si>
    <t>176206</t>
  </si>
  <si>
    <t>Nguyễn Quang Mạnh</t>
  </si>
  <si>
    <t>218430</t>
  </si>
  <si>
    <t>Nguyễn Thanh Dương</t>
  </si>
  <si>
    <t>153773</t>
  </si>
  <si>
    <t>Nguyễn Thanh Thủy</t>
  </si>
  <si>
    <t>215824</t>
  </si>
  <si>
    <t>Nguyễn Thanh Tiến</t>
  </si>
  <si>
    <t>144033</t>
  </si>
  <si>
    <t>Nguyễn Thùy Anh</t>
  </si>
  <si>
    <t>470345</t>
  </si>
  <si>
    <t>Nguyễn Thị Hằng</t>
  </si>
  <si>
    <t>439004</t>
  </si>
  <si>
    <t>Nguyễn Đặng Chung Đức</t>
  </si>
  <si>
    <t>219452</t>
  </si>
  <si>
    <t>Nguyễn Đức An</t>
  </si>
  <si>
    <t>439495</t>
  </si>
  <si>
    <t>Nguyễn Đức Kiên</t>
  </si>
  <si>
    <t>430133</t>
  </si>
  <si>
    <t>Nguyễn Đức Toản</t>
  </si>
  <si>
    <t>032489</t>
  </si>
  <si>
    <t>Phạm Hoàng Phương</t>
  </si>
  <si>
    <t>470407</t>
  </si>
  <si>
    <t>Phạm Hồng Thi</t>
  </si>
  <si>
    <t>458897</t>
  </si>
  <si>
    <t>Phạm Quốc Huy</t>
  </si>
  <si>
    <t>137615</t>
  </si>
  <si>
    <t>Phạm Thu Nga</t>
  </si>
  <si>
    <t>218643</t>
  </si>
  <si>
    <t>Phạm Thị Linh</t>
  </si>
  <si>
    <t>244688</t>
  </si>
  <si>
    <t>Phạm Thị Thơm</t>
  </si>
  <si>
    <t>284759</t>
  </si>
  <si>
    <t>Phạm Trung Hiếu</t>
  </si>
  <si>
    <t>466273</t>
  </si>
  <si>
    <t>Thiều Thị Mỹ Lệ</t>
  </si>
  <si>
    <t>246391</t>
  </si>
  <si>
    <t>Trương Thị Hà Trang</t>
  </si>
  <si>
    <t>462351</t>
  </si>
  <si>
    <t>Trần Minh Thành</t>
  </si>
  <si>
    <t>289566</t>
  </si>
  <si>
    <t>Trần Minh Thắng</t>
  </si>
  <si>
    <t>439012</t>
  </si>
  <si>
    <t>Trần Ngọc Trâm</t>
  </si>
  <si>
    <t>227746</t>
  </si>
  <si>
    <t>Trần Uy Hoàng</t>
  </si>
  <si>
    <t>112898</t>
  </si>
  <si>
    <t>Trần Văn Hưởng</t>
  </si>
  <si>
    <t>446291</t>
  </si>
  <si>
    <t>Vũ Ngọc Cường</t>
  </si>
  <si>
    <t>451899</t>
  </si>
  <si>
    <t>Vũ Văn Trung</t>
  </si>
  <si>
    <t>270068</t>
  </si>
  <si>
    <t>Đinh Hoàng Quyết</t>
  </si>
  <si>
    <t>243884</t>
  </si>
  <si>
    <t>Đinh Văn Lực</t>
  </si>
  <si>
    <t>289567</t>
  </si>
  <si>
    <t>Đào Minh Long</t>
  </si>
  <si>
    <t>240865</t>
  </si>
  <si>
    <t>Đào Thị Nhung</t>
  </si>
  <si>
    <t>439128</t>
  </si>
  <si>
    <t>Đào Thị Thu Giang</t>
  </si>
  <si>
    <t>214807</t>
  </si>
  <si>
    <t>Đỗ Thế Hùng</t>
  </si>
  <si>
    <t>436753</t>
  </si>
  <si>
    <t>Đỗ Văn Nhất</t>
  </si>
  <si>
    <t>430736</t>
  </si>
  <si>
    <t>Đỗ Văn Phương</t>
  </si>
  <si>
    <t>122480</t>
  </si>
  <si>
    <t>Đỗ Đức Cường</t>
  </si>
  <si>
    <t>Trung tâm Nghiên cứu công nghệ Đa phương tiện - 9069757</t>
  </si>
  <si>
    <t>206456</t>
  </si>
  <si>
    <t>Chu Hữu Tiến Nam</t>
  </si>
  <si>
    <t>166921</t>
  </si>
  <si>
    <t>Dương Thị Hương Lan</t>
  </si>
  <si>
    <t>198504</t>
  </si>
  <si>
    <t>Lê Xuân Thắng</t>
  </si>
  <si>
    <t>452761</t>
  </si>
  <si>
    <t>Lại Thị Huyền Thương</t>
  </si>
  <si>
    <t>198556</t>
  </si>
  <si>
    <t>Nguyễn Huy Tình</t>
  </si>
  <si>
    <t>461631</t>
  </si>
  <si>
    <t>Nguyễn Như Tiến Hưng</t>
  </si>
  <si>
    <t>207843</t>
  </si>
  <si>
    <t>Nguyễn Thế Lâm</t>
  </si>
  <si>
    <t>129859</t>
  </si>
  <si>
    <t>Nguyễn Thị Hoài Phương</t>
  </si>
  <si>
    <t>235019</t>
  </si>
  <si>
    <t>Nguyễn Văn Minh</t>
  </si>
  <si>
    <t>169195</t>
  </si>
  <si>
    <t>Nguyễn Xuân Tiến</t>
  </si>
  <si>
    <t>070324</t>
  </si>
  <si>
    <t>Nguyễn Đức Huy</t>
  </si>
  <si>
    <t>206414</t>
  </si>
  <si>
    <t>Nguyễn Đức Linh</t>
  </si>
  <si>
    <t>207779</t>
  </si>
  <si>
    <t>Ngô Văn Vương</t>
  </si>
  <si>
    <t>266901</t>
  </si>
  <si>
    <t>Ninh Đức Tuấn</t>
  </si>
  <si>
    <t>271299</t>
  </si>
  <si>
    <t>Trần Minh Hiếu</t>
  </si>
  <si>
    <t>175278</t>
  </si>
  <si>
    <t>Trần Thị Hương</t>
  </si>
  <si>
    <t>266815</t>
  </si>
  <si>
    <t>Trần Đức Thịnh</t>
  </si>
  <si>
    <t>464817</t>
  </si>
  <si>
    <t>Trịnh Quốc Đạt</t>
  </si>
  <si>
    <t>196250</t>
  </si>
  <si>
    <t>Vũ Thị Hồng Mơ</t>
  </si>
  <si>
    <t>Trung tâm Nghiên cứu thiết bị vô tuyến băng rộng - 9014104</t>
  </si>
  <si>
    <t>207672</t>
  </si>
  <si>
    <t>Bùi Thị Vân</t>
  </si>
  <si>
    <t>171666</t>
  </si>
  <si>
    <t>Bùi Việt Hùng</t>
  </si>
  <si>
    <t>470349</t>
  </si>
  <si>
    <t>Cao Trịnh Minh Hoàng</t>
  </si>
  <si>
    <t>458727</t>
  </si>
  <si>
    <t>Cấn Quang Thịnh</t>
  </si>
  <si>
    <t>429452</t>
  </si>
  <si>
    <t>Diệp Từ Hiếu</t>
  </si>
  <si>
    <t>441600</t>
  </si>
  <si>
    <t>Dương Minh Thắng</t>
  </si>
  <si>
    <t>243023</t>
  </si>
  <si>
    <t>Dương Thị Ngọc Huyền</t>
  </si>
  <si>
    <t>207688</t>
  </si>
  <si>
    <t>Dương Văn Hoàn</t>
  </si>
  <si>
    <t>450321</t>
  </si>
  <si>
    <t>Hoàng Hải Hà Trang</t>
  </si>
  <si>
    <t>194845</t>
  </si>
  <si>
    <t>Hoàng Mạnh Cường</t>
  </si>
  <si>
    <t>213521</t>
  </si>
  <si>
    <t>Hoàng Trung Hiếu</t>
  </si>
  <si>
    <t>109958</t>
  </si>
  <si>
    <t>Hoàng Đinh Hải Truyền</t>
  </si>
  <si>
    <t>441599</t>
  </si>
  <si>
    <t>Hoàng Đăng Ý</t>
  </si>
  <si>
    <t>290428</t>
  </si>
  <si>
    <t>Hoàng Đức Trường</t>
  </si>
  <si>
    <t>217280</t>
  </si>
  <si>
    <t>Huỳnh Quốc Anh</t>
  </si>
  <si>
    <t>294128</t>
  </si>
  <si>
    <t>Huỳnh Viết Thông</t>
  </si>
  <si>
    <t>251017</t>
  </si>
  <si>
    <t>Hà Thị Hằng</t>
  </si>
  <si>
    <t>266861</t>
  </si>
  <si>
    <t>Hồ Nghĩa Dương</t>
  </si>
  <si>
    <t>242067</t>
  </si>
  <si>
    <t>Hồ Sỹ Vinh</t>
  </si>
  <si>
    <t>204707</t>
  </si>
  <si>
    <t>Hồ Thị Xuân Hòa</t>
  </si>
  <si>
    <t>282984</t>
  </si>
  <si>
    <t>Hồ Viết San</t>
  </si>
  <si>
    <t>472387</t>
  </si>
  <si>
    <t>Lang Trọng Nghĩa</t>
  </si>
  <si>
    <t>291218</t>
  </si>
  <si>
    <t>Lâm Minh Quân</t>
  </si>
  <si>
    <t>429450</t>
  </si>
  <si>
    <t>Lê Anh Quân</t>
  </si>
  <si>
    <t>433748</t>
  </si>
  <si>
    <t>Lê Anh Tuân</t>
  </si>
  <si>
    <t>433746</t>
  </si>
  <si>
    <t>Lê Anh Tài</t>
  </si>
  <si>
    <t>206262</t>
  </si>
  <si>
    <t>Lê Thanh Bằng</t>
  </si>
  <si>
    <t>233750</t>
  </si>
  <si>
    <t>Lê Thu Hương</t>
  </si>
  <si>
    <t>241089</t>
  </si>
  <si>
    <t>Lê Thúc Minh Tiến</t>
  </si>
  <si>
    <t>155717</t>
  </si>
  <si>
    <t>Lê Thị Huyền Trang</t>
  </si>
  <si>
    <t>265890</t>
  </si>
  <si>
    <t>Lê Thị Thùy Trinh</t>
  </si>
  <si>
    <t>194846</t>
  </si>
  <si>
    <t>Lê Văn Cường</t>
  </si>
  <si>
    <t>199317</t>
  </si>
  <si>
    <t>Lê Đình An</t>
  </si>
  <si>
    <t>246392</t>
  </si>
  <si>
    <t>Lý Nguyễn Hoàng Phúc</t>
  </si>
  <si>
    <t>159778</t>
  </si>
  <si>
    <t>Lương Xuân Hào</t>
  </si>
  <si>
    <t>109398</t>
  </si>
  <si>
    <t>Nguyễn Anh Tú</t>
  </si>
  <si>
    <t>056995</t>
  </si>
  <si>
    <t>Nguyễn Bá Lượng</t>
  </si>
  <si>
    <t>467443</t>
  </si>
  <si>
    <t>Nguyễn Bá Thanh</t>
  </si>
  <si>
    <t>081530</t>
  </si>
  <si>
    <t>Nguyễn Chí Linh</t>
  </si>
  <si>
    <t>246403</t>
  </si>
  <si>
    <t>Nguyễn Hoàng Thủ Khoa</t>
  </si>
  <si>
    <t>250230</t>
  </si>
  <si>
    <t>Nguyễn Hữu Tùng</t>
  </si>
  <si>
    <t>226529</t>
  </si>
  <si>
    <t>Nguyễn Hữu Định</t>
  </si>
  <si>
    <t>276326</t>
  </si>
  <si>
    <t>Nguyễn Minh Tuấn</t>
  </si>
  <si>
    <t>439494</t>
  </si>
  <si>
    <t>Nguyễn Ngọc Hoàng</t>
  </si>
  <si>
    <t>235768</t>
  </si>
  <si>
    <t>Nguyễn Nhật Trường</t>
  </si>
  <si>
    <t>441342</t>
  </si>
  <si>
    <t>Nguyễn Phi Đắc</t>
  </si>
  <si>
    <t>291343</t>
  </si>
  <si>
    <t>Nguyễn Phú Lâm</t>
  </si>
  <si>
    <t>250328</t>
  </si>
  <si>
    <t>Nguyễn Quang Hưng</t>
  </si>
  <si>
    <t>266859</t>
  </si>
  <si>
    <t>Nguyễn Quang Linh</t>
  </si>
  <si>
    <t>466121</t>
  </si>
  <si>
    <t>Nguyễn Quốc Cường</t>
  </si>
  <si>
    <t>450569</t>
  </si>
  <si>
    <t>Nguyễn Sỹ Đại</t>
  </si>
  <si>
    <t>277728</t>
  </si>
  <si>
    <t>Nguyễn Thanh Bình</t>
  </si>
  <si>
    <t>266860</t>
  </si>
  <si>
    <t>Nguyễn Thị Phương</t>
  </si>
  <si>
    <t>272783</t>
  </si>
  <si>
    <t>Nguyễn Thị Quỳnh</t>
  </si>
  <si>
    <t>155714</t>
  </si>
  <si>
    <t>Nguyễn Thị Tuyền</t>
  </si>
  <si>
    <t>196202</t>
  </si>
  <si>
    <t>Nguyễn Tiến Sáng</t>
  </si>
  <si>
    <t>199757</t>
  </si>
  <si>
    <t>Nguyễn Trung Tiến</t>
  </si>
  <si>
    <t>447905</t>
  </si>
  <si>
    <t>Nguyễn Tùng Sơn</t>
  </si>
  <si>
    <t>263312</t>
  </si>
  <si>
    <t>Nguyễn Tấn Hoàng Phước</t>
  </si>
  <si>
    <t>208474</t>
  </si>
  <si>
    <t>217507</t>
  </si>
  <si>
    <t>Nguyễn Văn Sơn</t>
  </si>
  <si>
    <t>262883</t>
  </si>
  <si>
    <t>Nguyễn Văn Thành</t>
  </si>
  <si>
    <t>180454</t>
  </si>
  <si>
    <t>Nguyễn Văn Trọng</t>
  </si>
  <si>
    <t>198497</t>
  </si>
  <si>
    <t>Nguyễn Xuân Thắng</t>
  </si>
  <si>
    <t>165014</t>
  </si>
  <si>
    <t>Nguyễn Đức Nhật</t>
  </si>
  <si>
    <t>019662</t>
  </si>
  <si>
    <t>Nguyễn Đức Tuyền</t>
  </si>
  <si>
    <t>447885</t>
  </si>
  <si>
    <t>Ngô Minh Khánh</t>
  </si>
  <si>
    <t>454489</t>
  </si>
  <si>
    <t>Ngô Nam Khánh</t>
  </si>
  <si>
    <t>249487</t>
  </si>
  <si>
    <t>Ngô Thị Hiền</t>
  </si>
  <si>
    <t>274168</t>
  </si>
  <si>
    <t>Phan Quang Huy</t>
  </si>
  <si>
    <t>268083</t>
  </si>
  <si>
    <t>Phan Đăng Minh</t>
  </si>
  <si>
    <t>469139</t>
  </si>
  <si>
    <t>Phùng Đình Thành</t>
  </si>
  <si>
    <t>235955</t>
  </si>
  <si>
    <t>Phạm Anh Tuấn</t>
  </si>
  <si>
    <t>278953</t>
  </si>
  <si>
    <t>Phạm Hoàng Lai</t>
  </si>
  <si>
    <t>447327</t>
  </si>
  <si>
    <t>Phạm Huy Anh</t>
  </si>
  <si>
    <t>231354</t>
  </si>
  <si>
    <t>Phạm Khánh Trung</t>
  </si>
  <si>
    <t>159777</t>
  </si>
  <si>
    <t>Phạm Kim Anh Dũng</t>
  </si>
  <si>
    <t>469057</t>
  </si>
  <si>
    <t>Phạm Quang Trung</t>
  </si>
  <si>
    <t>251018</t>
  </si>
  <si>
    <t>Phạm Thị Hương</t>
  </si>
  <si>
    <t>243024</t>
  </si>
  <si>
    <t>Phạm Thị Kim Dung</t>
  </si>
  <si>
    <t>278431</t>
  </si>
  <si>
    <t>Phạm Thị Phương Linh</t>
  </si>
  <si>
    <t>265015</t>
  </si>
  <si>
    <t>Phạm Văn Quang</t>
  </si>
  <si>
    <t>454499</t>
  </si>
  <si>
    <t>Phạm Đức Thành</t>
  </si>
  <si>
    <t>267110</t>
  </si>
  <si>
    <t>Trương Đức Tài</t>
  </si>
  <si>
    <t>077154</t>
  </si>
  <si>
    <t>Trần Công Tân</t>
  </si>
  <si>
    <t>250330</t>
  </si>
  <si>
    <t>241147</t>
  </si>
  <si>
    <t>Trần Nam Hải</t>
  </si>
  <si>
    <t>279732</t>
  </si>
  <si>
    <t>Trần Quang Nhường</t>
  </si>
  <si>
    <t>247994</t>
  </si>
  <si>
    <t>Trần Quang Trung</t>
  </si>
  <si>
    <t>102022</t>
  </si>
  <si>
    <t>Trần Thu Phương</t>
  </si>
  <si>
    <t>204662</t>
  </si>
  <si>
    <t>Trần Văn Tùng</t>
  </si>
  <si>
    <t>251016</t>
  </si>
  <si>
    <t>Trần Xuân Mạnh</t>
  </si>
  <si>
    <t>431499</t>
  </si>
  <si>
    <t>Tô Thanh Nhã</t>
  </si>
  <si>
    <t>206412</t>
  </si>
  <si>
    <t>Tăng Thiên Vũ</t>
  </si>
  <si>
    <t>118970</t>
  </si>
  <si>
    <t>Từ Văn Lập</t>
  </si>
  <si>
    <t>232238</t>
  </si>
  <si>
    <t>Võ Thành Văn</t>
  </si>
  <si>
    <t>241356</t>
  </si>
  <si>
    <t>Võ Tùng Cương</t>
  </si>
  <si>
    <t>204660</t>
  </si>
  <si>
    <t>Vũ Duy Linh</t>
  </si>
  <si>
    <t>207713</t>
  </si>
  <si>
    <t>Vũ Thành Công</t>
  </si>
  <si>
    <t>154073</t>
  </si>
  <si>
    <t>Vũ Thị Gấm</t>
  </si>
  <si>
    <t>441343</t>
  </si>
  <si>
    <t>Vũ Đức Độ</t>
  </si>
  <si>
    <t>453385</t>
  </si>
  <si>
    <t>Đinh Thị Phương</t>
  </si>
  <si>
    <t>439487</t>
  </si>
  <si>
    <t>Đinh Tiến Dương</t>
  </si>
  <si>
    <t>246390</t>
  </si>
  <si>
    <t>Đinh Việt Hải</t>
  </si>
  <si>
    <t>292548</t>
  </si>
  <si>
    <t>Đoàn Như Nhật Anh</t>
  </si>
  <si>
    <t>294137</t>
  </si>
  <si>
    <t>Đoàn Tuấn Sơn</t>
  </si>
  <si>
    <t>237559</t>
  </si>
  <si>
    <t>Đậu Hồng Quân</t>
  </si>
  <si>
    <t>214703</t>
  </si>
  <si>
    <t>Đặng Hoài Sơn</t>
  </si>
  <si>
    <t>206802</t>
  </si>
  <si>
    <t>Đặng Văn Quý</t>
  </si>
  <si>
    <t>158074</t>
  </si>
  <si>
    <t>Đỗ Ngọc Tuấn</t>
  </si>
  <si>
    <t>194826</t>
  </si>
  <si>
    <t>Đỗ Trọng Toàn</t>
  </si>
  <si>
    <t>Trung tâm Phát triển nền tảng thanh toán - 9069756</t>
  </si>
  <si>
    <t>182136</t>
  </si>
  <si>
    <t>Bùi Hải Sơn</t>
  </si>
  <si>
    <t>251832</t>
  </si>
  <si>
    <t>Bùi Thanh Tùng</t>
  </si>
  <si>
    <t>245788</t>
  </si>
  <si>
    <t>Bùi Thùy Trang</t>
  </si>
  <si>
    <t>251833</t>
  </si>
  <si>
    <t>Bùi Thị Lụa</t>
  </si>
  <si>
    <t>219126</t>
  </si>
  <si>
    <t>Bùi Tuấn Anh</t>
  </si>
  <si>
    <t>451891</t>
  </si>
  <si>
    <t>Bùi Đức Chế</t>
  </si>
  <si>
    <t>292552</t>
  </si>
  <si>
    <t>Cao Ngọc Sơn</t>
  </si>
  <si>
    <t>268085</t>
  </si>
  <si>
    <t>Cao Đăng Sao</t>
  </si>
  <si>
    <t>246503</t>
  </si>
  <si>
    <t>Dương Thị Quỳnh Ly</t>
  </si>
  <si>
    <t>271407</t>
  </si>
  <si>
    <t>Dương Thị Thoa</t>
  </si>
  <si>
    <t>245466</t>
  </si>
  <si>
    <t>Hoàng Thị Hương Giang</t>
  </si>
  <si>
    <t>244155</t>
  </si>
  <si>
    <t>Hoàng Thị Lan Phương</t>
  </si>
  <si>
    <t>171668</t>
  </si>
  <si>
    <t>Hoàng Thị Quỳnh Hoa</t>
  </si>
  <si>
    <t>240779</t>
  </si>
  <si>
    <t>Hoàng Văn Hiệp</t>
  </si>
  <si>
    <t>241516</t>
  </si>
  <si>
    <t>Hoàng Đăng Kiên</t>
  </si>
  <si>
    <t>269724</t>
  </si>
  <si>
    <t>Lê Thị Thành</t>
  </si>
  <si>
    <t>198503</t>
  </si>
  <si>
    <t>Lê Thị Tuyền</t>
  </si>
  <si>
    <t>243882</t>
  </si>
  <si>
    <t>Lê Thị Tú</t>
  </si>
  <si>
    <t>220154</t>
  </si>
  <si>
    <t>Lê Trọng Thảo</t>
  </si>
  <si>
    <t>464155</t>
  </si>
  <si>
    <t>194853</t>
  </si>
  <si>
    <t>Lăng Khắc Thuận</t>
  </si>
  <si>
    <t>206285</t>
  </si>
  <si>
    <t>Lại Ngọc Huyền</t>
  </si>
  <si>
    <t>437633</t>
  </si>
  <si>
    <t>Nguyễn Ngọc Tiến</t>
  </si>
  <si>
    <t>240354</t>
  </si>
  <si>
    <t>Nguyễn Phi Hùng</t>
  </si>
  <si>
    <t>192600</t>
  </si>
  <si>
    <t>Nguyễn Quang Thắng</t>
  </si>
  <si>
    <t>198517</t>
  </si>
  <si>
    <t>Nguyễn Thu Hương</t>
  </si>
  <si>
    <t>271304</t>
  </si>
  <si>
    <t>245726</t>
  </si>
  <si>
    <t>Nguyễn Thị Hải Yến</t>
  </si>
  <si>
    <t>177559</t>
  </si>
  <si>
    <t>Nguyễn Thị Hồng</t>
  </si>
  <si>
    <t>262884</t>
  </si>
  <si>
    <t>271380</t>
  </si>
  <si>
    <t>Nguyễn Thị Thúy Hằng</t>
  </si>
  <si>
    <t>470797</t>
  </si>
  <si>
    <t>Nguyễn Trung Hiếu</t>
  </si>
  <si>
    <t>206288</t>
  </si>
  <si>
    <t>Nguyễn Văn Dương</t>
  </si>
  <si>
    <t>187093</t>
  </si>
  <si>
    <t>Nguyễn Văn Tuấn</t>
  </si>
  <si>
    <t>241095</t>
  </si>
  <si>
    <t>Nguyễn Xuân Chính</t>
  </si>
  <si>
    <t>272784</t>
  </si>
  <si>
    <t>Nguyễn Đình Minh</t>
  </si>
  <si>
    <t>275296</t>
  </si>
  <si>
    <t>Nguyễn Đình Tâm</t>
  </si>
  <si>
    <t>219128</t>
  </si>
  <si>
    <t>Nguyễn Đức Anh</t>
  </si>
  <si>
    <t>116660</t>
  </si>
  <si>
    <t>Nguyễn Đức Hải</t>
  </si>
  <si>
    <t>451897</t>
  </si>
  <si>
    <t>Nguyễn Đức Việt</t>
  </si>
  <si>
    <t>196195</t>
  </si>
  <si>
    <t>Ngô Thị Hoài</t>
  </si>
  <si>
    <t>209064</t>
  </si>
  <si>
    <t>Phan Văn Mạnh</t>
  </si>
  <si>
    <t>213367</t>
  </si>
  <si>
    <t>Phạm Công Dân</t>
  </si>
  <si>
    <t>233511</t>
  </si>
  <si>
    <t>Phạm Thanh Sơn</t>
  </si>
  <si>
    <t>279772</t>
  </si>
  <si>
    <t>Phạm Thị Hà</t>
  </si>
  <si>
    <t>281998</t>
  </si>
  <si>
    <t>Phạm Văn Chính</t>
  </si>
  <si>
    <t>121864</t>
  </si>
  <si>
    <t>Trần Thị Thu Huyền</t>
  </si>
  <si>
    <t>166923</t>
  </si>
  <si>
    <t>Trần Văn Thuyết</t>
  </si>
  <si>
    <t>076402</t>
  </si>
  <si>
    <t>Trịnh Văn Hùng</t>
  </si>
  <si>
    <t>194854</t>
  </si>
  <si>
    <t>Vũ Quân Huân</t>
  </si>
  <si>
    <t>288935</t>
  </si>
  <si>
    <t>Đinh Ngọc Sơn</t>
  </si>
  <si>
    <t>169198</t>
  </si>
  <si>
    <t>Đoàn Văn Thọ</t>
  </si>
  <si>
    <t>269140</t>
  </si>
  <si>
    <t>Đào Ngọc Lâm</t>
  </si>
  <si>
    <t>272957</t>
  </si>
  <si>
    <t>Đào Thị Trang</t>
  </si>
  <si>
    <t>251830</t>
  </si>
  <si>
    <t>Đỗ Hoàng Phương Thảo</t>
  </si>
  <si>
    <t>270525</t>
  </si>
  <si>
    <t>Đỗ Thị Thanh Hà</t>
  </si>
  <si>
    <t>Trung tâm dịch vụ sau bán hàng - 9014173</t>
  </si>
  <si>
    <t>470409</t>
  </si>
  <si>
    <t>Hoàng Minh Đức</t>
  </si>
  <si>
    <t>102016</t>
  </si>
  <si>
    <t>196175</t>
  </si>
  <si>
    <t>Lê Thị Hà</t>
  </si>
  <si>
    <t>458969</t>
  </si>
  <si>
    <t>Lê Xuân Đông</t>
  </si>
  <si>
    <t>059084</t>
  </si>
  <si>
    <t>Mai Đức Hoàng</t>
  </si>
  <si>
    <t>465721</t>
  </si>
  <si>
    <t>Nguyễn Bá Trường</t>
  </si>
  <si>
    <t>098698</t>
  </si>
  <si>
    <t>Nguyễn Hạc Tú</t>
  </si>
  <si>
    <t>194627</t>
  </si>
  <si>
    <t>208987</t>
  </si>
  <si>
    <t>Nguyễn Minh Đức</t>
  </si>
  <si>
    <t>470411</t>
  </si>
  <si>
    <t>Nguyễn Thế Vinh</t>
  </si>
  <si>
    <t>199311</t>
  </si>
  <si>
    <t>Nguyễn Văn Hân</t>
  </si>
  <si>
    <t>067078</t>
  </si>
  <si>
    <t>Nguyễn Văn Quang</t>
  </si>
  <si>
    <t>080794</t>
  </si>
  <si>
    <t>467163</t>
  </si>
  <si>
    <t>Phan Minh Đức</t>
  </si>
  <si>
    <t>011220</t>
  </si>
  <si>
    <t>Phan Viết Thời</t>
  </si>
  <si>
    <t>004110</t>
  </si>
  <si>
    <t>Phùng Hải Nam</t>
  </si>
  <si>
    <t>125172</t>
  </si>
  <si>
    <t>Phạm Quang Hiệp</t>
  </si>
  <si>
    <t>177555</t>
  </si>
  <si>
    <t>Phạm Thị Phương</t>
  </si>
  <si>
    <t>121486</t>
  </si>
  <si>
    <t>Phạm Trọng Trường</t>
  </si>
  <si>
    <t>459763</t>
  </si>
  <si>
    <t>Trần Tuấn Anh</t>
  </si>
  <si>
    <t>177560</t>
  </si>
  <si>
    <t>Trần Văn Hùng</t>
  </si>
  <si>
    <t>466117</t>
  </si>
  <si>
    <t>Tăng Văn Dương</t>
  </si>
  <si>
    <t>071850</t>
  </si>
  <si>
    <t>Vũ Trường Long</t>
  </si>
  <si>
    <t>122226</t>
  </si>
  <si>
    <t>Đặng Thanh Bình</t>
  </si>
  <si>
    <t>Khối 3 - TCT CNC - 9013950</t>
  </si>
  <si>
    <t>Ban Giám đốc - 9014155</t>
  </si>
  <si>
    <t>116188</t>
  </si>
  <si>
    <t>Khương Duy</t>
  </si>
  <si>
    <t>Phòng Kinh doanh - 9033849</t>
  </si>
  <si>
    <t>196336</t>
  </si>
  <si>
    <t>Dương Thúy Hằng</t>
  </si>
  <si>
    <t>209509</t>
  </si>
  <si>
    <t>Nguyễn Thị Mai Anh</t>
  </si>
  <si>
    <t>427204</t>
  </si>
  <si>
    <t>Nguyễn Thị Phương Anh</t>
  </si>
  <si>
    <t>007589</t>
  </si>
  <si>
    <t>Phạm Minh Nghĩa</t>
  </si>
  <si>
    <t>276311</t>
  </si>
  <si>
    <t>Trần Quốc Dũng</t>
  </si>
  <si>
    <t>Phòng Quản lý chất lượng - 9033845</t>
  </si>
  <si>
    <t>232734</t>
  </si>
  <si>
    <t>Chu Thị Ánh Hồng</t>
  </si>
  <si>
    <t>176573</t>
  </si>
  <si>
    <t>Diệp Thị Tư</t>
  </si>
  <si>
    <t>271575</t>
  </si>
  <si>
    <t>Lê Thị Lan Hương</t>
  </si>
  <si>
    <t>462651</t>
  </si>
  <si>
    <t>Nguyễn Duy Hưng</t>
  </si>
  <si>
    <t>440214</t>
  </si>
  <si>
    <t>Nguyễn Thị Lan Anh</t>
  </si>
  <si>
    <t>452469</t>
  </si>
  <si>
    <t>Nguyễn Thị Thu Hiền</t>
  </si>
  <si>
    <t>243025</t>
  </si>
  <si>
    <t>Ngô Thị Yến Linh</t>
  </si>
  <si>
    <t>196208</t>
  </si>
  <si>
    <t>Phí Thị Thu Giang</t>
  </si>
  <si>
    <t>Phòng Tổng hợp - 9033841</t>
  </si>
  <si>
    <t>087198</t>
  </si>
  <si>
    <t>Hoàng Minh Châu</t>
  </si>
  <si>
    <t>204328</t>
  </si>
  <si>
    <t>Nguyễn Thị Hòa</t>
  </si>
  <si>
    <t>011034</t>
  </si>
  <si>
    <t>Nguyễn Thị Luyện</t>
  </si>
  <si>
    <t>026567</t>
  </si>
  <si>
    <t>Nông Thị Minh Hiến</t>
  </si>
  <si>
    <t>047512</t>
  </si>
  <si>
    <t>Trần Nguyễn Dũng</t>
  </si>
  <si>
    <t>Trung tâm Camera - 9033832</t>
  </si>
  <si>
    <t>205102</t>
  </si>
  <si>
    <t>Bùi Bình Giang</t>
  </si>
  <si>
    <t>455281</t>
  </si>
  <si>
    <t>Bạch Ngọc Minh Châu</t>
  </si>
  <si>
    <t>280648</t>
  </si>
  <si>
    <t>Hoàng Mỹ Linh</t>
  </si>
  <si>
    <t>273678</t>
  </si>
  <si>
    <t>Hoàng Thị Quỳnh</t>
  </si>
  <si>
    <t>271236</t>
  </si>
  <si>
    <t>Hoàng Văn Hào</t>
  </si>
  <si>
    <t>442673</t>
  </si>
  <si>
    <t>Hồ Đặng Thanh Hồ</t>
  </si>
  <si>
    <t>238618</t>
  </si>
  <si>
    <t>Lê Thanh Tùng</t>
  </si>
  <si>
    <t>241353</t>
  </si>
  <si>
    <t>Lê Văn Bằng</t>
  </si>
  <si>
    <t>233488</t>
  </si>
  <si>
    <t>Lữ Mạnh Hùng</t>
  </si>
  <si>
    <t>156893</t>
  </si>
  <si>
    <t>Nguyễn Bá Tân</t>
  </si>
  <si>
    <t>443009</t>
  </si>
  <si>
    <t>Nguyễn Cao Lương</t>
  </si>
  <si>
    <t>245356</t>
  </si>
  <si>
    <t>Nguyễn Cảnh Bắc</t>
  </si>
  <si>
    <t>204015</t>
  </si>
  <si>
    <t>Nguyễn Duy Phương</t>
  </si>
  <si>
    <t>468411</t>
  </si>
  <si>
    <t>Nguyễn Hoàng Anh</t>
  </si>
  <si>
    <t>011350</t>
  </si>
  <si>
    <t>Nguyễn Hoàng Long</t>
  </si>
  <si>
    <t>262428</t>
  </si>
  <si>
    <t>Nguyễn Hoàng Nam</t>
  </si>
  <si>
    <t>439614</t>
  </si>
  <si>
    <t>Nguyễn Huy Đức</t>
  </si>
  <si>
    <t>466275</t>
  </si>
  <si>
    <t>Nguyễn Hồng Quân</t>
  </si>
  <si>
    <t>471255</t>
  </si>
  <si>
    <t>Nguyễn Khánh Linh</t>
  </si>
  <si>
    <t>208740</t>
  </si>
  <si>
    <t>Nguyễn Minh Khánh Ngọc</t>
  </si>
  <si>
    <t>270529</t>
  </si>
  <si>
    <t>056954</t>
  </si>
  <si>
    <t>Nguyễn Mạnh Hùng</t>
  </si>
  <si>
    <t>447341</t>
  </si>
  <si>
    <t>Nguyễn Nhật Anh</t>
  </si>
  <si>
    <t>431909</t>
  </si>
  <si>
    <t>Nguyễn Quang Chung</t>
  </si>
  <si>
    <t>047173</t>
  </si>
  <si>
    <t>Nguyễn Quang Dũng</t>
  </si>
  <si>
    <t>173314</t>
  </si>
  <si>
    <t>Nguyễn Thanh Minh</t>
  </si>
  <si>
    <t>432901</t>
  </si>
  <si>
    <t>Nguyễn Thị Thùy</t>
  </si>
  <si>
    <t>441579</t>
  </si>
  <si>
    <t>Nguyễn Thị Trang</t>
  </si>
  <si>
    <t>110558</t>
  </si>
  <si>
    <t>Nguyễn Tiến Hiến</t>
  </si>
  <si>
    <t>451131</t>
  </si>
  <si>
    <t>444585</t>
  </si>
  <si>
    <t>Nguyễn Trung Phong</t>
  </si>
  <si>
    <t>441296</t>
  </si>
  <si>
    <t>Nguyễn Trung Trí</t>
  </si>
  <si>
    <t>208742</t>
  </si>
  <si>
    <t>Nguyễn Tuấn Phước</t>
  </si>
  <si>
    <t>454893</t>
  </si>
  <si>
    <t>Nguyễn Tống Minh</t>
  </si>
  <si>
    <t>272791</t>
  </si>
  <si>
    <t>Nguyễn Võ Thái Triều</t>
  </si>
  <si>
    <t>207371</t>
  </si>
  <si>
    <t>Nguyễn Văn Công</t>
  </si>
  <si>
    <t>245786</t>
  </si>
  <si>
    <t>249117</t>
  </si>
  <si>
    <t>Nguyễn Xuân Huy</t>
  </si>
  <si>
    <t>470379</t>
  </si>
  <si>
    <t>Nguyễn Đình Phúc</t>
  </si>
  <si>
    <t>457749</t>
  </si>
  <si>
    <t>Ngô Quang Hải</t>
  </si>
  <si>
    <t>453063</t>
  </si>
  <si>
    <t>Ngô Văn Quang</t>
  </si>
  <si>
    <t>206376</t>
  </si>
  <si>
    <t>Phan Anh Hoàng</t>
  </si>
  <si>
    <t>439034</t>
  </si>
  <si>
    <t>Phùng Mạnh Dũng</t>
  </si>
  <si>
    <t>284107</t>
  </si>
  <si>
    <t>Phạm Cao Bằng</t>
  </si>
  <si>
    <t>443625</t>
  </si>
  <si>
    <t>Phạm Duy Giác Nguyên</t>
  </si>
  <si>
    <t>457751</t>
  </si>
  <si>
    <t>Phạm Hoàng Nam</t>
  </si>
  <si>
    <t>433066</t>
  </si>
  <si>
    <t>Phạm Ngọc Thiện</t>
  </si>
  <si>
    <t>199099</t>
  </si>
  <si>
    <t>Phạm Thanh Tuấn</t>
  </si>
  <si>
    <t>292553</t>
  </si>
  <si>
    <t>Phạm Thị Thu Trang</t>
  </si>
  <si>
    <t>460829</t>
  </si>
  <si>
    <t>Phạm Thị Thùy</t>
  </si>
  <si>
    <t>131748</t>
  </si>
  <si>
    <t>Phạm Trung Kiên</t>
  </si>
  <si>
    <t>272499</t>
  </si>
  <si>
    <t>Thái Thị Quỳnh Trang</t>
  </si>
  <si>
    <t>193281</t>
  </si>
  <si>
    <t>Trương Huy Hoàng</t>
  </si>
  <si>
    <t>439615</t>
  </si>
  <si>
    <t>Trần Duy Đạt</t>
  </si>
  <si>
    <t>218373</t>
  </si>
  <si>
    <t>Trần Minh Lợi</t>
  </si>
  <si>
    <t>245555</t>
  </si>
  <si>
    <t>Trần Văn Bằng</t>
  </si>
  <si>
    <t>464823</t>
  </si>
  <si>
    <t>Trịnh Nhật Minh</t>
  </si>
  <si>
    <t>460833</t>
  </si>
  <si>
    <t>Võ Đình Quốc</t>
  </si>
  <si>
    <t>059037</t>
  </si>
  <si>
    <t>Văn Tuấn Cường</t>
  </si>
  <si>
    <t>460827</t>
  </si>
  <si>
    <t>Vũ Công Hoàn</t>
  </si>
  <si>
    <t>227546</t>
  </si>
  <si>
    <t>Vũ Duy Nhất</t>
  </si>
  <si>
    <t>231164</t>
  </si>
  <si>
    <t>Vũ Minh Thu</t>
  </si>
  <si>
    <t>469071</t>
  </si>
  <si>
    <t>Vũ Văn Mạnh</t>
  </si>
  <si>
    <t>125508</t>
  </si>
  <si>
    <t>Vũ Đức Chính</t>
  </si>
  <si>
    <t>235951</t>
  </si>
  <si>
    <t>Vũ Đức Tuấn</t>
  </si>
  <si>
    <t>266740</t>
  </si>
  <si>
    <t>Đinh Văn Duy</t>
  </si>
  <si>
    <t>198507</t>
  </si>
  <si>
    <t>Đinh Văn Phong</t>
  </si>
  <si>
    <t>449457</t>
  </si>
  <si>
    <t>Đào Hoàng Long</t>
  </si>
  <si>
    <t>454633</t>
  </si>
  <si>
    <t>Đặng Hồ Na</t>
  </si>
  <si>
    <t>467971</t>
  </si>
  <si>
    <t>Đặng Nhật Huy</t>
  </si>
  <si>
    <t>240799</t>
  </si>
  <si>
    <t>Đặng Thanh Tùng</t>
  </si>
  <si>
    <t>Trung tâm Nền tảng IOT - 9033826</t>
  </si>
  <si>
    <t>460399</t>
  </si>
  <si>
    <t>Bùi Minh Quân</t>
  </si>
  <si>
    <t>282982</t>
  </si>
  <si>
    <t>Chu Quang Dần</t>
  </si>
  <si>
    <t>454511</t>
  </si>
  <si>
    <t>Chử Văn Minh</t>
  </si>
  <si>
    <t>454513</t>
  </si>
  <si>
    <t>Hoa Đỗ Tùng Dương</t>
  </si>
  <si>
    <t>454509</t>
  </si>
  <si>
    <t>Hoàng Kim Minh</t>
  </si>
  <si>
    <t>448219</t>
  </si>
  <si>
    <t>Lê Hoàng Nguyên</t>
  </si>
  <si>
    <t>196174</t>
  </si>
  <si>
    <t>Lê Ngọc Quý</t>
  </si>
  <si>
    <t>437625</t>
  </si>
  <si>
    <t>Lê Phương Nam</t>
  </si>
  <si>
    <t>226732</t>
  </si>
  <si>
    <t>Lê Tuấn Anh</t>
  </si>
  <si>
    <t>245558</t>
  </si>
  <si>
    <t>Lê Văn Cẩn</t>
  </si>
  <si>
    <t>462361</t>
  </si>
  <si>
    <t>Mai Thanh Minh</t>
  </si>
  <si>
    <t>263122</t>
  </si>
  <si>
    <t>Nguyễn Bảo Quốc</t>
  </si>
  <si>
    <t>199319</t>
  </si>
  <si>
    <t>Nguyễn Quốc Tuấn</t>
  </si>
  <si>
    <t>291571</t>
  </si>
  <si>
    <t>Nguyễn Thế Anh</t>
  </si>
  <si>
    <t>465723</t>
  </si>
  <si>
    <t>Nguyễn Thị Hương</t>
  </si>
  <si>
    <t>204703</t>
  </si>
  <si>
    <t>Nguyễn Thị Liêm</t>
  </si>
  <si>
    <t>450533</t>
  </si>
  <si>
    <t>434850</t>
  </si>
  <si>
    <t>Nguyễn Đức Long</t>
  </si>
  <si>
    <t>467455</t>
  </si>
  <si>
    <t>Nguyễn Đức Minh</t>
  </si>
  <si>
    <t>460547</t>
  </si>
  <si>
    <t>Phan Thành Thắng</t>
  </si>
  <si>
    <t>431864</t>
  </si>
  <si>
    <t>Phan Thị Hồng Linh</t>
  </si>
  <si>
    <t>434846</t>
  </si>
  <si>
    <t>Phạm Tiến Đạt</t>
  </si>
  <si>
    <t>437630</t>
  </si>
  <si>
    <t>Trần Ngọc Khiêm</t>
  </si>
  <si>
    <t>441120</t>
  </si>
  <si>
    <t>Trần Văn Tiến</t>
  </si>
  <si>
    <t>193273</t>
  </si>
  <si>
    <t>Vũ Như Thành</t>
  </si>
  <si>
    <t>454505</t>
  </si>
  <si>
    <t>Đặng Quang Hưng</t>
  </si>
  <si>
    <t>276031</t>
  </si>
  <si>
    <t>206280</t>
  </si>
  <si>
    <t>Đỗ Minh Đức</t>
  </si>
  <si>
    <t>244757</t>
  </si>
  <si>
    <t>Đỗ Thị Xuân</t>
  </si>
  <si>
    <t>Trung tâm Kinh doanh - TCT CNC - 9013945</t>
  </si>
  <si>
    <t>Ban Giám đốc - 9014001</t>
  </si>
  <si>
    <t>230618</t>
  </si>
  <si>
    <t>Nguyễn Tiến Long</t>
  </si>
  <si>
    <t>045177</t>
  </si>
  <si>
    <t>Nguyễn Văn Tuân</t>
  </si>
  <si>
    <t>004012</t>
  </si>
  <si>
    <t>Tống Thanh Sơn</t>
  </si>
  <si>
    <t>Bộ phận Hỗ trợ nghiệp vụ - 9069761</t>
  </si>
  <si>
    <t>017247</t>
  </si>
  <si>
    <t>Cao Thị Lệ Thúy</t>
  </si>
  <si>
    <t>249088</t>
  </si>
  <si>
    <t>Nguyễn Thị Vân Anh</t>
  </si>
  <si>
    <t>179953</t>
  </si>
  <si>
    <t>Phan Duy Nam</t>
  </si>
  <si>
    <t>059925</t>
  </si>
  <si>
    <t>Phi Thu Trang</t>
  </si>
  <si>
    <t>001615</t>
  </si>
  <si>
    <t>Đỗ Đức Ánh</t>
  </si>
  <si>
    <t>Phòng Marketing - 9014003</t>
  </si>
  <si>
    <t>435196</t>
  </si>
  <si>
    <t>Lâm Phương Anh</t>
  </si>
  <si>
    <t>462825</t>
  </si>
  <si>
    <t>Lê Hà Thu Uyên</t>
  </si>
  <si>
    <t>Phòng Phát triển thị trường Quốc tế - 9069759</t>
  </si>
  <si>
    <t>466295</t>
  </si>
  <si>
    <t>Hà Nam Trung</t>
  </si>
  <si>
    <t>435960</t>
  </si>
  <si>
    <t>Lê Khánh Ly</t>
  </si>
  <si>
    <t>228393</t>
  </si>
  <si>
    <t>Lương Hải Ngọc</t>
  </si>
  <si>
    <t>448235</t>
  </si>
  <si>
    <t>447665</t>
  </si>
  <si>
    <t>Trần Minh Dũng</t>
  </si>
  <si>
    <t>460983</t>
  </si>
  <si>
    <t>Đàm Đình Hảo</t>
  </si>
  <si>
    <t>Phòng Phát triển thị trường trong nước - 9069758</t>
  </si>
  <si>
    <t>222459</t>
  </si>
  <si>
    <t>Hoàng Đức Tâm</t>
  </si>
  <si>
    <t>453183</t>
  </si>
  <si>
    <t>Nguyễn Hoàng Hải</t>
  </si>
  <si>
    <t>206277</t>
  </si>
  <si>
    <t>Nguyễn Hoàng Việt</t>
  </si>
  <si>
    <t>444115</t>
  </si>
  <si>
    <t>Nguyễn Sơn Tùng</t>
  </si>
  <si>
    <t>074176</t>
  </si>
  <si>
    <t>Nguyễn Đình Thắng</t>
  </si>
  <si>
    <t>211682</t>
  </si>
  <si>
    <t>Phạm Lê Minh</t>
  </si>
  <si>
    <t>461477</t>
  </si>
  <si>
    <t>Trần Phạm Đình Khuê</t>
  </si>
  <si>
    <t>Phòng Thương hiệu và truyền thông - 9069760</t>
  </si>
  <si>
    <t>011238</t>
  </si>
  <si>
    <t>Lê Thúy Mai</t>
  </si>
  <si>
    <t>458811</t>
  </si>
  <si>
    <t>270953</t>
  </si>
  <si>
    <t>Nguyễn Thị Thu Hương</t>
  </si>
  <si>
    <t>251384</t>
  </si>
  <si>
    <t>Nguyễn Thị Trâm Anh</t>
  </si>
  <si>
    <t>456439</t>
  </si>
  <si>
    <t>Nguyễn Tùng Văn</t>
  </si>
  <si>
    <t>050099</t>
  </si>
  <si>
    <t>Vũ Thị Thu Hiền</t>
  </si>
  <si>
    <t>291030</t>
  </si>
  <si>
    <t>Vũ Trà My</t>
  </si>
  <si>
    <t>217316</t>
  </si>
  <si>
    <t>Đào Thu Thảo</t>
  </si>
  <si>
    <t>206026</t>
  </si>
  <si>
    <t>Đỗ Thị Thùy Linh</t>
  </si>
  <si>
    <t>Trung tâm Quản lý chất lượng - TCT CNC - 9013947</t>
  </si>
  <si>
    <t>Ban Giám đốc - 9014031</t>
  </si>
  <si>
    <t>063773</t>
  </si>
  <si>
    <t>Phạm Phương Chi</t>
  </si>
  <si>
    <t>123453</t>
  </si>
  <si>
    <t>Tạ Hồng Cương</t>
  </si>
  <si>
    <t>Hệ thống Lab dùng chung - 9014039</t>
  </si>
  <si>
    <t>217178</t>
  </si>
  <si>
    <t>Nguyễn Tiến Đạt</t>
  </si>
  <si>
    <t>002127</t>
  </si>
  <si>
    <t>Đỗ Thu Hằng</t>
  </si>
  <si>
    <t>Phòng Quản lý tiêu chuẩn và quy trình - 9014033</t>
  </si>
  <si>
    <t>200121</t>
  </si>
  <si>
    <t>186937</t>
  </si>
  <si>
    <t>220449</t>
  </si>
  <si>
    <t>084439</t>
  </si>
  <si>
    <t>Phạm Hoài Nam</t>
  </si>
  <si>
    <t>207340</t>
  </si>
  <si>
    <t>Trần Tiến Nam</t>
  </si>
  <si>
    <t>Phòng Đảm bảo chất lượng - 9014036</t>
  </si>
  <si>
    <t>176180</t>
  </si>
  <si>
    <t>Lê Xuân Tùng</t>
  </si>
  <si>
    <t>250392</t>
  </si>
  <si>
    <t>Nguyễn Duy Quang</t>
  </si>
  <si>
    <t>123159</t>
  </si>
  <si>
    <t>Nguyễn Vũ Huấn</t>
  </si>
  <si>
    <t>015413</t>
  </si>
  <si>
    <t>Tạ Diệu Thúy</t>
  </si>
  <si>
    <t>Thời gian thực hiện</t>
  </si>
  <si>
    <t>01 lần khi bắt đầu Mở đề tài dự án hoặc điều chỉnh đề tài dự án</t>
  </si>
  <si>
    <t>Định kỳ hàng tháng</t>
  </si>
  <si>
    <t>Update thường xuyên khi có thay đổi kiện toàn mô hình/điều chỉnh mức lương</t>
  </si>
  <si>
    <t>Mã nhân viên</t>
  </si>
  <si>
    <t>Họ và tên</t>
  </si>
  <si>
    <t>Bảng lương MT</t>
  </si>
  <si>
    <t>Vùng lương MT</t>
  </si>
  <si>
    <t>Bậc lương MT</t>
  </si>
  <si>
    <t>Bước lương MT</t>
  </si>
  <si>
    <t>Lương/ thưởng/ phụ cấp (Tên)</t>
  </si>
  <si>
    <t>Tiền lương</t>
  </si>
  <si>
    <t>Mốc tính nâng LMT</t>
  </si>
  <si>
    <t>Ngày hiệu lực LMT</t>
  </si>
  <si>
    <t>Phần trăm hưởng lương</t>
  </si>
  <si>
    <t>Tên chức danh</t>
  </si>
  <si>
    <t>Đối tượng</t>
  </si>
  <si>
    <t>Diện đối tượng</t>
  </si>
  <si>
    <t>Loại hợp đồng/ Cấp bậc quân hàm</t>
  </si>
  <si>
    <t>Diện quản lý</t>
  </si>
  <si>
    <t>Ngày sinh</t>
  </si>
  <si>
    <t>Ngày nhập ngũ</t>
  </si>
  <si>
    <t>Ngày tuyển dụng/ tuyển dụng lại</t>
  </si>
  <si>
    <t>Đơn vị cấp 1 (F)</t>
  </si>
  <si>
    <t>Đơn vị cấp 2 (F)</t>
  </si>
  <si>
    <t>Đơn vị cấp 3 (F)</t>
  </si>
  <si>
    <t>Đơn vị cấp 4 (F)</t>
  </si>
  <si>
    <t>Đơn vị cấp 5 (F)</t>
  </si>
  <si>
    <t>Số tháng tính thâm niên phép</t>
  </si>
  <si>
    <t>Trạng thái nhân viên</t>
  </si>
  <si>
    <t>Mã chức danh (Mã chức danh)</t>
  </si>
  <si>
    <t>Bước lương LMT (ID)</t>
  </si>
  <si>
    <t>873 - Bảng lương tiêu chuẩn theo bậc Hay</t>
  </si>
  <si>
    <t>V1</t>
  </si>
  <si>
    <t>(HRL11 - Vùng 1)</t>
  </si>
  <si>
    <t>Lương thoả thuận</t>
  </si>
  <si>
    <t>Negotiate Salary</t>
  </si>
  <si>
    <t>Kỹ sư Trí tuệ Nhân tạo</t>
  </si>
  <si>
    <t>Hợp đồng lao động</t>
  </si>
  <si>
    <t>Hợp đồng lao động xác định thời hạn</t>
  </si>
  <si>
    <t>Quân lực quản lý</t>
  </si>
  <si>
    <t>Tập đoàn Công nghiệp - Viễn thông Quân đội - 148842</t>
  </si>
  <si>
    <t>Công ty mẹ - Tập đoàn Công nghiệp - Viễn thông Quân đội - 9001803</t>
  </si>
  <si>
    <t>Tổng công ty Công nghiệp Công nghệ cao Viettel - 9013878</t>
  </si>
  <si>
    <t>Đang làm việc</t>
  </si>
  <si>
    <t>608874</t>
  </si>
  <si>
    <t>VNM/10001/35262/35294/40009</t>
  </si>
  <si>
    <t>BM.03.01</t>
  </si>
  <si>
    <t>ĐƠN VỊ TRỰC THUỘC TẬP ĐOÀN</t>
  </si>
  <si>
    <t>CỘNG HÒA XÃ HỘI CHỦ NGHĨA VIỆT NAM</t>
  </si>
  <si>
    <t>TRUNG TÂM</t>
  </si>
  <si>
    <t>Độc lập - Tự do - Hạnh phúc</t>
  </si>
  <si>
    <t>BẢNG CHẤM CÔNG THEO NỘI DUNG CÔNG VIỆC THÁNG …/20..</t>
  </si>
  <si>
    <r>
      <t xml:space="preserve">Tên nhiệm vụ KHCN: </t>
    </r>
    <r>
      <rPr>
        <i/>
        <sz val="11"/>
        <color theme="1"/>
        <rFont val="Times New Roman"/>
        <family val="1"/>
      </rPr>
      <t>………</t>
    </r>
  </si>
  <si>
    <r>
      <t xml:space="preserve">Mã số: </t>
    </r>
    <r>
      <rPr>
        <i/>
        <sz val="11"/>
        <color theme="1"/>
        <rFont val="Times New Roman"/>
        <family val="1"/>
      </rPr>
      <t>…………</t>
    </r>
  </si>
  <si>
    <t>Nội dung</t>
  </si>
  <si>
    <t>Nhân sự tham gia</t>
  </si>
  <si>
    <t xml:space="preserve">Tháng ... /20...
Công chế độ: … </t>
  </si>
  <si>
    <t>Ghi chú</t>
  </si>
  <si>
    <t>Tổng thời gian thực hiện trong tháng</t>
  </si>
  <si>
    <t>T7</t>
  </si>
  <si>
    <t>CN</t>
  </si>
  <si>
    <t>Số ngày</t>
  </si>
  <si>
    <t>Số man-month</t>
  </si>
  <si>
    <t>I - Nhân sự quản lý đề tài</t>
  </si>
  <si>
    <t>Chủ nhiệm đề tài</t>
  </si>
  <si>
    <t>123456</t>
  </si>
  <si>
    <t>Nguyễn Văn A</t>
  </si>
  <si>
    <t>Thư ký đề tài</t>
  </si>
  <si>
    <t>241253</t>
  </si>
  <si>
    <t>Nguyễn Văn B</t>
  </si>
  <si>
    <t>II - Nhân sự nghiên cứu trực tiếp</t>
  </si>
  <si>
    <t>Thiết kế, chế tạo động cơ</t>
  </si>
  <si>
    <t>(công việc chi tiết)</t>
  </si>
  <si>
    <t>123333</t>
  </si>
  <si>
    <t>Nguyễn Minh Hùng</t>
  </si>
  <si>
    <t>0,5</t>
  </si>
  <si>
    <t>Chế tạo thân vỏ</t>
  </si>
  <si>
    <t>234522</t>
  </si>
  <si>
    <t>Hà Thị Hải</t>
  </si>
  <si>
    <t>VD: nhân sự bổ sung</t>
  </si>
  <si>
    <t>TỔNG CỘNG</t>
  </si>
  <si>
    <t>NGƯỜI LẬP BIỂU</t>
  </si>
  <si>
    <t>CHỦ NHIỆM NHIỆM VỤ</t>
  </si>
  <si>
    <r>
      <t xml:space="preserve">Tên nhiệm vụ: </t>
    </r>
    <r>
      <rPr>
        <i/>
        <sz val="11"/>
        <color theme="1"/>
        <rFont val="Times New Roman"/>
        <family val="1"/>
      </rPr>
      <t>………</t>
    </r>
  </si>
  <si>
    <t>BM.06</t>
  </si>
  <si>
    <t>TẬP ĐOÀN CÔNG NGHIỆP -  VIỄN THÔNG QUÂN ĐỘI</t>
  </si>
  <si>
    <t xml:space="preserve">      ĐƠN VỊ TRỰC THUỘC TẬP ĐOÀN</t>
  </si>
  <si>
    <t>Hà Nội, ngày    tháng    năm 20..</t>
  </si>
  <si>
    <t>MÃ NV</t>
  </si>
  <si>
    <t>Chức danh</t>
  </si>
  <si>
    <t>Nội dung công việc tham gia nhiệm vụ KHCN</t>
  </si>
  <si>
    <t>Thời gian tham gia</t>
  </si>
  <si>
    <t>123204</t>
  </si>
  <si>
    <t>Nguyễn Văn X1</t>
  </si>
  <si>
    <t>Phó giám đốc</t>
  </si>
  <si>
    <t>Thiết kế phần cứng</t>
  </si>
  <si>
    <t>từ ngày … đến khi kết thúc đề tài</t>
  </si>
  <si>
    <t>130448</t>
  </si>
  <si>
    <t>Nguyễn Văn X2</t>
  </si>
  <si>
    <t>Phát triển phầm mềm</t>
  </si>
  <si>
    <t>từ ngày … đến ngày …</t>
  </si>
  <si>
    <t>Nguyễn Văn X3</t>
  </si>
  <si>
    <t>Trưởng phòng</t>
  </si>
  <si>
    <t>135755</t>
  </si>
  <si>
    <t>Nguyễn Văn X4</t>
  </si>
  <si>
    <t>Kỹ sư</t>
  </si>
  <si>
    <t>Thiết kế cơ khí</t>
  </si>
  <si>
    <t>Thay thế cho đồng chí A đã nghỉ việc</t>
  </si>
  <si>
    <t>135756</t>
  </si>
  <si>
    <t>Nguyễn Văn X5</t>
  </si>
  <si>
    <t>Kỹ sư chính</t>
  </si>
  <si>
    <t>Nhân sự tuyển mới theo thuyết minh đề tài</t>
  </si>
  <si>
    <t>135757</t>
  </si>
  <si>
    <t>Nguyễn Văn X6</t>
  </si>
  <si>
    <t>PHÒNG TỔ CHỨC LAO ĐỘNG</t>
  </si>
  <si>
    <t>THỦ TRƯỞNG ĐƠN VỊ</t>
  </si>
  <si>
    <t>Sheet 2.  DS Nhân sự</t>
  </si>
  <si>
    <t>Sheet 3. Lương mục tiêu</t>
  </si>
  <si>
    <t>I</t>
  </si>
  <si>
    <t>II</t>
  </si>
  <si>
    <t>Cập nhật bảng lương mục tiêu</t>
  </si>
  <si>
    <t>Người thao tác</t>
  </si>
  <si>
    <t xml:space="preserve">PM, PA </t>
  </si>
  <si>
    <t>HR/PA</t>
  </si>
  <si>
    <t>Yêu cầu kết quả</t>
  </si>
  <si>
    <t>Sheet 1.Nhập đề tài + upload bản ký đề tài dự án đc phê duyệt</t>
  </si>
  <si>
    <t>PA</t>
  </si>
  <si>
    <t>HR</t>
  </si>
  <si>
    <t>Lập danh sách nhân sự tham gia đề tài dự án và giao nhiệm vụ</t>
  </si>
  <si>
    <t>Upload bảng chấm công tháng (n-1)</t>
  </si>
  <si>
    <t>Upload bảng lương tháng (n-1)</t>
  </si>
  <si>
    <t>Chấm công tháng (n-1)</t>
  </si>
  <si>
    <t>Người dùng có thể xuất báo cáo thông tin đề tài dự án, tính được chi phí nhân công dự kiến theo dữ liệu nhân sự tham gia và mức lương thực tế, lũy kế CPNC và thời gian tham gia đến hiện tại.</t>
  </si>
  <si>
    <t>Stt</t>
  </si>
  <si>
    <t>Thông tin công</t>
  </si>
  <si>
    <t>Lương tháng</t>
  </si>
  <si>
    <t>Lương tháng (trừ BH cá nhân)</t>
  </si>
  <si>
    <t>Truy thu/truy lĩnh (lương tháng lần 2)</t>
  </si>
  <si>
    <t>Lương SXKD (nếu có)</t>
  </si>
  <si>
    <t>Lương thử việc, tập nghề</t>
  </si>
  <si>
    <t>Lương kinh doanh thử việc, tập nghề</t>
  </si>
  <si>
    <t>Bảo hiểm, KPCĐ</t>
  </si>
  <si>
    <t>Các khoản ăn ca, điện thoại, chi phí, phụ cấp</t>
  </si>
  <si>
    <t>CỘNG</t>
  </si>
  <si>
    <t>BHXH</t>
  </si>
  <si>
    <t>BHYT</t>
  </si>
  <si>
    <t>BHTN</t>
  </si>
  <si>
    <t>KPCĐ</t>
  </si>
  <si>
    <t>Công tiêu chuẩn</t>
  </si>
  <si>
    <t>Cá nhân</t>
  </si>
  <si>
    <t>Đơn vị</t>
  </si>
  <si>
    <t>Tổng</t>
  </si>
  <si>
    <t>VCQP</t>
  </si>
  <si>
    <t>HDDH</t>
  </si>
  <si>
    <t>MNV</t>
  </si>
  <si>
    <t>Tên đề tài</t>
  </si>
  <si>
    <t>Mã đề tài/dự án</t>
  </si>
  <si>
    <t>Mã sản phẩm</t>
  </si>
  <si>
    <t>Phân nguồn (KHCN, QL, Bán hàng, Bảo hành, SXKD)</t>
  </si>
  <si>
    <t>Khối</t>
  </si>
  <si>
    <t>Công phân bổ</t>
  </si>
  <si>
    <t>Mã (ghép MNV và ngày công)</t>
  </si>
  <si>
    <t>Số lần xuấn hiện mã</t>
  </si>
  <si>
    <t>Số lần xuất hiện mã đến dòng hiện tại</t>
  </si>
  <si>
    <t>CHI PHÍ NHÂN CÔNG THÁNG (làm căn cứ phân bổ)</t>
  </si>
  <si>
    <t>CHI PHÍ NHÂN CÔNG PHÂN BỔ</t>
  </si>
  <si>
    <t>Các khoản ăn ca, điện thoại, chi phí phụ cấp</t>
  </si>
  <si>
    <t>PAKD Cung cấp hệ thống giám sát hành trình xe vTracking 2.0</t>
  </si>
  <si>
    <t>PO-92127-03-02-01</t>
  </si>
  <si>
    <t>IOT</t>
  </si>
  <si>
    <t>LẤY THÔNG TIN THEO BẢNG LƯƠNG THÁNG</t>
  </si>
  <si>
    <t>TÍNH CHI PHÍ NHÂN CÔNG CĂN CỨ NGÀY CÔNG PHÂN BỔ VÀ LƯƠNG THÁNG</t>
  </si>
  <si>
    <t>CÔNG PHÂN BỔ THEO BẢNG CHẤM CÔNG THÁNG TỪNG ĐT DA</t>
  </si>
  <si>
    <t xml:space="preserve">CÔNG TÍNH LƯƠNG THEO BẢNG TỔNG CÔNG THÁNG </t>
  </si>
  <si>
    <t xml:space="preserve">TỔNG CÔNG PHÂN BỔ CỦA 1 NGƯỜI = SỐ CÔNG TÍNH LƯƠNG </t>
  </si>
  <si>
    <t>Trợ lý đề tài/dự án</t>
  </si>
  <si>
    <t>PM</t>
  </si>
  <si>
    <t>GĐTT</t>
  </si>
  <si>
    <t>Giám đốc Trung tâm</t>
  </si>
  <si>
    <t>CPNC</t>
  </si>
  <si>
    <t>Chi phí nhân công</t>
  </si>
  <si>
    <t>Danh sách nhân sự sau khi hoàn thành lập mới/điều chỉnh có nút trình ký xác nhận qua Voffice.</t>
  </si>
  <si>
    <t>DANH SÁCH NHÂN SỰ (BỔ SUNG) THAM GIA NHIỆM VỤ KHCN</t>
  </si>
  <si>
    <t>BẢNG TÍNH CHI PHÍ NHÂN CÔNG THÁNG 10/2024</t>
  </si>
  <si>
    <t>Kỳ lương: 10/2024 - Kỳ trả: 11/2024</t>
  </si>
  <si>
    <t>Danh mục</t>
  </si>
  <si>
    <t>Mã Đề tài/Dự án/SP</t>
  </si>
  <si>
    <t>Phân loại</t>
  </si>
  <si>
    <t>Tiền lương tháng</t>
  </si>
  <si>
    <t>Tiền lương tháng trừ bảo hiểm cá nhân</t>
  </si>
  <si>
    <t>Tiền lương SXKD</t>
  </si>
  <si>
    <t>Tiền lương kinh doanh thử việc, tập nghề</t>
  </si>
  <si>
    <t>Bảo hiểm, kinh phí công đoàn</t>
  </si>
  <si>
    <t>Tổng cộng</t>
  </si>
  <si>
    <t>Chế tạo 28 đài radar cảnh giới biển tầm trung VRS-CSX</t>
  </si>
  <si>
    <t>Tổng phân bổ</t>
  </si>
  <si>
    <t>Trực tiếp tại đơn vị</t>
  </si>
  <si>
    <t>KCQ phân bổ</t>
  </si>
  <si>
    <t>Cung cấp 04 hệ thống Sa bàn hỗ trợ công tác chỉ huy tham mưu, tác chiến cho Cục Nhà trường/Bộ Tổng tham mưu</t>
  </si>
  <si>
    <t>Cung cấp 500 bộ Kính ngắm ảnh nhiệt VEE-W01 cho Bộ Quốc phòng</t>
  </si>
  <si>
    <t>Nguồn SXKD/Bán hàng/Bảo hành/Quản lý/KHCN</t>
  </si>
  <si>
    <r>
      <t xml:space="preserve">Phân loại:
</t>
    </r>
    <r>
      <rPr>
        <b/>
        <sz val="22"/>
        <color rgb="FFFF0000"/>
        <rFont val="Calibri"/>
        <family val="2"/>
        <scheme val="minor"/>
      </rPr>
      <t>Trực tiếp tại đơn vị</t>
    </r>
    <r>
      <rPr>
        <b/>
        <sz val="22"/>
        <color theme="1"/>
        <rFont val="Calibri"/>
        <family val="2"/>
        <scheme val="minor"/>
      </rPr>
      <t xml:space="preserve">: Căn cứ số liệu tại sheet PHÂN BỔ CP NHÂN CÔNG, theo từng đề tài dự án
</t>
    </r>
    <r>
      <rPr>
        <b/>
        <sz val="22"/>
        <color rgb="FFFF0000"/>
        <rFont val="Calibri"/>
        <family val="2"/>
        <scheme val="minor"/>
      </rPr>
      <t>KCQ Phân bổ</t>
    </r>
    <r>
      <rPr>
        <b/>
        <sz val="22"/>
        <color theme="1"/>
        <rFont val="Calibri"/>
        <family val="2"/>
        <scheme val="minor"/>
      </rPr>
      <t>: = 5% Số trực tiếp tại đơn vị</t>
    </r>
  </si>
  <si>
    <t>20628021</t>
  </si>
  <si>
    <t>19617421</t>
  </si>
  <si>
    <t>22673221</t>
  </si>
  <si>
    <t>Tổng hợp CPNC</t>
  </si>
  <si>
    <t>BM.04.01</t>
  </si>
  <si>
    <t>BẢNG CHI TIẾT PHÂN BỔ CHI PHÍ NHÂN CÔNG NỘI BỘ - Tháng .../2024</t>
  </si>
  <si>
    <r>
      <t xml:space="preserve">Tên nhiệm vụ KHCN: </t>
    </r>
    <r>
      <rPr>
        <i/>
        <sz val="13"/>
        <color theme="1"/>
        <rFont val="Times New Roman"/>
        <family val="1"/>
      </rPr>
      <t>………</t>
    </r>
  </si>
  <si>
    <r>
      <t xml:space="preserve">Mã số: </t>
    </r>
    <r>
      <rPr>
        <i/>
        <sz val="13"/>
        <color theme="1"/>
        <rFont val="Times New Roman"/>
        <family val="1"/>
      </rPr>
      <t>…………</t>
    </r>
  </si>
  <si>
    <t>Giá trị dự toán phê duyệt</t>
  </si>
  <si>
    <t>Số tháng dự toán phê duyệt</t>
  </si>
  <si>
    <t>CĂN CỨ PHÂN BỔ</t>
  </si>
  <si>
    <t>SỐ PHÂN BỔ</t>
  </si>
  <si>
    <t>Tổng thời gian tham gia trong tháng (man-month)</t>
  </si>
  <si>
    <t>Lũy kế chi phí nhân công đến hết tháng hiện tại</t>
  </si>
  <si>
    <t>Lũy kế thời gian nhân công thực hiện đến hết tháng hiện tại</t>
  </si>
  <si>
    <t>Lương 6 tháng</t>
  </si>
  <si>
    <t>Lương năm</t>
  </si>
  <si>
    <t>Phụ cấp lương</t>
  </si>
  <si>
    <t>Các khoản trích theo lương</t>
  </si>
  <si>
    <t>Các khoản hỗ trợ (ăn ca, điện thoại..)</t>
  </si>
  <si>
    <t>Thời gian tham gia trong tháng</t>
  </si>
  <si>
    <t>TỔNG</t>
  </si>
  <si>
    <t>Công chế độ</t>
  </si>
  <si>
    <t>Báo cáo tình hình thực hiện nhân công dự toán nhiệm vụ:</t>
  </si>
  <si>
    <t xml:space="preserve"> Tổng chi phí nhân công theo dự toán: </t>
  </si>
  <si>
    <t xml:space="preserve"> Chi phí nhân công đã phân bổ lũy kế đến tháng hiện tại ...: </t>
  </si>
  <si>
    <t>C</t>
  </si>
  <si>
    <t xml:space="preserve"> Chi phí nhân công phân bổ tháng …: </t>
  </si>
  <si>
    <t>D</t>
  </si>
  <si>
    <t xml:space="preserve"> Chi phí nhân công đã phân bổ lũy kế đến hết tháng hiện tại: </t>
  </si>
  <si>
    <t>E</t>
  </si>
  <si>
    <t xml:space="preserve"> Chi phí nhân công còn được phân bổ (Tính hết ...): </t>
  </si>
  <si>
    <r>
      <rPr>
        <i/>
        <u/>
        <sz val="12"/>
        <color theme="1"/>
        <rFont val="Times New Roman"/>
        <family val="1"/>
      </rPr>
      <t>Lưu ý</t>
    </r>
    <r>
      <rPr>
        <i/>
        <sz val="12"/>
        <color theme="1"/>
        <rFont val="Times New Roman"/>
        <family val="1"/>
      </rPr>
      <t>:</t>
    </r>
    <r>
      <rPr>
        <sz val="12"/>
        <color theme="1"/>
        <rFont val="Times New Roman"/>
        <family val="1"/>
      </rPr>
      <t xml:space="preserve"> </t>
    </r>
    <r>
      <rPr>
        <i/>
        <sz val="12"/>
        <color theme="1"/>
        <rFont val="Times New Roman"/>
        <family val="1"/>
      </rPr>
      <t>Khi tổng chi phí nhân công có khả năng/đã vượt dự toán, cơ quan Tổ chức lao động có trách nhiệm thông báo chủ nhiệm đề tài/dự án báo cáo xin bổ sung kinh phí</t>
    </r>
  </si>
  <si>
    <t>BM.03.02</t>
  </si>
  <si>
    <t>BẢNG TỔNG HỢP CHẤM CÔNG THEO NHIỆM VỤ KHOA HỌC CÔNG NGHỆ THÁNG …/20..</t>
  </si>
  <si>
    <t>CÁC NHIỆM VỤ KHOA HỌC CÔNG NGHỆ</t>
  </si>
  <si>
    <t>Tên nhiệm vụ KHCN số 1: ………</t>
  </si>
  <si>
    <t>Tên nhiệm vụ KHCN số 2: ………</t>
  </si>
  <si>
    <t>…</t>
  </si>
  <si>
    <t>Mã số: …</t>
  </si>
  <si>
    <t>Chênh lệch</t>
  </si>
  <si>
    <t>BM.04.02</t>
  </si>
  <si>
    <t>BẢNG TỔNG HỢP PHÂN BỔ CHI PHÍ NHÂN CÔNG NỘI BỘ - LƯƠNG THÁNG/6 THÁNG/NĂM ... NĂM 20…</t>
  </si>
  <si>
    <t>Tên nhiệm vụ KHCN</t>
  </si>
  <si>
    <t>Mã số</t>
  </si>
  <si>
    <t>Dự toán phê duyệt</t>
  </si>
  <si>
    <t>Lũy kế chi phí nhân công</t>
  </si>
  <si>
    <t>Tổng chi phí nhân công theo bảng lương</t>
  </si>
  <si>
    <t>Phân bổ chi phí nhân công nội bộ nhiệm vụ KHCN</t>
  </si>
  <si>
    <t>Tên nhiệm vụ KHCN số 1</t>
  </si>
  <si>
    <t>Tên nhiệm vụ KHCN số 2</t>
  </si>
  <si>
    <t>PHÒNG TÀI CHÍNH KẾ TOÁN</t>
  </si>
  <si>
    <t>Lập đề tài dự án</t>
  </si>
  <si>
    <t>Sheet 4. Công tính lương</t>
  </si>
  <si>
    <t>Sheet 5. Bảng lương tháng</t>
  </si>
  <si>
    <t>Gán tên/email/MNV nhân sự vào tên đề tài dự án theo các trường thông tin tại 
Sheet 6. BM3.1-Công phân bổ</t>
  </si>
  <si>
    <t>Sheet 7.Phân bổ nhân công</t>
  </si>
  <si>
    <t>III</t>
  </si>
  <si>
    <t>Đóng đề tài dự án</t>
  </si>
  <si>
    <t>BM.05</t>
  </si>
  <si>
    <t>BẢNG TỔNG HỢP CHI PHÍ NHÂN CÔNG THEO NỘI DUNG CÔNG VIỆC</t>
  </si>
  <si>
    <t>Thông tin Dự toán</t>
  </si>
  <si>
    <t>CHI PHÍ NHÂN CÔNG THỰC TẾ ĐÃ PHÂN BỔ</t>
  </si>
  <si>
    <t>Man-month</t>
  </si>
  <si>
    <t>Kinh phí</t>
  </si>
  <si>
    <t>Thời gian tham gia Man-month</t>
  </si>
  <si>
    <t>Các khoản trích theo lương</t>
  </si>
  <si>
    <r>
      <t>Các khoản hỗ trợ</t>
    </r>
    <r>
      <rPr>
        <b/>
        <i/>
        <sz val="10"/>
        <color theme="0"/>
        <rFont val="Times New Roman"/>
        <family val="1"/>
      </rPr>
      <t xml:space="preserve"> (ăn ca, điện thoại..)</t>
    </r>
  </si>
  <si>
    <t>Nội dung công việc 1</t>
  </si>
  <si>
    <t>000001</t>
  </si>
  <si>
    <t>Nguyễn Văn X</t>
  </si>
  <si>
    <t>Nội dung công việc 2</t>
  </si>
  <si>
    <t>000002</t>
  </si>
  <si>
    <t>Nguyễn Văn Y</t>
  </si>
  <si>
    <t>000003</t>
  </si>
  <si>
    <t>Nguyễn Văn Z</t>
  </si>
  <si>
    <t>Dự toán chi phí nhân công được phê duyệt:</t>
  </si>
  <si>
    <t>Chi phí nhân công đã phân bổ:</t>
  </si>
  <si>
    <t>Chênh lệch:</t>
  </si>
  <si>
    <t>Lập bảng tông hợp chi phí nhân công theo biểu mẫu</t>
  </si>
  <si>
    <t>Câu hỏi</t>
  </si>
  <si>
    <t>Câu trả lời</t>
  </si>
  <si>
    <r>
      <t xml:space="preserve">Phần giao nhiệm vụ ở đây cụ thể các bước giao, quản lý nhiệm vụ như thế nào?
</t>
    </r>
    <r>
      <rPr>
        <i/>
        <sz val="11"/>
        <color rgb="FFFF0000"/>
        <rFont val="Times New Roman"/>
        <family val="1"/>
      </rPr>
      <t xml:space="preserve"> - Đề tài có 1 checklist công việc =&gt; Gán mỗi việc cho 1 nhân công hay như thế nào
 - Có quản lý tiến độ, kết quả của công việc không?
 - Thay đổi nhân sự =&gt; Điều chỉnh task?</t>
    </r>
  </si>
  <si>
    <r>
      <t xml:space="preserve">1. Trước và sau khi chấm công PA có thể kiểm tra tổng số CPNC đã sử dụng, chưa sử dụng, còn được sử dụng là bao nhiêu. 
Nếu nhân sự đã bị chấm công trùng ở nhiệm vụ khác thì có cảnh báo.
2. Xuất ra báo cáo theo mẫu tại </t>
    </r>
    <r>
      <rPr>
        <i/>
        <sz val="11"/>
        <color theme="1"/>
        <rFont val="Times New Roman"/>
        <family val="1"/>
      </rPr>
      <t>Sheet 11.BTH CPNC</t>
    </r>
    <r>
      <rPr>
        <sz val="11"/>
        <color theme="1"/>
        <rFont val="Times New Roman"/>
        <family val="1"/>
      </rPr>
      <t xml:space="preserve">, tính theo công thức tại </t>
    </r>
    <r>
      <rPr>
        <i/>
        <sz val="11"/>
        <color theme="1"/>
        <rFont val="Times New Roman"/>
        <family val="1"/>
      </rPr>
      <t xml:space="preserve">Sheet 7.Phân bổ nhân công </t>
    </r>
    <r>
      <rPr>
        <sz val="11"/>
        <color theme="1"/>
        <rFont val="Times New Roman"/>
        <family val="1"/>
      </rPr>
      <t>=&gt; Yêu cầu kế toán dự án xác nhận số liệu
3. Sau khi hoàn thành chấm công, PA có thể ấn nút trình ký VOffice theo BM tại Sheet 6-3.1 CÔNG PHÂN BỔ và Sheet 2. DS NHÂN SỰ (Nếu có nhân sự bổ sung) PA của đơn vị sản phẩm bấm trình ký cho toàn bộ các Trung tâm tham gia trong Dự án để PM và GĐ TT Sản phẩm nhận số liệu và chốt đồng ý bằng bút ký Voffice.</t>
    </r>
  </si>
  <si>
    <r>
      <t>Trình ký Voffice các Biểu mẫu tại</t>
    </r>
    <r>
      <rPr>
        <i/>
        <sz val="11"/>
        <color theme="1"/>
        <rFont val="Times New Roman"/>
        <family val="1"/>
      </rPr>
      <t xml:space="preserve"> Sheet 7.BM3.2 BTH CÔNG, Sheet 9.BM 4.1 HR_PBNC Tháng,Sheet 10.BM 4.2 HR_BTH PBNC </t>
    </r>
  </si>
  <si>
    <r>
      <t xml:space="preserve">Trình ký Voffice sheet </t>
    </r>
    <r>
      <rPr>
        <i/>
        <sz val="11"/>
        <color theme="1"/>
        <rFont val="Times New Roman"/>
        <family val="1"/>
      </rPr>
      <t xml:space="preserve">12.BM05_BTH CPNC </t>
    </r>
    <r>
      <rPr>
        <sz val="11"/>
        <color theme="1"/>
        <rFont val="Times New Roman"/>
        <family val="1"/>
      </rPr>
      <t>theo nội dung CV</t>
    </r>
  </si>
  <si>
    <t>Thông tin ở đây có cần quản lý quá trình lương, thâm niên, các danh mục diện đối tượng, diện hợp đồng... không hay thông tin người dùng upload thuần tuý</t>
  </si>
  <si>
    <t>Sheet 8.PhanBoCPNC dùng để làm gì? Tổng hợp từ dữ liệu nào hay import?</t>
  </si>
  <si>
    <t>Chấm công được thực hiện trên công cụ/ phần mềm khác, ở đây đơn thuần là upload, không quan tâm đến ký hiệu công, giải trình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</si>
</sst>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mm/yyyy"/>
    <numFmt numFmtId="166" formatCode="##"/>
    <numFmt numFmtId="167" formatCode="########"/>
    <numFmt numFmtId="168" formatCode="dd/mm/yyyy;@"/>
    <numFmt numFmtId="169" formatCode="###"/>
    <numFmt numFmtId="170" formatCode="#"/>
    <numFmt numFmtId="171" formatCode="_(* #,##0.0_);_(* \(#,##0.0\);_(* &quot;-&quot;??_);_(@_)"/>
    <numFmt numFmtId="172" formatCode="[$-1010000]d/m/yyyy;@"/>
  </numFmts>
  <fonts count="6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color theme="1"/>
      <name val="Arial"/>
      <family val="2"/>
    </font>
    <font>
      <sz val="10"/>
      <color rgb="FF000000"/>
      <name val="Times New Roman"/>
      <family val="2"/>
    </font>
    <font>
      <b/>
      <sz val="10"/>
      <color rgb="FF000000"/>
      <name val="Times New Roman"/>
      <family val="2"/>
    </font>
    <font>
      <b/>
      <sz val="8"/>
      <color rgb="FF000000"/>
      <name val="Verdana"/>
      <family val="2"/>
    </font>
    <font>
      <sz val="8"/>
      <color rgb="FF000000"/>
      <name val="Verdana"/>
      <family val="2"/>
    </font>
    <font>
      <b/>
      <sz val="10"/>
      <color rgb="FF000000"/>
      <name val="Times New Roman"/>
      <family val="1"/>
    </font>
    <font>
      <b/>
      <sz val="10"/>
      <color theme="1"/>
      <name val="Arial"/>
      <family val="2"/>
    </font>
    <font>
      <sz val="11"/>
      <color theme="1"/>
      <name val="Times New Roman"/>
      <family val="1"/>
    </font>
    <font>
      <b/>
      <sz val="11"/>
      <color theme="1"/>
      <name val="Times New Roman"/>
      <family val="1"/>
    </font>
    <font>
      <sz val="13"/>
      <name val="Times New Roman"/>
      <family val="1"/>
    </font>
    <font>
      <b/>
      <sz val="13"/>
      <color theme="1"/>
      <name val="Times New Roman"/>
      <family val="1"/>
    </font>
    <font>
      <b/>
      <sz val="14"/>
      <color theme="1"/>
      <name val="Times New Roman"/>
      <family val="1"/>
    </font>
    <font>
      <b/>
      <i/>
      <sz val="11"/>
      <color theme="1"/>
      <name val="Times New Roman"/>
      <family val="1"/>
    </font>
    <font>
      <i/>
      <sz val="11"/>
      <color theme="1"/>
      <name val="Times New Roman"/>
      <family val="1"/>
    </font>
    <font>
      <b/>
      <i/>
      <sz val="13"/>
      <color theme="1"/>
      <name val="Times New Roman"/>
      <family val="1"/>
    </font>
    <font>
      <b/>
      <sz val="11"/>
      <color theme="0"/>
      <name val="Times New Roman"/>
      <family val="1"/>
    </font>
    <font>
      <b/>
      <sz val="10"/>
      <color theme="1"/>
      <name val="Times New Roman"/>
      <family val="1"/>
    </font>
    <font>
      <sz val="11"/>
      <color indexed="8"/>
      <name val="Times New Roman"/>
      <family val="1"/>
      <charset val="163"/>
    </font>
    <font>
      <sz val="11"/>
      <name val="Times New Roman"/>
      <family val="1"/>
    </font>
    <font>
      <sz val="11"/>
      <color theme="0"/>
      <name val="Times New Roman"/>
      <family val="1"/>
    </font>
    <font>
      <sz val="13"/>
      <color theme="1"/>
      <name val="Times New Roman"/>
      <family val="1"/>
    </font>
    <font>
      <sz val="14"/>
      <name val=".VnTime"/>
      <family val="2"/>
    </font>
    <font>
      <sz val="9"/>
      <name val="Times New Roman"/>
      <family val="1"/>
    </font>
    <font>
      <sz val="9"/>
      <color indexed="81"/>
      <name val="Tahoma"/>
      <family val="2"/>
    </font>
    <font>
      <b/>
      <sz val="13"/>
      <name val="Times New Roman"/>
      <family val="1"/>
    </font>
    <font>
      <i/>
      <sz val="13"/>
      <color theme="1"/>
      <name val="Times New Roman"/>
      <family val="1"/>
    </font>
    <font>
      <sz val="11"/>
      <color indexed="8"/>
      <name val="Times New Roman"/>
      <family val="1"/>
    </font>
    <font>
      <b/>
      <sz val="9"/>
      <color indexed="81"/>
      <name val="Tahoma"/>
      <family val="2"/>
    </font>
    <font>
      <sz val="11"/>
      <color indexed="8"/>
      <name val="Calibri"/>
      <family val="2"/>
    </font>
    <font>
      <b/>
      <sz val="11"/>
      <name val="Times New Roman"/>
      <family val="1"/>
    </font>
    <font>
      <sz val="12"/>
      <color theme="1"/>
      <name val="Times New Roman"/>
      <family val="1"/>
    </font>
    <font>
      <b/>
      <sz val="11"/>
      <color rgb="FFFF0000"/>
      <name val="Times New Roman"/>
      <family val="1"/>
    </font>
    <font>
      <sz val="12"/>
      <name val="Times New Roman"/>
      <family val="1"/>
    </font>
    <font>
      <sz val="11"/>
      <color rgb="FFFF0000"/>
      <name val="Times New Roman"/>
      <family val="1"/>
    </font>
    <font>
      <b/>
      <sz val="14"/>
      <color theme="1"/>
      <name val="Calibri"/>
      <family val="2"/>
      <scheme val="minor"/>
    </font>
    <font>
      <b/>
      <sz val="15"/>
      <name val="Times New Roman"/>
      <family val="1"/>
    </font>
    <font>
      <sz val="15"/>
      <name val="Times New Roman"/>
      <family val="1"/>
    </font>
    <font>
      <b/>
      <i/>
      <sz val="14"/>
      <name val="Times New Roman"/>
      <family val="1"/>
    </font>
    <font>
      <i/>
      <sz val="14"/>
      <name val="Times New Roman"/>
      <family val="1"/>
    </font>
    <font>
      <b/>
      <sz val="11"/>
      <color indexed="8"/>
      <name val="Times New Roman"/>
      <family val="1"/>
    </font>
    <font>
      <b/>
      <sz val="12"/>
      <name val="Times New Roman"/>
      <family val="1"/>
    </font>
    <font>
      <b/>
      <sz val="12"/>
      <color theme="0"/>
      <name val="Times New Roman"/>
      <family val="1"/>
    </font>
    <font>
      <b/>
      <sz val="22"/>
      <color theme="1"/>
      <name val="Calibri"/>
      <family val="2"/>
      <scheme val="minor"/>
    </font>
    <font>
      <b/>
      <sz val="12"/>
      <color rgb="FFFF0000"/>
      <name val="Times New Roman"/>
      <family val="1"/>
    </font>
    <font>
      <sz val="12"/>
      <color rgb="FFFF0000"/>
      <name val="Times New Roman"/>
      <family val="1"/>
    </font>
    <font>
      <b/>
      <sz val="22"/>
      <color rgb="FFFF0000"/>
      <name val="Calibri"/>
      <family val="2"/>
      <scheme val="minor"/>
    </font>
    <font>
      <sz val="11"/>
      <color indexed="64"/>
      <name val="Calibri"/>
      <family val="2"/>
    </font>
    <font>
      <sz val="11"/>
      <color rgb="FF000000"/>
      <name val="Calibri"/>
      <family val="2"/>
      <scheme val="minor"/>
    </font>
    <font>
      <sz val="10"/>
      <name val="Arial"/>
      <family val="2"/>
    </font>
    <font>
      <b/>
      <i/>
      <sz val="15"/>
      <color theme="1"/>
      <name val="Times New Roman"/>
      <family val="1"/>
    </font>
    <font>
      <b/>
      <sz val="13"/>
      <color indexed="8"/>
      <name val="Times New Roman"/>
      <family val="1"/>
    </font>
    <font>
      <sz val="13"/>
      <color indexed="8"/>
      <name val="Times New Roman"/>
      <family val="1"/>
    </font>
    <font>
      <sz val="12"/>
      <color indexed="8"/>
      <name val="Times New Roman"/>
      <family val="1"/>
    </font>
    <font>
      <i/>
      <sz val="12"/>
      <color theme="1"/>
      <name val="Times New Roman"/>
      <family val="1"/>
    </font>
    <font>
      <i/>
      <u/>
      <sz val="12"/>
      <color theme="1"/>
      <name val="Times New Roman"/>
      <family val="1"/>
    </font>
    <font>
      <b/>
      <sz val="15"/>
      <color theme="1"/>
      <name val="Times New Roman"/>
      <family val="1"/>
    </font>
    <font>
      <b/>
      <sz val="16"/>
      <name val="Times New Roman"/>
      <family val="1"/>
    </font>
    <font>
      <b/>
      <sz val="16"/>
      <color theme="1"/>
      <name val="Times New Roman"/>
      <family val="1"/>
    </font>
    <font>
      <b/>
      <i/>
      <sz val="9"/>
      <color theme="0"/>
      <name val="Times New Roman"/>
      <family val="1"/>
    </font>
    <font>
      <b/>
      <i/>
      <sz val="10"/>
      <color theme="0"/>
      <name val="Times New Roman"/>
      <family val="1"/>
    </font>
    <font>
      <b/>
      <sz val="14"/>
      <name val="Times New Roman"/>
      <family val="1"/>
    </font>
    <font>
      <i/>
      <sz val="11"/>
      <color indexed="8"/>
      <name val="Times New Roman"/>
      <family val="1"/>
    </font>
    <font>
      <b/>
      <sz val="10"/>
      <color theme="0"/>
      <name val="Times New Roman"/>
      <family val="1"/>
    </font>
    <font>
      <b/>
      <sz val="12"/>
      <color theme="1"/>
      <name val="Times New Roman"/>
      <family val="1"/>
    </font>
    <font>
      <i/>
      <sz val="11"/>
      <color rgb="FFFF0000"/>
      <name val="Times New Roman"/>
      <family val="1"/>
    </font>
  </fonts>
  <fills count="13">
    <fill>
      <patternFill patternType="none"/>
    </fill>
    <fill>
      <patternFill patternType="gray125"/>
    </fill>
    <fill>
      <patternFill patternType="solid">
        <fgColor theme="9" tint="-0.499984740745262"/>
        <bgColor indexed="64"/>
      </patternFill>
    </fill>
    <fill>
      <patternFill patternType="solid">
        <fgColor rgb="FFFFFFFF"/>
        <bgColor indexed="64"/>
      </patternFill>
    </fill>
    <fill>
      <patternFill patternType="solid">
        <fgColor theme="0"/>
        <bgColor indexed="64"/>
      </patternFill>
    </fill>
    <fill>
      <patternFill patternType="solid">
        <fgColor theme="8" tint="-0.499984740745262"/>
        <bgColor indexed="64"/>
      </patternFill>
    </fill>
    <fill>
      <patternFill patternType="solid">
        <fgColor rgb="FF205967"/>
        <bgColor indexed="64"/>
      </patternFill>
    </fill>
    <fill>
      <patternFill patternType="solid">
        <fgColor rgb="FFFFFF00"/>
        <bgColor indexed="64"/>
      </patternFill>
    </fill>
    <fill>
      <patternFill patternType="solid">
        <fgColor theme="7"/>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8" tint="0.79998168889431442"/>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right/>
      <top style="thin">
        <color auto="1"/>
      </top>
      <bottom/>
      <diagonal/>
    </border>
    <border>
      <left style="thin">
        <color auto="1"/>
      </left>
      <right/>
      <top style="thin">
        <color auto="1"/>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theme="0" tint="-0.34998626667073579"/>
      </left>
      <right style="thin">
        <color theme="0" tint="-0.34998626667073579"/>
      </right>
      <top style="thin">
        <color theme="0" tint="-0.34998626667073579"/>
      </top>
      <bottom style="thin">
        <color theme="0" tint="-0.34998626667073579"/>
      </bottom>
      <diagonal style="thin">
        <color theme="0" tint="-0.34998626667073579"/>
      </diagonal>
    </border>
    <border>
      <left/>
      <right/>
      <top style="thin">
        <color theme="0" tint="-0.34998626667073579"/>
      </top>
      <bottom/>
      <diagonal/>
    </border>
    <border>
      <left style="thin">
        <color theme="0" tint="-0.34998626667073579"/>
      </left>
      <right/>
      <top/>
      <bottom/>
      <diagonal/>
    </border>
  </borders>
  <cellStyleXfs count="25">
    <xf numFmtId="0" fontId="0" fillId="0" borderId="0"/>
    <xf numFmtId="43" fontId="1" fillId="0" borderId="0" applyFont="0" applyFill="0" applyBorder="0" applyAlignment="0" applyProtection="0"/>
    <xf numFmtId="0" fontId="4"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0" fontId="8" fillId="3" borderId="0" applyNumberFormat="0" applyBorder="0" applyProtection="0">
      <alignment horizontal="left"/>
    </xf>
    <xf numFmtId="0" fontId="7" fillId="3" borderId="0" applyNumberFormat="0" applyBorder="0" applyProtection="0">
      <alignment horizontal="left"/>
    </xf>
    <xf numFmtId="0" fontId="6" fillId="3" borderId="1" applyNumberFormat="0" applyProtection="0">
      <alignment horizontal="left"/>
    </xf>
    <xf numFmtId="0" fontId="5" fillId="3" borderId="1" applyNumberFormat="0" applyProtection="0">
      <alignment horizontal="left"/>
    </xf>
    <xf numFmtId="0" fontId="25" fillId="0" borderId="0"/>
    <xf numFmtId="0" fontId="32" fillId="0" borderId="0"/>
    <xf numFmtId="0" fontId="32" fillId="0" borderId="0"/>
    <xf numFmtId="0" fontId="50" fillId="0" borderId="0"/>
    <xf numFmtId="0" fontId="51" fillId="0" borderId="0"/>
    <xf numFmtId="0" fontId="32" fillId="0" borderId="0"/>
    <xf numFmtId="172" fontId="50" fillId="0" borderId="0"/>
    <xf numFmtId="0" fontId="52" fillId="0" borderId="0"/>
    <xf numFmtId="0" fontId="32" fillId="0" borderId="0"/>
    <xf numFmtId="0" fontId="1" fillId="0" borderId="0"/>
    <xf numFmtId="0" fontId="50" fillId="0" borderId="0"/>
    <xf numFmtId="0" fontId="52" fillId="0" borderId="0"/>
    <xf numFmtId="0" fontId="32" fillId="0" borderId="0"/>
  </cellStyleXfs>
  <cellXfs count="347">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164" fontId="2" fillId="2" borderId="1" xfId="1"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xf>
    <xf numFmtId="164" fontId="2" fillId="2" borderId="1" xfId="1" applyNumberFormat="1" applyFont="1" applyFill="1" applyBorder="1" applyAlignment="1">
      <alignment vertical="center" wrapText="1"/>
    </xf>
    <xf numFmtId="0" fontId="3" fillId="0" borderId="0" xfId="0" applyFont="1"/>
    <xf numFmtId="0" fontId="4" fillId="0" borderId="0" xfId="2"/>
    <xf numFmtId="49" fontId="5" fillId="3" borderId="1" xfId="11" applyNumberFormat="1">
      <alignment horizontal="left"/>
    </xf>
    <xf numFmtId="49" fontId="5" fillId="3" borderId="1" xfId="11" applyNumberFormat="1" applyAlignment="1">
      <alignment horizontal="left" wrapText="1"/>
    </xf>
    <xf numFmtId="166" fontId="5" fillId="3" borderId="1" xfId="11" applyNumberFormat="1">
      <alignment horizontal="left"/>
    </xf>
    <xf numFmtId="166" fontId="9" fillId="3" borderId="1" xfId="11" applyNumberFormat="1" applyFont="1" applyAlignment="1">
      <alignment horizontal="center"/>
    </xf>
    <xf numFmtId="1" fontId="9" fillId="3" borderId="1" xfId="11" applyNumberFormat="1" applyFont="1" applyAlignment="1">
      <alignment horizontal="center"/>
    </xf>
    <xf numFmtId="164" fontId="4" fillId="0" borderId="0" xfId="6" applyNumberFormat="1" applyFont="1"/>
    <xf numFmtId="49" fontId="6" fillId="3" borderId="1" xfId="10" applyNumberFormat="1" applyAlignment="1">
      <alignment horizontal="left" vertical="center"/>
    </xf>
    <xf numFmtId="49" fontId="6" fillId="3" borderId="1" xfId="10" applyNumberFormat="1" applyAlignment="1">
      <alignment horizontal="left" vertical="center" wrapText="1"/>
    </xf>
    <xf numFmtId="164" fontId="6" fillId="3" borderId="1" xfId="6" applyNumberFormat="1" applyFont="1" applyFill="1" applyBorder="1" applyAlignment="1">
      <alignment horizontal="left" vertical="center" wrapText="1"/>
    </xf>
    <xf numFmtId="0" fontId="10" fillId="0" borderId="1" xfId="2" applyFont="1" applyBorder="1" applyAlignment="1">
      <alignment vertical="center" wrapText="1"/>
    </xf>
    <xf numFmtId="0" fontId="0" fillId="0" borderId="0" xfId="0" applyAlignment="1">
      <alignment wrapText="1"/>
    </xf>
    <xf numFmtId="49" fontId="6" fillId="3" borderId="1" xfId="10" applyNumberFormat="1" applyAlignment="1">
      <alignment horizontal="left" wrapText="1"/>
    </xf>
    <xf numFmtId="49" fontId="6" fillId="3" borderId="1" xfId="10" applyNumberFormat="1">
      <alignment horizontal="left"/>
    </xf>
    <xf numFmtId="167" fontId="5" fillId="3" borderId="1" xfId="11" applyNumberFormat="1">
      <alignment horizontal="left"/>
    </xf>
    <xf numFmtId="168" fontId="5" fillId="3" borderId="1" xfId="11" applyNumberFormat="1">
      <alignment horizontal="left"/>
    </xf>
    <xf numFmtId="169" fontId="5" fillId="3" borderId="1" xfId="11" applyNumberFormat="1">
      <alignment horizontal="left"/>
    </xf>
    <xf numFmtId="170" fontId="5" fillId="3" borderId="1" xfId="11" applyNumberFormat="1">
      <alignment horizontal="left"/>
    </xf>
    <xf numFmtId="0" fontId="11" fillId="4" borderId="0" xfId="0" applyFont="1" applyFill="1"/>
    <xf numFmtId="0" fontId="11" fillId="4" borderId="0" xfId="0" applyFont="1" applyFill="1" applyAlignment="1">
      <alignment horizontal="center"/>
    </xf>
    <xf numFmtId="0" fontId="12" fillId="4" borderId="0" xfId="0" applyFont="1" applyFill="1" applyAlignment="1">
      <alignment horizontal="center"/>
    </xf>
    <xf numFmtId="0" fontId="14" fillId="4" borderId="0" xfId="0" applyFont="1" applyFill="1" applyAlignment="1">
      <alignment horizontal="center"/>
    </xf>
    <xf numFmtId="0" fontId="14" fillId="4" borderId="0" xfId="0" applyFont="1" applyFill="1" applyAlignment="1">
      <alignment horizontal="center" vertical="center"/>
    </xf>
    <xf numFmtId="0" fontId="14" fillId="4" borderId="0" xfId="0" applyFont="1" applyFill="1"/>
    <xf numFmtId="0" fontId="12" fillId="4" borderId="0" xfId="0" applyFont="1" applyFill="1"/>
    <xf numFmtId="0" fontId="16" fillId="4" borderId="0" xfId="0" applyFont="1" applyFill="1"/>
    <xf numFmtId="0" fontId="16" fillId="4" borderId="0" xfId="0" applyFont="1" applyFill="1" applyAlignment="1">
      <alignment horizontal="center"/>
    </xf>
    <xf numFmtId="0" fontId="18" fillId="4" borderId="0" xfId="0" applyFont="1" applyFill="1"/>
    <xf numFmtId="0" fontId="19" fillId="5" borderId="2" xfId="0" applyFont="1" applyFill="1" applyBorder="1" applyAlignment="1">
      <alignment horizontal="center" vertical="center" wrapText="1"/>
    </xf>
    <xf numFmtId="0" fontId="19" fillId="5" borderId="2" xfId="0" applyFont="1" applyFill="1" applyBorder="1" applyAlignment="1">
      <alignment horizontal="center" vertical="center"/>
    </xf>
    <xf numFmtId="0" fontId="12" fillId="4" borderId="0" xfId="0" applyFont="1" applyFill="1" applyAlignment="1">
      <alignment horizontal="center" vertical="center" wrapText="1"/>
    </xf>
    <xf numFmtId="0" fontId="12" fillId="4" borderId="2" xfId="0" applyFont="1" applyFill="1" applyBorder="1" applyAlignment="1">
      <alignment vertical="center"/>
    </xf>
    <xf numFmtId="0" fontId="12" fillId="4" borderId="2" xfId="0" applyFont="1" applyFill="1" applyBorder="1" applyAlignment="1">
      <alignment horizontal="center" vertical="center"/>
    </xf>
    <xf numFmtId="37" fontId="20" fillId="4" borderId="2" xfId="0" applyNumberFormat="1" applyFont="1" applyFill="1" applyBorder="1" applyAlignment="1">
      <alignment vertical="center" wrapText="1"/>
    </xf>
    <xf numFmtId="164" fontId="12" fillId="4" borderId="2" xfId="1" applyNumberFormat="1" applyFont="1" applyFill="1" applyBorder="1" applyAlignment="1">
      <alignment horizontal="center" vertical="center"/>
    </xf>
    <xf numFmtId="171" fontId="12" fillId="4" borderId="2" xfId="1" applyNumberFormat="1" applyFont="1" applyFill="1" applyBorder="1" applyAlignment="1">
      <alignment horizontal="center" vertical="center"/>
    </xf>
    <xf numFmtId="0" fontId="11" fillId="4" borderId="2" xfId="0" applyFont="1" applyFill="1" applyBorder="1" applyAlignment="1">
      <alignment horizontal="center" vertical="center"/>
    </xf>
    <xf numFmtId="0" fontId="11" fillId="4" borderId="2" xfId="0" applyFont="1" applyFill="1" applyBorder="1" applyAlignment="1">
      <alignment horizontal="left" vertical="center"/>
    </xf>
    <xf numFmtId="0" fontId="11" fillId="4" borderId="2" xfId="0" quotePrefix="1" applyFont="1" applyFill="1" applyBorder="1" applyAlignment="1">
      <alignment horizontal="center" vertical="center"/>
    </xf>
    <xf numFmtId="0" fontId="21" fillId="4" borderId="2" xfId="0" applyFont="1" applyFill="1" applyBorder="1" applyAlignment="1" applyProtection="1">
      <alignment horizontal="center" vertical="center" wrapText="1"/>
      <protection locked="0"/>
    </xf>
    <xf numFmtId="164" fontId="11" fillId="4" borderId="2" xfId="1" applyNumberFormat="1" applyFont="1" applyFill="1" applyBorder="1" applyAlignment="1">
      <alignment horizontal="center" vertical="center"/>
    </xf>
    <xf numFmtId="171" fontId="11" fillId="4" borderId="2" xfId="1" applyNumberFormat="1" applyFont="1" applyFill="1" applyBorder="1" applyAlignment="1">
      <alignment horizontal="right" vertical="center"/>
    </xf>
    <xf numFmtId="0" fontId="22" fillId="4" borderId="2" xfId="0" applyFont="1" applyFill="1" applyBorder="1" applyAlignment="1">
      <alignment horizontal="center" vertical="center" wrapText="1"/>
    </xf>
    <xf numFmtId="0" fontId="11" fillId="4" borderId="0" xfId="0" applyFont="1" applyFill="1" applyAlignment="1">
      <alignment horizontal="center" vertical="center"/>
    </xf>
    <xf numFmtId="0" fontId="11" fillId="4" borderId="2" xfId="0" applyFont="1" applyFill="1" applyBorder="1" applyAlignment="1">
      <alignment vertical="center" wrapText="1"/>
    </xf>
    <xf numFmtId="171" fontId="11" fillId="4" borderId="2" xfId="1" applyNumberFormat="1" applyFont="1" applyFill="1" applyBorder="1" applyAlignment="1">
      <alignment horizontal="center" vertical="center"/>
    </xf>
    <xf numFmtId="0" fontId="11" fillId="4" borderId="2" xfId="0" applyFont="1" applyFill="1" applyBorder="1" applyAlignment="1">
      <alignment vertical="center"/>
    </xf>
    <xf numFmtId="0" fontId="17" fillId="4" borderId="2" xfId="0" applyFont="1" applyFill="1" applyBorder="1" applyAlignment="1">
      <alignment horizontal="center" vertical="center"/>
    </xf>
    <xf numFmtId="0" fontId="17" fillId="4" borderId="2" xfId="0" applyFont="1" applyFill="1" applyBorder="1" applyAlignment="1">
      <alignment vertical="center" wrapText="1"/>
    </xf>
    <xf numFmtId="0" fontId="17" fillId="4" borderId="2" xfId="0" applyFont="1" applyFill="1" applyBorder="1" applyAlignment="1">
      <alignment vertical="center"/>
    </xf>
    <xf numFmtId="0" fontId="17" fillId="4" borderId="0" xfId="0" applyFont="1" applyFill="1"/>
    <xf numFmtId="0" fontId="17" fillId="4" borderId="2" xfId="0" applyFont="1" applyFill="1" applyBorder="1" applyAlignment="1">
      <alignment horizontal="left" vertical="center" wrapText="1"/>
    </xf>
    <xf numFmtId="0" fontId="11" fillId="4" borderId="2" xfId="0" applyFont="1" applyFill="1" applyBorder="1" applyAlignment="1">
      <alignment horizontal="center" vertical="center" wrapText="1"/>
    </xf>
    <xf numFmtId="0" fontId="19" fillId="5" borderId="2" xfId="0" applyFont="1" applyFill="1" applyBorder="1" applyAlignment="1">
      <alignment horizontal="center"/>
    </xf>
    <xf numFmtId="0" fontId="23" fillId="5" borderId="2" xfId="0" applyFont="1" applyFill="1" applyBorder="1"/>
    <xf numFmtId="0" fontId="23" fillId="5" borderId="2" xfId="0" applyFont="1" applyFill="1" applyBorder="1" applyAlignment="1">
      <alignment horizontal="center" vertical="center"/>
    </xf>
    <xf numFmtId="164" fontId="19" fillId="5" borderId="2" xfId="0" applyNumberFormat="1" applyFont="1" applyFill="1" applyBorder="1" applyAlignment="1">
      <alignment horizontal="center"/>
    </xf>
    <xf numFmtId="0" fontId="24" fillId="4" borderId="0" xfId="0" applyFont="1" applyFill="1"/>
    <xf numFmtId="0" fontId="14" fillId="4" borderId="0" xfId="0" applyFont="1" applyFill="1" applyAlignment="1">
      <alignment horizontal="left" vertical="center"/>
    </xf>
    <xf numFmtId="0" fontId="26" fillId="4" borderId="0" xfId="12" applyFont="1" applyFill="1" applyAlignment="1">
      <alignment vertical="center" wrapText="1"/>
    </xf>
    <xf numFmtId="0" fontId="17" fillId="4" borderId="0" xfId="0" quotePrefix="1" applyFont="1" applyFill="1"/>
    <xf numFmtId="43" fontId="11" fillId="4" borderId="0" xfId="0" applyNumberFormat="1" applyFont="1" applyFill="1"/>
    <xf numFmtId="0" fontId="11" fillId="4" borderId="0" xfId="0" applyFont="1" applyFill="1" applyAlignment="1">
      <alignment vertical="center"/>
    </xf>
    <xf numFmtId="0" fontId="12" fillId="4" borderId="0" xfId="0" applyFont="1" applyFill="1" applyAlignment="1">
      <alignment horizontal="right"/>
    </xf>
    <xf numFmtId="0" fontId="13" fillId="4" borderId="0" xfId="0" applyFont="1" applyFill="1" applyAlignment="1">
      <alignment horizontal="left" vertical="center"/>
    </xf>
    <xf numFmtId="0" fontId="28" fillId="4" borderId="0" xfId="0" applyFont="1" applyFill="1" applyAlignment="1">
      <alignment vertical="center"/>
    </xf>
    <xf numFmtId="0" fontId="12" fillId="4" borderId="0" xfId="0" applyFont="1" applyFill="1" applyAlignment="1">
      <alignment vertical="center"/>
    </xf>
    <xf numFmtId="0" fontId="24" fillId="4" borderId="0" xfId="0" applyFont="1" applyFill="1" applyAlignment="1">
      <alignment vertical="center"/>
    </xf>
    <xf numFmtId="0" fontId="16" fillId="4" borderId="0" xfId="0" applyFont="1" applyFill="1" applyAlignment="1">
      <alignment vertical="center"/>
    </xf>
    <xf numFmtId="0" fontId="19" fillId="6" borderId="2" xfId="0" applyFont="1" applyFill="1" applyBorder="1" applyAlignment="1">
      <alignment horizontal="center" vertical="center"/>
    </xf>
    <xf numFmtId="0" fontId="19" fillId="6" borderId="2"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11" fillId="4" borderId="2" xfId="0" applyFont="1" applyFill="1" applyBorder="1" applyAlignment="1">
      <alignment wrapText="1"/>
    </xf>
    <xf numFmtId="0" fontId="22" fillId="4" borderId="2" xfId="0" applyFont="1" applyFill="1" applyBorder="1" applyAlignment="1">
      <alignment wrapText="1"/>
    </xf>
    <xf numFmtId="0" fontId="11" fillId="4" borderId="2" xfId="0" applyFont="1" applyFill="1" applyBorder="1"/>
    <xf numFmtId="0" fontId="28" fillId="4" borderId="0" xfId="0" applyFont="1" applyFill="1"/>
    <xf numFmtId="0" fontId="28" fillId="4" borderId="0" xfId="0" applyFont="1" applyFill="1" applyAlignment="1">
      <alignment horizontal="left"/>
    </xf>
    <xf numFmtId="0" fontId="14" fillId="4" borderId="0" xfId="0" applyFont="1" applyFill="1" applyAlignment="1">
      <alignment vertical="center"/>
    </xf>
    <xf numFmtId="0" fontId="28" fillId="4" borderId="0" xfId="0" applyFont="1" applyFill="1" applyAlignment="1">
      <alignment horizontal="center" vertical="center" wrapText="1"/>
    </xf>
    <xf numFmtId="0" fontId="3" fillId="0" borderId="0" xfId="0" quotePrefix="1" applyFont="1"/>
    <xf numFmtId="0" fontId="3" fillId="0" borderId="0" xfId="0" quotePrefix="1" applyFont="1" applyAlignment="1">
      <alignment wrapText="1"/>
    </xf>
    <xf numFmtId="0" fontId="30" fillId="4" borderId="0" xfId="2" applyFont="1" applyFill="1" applyAlignment="1">
      <alignment horizontal="center"/>
    </xf>
    <xf numFmtId="49" fontId="30" fillId="4" borderId="0" xfId="2" applyNumberFormat="1" applyFont="1" applyFill="1" applyAlignment="1">
      <alignment horizontal="center"/>
    </xf>
    <xf numFmtId="41" fontId="30" fillId="4" borderId="0" xfId="2" applyNumberFormat="1" applyFont="1" applyFill="1"/>
    <xf numFmtId="41" fontId="30" fillId="4" borderId="0" xfId="2" applyNumberFormat="1" applyFont="1" applyFill="1" applyAlignment="1">
      <alignment horizontal="center"/>
    </xf>
    <xf numFmtId="41" fontId="30" fillId="7" borderId="0" xfId="2" applyNumberFormat="1" applyFont="1" applyFill="1"/>
    <xf numFmtId="43" fontId="33" fillId="4" borderId="1" xfId="1" applyFont="1" applyFill="1" applyBorder="1" applyAlignment="1">
      <alignment horizontal="center" vertical="center" wrapText="1"/>
    </xf>
    <xf numFmtId="41" fontId="33" fillId="4" borderId="1" xfId="13" applyNumberFormat="1" applyFont="1" applyFill="1" applyBorder="1" applyAlignment="1">
      <alignment horizontal="center" vertical="center" wrapText="1"/>
    </xf>
    <xf numFmtId="43" fontId="33" fillId="4" borderId="0" xfId="1" applyFont="1" applyFill="1" applyBorder="1" applyAlignment="1">
      <alignment horizontal="center" vertical="center" wrapText="1"/>
    </xf>
    <xf numFmtId="49" fontId="11" fillId="0" borderId="0" xfId="0" applyNumberFormat="1" applyFont="1"/>
    <xf numFmtId="0" fontId="22" fillId="0" borderId="1" xfId="0" applyFont="1" applyBorder="1" applyAlignment="1">
      <alignment horizontal="center"/>
    </xf>
    <xf numFmtId="49" fontId="11" fillId="0" borderId="9" xfId="0" applyNumberFormat="1" applyFont="1" applyBorder="1" applyProtection="1">
      <protection locked="0"/>
    </xf>
    <xf numFmtId="2" fontId="11" fillId="0" borderId="9" xfId="0" applyNumberFormat="1" applyFont="1" applyBorder="1" applyProtection="1">
      <protection locked="0"/>
    </xf>
    <xf numFmtId="3" fontId="11" fillId="0" borderId="10" xfId="14" applyNumberFormat="1" applyFont="1" applyBorder="1" applyProtection="1">
      <protection locked="0"/>
    </xf>
    <xf numFmtId="164" fontId="11" fillId="8" borderId="1" xfId="0" applyNumberFormat="1" applyFont="1" applyFill="1" applyBorder="1"/>
    <xf numFmtId="3" fontId="34" fillId="0" borderId="9" xfId="13" applyNumberFormat="1" applyFont="1" applyBorder="1" applyAlignment="1" applyProtection="1">
      <alignment wrapText="1"/>
      <protection locked="0"/>
    </xf>
    <xf numFmtId="164" fontId="11" fillId="0" borderId="1" xfId="1" applyNumberFormat="1" applyFont="1" applyBorder="1"/>
    <xf numFmtId="0" fontId="11" fillId="0" borderId="1" xfId="0" applyFont="1" applyBorder="1"/>
    <xf numFmtId="3" fontId="11" fillId="0" borderId="11" xfId="14" applyNumberFormat="1" applyFont="1" applyBorder="1" applyProtection="1">
      <protection locked="0"/>
    </xf>
    <xf numFmtId="164" fontId="11" fillId="7" borderId="1" xfId="1" applyNumberFormat="1" applyFont="1" applyFill="1" applyBorder="1"/>
    <xf numFmtId="164" fontId="33" fillId="0" borderId="1" xfId="1" applyNumberFormat="1" applyFont="1" applyBorder="1" applyAlignment="1">
      <alignment horizontal="center" vertical="center" wrapText="1"/>
    </xf>
    <xf numFmtId="0" fontId="22" fillId="0" borderId="1" xfId="0" applyFont="1" applyBorder="1" applyAlignment="1">
      <alignment horizontal="center" vertical="center"/>
    </xf>
    <xf numFmtId="0" fontId="36" fillId="0" borderId="1" xfId="0" applyFont="1" applyBorder="1" applyAlignment="1">
      <alignment horizontal="center" vertical="center"/>
    </xf>
    <xf numFmtId="0" fontId="36" fillId="0" borderId="1" xfId="0" applyFont="1" applyBorder="1" applyAlignment="1">
      <alignment horizontal="left" vertical="center"/>
    </xf>
    <xf numFmtId="0" fontId="33" fillId="0" borderId="1" xfId="2" applyFont="1" applyBorder="1" applyAlignment="1">
      <alignment horizontal="center" vertical="center"/>
    </xf>
    <xf numFmtId="0" fontId="22" fillId="0" borderId="1" xfId="0" applyFont="1" applyBorder="1" applyAlignment="1">
      <alignment vertical="center"/>
    </xf>
    <xf numFmtId="0" fontId="37" fillId="0" borderId="1" xfId="0" applyFont="1" applyBorder="1" applyAlignment="1">
      <alignment horizontal="center" vertical="center"/>
    </xf>
    <xf numFmtId="0" fontId="11" fillId="0" borderId="1" xfId="0" applyFont="1" applyBorder="1" applyAlignment="1">
      <alignment vertical="center"/>
    </xf>
    <xf numFmtId="164" fontId="11" fillId="0" borderId="1" xfId="1" applyNumberFormat="1" applyFont="1" applyBorder="1" applyAlignment="1">
      <alignment vertical="center"/>
    </xf>
    <xf numFmtId="164" fontId="22" fillId="0" borderId="1" xfId="1" applyNumberFormat="1" applyFont="1" applyBorder="1" applyAlignment="1">
      <alignment vertical="center"/>
    </xf>
    <xf numFmtId="164" fontId="33" fillId="0" borderId="1" xfId="1" applyNumberFormat="1" applyFont="1" applyBorder="1" applyAlignment="1">
      <alignment vertical="center"/>
    </xf>
    <xf numFmtId="0" fontId="36" fillId="0" borderId="1" xfId="0" applyFont="1" applyBorder="1" applyAlignment="1" applyProtection="1">
      <alignment vertical="center"/>
      <protection locked="0"/>
    </xf>
    <xf numFmtId="0" fontId="3" fillId="9" borderId="0" xfId="0" applyFont="1" applyFill="1" applyAlignment="1">
      <alignment vertical="center" wrapText="1"/>
    </xf>
    <xf numFmtId="0" fontId="3" fillId="11" borderId="0" xfId="0" applyFont="1" applyFill="1" applyAlignment="1">
      <alignment vertical="center" wrapText="1"/>
    </xf>
    <xf numFmtId="0" fontId="22" fillId="4" borderId="0" xfId="2" applyFont="1" applyFill="1" applyAlignment="1">
      <alignment horizontal="center"/>
    </xf>
    <xf numFmtId="0" fontId="22" fillId="4" borderId="0" xfId="2" applyFont="1" applyFill="1" applyAlignment="1">
      <alignment wrapText="1"/>
    </xf>
    <xf numFmtId="0" fontId="33" fillId="4" borderId="0" xfId="2" applyFont="1" applyFill="1" applyAlignment="1">
      <alignment horizontal="center"/>
    </xf>
    <xf numFmtId="3" fontId="22" fillId="4" borderId="0" xfId="2" applyNumberFormat="1" applyFont="1" applyFill="1" applyAlignment="1">
      <alignment horizontal="center"/>
    </xf>
    <xf numFmtId="41" fontId="22" fillId="4" borderId="0" xfId="2" applyNumberFormat="1" applyFont="1" applyFill="1" applyAlignment="1">
      <alignment horizontal="center"/>
    </xf>
    <xf numFmtId="41" fontId="43" fillId="4" borderId="0" xfId="0" applyNumberFormat="1" applyFont="1" applyFill="1" applyProtection="1">
      <protection locked="0"/>
    </xf>
    <xf numFmtId="43" fontId="44" fillId="0" borderId="1" xfId="1" applyFont="1" applyFill="1" applyBorder="1" applyAlignment="1">
      <alignment horizontal="center" vertical="center" wrapText="1"/>
    </xf>
    <xf numFmtId="0" fontId="44" fillId="0" borderId="1" xfId="2" applyFont="1" applyBorder="1" applyAlignment="1">
      <alignment horizontal="center" vertical="center" wrapText="1"/>
    </xf>
    <xf numFmtId="0" fontId="44" fillId="0" borderId="1" xfId="2" applyFont="1" applyBorder="1" applyAlignment="1">
      <alignment horizontal="left" vertical="center" wrapText="1"/>
    </xf>
    <xf numFmtId="41" fontId="44" fillId="0" borderId="1" xfId="2" applyNumberFormat="1" applyFont="1" applyBorder="1" applyAlignment="1">
      <alignment vertical="center" wrapText="1"/>
    </xf>
    <xf numFmtId="0" fontId="45" fillId="0" borderId="1" xfId="2" applyFont="1" applyBorder="1" applyAlignment="1">
      <alignment horizontal="left" vertical="center" wrapText="1"/>
    </xf>
    <xf numFmtId="0" fontId="45" fillId="0" borderId="1" xfId="2" applyFont="1" applyBorder="1" applyAlignment="1">
      <alignment horizontal="center" vertical="center" wrapText="1"/>
    </xf>
    <xf numFmtId="0" fontId="36" fillId="0" borderId="1" xfId="2" applyFont="1" applyBorder="1" applyAlignment="1">
      <alignment horizontal="center" vertical="center" wrapText="1"/>
    </xf>
    <xf numFmtId="41" fontId="36" fillId="0" borderId="1" xfId="2" applyNumberFormat="1" applyFont="1" applyBorder="1" applyAlignment="1">
      <alignment vertical="center" wrapText="1"/>
    </xf>
    <xf numFmtId="41" fontId="44" fillId="7" borderId="1" xfId="2" applyNumberFormat="1" applyFont="1" applyFill="1" applyBorder="1" applyAlignment="1">
      <alignment vertical="center" wrapText="1"/>
    </xf>
    <xf numFmtId="41" fontId="36" fillId="7" borderId="1" xfId="2" applyNumberFormat="1" applyFont="1" applyFill="1" applyBorder="1" applyAlignment="1">
      <alignment vertical="center" wrapText="1"/>
    </xf>
    <xf numFmtId="0" fontId="47" fillId="7" borderId="1" xfId="2" applyFont="1" applyFill="1" applyBorder="1" applyAlignment="1">
      <alignment horizontal="center" vertical="center" wrapText="1"/>
    </xf>
    <xf numFmtId="0" fontId="48" fillId="7" borderId="1" xfId="2" applyFont="1" applyFill="1" applyBorder="1" applyAlignment="1">
      <alignment horizontal="center" vertical="center" wrapText="1"/>
    </xf>
    <xf numFmtId="0" fontId="11" fillId="4" borderId="0" xfId="0" applyFont="1" applyFill="1" applyAlignment="1">
      <alignment vertical="center" wrapText="1"/>
    </xf>
    <xf numFmtId="0" fontId="28" fillId="4" borderId="0" xfId="0" applyFont="1" applyFill="1" applyAlignment="1">
      <alignment horizontal="center" vertical="center"/>
    </xf>
    <xf numFmtId="0" fontId="53" fillId="4" borderId="0" xfId="0" applyFont="1" applyFill="1" applyAlignment="1">
      <alignment vertical="center"/>
    </xf>
    <xf numFmtId="0" fontId="16" fillId="4" borderId="0" xfId="0" applyFont="1" applyFill="1" applyAlignment="1">
      <alignment horizontal="center" vertical="center"/>
    </xf>
    <xf numFmtId="0" fontId="16" fillId="4" borderId="0" xfId="0" applyFont="1" applyFill="1" applyAlignment="1">
      <alignment horizontal="center" vertical="center" wrapText="1"/>
    </xf>
    <xf numFmtId="0" fontId="17" fillId="4" borderId="2" xfId="0" applyFont="1" applyFill="1" applyBorder="1" applyAlignment="1">
      <alignment wrapText="1"/>
    </xf>
    <xf numFmtId="0" fontId="21" fillId="4" borderId="2" xfId="0" applyFont="1" applyFill="1" applyBorder="1" applyAlignment="1">
      <alignment wrapText="1"/>
    </xf>
    <xf numFmtId="164" fontId="30" fillId="4" borderId="2" xfId="1" applyNumberFormat="1" applyFont="1" applyFill="1" applyBorder="1" applyAlignment="1">
      <alignment vertical="center"/>
    </xf>
    <xf numFmtId="0" fontId="30" fillId="4" borderId="2" xfId="24" applyFont="1" applyFill="1" applyBorder="1" applyAlignment="1">
      <alignment vertical="center"/>
    </xf>
    <xf numFmtId="41" fontId="30" fillId="4" borderId="2" xfId="24" applyNumberFormat="1" applyFont="1" applyFill="1" applyBorder="1" applyAlignment="1">
      <alignment vertical="center" wrapText="1"/>
    </xf>
    <xf numFmtId="41" fontId="30" fillId="4" borderId="2" xfId="24" applyNumberFormat="1" applyFont="1" applyFill="1" applyBorder="1" applyAlignment="1">
      <alignment vertical="center"/>
    </xf>
    <xf numFmtId="0" fontId="30" fillId="4" borderId="2" xfId="24" applyFont="1" applyFill="1" applyBorder="1" applyAlignment="1">
      <alignment vertical="center" wrapText="1"/>
    </xf>
    <xf numFmtId="3" fontId="11" fillId="4" borderId="2" xfId="1" applyNumberFormat="1" applyFont="1" applyFill="1" applyBorder="1" applyAlignment="1">
      <alignment vertical="center"/>
    </xf>
    <xf numFmtId="3" fontId="11" fillId="4" borderId="2" xfId="0" applyNumberFormat="1" applyFont="1" applyFill="1" applyBorder="1" applyAlignment="1">
      <alignment vertical="center"/>
    </xf>
    <xf numFmtId="0" fontId="11" fillId="4" borderId="2" xfId="0" applyFont="1" applyFill="1" applyBorder="1" applyAlignment="1">
      <alignment horizontal="left"/>
    </xf>
    <xf numFmtId="164" fontId="30" fillId="4" borderId="20" xfId="1" applyNumberFormat="1" applyFont="1" applyFill="1" applyBorder="1" applyAlignment="1">
      <alignment vertical="center"/>
    </xf>
    <xf numFmtId="3" fontId="11" fillId="4" borderId="20" xfId="0" applyNumberFormat="1" applyFont="1" applyFill="1" applyBorder="1" applyAlignment="1">
      <alignment vertical="center"/>
    </xf>
    <xf numFmtId="0" fontId="11" fillId="4" borderId="20" xfId="0" applyFont="1" applyFill="1" applyBorder="1" applyAlignment="1">
      <alignment vertical="center"/>
    </xf>
    <xf numFmtId="0" fontId="12" fillId="4" borderId="2" xfId="0" applyFont="1" applyFill="1" applyBorder="1"/>
    <xf numFmtId="0" fontId="11" fillId="4" borderId="2" xfId="0" applyFont="1" applyFill="1" applyBorder="1" applyAlignment="1">
      <alignment horizontal="left" vertical="center" wrapText="1"/>
    </xf>
    <xf numFmtId="0" fontId="17" fillId="4" borderId="2" xfId="0" applyFont="1" applyFill="1" applyBorder="1" applyAlignment="1">
      <alignment horizontal="center"/>
    </xf>
    <xf numFmtId="0" fontId="11" fillId="4" borderId="2" xfId="0" applyFont="1" applyFill="1" applyBorder="1" applyAlignment="1">
      <alignment horizontal="center"/>
    </xf>
    <xf numFmtId="0" fontId="30" fillId="4" borderId="2" xfId="24" applyFont="1" applyFill="1" applyBorder="1" applyAlignment="1">
      <alignment horizontal="center" vertical="center" wrapText="1"/>
    </xf>
    <xf numFmtId="0" fontId="19" fillId="5" borderId="2" xfId="0" applyFont="1" applyFill="1" applyBorder="1" applyAlignment="1">
      <alignment horizontal="left" vertical="center"/>
    </xf>
    <xf numFmtId="41" fontId="19" fillId="5" borderId="2" xfId="24" applyNumberFormat="1" applyFont="1" applyFill="1" applyBorder="1" applyAlignment="1">
      <alignment vertical="center" wrapText="1"/>
    </xf>
    <xf numFmtId="3" fontId="19" fillId="5" borderId="2" xfId="24" applyNumberFormat="1" applyFont="1" applyFill="1" applyBorder="1" applyAlignment="1">
      <alignment vertical="center" wrapText="1"/>
    </xf>
    <xf numFmtId="0" fontId="19" fillId="5" borderId="2" xfId="0" applyFont="1" applyFill="1" applyBorder="1" applyAlignment="1">
      <alignment vertical="center"/>
    </xf>
    <xf numFmtId="41" fontId="54" fillId="4" borderId="0" xfId="24" applyNumberFormat="1" applyFont="1" applyFill="1"/>
    <xf numFmtId="0" fontId="24" fillId="4" borderId="0" xfId="0" applyFont="1" applyFill="1" applyAlignment="1">
      <alignment wrapText="1"/>
    </xf>
    <xf numFmtId="164" fontId="30" fillId="4" borderId="0" xfId="1" applyNumberFormat="1" applyFont="1" applyFill="1" applyBorder="1" applyAlignment="1" applyProtection="1">
      <alignment horizontal="center" wrapText="1"/>
    </xf>
    <xf numFmtId="41" fontId="30" fillId="4" borderId="0" xfId="24" applyNumberFormat="1" applyFont="1" applyFill="1" applyAlignment="1">
      <alignment wrapText="1"/>
    </xf>
    <xf numFmtId="41" fontId="30" fillId="4" borderId="0" xfId="24" applyNumberFormat="1" applyFont="1" applyFill="1"/>
    <xf numFmtId="0" fontId="30" fillId="4" borderId="0" xfId="24" applyFont="1" applyFill="1" applyAlignment="1">
      <alignment wrapText="1"/>
    </xf>
    <xf numFmtId="164" fontId="11" fillId="4" borderId="0" xfId="1" applyNumberFormat="1" applyFont="1" applyFill="1" applyBorder="1" applyAlignment="1"/>
    <xf numFmtId="164" fontId="11" fillId="4" borderId="0" xfId="0" applyNumberFormat="1" applyFont="1" applyFill="1"/>
    <xf numFmtId="41" fontId="55" fillId="4" borderId="0" xfId="24" applyNumberFormat="1" applyFont="1" applyFill="1" applyAlignment="1">
      <alignment wrapText="1"/>
    </xf>
    <xf numFmtId="41" fontId="36" fillId="4" borderId="0" xfId="24" applyNumberFormat="1" applyFont="1" applyFill="1" applyAlignment="1">
      <alignment horizontal="center" wrapText="1"/>
    </xf>
    <xf numFmtId="41" fontId="36" fillId="4" borderId="0" xfId="24" applyNumberFormat="1" applyFont="1" applyFill="1" applyAlignment="1">
      <alignment horizontal="left"/>
    </xf>
    <xf numFmtId="164" fontId="36" fillId="4" borderId="0" xfId="1" applyNumberFormat="1" applyFont="1" applyFill="1" applyBorder="1" applyAlignment="1" applyProtection="1">
      <alignment horizontal="center" wrapText="1"/>
    </xf>
    <xf numFmtId="164" fontId="56" fillId="4" borderId="0" xfId="1" applyNumberFormat="1" applyFont="1" applyFill="1" applyBorder="1" applyAlignment="1" applyProtection="1">
      <alignment horizontal="center" wrapText="1"/>
    </xf>
    <xf numFmtId="0" fontId="57" fillId="4" borderId="0" xfId="0" applyFont="1" applyFill="1" applyAlignment="1">
      <alignment horizontal="left" vertical="center" indent="1"/>
    </xf>
    <xf numFmtId="0" fontId="34" fillId="4" borderId="0" xfId="0" applyFont="1" applyFill="1" applyAlignment="1">
      <alignment vertical="center" wrapText="1"/>
    </xf>
    <xf numFmtId="0" fontId="34" fillId="4" borderId="0" xfId="0" applyFont="1" applyFill="1" applyAlignment="1">
      <alignment vertical="center"/>
    </xf>
    <xf numFmtId="0" fontId="17" fillId="4" borderId="0" xfId="0" applyFont="1" applyFill="1" applyAlignment="1">
      <alignment horizontal="left" vertical="center" indent="1"/>
    </xf>
    <xf numFmtId="0" fontId="59" fillId="4" borderId="0" xfId="0" applyFont="1" applyFill="1" applyAlignment="1">
      <alignment horizontal="center" vertical="center"/>
    </xf>
    <xf numFmtId="0" fontId="39" fillId="4" borderId="0" xfId="0" applyFont="1" applyFill="1" applyAlignment="1">
      <alignment vertical="center"/>
    </xf>
    <xf numFmtId="0" fontId="59" fillId="4" borderId="0" xfId="0" applyFont="1" applyFill="1" applyAlignment="1">
      <alignment vertical="center"/>
    </xf>
    <xf numFmtId="0" fontId="60" fillId="4" borderId="0" xfId="0" applyFont="1" applyFill="1" applyAlignment="1">
      <alignment vertical="center"/>
    </xf>
    <xf numFmtId="0" fontId="61" fillId="4" borderId="0" xfId="0" applyFont="1" applyFill="1" applyAlignment="1">
      <alignment vertical="center"/>
    </xf>
    <xf numFmtId="41" fontId="11" fillId="4" borderId="0" xfId="0" applyNumberFormat="1" applyFont="1" applyFill="1" applyAlignment="1">
      <alignment vertical="center"/>
    </xf>
    <xf numFmtId="0" fontId="62" fillId="5" borderId="2" xfId="0" applyFont="1" applyFill="1" applyBorder="1" applyAlignment="1">
      <alignment horizontal="center" vertical="center" wrapText="1"/>
    </xf>
    <xf numFmtId="0" fontId="63" fillId="5" borderId="2" xfId="0" applyFont="1" applyFill="1" applyBorder="1" applyAlignment="1">
      <alignment horizontal="center" vertical="center" wrapText="1"/>
    </xf>
    <xf numFmtId="0" fontId="19" fillId="5" borderId="2" xfId="0" applyFont="1" applyFill="1" applyBorder="1" applyAlignment="1">
      <alignment horizontal="left"/>
    </xf>
    <xf numFmtId="0" fontId="23" fillId="5" borderId="2" xfId="0" applyFont="1" applyFill="1" applyBorder="1" applyAlignment="1">
      <alignment horizontal="center"/>
    </xf>
    <xf numFmtId="0" fontId="24" fillId="4" borderId="0" xfId="0" applyFont="1" applyFill="1" applyAlignment="1">
      <alignment horizontal="center"/>
    </xf>
    <xf numFmtId="0" fontId="13" fillId="4" borderId="0" xfId="0" applyFont="1" applyFill="1" applyAlignment="1">
      <alignment vertical="center"/>
    </xf>
    <xf numFmtId="0" fontId="28" fillId="4" borderId="0" xfId="0" applyFont="1" applyFill="1" applyAlignment="1">
      <alignment horizontal="left" vertical="center"/>
    </xf>
    <xf numFmtId="0" fontId="43" fillId="4" borderId="2" xfId="24" applyFont="1" applyFill="1" applyBorder="1" applyAlignment="1">
      <alignment horizontal="center" vertical="center" wrapText="1"/>
    </xf>
    <xf numFmtId="3" fontId="12" fillId="4" borderId="2" xfId="1" applyNumberFormat="1" applyFont="1" applyFill="1" applyBorder="1" applyAlignment="1">
      <alignment vertical="center"/>
    </xf>
    <xf numFmtId="0" fontId="65" fillId="4" borderId="2" xfId="24" applyFont="1" applyFill="1" applyBorder="1" applyAlignment="1">
      <alignment horizontal="center" vertical="center" wrapText="1"/>
    </xf>
    <xf numFmtId="0" fontId="65" fillId="4" borderId="2" xfId="0" applyFont="1" applyFill="1" applyBorder="1" applyAlignment="1">
      <alignment horizontal="center" wrapText="1"/>
    </xf>
    <xf numFmtId="0" fontId="17" fillId="4" borderId="0" xfId="0" applyFont="1" applyFill="1" applyAlignment="1">
      <alignment vertical="center"/>
    </xf>
    <xf numFmtId="0" fontId="12" fillId="4" borderId="2" xfId="0" applyFont="1" applyFill="1" applyBorder="1" applyAlignment="1">
      <alignment horizontal="center"/>
    </xf>
    <xf numFmtId="43" fontId="33" fillId="4" borderId="2" xfId="1" applyFont="1" applyFill="1" applyBorder="1" applyAlignment="1">
      <alignment horizontal="left"/>
    </xf>
    <xf numFmtId="164" fontId="33" fillId="4" borderId="2" xfId="1" applyNumberFormat="1" applyFont="1" applyFill="1" applyBorder="1" applyAlignment="1">
      <alignment horizontal="left"/>
    </xf>
    <xf numFmtId="0" fontId="33" fillId="4" borderId="2" xfId="0" applyFont="1" applyFill="1" applyBorder="1" applyAlignment="1">
      <alignment horizontal="center"/>
    </xf>
    <xf numFmtId="164" fontId="33" fillId="4" borderId="2" xfId="1" applyNumberFormat="1" applyFont="1" applyFill="1" applyBorder="1" applyAlignment="1">
      <alignment horizontal="center"/>
    </xf>
    <xf numFmtId="164" fontId="33" fillId="4" borderId="2" xfId="1" applyNumberFormat="1" applyFont="1" applyFill="1" applyBorder="1"/>
    <xf numFmtId="0" fontId="37" fillId="4" borderId="0" xfId="0" applyFont="1" applyFill="1"/>
    <xf numFmtId="0" fontId="11" fillId="4" borderId="2" xfId="0" quotePrefix="1" applyFont="1" applyFill="1" applyBorder="1" applyAlignment="1">
      <alignment horizontal="center"/>
    </xf>
    <xf numFmtId="0" fontId="11" fillId="4" borderId="20" xfId="0" applyFont="1" applyFill="1" applyBorder="1" applyAlignment="1">
      <alignment horizontal="left"/>
    </xf>
    <xf numFmtId="0" fontId="22" fillId="4" borderId="2" xfId="0" applyFont="1" applyFill="1" applyBorder="1" applyAlignment="1">
      <alignment horizontal="center"/>
    </xf>
    <xf numFmtId="164" fontId="11" fillId="4" borderId="2" xfId="1" applyNumberFormat="1" applyFont="1" applyFill="1" applyBorder="1"/>
    <xf numFmtId="164" fontId="22" fillId="4" borderId="2" xfId="1" applyNumberFormat="1" applyFont="1" applyFill="1" applyBorder="1"/>
    <xf numFmtId="164" fontId="11" fillId="4" borderId="20" xfId="1" applyNumberFormat="1" applyFont="1" applyFill="1" applyBorder="1"/>
    <xf numFmtId="43" fontId="33" fillId="4" borderId="2" xfId="1" applyFont="1" applyFill="1" applyBorder="1"/>
    <xf numFmtId="0" fontId="19" fillId="5" borderId="2" xfId="0" quotePrefix="1" applyFont="1" applyFill="1" applyBorder="1"/>
    <xf numFmtId="164" fontId="19" fillId="5" borderId="2" xfId="1" applyNumberFormat="1" applyFont="1" applyFill="1" applyBorder="1" applyAlignment="1">
      <alignment horizontal="center"/>
    </xf>
    <xf numFmtId="0" fontId="33" fillId="0" borderId="1" xfId="2" applyFont="1" applyBorder="1" applyAlignment="1">
      <alignment vertical="center" wrapText="1"/>
    </xf>
    <xf numFmtId="0" fontId="67" fillId="0" borderId="0" xfId="0" applyFont="1" applyAlignment="1">
      <alignment horizontal="left"/>
    </xf>
    <xf numFmtId="0" fontId="12" fillId="0" borderId="0" xfId="0" applyFont="1"/>
    <xf numFmtId="0" fontId="11" fillId="0" borderId="0" xfId="0" applyFont="1"/>
    <xf numFmtId="0" fontId="11" fillId="0" borderId="0" xfId="0" applyFont="1" applyAlignment="1">
      <alignment wrapText="1"/>
    </xf>
    <xf numFmtId="0" fontId="37" fillId="0" borderId="0" xfId="0" applyFont="1" applyAlignment="1">
      <alignment wrapText="1"/>
    </xf>
    <xf numFmtId="0" fontId="17" fillId="0" borderId="0" xfId="0" applyFont="1"/>
    <xf numFmtId="0" fontId="11" fillId="0" borderId="0" xfId="0" applyFont="1" applyAlignment="1">
      <alignment horizont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12" borderId="1" xfId="0" applyFont="1" applyFill="1" applyBorder="1" applyAlignment="1">
      <alignment horizontal="center" vertical="center"/>
    </xf>
    <xf numFmtId="0" fontId="12" fillId="12" borderId="1" xfId="0" applyFont="1" applyFill="1" applyBorder="1" applyAlignment="1">
      <alignment vertical="center"/>
    </xf>
    <xf numFmtId="0" fontId="12" fillId="12" borderId="1" xfId="0" applyFont="1" applyFill="1" applyBorder="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vertical="center" wrapText="1"/>
    </xf>
    <xf numFmtId="0" fontId="17" fillId="0" borderId="1" xfId="0" applyFont="1" applyBorder="1" applyAlignment="1">
      <alignment vertical="center" wrapText="1"/>
    </xf>
    <xf numFmtId="0" fontId="11" fillId="0" borderId="0" xfId="0" applyFont="1" applyAlignment="1">
      <alignment vertical="center"/>
    </xf>
    <xf numFmtId="0" fontId="16" fillId="12" borderId="1" xfId="0" applyFont="1" applyFill="1" applyBorder="1" applyAlignment="1">
      <alignment vertical="center" wrapText="1"/>
    </xf>
    <xf numFmtId="0" fontId="11" fillId="0" borderId="1" xfId="0" applyFont="1" applyBorder="1" applyAlignment="1">
      <alignment wrapText="1"/>
    </xf>
    <xf numFmtId="0" fontId="35" fillId="7" borderId="1" xfId="0" applyFont="1" applyFill="1" applyBorder="1" applyAlignment="1">
      <alignment horizontal="center" vertical="center" wrapText="1"/>
    </xf>
    <xf numFmtId="0" fontId="35" fillId="0" borderId="1" xfId="0" applyFont="1" applyBorder="1" applyAlignment="1">
      <alignment wrapText="1"/>
    </xf>
    <xf numFmtId="0" fontId="37" fillId="0" borderId="1" xfId="0" applyFont="1" applyBorder="1" applyAlignment="1">
      <alignment wrapText="1"/>
    </xf>
    <xf numFmtId="0" fontId="37" fillId="0" borderId="1" xfId="0" applyFont="1" applyBorder="1" applyAlignment="1">
      <alignment vertical="center" wrapText="1"/>
    </xf>
    <xf numFmtId="0" fontId="14" fillId="4" borderId="0" xfId="0" applyFont="1" applyFill="1" applyAlignment="1">
      <alignment horizontal="center"/>
    </xf>
    <xf numFmtId="0" fontId="29" fillId="4" borderId="0" xfId="0" applyFont="1" applyFill="1" applyAlignment="1">
      <alignment horizontal="right" vertical="center"/>
    </xf>
    <xf numFmtId="0" fontId="12" fillId="4" borderId="0" xfId="0" applyFont="1" applyFill="1" applyAlignment="1">
      <alignment horizontal="center" vertical="center"/>
    </xf>
    <xf numFmtId="0" fontId="15" fillId="4" borderId="0" xfId="0" applyFont="1" applyFill="1" applyAlignment="1">
      <alignment horizontal="center" vertical="center"/>
    </xf>
    <xf numFmtId="41" fontId="33" fillId="4" borderId="1" xfId="13" applyNumberFormat="1" applyFont="1" applyFill="1" applyBorder="1" applyAlignment="1">
      <alignment horizontal="center" vertical="center" wrapText="1"/>
    </xf>
    <xf numFmtId="43" fontId="33" fillId="4" borderId="1" xfId="1" applyFont="1" applyFill="1" applyBorder="1" applyAlignment="1">
      <alignment horizontal="center" vertical="center" wrapText="1"/>
    </xf>
    <xf numFmtId="49" fontId="33" fillId="4" borderId="1" xfId="1" applyNumberFormat="1" applyFont="1" applyFill="1" applyBorder="1" applyAlignment="1">
      <alignment horizontal="center" vertical="center" wrapText="1"/>
    </xf>
    <xf numFmtId="41" fontId="33" fillId="8" borderId="1" xfId="13" applyNumberFormat="1" applyFont="1" applyFill="1" applyBorder="1" applyAlignment="1">
      <alignment horizontal="center" vertical="center" wrapText="1"/>
    </xf>
    <xf numFmtId="164" fontId="33" fillId="4" borderId="1" xfId="1" applyNumberFormat="1" applyFont="1" applyFill="1" applyBorder="1" applyAlignment="1">
      <alignment horizontal="center" vertical="center" wrapText="1"/>
    </xf>
    <xf numFmtId="41" fontId="33" fillId="7" borderId="1" xfId="13" applyNumberFormat="1" applyFont="1" applyFill="1" applyBorder="1" applyAlignment="1">
      <alignment horizontal="center" vertical="center" wrapText="1"/>
    </xf>
    <xf numFmtId="164" fontId="33" fillId="4" borderId="1" xfId="1" applyNumberFormat="1" applyFont="1" applyFill="1" applyBorder="1" applyAlignment="1">
      <alignment horizontal="center" vertical="center"/>
    </xf>
    <xf numFmtId="0" fontId="19" fillId="5" borderId="2"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5" borderId="2" xfId="0" applyFont="1" applyFill="1" applyBorder="1" applyAlignment="1">
      <alignment horizontal="center"/>
    </xf>
    <xf numFmtId="0" fontId="13" fillId="4" borderId="0" xfId="0" applyFont="1" applyFill="1" applyAlignment="1">
      <alignment horizontal="center"/>
    </xf>
    <xf numFmtId="0" fontId="14" fillId="4" borderId="0" xfId="0" applyFont="1" applyFill="1" applyAlignment="1">
      <alignment horizontal="center" vertical="center"/>
    </xf>
    <xf numFmtId="0" fontId="15" fillId="4" borderId="0" xfId="0" applyFont="1" applyFill="1" applyAlignment="1">
      <alignment horizontal="center"/>
    </xf>
    <xf numFmtId="0" fontId="19" fillId="5" borderId="5"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9" fillId="5" borderId="8" xfId="0" applyFont="1" applyFill="1" applyBorder="1" applyAlignment="1">
      <alignment horizontal="center" vertical="center" wrapText="1"/>
    </xf>
    <xf numFmtId="0" fontId="13" fillId="4" borderId="0" xfId="0" applyFont="1" applyFill="1" applyAlignment="1">
      <alignment horizontal="center" vertical="center"/>
    </xf>
    <xf numFmtId="0" fontId="33" fillId="0" borderId="1" xfId="0" applyFont="1" applyBorder="1" applyAlignment="1">
      <alignment horizontal="center" vertical="center" wrapText="1"/>
    </xf>
    <xf numFmtId="49" fontId="33" fillId="0" borderId="1" xfId="0" applyNumberFormat="1" applyFont="1" applyBorder="1" applyAlignment="1">
      <alignment horizontal="center" vertical="center" wrapText="1"/>
    </xf>
    <xf numFmtId="0" fontId="33" fillId="0" borderId="1" xfId="0" applyFont="1" applyBorder="1" applyAlignment="1">
      <alignment horizontal="left" vertical="center" wrapText="1"/>
    </xf>
    <xf numFmtId="1" fontId="35" fillId="0" borderId="1" xfId="0" applyNumberFormat="1" applyFont="1" applyBorder="1" applyAlignment="1">
      <alignment horizontal="center" vertical="center" wrapText="1"/>
    </xf>
    <xf numFmtId="164" fontId="33" fillId="0" borderId="1" xfId="1" applyNumberFormat="1" applyFont="1" applyBorder="1" applyAlignment="1">
      <alignment horizontal="center" vertical="center" wrapText="1"/>
    </xf>
    <xf numFmtId="0" fontId="38" fillId="7" borderId="1" xfId="0" applyFont="1" applyFill="1" applyBorder="1" applyAlignment="1">
      <alignment horizontal="center" vertical="center"/>
    </xf>
    <xf numFmtId="0" fontId="38" fillId="10" borderId="13" xfId="0" applyFont="1" applyFill="1" applyBorder="1" applyAlignment="1">
      <alignment horizontal="center" vertical="center"/>
    </xf>
    <xf numFmtId="0" fontId="38" fillId="10" borderId="12" xfId="0" applyFont="1" applyFill="1" applyBorder="1" applyAlignment="1">
      <alignment horizontal="center" vertical="center"/>
    </xf>
    <xf numFmtId="0" fontId="3" fillId="12" borderId="0" xfId="0" applyFont="1" applyFill="1" applyAlignment="1">
      <alignment horizontal="center" wrapText="1"/>
    </xf>
    <xf numFmtId="0" fontId="0" fillId="0" borderId="12" xfId="0" applyBorder="1" applyAlignment="1">
      <alignment horizontal="center"/>
    </xf>
    <xf numFmtId="0" fontId="19" fillId="5" borderId="2" xfId="23" applyFont="1" applyFill="1" applyBorder="1" applyAlignment="1">
      <alignment horizontal="center" vertical="center" wrapText="1"/>
    </xf>
    <xf numFmtId="0" fontId="19" fillId="5" borderId="6" xfId="23" applyFont="1" applyFill="1" applyBorder="1" applyAlignment="1">
      <alignment horizontal="center" vertical="center" wrapText="1"/>
    </xf>
    <xf numFmtId="0" fontId="19" fillId="5" borderId="7" xfId="23" applyFont="1" applyFill="1" applyBorder="1" applyAlignment="1">
      <alignment horizontal="center" vertical="center" wrapText="1"/>
    </xf>
    <xf numFmtId="0" fontId="19" fillId="5" borderId="8" xfId="23" applyFont="1" applyFill="1" applyBorder="1" applyAlignment="1">
      <alignment horizontal="center" vertical="center" wrapText="1"/>
    </xf>
    <xf numFmtId="0" fontId="19" fillId="5" borderId="2" xfId="24" applyFont="1" applyFill="1" applyBorder="1" applyAlignment="1">
      <alignment horizontal="center" vertical="center" wrapText="1"/>
    </xf>
    <xf numFmtId="0" fontId="28" fillId="4" borderId="0" xfId="0" applyFont="1" applyFill="1" applyAlignment="1">
      <alignment horizontal="center" vertical="center"/>
    </xf>
    <xf numFmtId="0" fontId="15" fillId="4" borderId="0" xfId="0" applyFont="1" applyFill="1" applyAlignment="1">
      <alignment horizontal="center" vertical="center" wrapText="1"/>
    </xf>
    <xf numFmtId="41" fontId="19" fillId="5" borderId="2" xfId="24" applyNumberFormat="1" applyFont="1" applyFill="1" applyBorder="1" applyAlignment="1">
      <alignment horizontal="center" vertical="center" wrapText="1"/>
    </xf>
    <xf numFmtId="0" fontId="19" fillId="5" borderId="2"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5" xfId="0" applyFont="1" applyFill="1" applyBorder="1" applyAlignment="1">
      <alignment horizontal="center" vertical="center"/>
    </xf>
    <xf numFmtId="0" fontId="19" fillId="5" borderId="4" xfId="0" applyFont="1" applyFill="1" applyBorder="1" applyAlignment="1">
      <alignment horizontal="center" vertical="center"/>
    </xf>
    <xf numFmtId="0" fontId="12" fillId="4" borderId="21" xfId="0" applyFont="1" applyFill="1" applyBorder="1" applyAlignment="1">
      <alignment horizontal="center" vertical="center" wrapText="1"/>
    </xf>
    <xf numFmtId="41" fontId="19" fillId="5" borderId="3" xfId="24" applyNumberFormat="1" applyFont="1" applyFill="1" applyBorder="1" applyAlignment="1">
      <alignment horizontal="center" vertical="center"/>
    </xf>
    <xf numFmtId="41" fontId="19" fillId="5" borderId="5" xfId="24" applyNumberFormat="1" applyFont="1" applyFill="1" applyBorder="1" applyAlignment="1">
      <alignment horizontal="center" vertical="center"/>
    </xf>
    <xf numFmtId="41" fontId="19" fillId="5" borderId="4" xfId="24" applyNumberFormat="1" applyFont="1" applyFill="1" applyBorder="1" applyAlignment="1">
      <alignment horizontal="center" vertical="center"/>
    </xf>
    <xf numFmtId="164" fontId="19" fillId="5" borderId="2" xfId="24" applyNumberFormat="1" applyFont="1" applyFill="1" applyBorder="1" applyAlignment="1">
      <alignment horizontal="center" vertical="center" wrapText="1"/>
    </xf>
    <xf numFmtId="41" fontId="19" fillId="5" borderId="2" xfId="24" applyNumberFormat="1" applyFont="1" applyFill="1" applyBorder="1" applyAlignment="1">
      <alignment horizontal="center" vertical="center"/>
    </xf>
    <xf numFmtId="0" fontId="39" fillId="4" borderId="0" xfId="0" applyFont="1" applyFill="1" applyAlignment="1">
      <alignment horizontal="center" vertical="center" wrapText="1"/>
    </xf>
    <xf numFmtId="0" fontId="60" fillId="4" borderId="0" xfId="0" applyFont="1" applyFill="1" applyAlignment="1">
      <alignment horizontal="center" vertical="center" wrapText="1"/>
    </xf>
    <xf numFmtId="0" fontId="64" fillId="4" borderId="0" xfId="0" applyFont="1" applyFill="1" applyAlignment="1">
      <alignment horizontal="center" vertical="center" wrapText="1"/>
    </xf>
    <xf numFmtId="0" fontId="12" fillId="4" borderId="3"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12" fillId="4" borderId="4" xfId="0" applyFont="1" applyFill="1" applyBorder="1" applyAlignment="1">
      <alignment horizontal="left" vertical="center" wrapText="1"/>
    </xf>
    <xf numFmtId="0" fontId="19" fillId="5" borderId="3" xfId="0" applyFont="1" applyFill="1" applyBorder="1" applyAlignment="1">
      <alignment horizontal="left" vertical="center"/>
    </xf>
    <xf numFmtId="0" fontId="19" fillId="5" borderId="5" xfId="0" applyFont="1" applyFill="1" applyBorder="1" applyAlignment="1">
      <alignment horizontal="left" vertical="center"/>
    </xf>
    <xf numFmtId="0" fontId="19" fillId="5" borderId="4" xfId="0" applyFont="1" applyFill="1" applyBorder="1" applyAlignment="1">
      <alignment horizontal="left" vertical="center"/>
    </xf>
    <xf numFmtId="0" fontId="12" fillId="4" borderId="0" xfId="0" applyFont="1" applyFill="1" applyAlignment="1">
      <alignment horizontal="center" vertical="center" wrapText="1"/>
    </xf>
    <xf numFmtId="0" fontId="28" fillId="4" borderId="0" xfId="0" applyFont="1" applyFill="1" applyAlignment="1">
      <alignment horizontal="center" vertical="center" wrapText="1"/>
    </xf>
    <xf numFmtId="41" fontId="44" fillId="0" borderId="14" xfId="0" applyNumberFormat="1" applyFont="1" applyBorder="1" applyAlignment="1">
      <alignment horizontal="center" vertical="center"/>
    </xf>
    <xf numFmtId="41" fontId="44" fillId="0" borderId="10" xfId="0" applyNumberFormat="1" applyFont="1" applyBorder="1" applyAlignment="1">
      <alignment horizontal="center" vertical="center"/>
    </xf>
    <xf numFmtId="41" fontId="44" fillId="0" borderId="16" xfId="0" applyNumberFormat="1" applyFont="1" applyBorder="1" applyAlignment="1">
      <alignment horizontal="center" vertical="center"/>
    </xf>
    <xf numFmtId="41" fontId="39" fillId="0" borderId="0" xfId="2" applyNumberFormat="1" applyFont="1" applyAlignment="1">
      <alignment horizontal="center" vertical="center"/>
    </xf>
    <xf numFmtId="41" fontId="40" fillId="0" borderId="0" xfId="2" applyNumberFormat="1" applyFont="1" applyAlignment="1">
      <alignment horizontal="left" vertical="center"/>
    </xf>
    <xf numFmtId="4" fontId="39" fillId="0" borderId="0" xfId="2" applyNumberFormat="1" applyFont="1" applyAlignment="1">
      <alignment horizontal="center" vertical="center"/>
    </xf>
    <xf numFmtId="0" fontId="41" fillId="0" borderId="0" xfId="2" applyFont="1" applyAlignment="1">
      <alignment horizontal="center"/>
    </xf>
    <xf numFmtId="0" fontId="42" fillId="0" borderId="0" xfId="2" applyFont="1" applyAlignment="1">
      <alignment horizontal="left"/>
    </xf>
    <xf numFmtId="4" fontId="41" fillId="0" borderId="0" xfId="2" applyNumberFormat="1" applyFont="1" applyAlignment="1">
      <alignment horizontal="center"/>
    </xf>
    <xf numFmtId="43" fontId="44" fillId="0" borderId="1" xfId="1" applyFont="1" applyFill="1" applyBorder="1" applyAlignment="1">
      <alignment horizontal="center" vertical="center" wrapText="1"/>
    </xf>
    <xf numFmtId="43" fontId="44" fillId="0" borderId="14" xfId="1" applyFont="1" applyFill="1" applyBorder="1" applyAlignment="1">
      <alignment horizontal="center" vertical="center" wrapText="1"/>
    </xf>
    <xf numFmtId="43" fontId="44" fillId="0" borderId="10" xfId="1" applyFont="1" applyFill="1" applyBorder="1" applyAlignment="1">
      <alignment horizontal="center" vertical="center" wrapText="1"/>
    </xf>
    <xf numFmtId="43" fontId="44" fillId="0" borderId="16" xfId="1" applyFont="1" applyFill="1" applyBorder="1" applyAlignment="1">
      <alignment horizontal="center" vertical="center" wrapText="1"/>
    </xf>
    <xf numFmtId="3" fontId="44" fillId="0" borderId="14" xfId="0" applyNumberFormat="1" applyFont="1" applyBorder="1" applyAlignment="1">
      <alignment horizontal="center" vertical="center" wrapText="1"/>
    </xf>
    <xf numFmtId="3" fontId="44" fillId="0" borderId="10" xfId="0" applyNumberFormat="1" applyFont="1" applyBorder="1" applyAlignment="1">
      <alignment horizontal="center" vertical="center" wrapText="1"/>
    </xf>
    <xf numFmtId="3" fontId="44" fillId="0" borderId="16" xfId="0" applyNumberFormat="1" applyFont="1" applyBorder="1" applyAlignment="1">
      <alignment horizontal="center" vertical="center" wrapText="1"/>
    </xf>
    <xf numFmtId="41" fontId="44" fillId="0" borderId="14" xfId="0" applyNumberFormat="1" applyFont="1" applyBorder="1" applyAlignment="1">
      <alignment horizontal="center" vertical="center" wrapText="1"/>
    </xf>
    <xf numFmtId="41" fontId="44" fillId="0" borderId="10" xfId="0" applyNumberFormat="1" applyFont="1" applyBorder="1" applyAlignment="1">
      <alignment horizontal="center" vertical="center" wrapText="1"/>
    </xf>
    <xf numFmtId="41" fontId="44" fillId="0" borderId="16" xfId="0" applyNumberFormat="1" applyFont="1" applyBorder="1" applyAlignment="1">
      <alignment horizontal="center" vertical="center" wrapText="1"/>
    </xf>
    <xf numFmtId="41" fontId="33" fillId="0" borderId="14" xfId="13" applyNumberFormat="1" applyFont="1" applyBorder="1" applyAlignment="1">
      <alignment horizontal="center" vertical="center" wrapText="1"/>
    </xf>
    <xf numFmtId="41" fontId="33" fillId="0" borderId="10" xfId="13" applyNumberFormat="1" applyFont="1" applyBorder="1" applyAlignment="1">
      <alignment horizontal="center" vertical="center" wrapText="1"/>
    </xf>
    <xf numFmtId="41" fontId="33" fillId="0" borderId="16" xfId="13" applyNumberFormat="1" applyFont="1" applyBorder="1" applyAlignment="1">
      <alignment horizontal="center" vertical="center" wrapText="1"/>
    </xf>
    <xf numFmtId="0" fontId="46" fillId="7" borderId="17" xfId="0" applyFont="1" applyFill="1" applyBorder="1" applyAlignment="1">
      <alignment horizontal="left" vertical="center" wrapText="1"/>
    </xf>
    <xf numFmtId="0" fontId="46" fillId="7" borderId="18" xfId="0" applyFont="1" applyFill="1" applyBorder="1" applyAlignment="1">
      <alignment horizontal="left" vertical="center" wrapText="1"/>
    </xf>
    <xf numFmtId="0" fontId="46" fillId="7" borderId="19" xfId="0" applyFont="1" applyFill="1" applyBorder="1" applyAlignment="1">
      <alignment horizontal="left" vertical="center" wrapText="1"/>
    </xf>
    <xf numFmtId="41" fontId="44" fillId="0" borderId="1" xfId="0" applyNumberFormat="1" applyFont="1" applyBorder="1" applyAlignment="1">
      <alignment horizontal="center" vertical="center" wrapText="1"/>
    </xf>
    <xf numFmtId="41" fontId="44" fillId="0" borderId="14" xfId="2" applyNumberFormat="1" applyFont="1" applyBorder="1" applyAlignment="1">
      <alignment horizontal="center" vertical="center" wrapText="1"/>
    </xf>
    <xf numFmtId="41" fontId="44" fillId="0" borderId="10" xfId="2" applyNumberFormat="1" applyFont="1" applyBorder="1" applyAlignment="1">
      <alignment horizontal="center" vertical="center" wrapText="1"/>
    </xf>
    <xf numFmtId="41" fontId="44" fillId="0" borderId="16" xfId="2" applyNumberFormat="1" applyFont="1" applyBorder="1" applyAlignment="1">
      <alignment horizontal="center" vertical="center" wrapText="1"/>
    </xf>
    <xf numFmtId="41" fontId="44" fillId="0" borderId="13" xfId="0" applyNumberFormat="1" applyFont="1" applyBorder="1" applyAlignment="1">
      <alignment horizontal="center" vertical="center"/>
    </xf>
    <xf numFmtId="41" fontId="44" fillId="0" borderId="12" xfId="0" applyNumberFormat="1" applyFont="1" applyBorder="1" applyAlignment="1">
      <alignment horizontal="center" vertical="center"/>
    </xf>
    <xf numFmtId="41" fontId="44" fillId="0" borderId="15" xfId="0" applyNumberFormat="1" applyFont="1" applyBorder="1" applyAlignment="1">
      <alignment horizontal="center" vertical="center"/>
    </xf>
    <xf numFmtId="41" fontId="44" fillId="0" borderId="14" xfId="1" applyNumberFormat="1" applyFont="1" applyFill="1" applyBorder="1" applyAlignment="1">
      <alignment horizontal="center" vertical="center" wrapText="1"/>
    </xf>
    <xf numFmtId="41" fontId="44" fillId="0" borderId="10" xfId="1" applyNumberFormat="1" applyFont="1" applyFill="1" applyBorder="1" applyAlignment="1">
      <alignment horizontal="center" vertical="center" wrapText="1"/>
    </xf>
    <xf numFmtId="41" fontId="44" fillId="0" borderId="16" xfId="1" applyNumberFormat="1" applyFont="1" applyFill="1" applyBorder="1" applyAlignment="1">
      <alignment horizontal="center" vertical="center" wrapText="1"/>
    </xf>
    <xf numFmtId="41" fontId="44" fillId="0" borderId="1" xfId="2" applyNumberFormat="1" applyFont="1" applyBorder="1" applyAlignment="1">
      <alignment horizontal="center" vertical="center" wrapText="1"/>
    </xf>
    <xf numFmtId="41" fontId="44" fillId="0" borderId="1" xfId="0" applyNumberFormat="1" applyFont="1" applyBorder="1" applyAlignment="1">
      <alignment horizontal="center" vertical="center"/>
    </xf>
    <xf numFmtId="0" fontId="28" fillId="4" borderId="0" xfId="0" applyFont="1" applyFill="1" applyAlignment="1">
      <alignment horizontal="center"/>
    </xf>
    <xf numFmtId="0" fontId="19" fillId="5" borderId="22" xfId="0" applyFont="1" applyFill="1" applyBorder="1" applyAlignment="1">
      <alignment horizontal="center" vertical="center" wrapText="1"/>
    </xf>
    <xf numFmtId="0" fontId="19" fillId="5" borderId="0" xfId="0" applyFont="1" applyFill="1" applyAlignment="1">
      <alignment horizontal="center" vertical="center" wrapText="1"/>
    </xf>
    <xf numFmtId="0" fontId="66" fillId="5" borderId="6" xfId="0" applyFont="1" applyFill="1" applyBorder="1" applyAlignment="1">
      <alignment horizontal="center" vertical="center" wrapText="1"/>
    </xf>
    <xf numFmtId="0" fontId="66" fillId="5" borderId="8" xfId="0" applyFont="1" applyFill="1" applyBorder="1" applyAlignment="1">
      <alignment horizontal="center" vertical="center" wrapText="1"/>
    </xf>
    <xf numFmtId="0" fontId="12" fillId="4" borderId="3" xfId="0" quotePrefix="1" applyFont="1" applyFill="1" applyBorder="1" applyAlignment="1">
      <alignment horizontal="left"/>
    </xf>
    <xf numFmtId="0" fontId="12" fillId="4" borderId="4" xfId="0" quotePrefix="1" applyFont="1" applyFill="1" applyBorder="1" applyAlignment="1">
      <alignment horizontal="left"/>
    </xf>
    <xf numFmtId="0" fontId="28" fillId="4" borderId="0" xfId="0" applyFont="1" applyFill="1" applyAlignment="1">
      <alignment horizontal="right" vertical="center"/>
    </xf>
  </cellXfs>
  <cellStyles count="25">
    <cellStyle name="background-color:White; color:Black; font:font-family:Times New Roman; font-size:10pt; font-weight:bold; font-style:normal; ; font-family:Times New Roman; font-size:10pt; font-weight:bold; font-style:normal; border-collapse:separate; border-left:Black 1px" xfId="10"/>
    <cellStyle name="background-color:White; color:Black; font:font-family:Times New Roman; font-size:10pt; font-weight:normal; font-style:normal; ; font-family:Times New Roman; font-size:10pt; font-weight:normal; font-style:normal; border-collapse:separate; border-left:Black" xfId="11"/>
    <cellStyle name="Comma" xfId="1" builtinId="3"/>
    <cellStyle name="Comma [0] 2" xfId="7"/>
    <cellStyle name="Comma 10" xfId="23"/>
    <cellStyle name="Comma 2" xfId="6"/>
    <cellStyle name="Currency [0] 2" xfId="5"/>
    <cellStyle name="Currency 2" xfId="4"/>
    <cellStyle name="DEFAULT_STYLE" xfId="8"/>
    <cellStyle name="disclaimerStyle" xfId="9"/>
    <cellStyle name="Normal" xfId="0" builtinId="0"/>
    <cellStyle name="Normal 10" xfId="13"/>
    <cellStyle name="Normal 11 4" xfId="16"/>
    <cellStyle name="Normal 18" xfId="18"/>
    <cellStyle name="Normal 19" xfId="14"/>
    <cellStyle name="Normal 2" xfId="2"/>
    <cellStyle name="Normal 2 2" xfId="21"/>
    <cellStyle name="Normal 2 2 2" xfId="19"/>
    <cellStyle name="Normal 2 2 2 2 2" xfId="17"/>
    <cellStyle name="Normal 2 4 2 2" xfId="20"/>
    <cellStyle name="Normal 24" xfId="24"/>
    <cellStyle name="Normal 3 2 2" xfId="22"/>
    <cellStyle name="Normal 5" xfId="15"/>
    <cellStyle name="Normal_QTV DIEN MB DZ110kv-HAI PHONG" xfId="12"/>
    <cellStyle name="Percent 2" xfId="3"/>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xdr:col>
      <xdr:colOff>310599</xdr:colOff>
      <xdr:row>3</xdr:row>
      <xdr:rowOff>0</xdr:rowOff>
    </xdr:from>
    <xdr:to>
      <xdr:col>3</xdr:col>
      <xdr:colOff>685800</xdr:colOff>
      <xdr:row>3</xdr:row>
      <xdr:rowOff>0</xdr:rowOff>
    </xdr:to>
    <xdr:cxnSp macro="">
      <xdr:nvCxnSpPr>
        <xdr:cNvPr id="2" name="Straight Connector 1">
          <a:extLst>
            <a:ext uri="{FF2B5EF4-FFF2-40B4-BE49-F238E27FC236}">
              <a16:creationId xmlns:a16="http://schemas.microsoft.com/office/drawing/2014/main" id="{00000000-0008-0000-0200-000002000000}"/>
            </a:ext>
          </a:extLst>
        </xdr:cNvPr>
        <xdr:cNvCxnSpPr/>
      </xdr:nvCxnSpPr>
      <xdr:spPr>
        <a:xfrm flipV="1">
          <a:off x="701124" y="609600"/>
          <a:ext cx="218495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866775</xdr:colOff>
      <xdr:row>3</xdr:row>
      <xdr:rowOff>9525</xdr:rowOff>
    </xdr:from>
    <xdr:to>
      <xdr:col>6</xdr:col>
      <xdr:colOff>1484700</xdr:colOff>
      <xdr:row>3</xdr:row>
      <xdr:rowOff>9525</xdr:rowOff>
    </xdr:to>
    <xdr:cxnSp macro="">
      <xdr:nvCxnSpPr>
        <xdr:cNvPr id="3" name="Line 3">
          <a:extLst>
            <a:ext uri="{FF2B5EF4-FFF2-40B4-BE49-F238E27FC236}">
              <a16:creationId xmlns:a16="http://schemas.microsoft.com/office/drawing/2014/main" id="{00000000-0008-0000-0200-000003000000}"/>
            </a:ext>
          </a:extLst>
        </xdr:cNvPr>
        <xdr:cNvCxnSpPr>
          <a:cxnSpLocks noChangeShapeType="1"/>
        </xdr:cNvCxnSpPr>
      </xdr:nvCxnSpPr>
      <xdr:spPr bwMode="auto">
        <a:xfrm>
          <a:off x="5905500" y="619125"/>
          <a:ext cx="18466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806450</xdr:colOff>
      <xdr:row>3</xdr:row>
      <xdr:rowOff>7938</xdr:rowOff>
    </xdr:from>
    <xdr:to>
      <xdr:col>2</xdr:col>
      <xdr:colOff>433388</xdr:colOff>
      <xdr:row>3</xdr:row>
      <xdr:rowOff>7938</xdr:rowOff>
    </xdr:to>
    <xdr:cxnSp macro="">
      <xdr:nvCxnSpPr>
        <xdr:cNvPr id="2" name="Straight Connector 1">
          <a:extLst>
            <a:ext uri="{FF2B5EF4-FFF2-40B4-BE49-F238E27FC236}">
              <a16:creationId xmlns:a16="http://schemas.microsoft.com/office/drawing/2014/main" id="{00000000-0008-0000-0600-000002000000}"/>
            </a:ext>
          </a:extLst>
        </xdr:cNvPr>
        <xdr:cNvCxnSpPr/>
      </xdr:nvCxnSpPr>
      <xdr:spPr>
        <a:xfrm>
          <a:off x="1358900" y="617538"/>
          <a:ext cx="112236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131762</xdr:colOff>
      <xdr:row>3</xdr:row>
      <xdr:rowOff>7937</xdr:rowOff>
    </xdr:from>
    <xdr:to>
      <xdr:col>36</xdr:col>
      <xdr:colOff>556012</xdr:colOff>
      <xdr:row>3</xdr:row>
      <xdr:rowOff>7937</xdr:rowOff>
    </xdr:to>
    <xdr:cxnSp macro="">
      <xdr:nvCxnSpPr>
        <xdr:cNvPr id="3" name="Straight Connector 2">
          <a:extLst>
            <a:ext uri="{FF2B5EF4-FFF2-40B4-BE49-F238E27FC236}">
              <a16:creationId xmlns:a16="http://schemas.microsoft.com/office/drawing/2014/main" id="{00000000-0008-0000-0600-000003000000}"/>
            </a:ext>
          </a:extLst>
        </xdr:cNvPr>
        <xdr:cNvCxnSpPr/>
      </xdr:nvCxnSpPr>
      <xdr:spPr>
        <a:xfrm>
          <a:off x="10533062" y="617537"/>
          <a:ext cx="17482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615817</xdr:colOff>
      <xdr:row>3</xdr:row>
      <xdr:rowOff>8282</xdr:rowOff>
    </xdr:from>
    <xdr:to>
      <xdr:col>5</xdr:col>
      <xdr:colOff>99230</xdr:colOff>
      <xdr:row>3</xdr:row>
      <xdr:rowOff>8282</xdr:rowOff>
    </xdr:to>
    <xdr:cxnSp macro="">
      <xdr:nvCxnSpPr>
        <xdr:cNvPr id="2" name="Straight Connector 1">
          <a:extLst>
            <a:ext uri="{FF2B5EF4-FFF2-40B4-BE49-F238E27FC236}">
              <a16:creationId xmlns:a16="http://schemas.microsoft.com/office/drawing/2014/main" id="{00000000-0008-0000-0700-000002000000}"/>
            </a:ext>
          </a:extLst>
        </xdr:cNvPr>
        <xdr:cNvCxnSpPr/>
      </xdr:nvCxnSpPr>
      <xdr:spPr>
        <a:xfrm flipV="1">
          <a:off x="1558792" y="617882"/>
          <a:ext cx="143603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27752</xdr:colOff>
      <xdr:row>3</xdr:row>
      <xdr:rowOff>8282</xdr:rowOff>
    </xdr:from>
    <xdr:to>
      <xdr:col>16</xdr:col>
      <xdr:colOff>49696</xdr:colOff>
      <xdr:row>3</xdr:row>
      <xdr:rowOff>8283</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a:off x="8209727" y="617882"/>
          <a:ext cx="1717394" cy="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1533901</xdr:colOff>
      <xdr:row>2</xdr:row>
      <xdr:rowOff>204111</xdr:rowOff>
    </xdr:from>
    <xdr:to>
      <xdr:col>3</xdr:col>
      <xdr:colOff>759288</xdr:colOff>
      <xdr:row>2</xdr:row>
      <xdr:rowOff>204111</xdr:rowOff>
    </xdr:to>
    <xdr:cxnSp macro="">
      <xdr:nvCxnSpPr>
        <xdr:cNvPr id="2" name="Straight Connector 1">
          <a:extLst>
            <a:ext uri="{FF2B5EF4-FFF2-40B4-BE49-F238E27FC236}">
              <a16:creationId xmlns:a16="http://schemas.microsoft.com/office/drawing/2014/main" id="{00000000-0008-0000-0900-000002000000}"/>
            </a:ext>
          </a:extLst>
        </xdr:cNvPr>
        <xdr:cNvCxnSpPr/>
      </xdr:nvCxnSpPr>
      <xdr:spPr>
        <a:xfrm>
          <a:off x="1705351" y="623211"/>
          <a:ext cx="15875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208105</xdr:colOff>
      <xdr:row>3</xdr:row>
      <xdr:rowOff>10510</xdr:rowOff>
    </xdr:from>
    <xdr:to>
      <xdr:col>29</xdr:col>
      <xdr:colOff>321664</xdr:colOff>
      <xdr:row>3</xdr:row>
      <xdr:rowOff>10510</xdr:rowOff>
    </xdr:to>
    <xdr:cxnSp macro="">
      <xdr:nvCxnSpPr>
        <xdr:cNvPr id="3" name="Straight Connector 2">
          <a:extLst>
            <a:ext uri="{FF2B5EF4-FFF2-40B4-BE49-F238E27FC236}">
              <a16:creationId xmlns:a16="http://schemas.microsoft.com/office/drawing/2014/main" id="{00000000-0008-0000-0900-000003000000}"/>
            </a:ext>
          </a:extLst>
        </xdr:cNvPr>
        <xdr:cNvCxnSpPr/>
      </xdr:nvCxnSpPr>
      <xdr:spPr>
        <a:xfrm>
          <a:off x="18819955" y="639160"/>
          <a:ext cx="168518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536461</xdr:colOff>
      <xdr:row>2</xdr:row>
      <xdr:rowOff>200025</xdr:rowOff>
    </xdr:from>
    <xdr:to>
      <xdr:col>1</xdr:col>
      <xdr:colOff>1868461</xdr:colOff>
      <xdr:row>2</xdr:row>
      <xdr:rowOff>200025</xdr:rowOff>
    </xdr:to>
    <xdr:cxnSp macro="">
      <xdr:nvCxnSpPr>
        <xdr:cNvPr id="2" name="Straight Connector 1">
          <a:extLst>
            <a:ext uri="{FF2B5EF4-FFF2-40B4-BE49-F238E27FC236}">
              <a16:creationId xmlns:a16="http://schemas.microsoft.com/office/drawing/2014/main" id="{00000000-0008-0000-0A00-000002000000}"/>
            </a:ext>
          </a:extLst>
        </xdr:cNvPr>
        <xdr:cNvCxnSpPr/>
      </xdr:nvCxnSpPr>
      <xdr:spPr>
        <a:xfrm flipV="1">
          <a:off x="888886" y="619125"/>
          <a:ext cx="12558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288811</xdr:colOff>
      <xdr:row>3</xdr:row>
      <xdr:rowOff>9525</xdr:rowOff>
    </xdr:from>
    <xdr:to>
      <xdr:col>14</xdr:col>
      <xdr:colOff>282286</xdr:colOff>
      <xdr:row>3</xdr:row>
      <xdr:rowOff>9525</xdr:rowOff>
    </xdr:to>
    <xdr:cxnSp macro="">
      <xdr:nvCxnSpPr>
        <xdr:cNvPr id="3" name="Straight Connector 2">
          <a:extLst>
            <a:ext uri="{FF2B5EF4-FFF2-40B4-BE49-F238E27FC236}">
              <a16:creationId xmlns:a16="http://schemas.microsoft.com/office/drawing/2014/main" id="{00000000-0008-0000-0A00-000003000000}"/>
            </a:ext>
          </a:extLst>
        </xdr:cNvPr>
        <xdr:cNvCxnSpPr/>
      </xdr:nvCxnSpPr>
      <xdr:spPr>
        <a:xfrm flipV="1">
          <a:off x="8470786" y="638175"/>
          <a:ext cx="1669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3</xdr:row>
      <xdr:rowOff>0</xdr:rowOff>
    </xdr:from>
    <xdr:to>
      <xdr:col>4</xdr:col>
      <xdr:colOff>725625</xdr:colOff>
      <xdr:row>3</xdr:row>
      <xdr:rowOff>3</xdr:rowOff>
    </xdr:to>
    <xdr:cxnSp macro="">
      <xdr:nvCxnSpPr>
        <xdr:cNvPr id="2" name="Straight Connector 1">
          <a:extLst>
            <a:ext uri="{FF2B5EF4-FFF2-40B4-BE49-F238E27FC236}">
              <a16:creationId xmlns:a16="http://schemas.microsoft.com/office/drawing/2014/main" id="{00000000-0008-0000-0C00-000002000000}"/>
            </a:ext>
          </a:extLst>
        </xdr:cNvPr>
        <xdr:cNvCxnSpPr/>
      </xdr:nvCxnSpPr>
      <xdr:spPr>
        <a:xfrm flipV="1">
          <a:off x="2190750" y="609600"/>
          <a:ext cx="1344750" cy="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581025</xdr:colOff>
      <xdr:row>3</xdr:row>
      <xdr:rowOff>9525</xdr:rowOff>
    </xdr:from>
    <xdr:to>
      <xdr:col>16</xdr:col>
      <xdr:colOff>657225</xdr:colOff>
      <xdr:row>3</xdr:row>
      <xdr:rowOff>9525</xdr:rowOff>
    </xdr:to>
    <xdr:cxnSp macro="">
      <xdr:nvCxnSpPr>
        <xdr:cNvPr id="3" name="Straight Connector 2">
          <a:extLst>
            <a:ext uri="{FF2B5EF4-FFF2-40B4-BE49-F238E27FC236}">
              <a16:creationId xmlns:a16="http://schemas.microsoft.com/office/drawing/2014/main" id="{00000000-0008-0000-0C00-000003000000}"/>
            </a:ext>
          </a:extLst>
        </xdr:cNvPr>
        <xdr:cNvCxnSpPr/>
      </xdr:nvCxnSpPr>
      <xdr:spPr>
        <a:xfrm flipV="1">
          <a:off x="12458700" y="619125"/>
          <a:ext cx="17716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1.1.11\TochucLD-HCQT\DATABASE\DATABASE_20250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uyennt5/AppData/Local/Temp/20190329125456_13793_VRD_DanhsachTrichngangQuansoThuongxuy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20TCL&#272;\CP%20NHAN%20CONG\PhuongNL5_CPNC\241107\TONG%20HOP%20PHAN%20BO\VHT_Phan%20bo%20CPNC%20T10-11.2024_CHOT_OK_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sheetName val="1.BAOCAO"/>
      <sheetName val="2.DATABASE"/>
      <sheetName val="3.HOANCONG"/>
      <sheetName val="4.CTV"/>
      <sheetName val="5.CPQL"/>
      <sheetName val="OS_TH"/>
      <sheetName val="OS_K3"/>
      <sheetName val="Quy luong 2025"/>
      <sheetName val="LIS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18">
          <cell r="C18" t="str">
            <v>001986</v>
          </cell>
          <cell r="D18" t="str">
            <v>Nguyễn Đình Chiến</v>
          </cell>
          <cell r="E18" t="str">
            <v>Khối cơ quan - Viện NCPT</v>
          </cell>
          <cell r="F18" t="str">
            <v>Ban Giám đốc</v>
          </cell>
          <cell r="G18" t="str">
            <v>Thủ trưởng đơn vị</v>
          </cell>
          <cell r="H18" t="str">
            <v>Đại tá</v>
          </cell>
          <cell r="I18" t="str">
            <v>Cán bộ quản lý</v>
          </cell>
          <cell r="J18" t="str">
            <v>Viện Trưởng</v>
          </cell>
        </row>
        <row r="19">
          <cell r="C19" t="str">
            <v>003971</v>
          </cell>
          <cell r="D19" t="str">
            <v>Vũ Tuấn Anh</v>
          </cell>
          <cell r="E19" t="str">
            <v>Khối cơ quan - Viện NCPT</v>
          </cell>
          <cell r="F19" t="str">
            <v>Ban Giám đốc</v>
          </cell>
          <cell r="G19" t="str">
            <v>Thủ trưởng đơn vị</v>
          </cell>
          <cell r="H19" t="str">
            <v>Đại úy CN</v>
          </cell>
          <cell r="I19" t="str">
            <v>Cán bộ quản lý</v>
          </cell>
          <cell r="J19" t="str">
            <v>Phó Viện trưởng</v>
          </cell>
        </row>
        <row r="20">
          <cell r="C20" t="str">
            <v>063766</v>
          </cell>
          <cell r="D20" t="str">
            <v>Nguyễn Vũ Hà</v>
          </cell>
          <cell r="E20" t="str">
            <v>Khối cơ quan - Viện NCPT</v>
          </cell>
          <cell r="F20" t="str">
            <v>Ban Giám đốc</v>
          </cell>
          <cell r="G20" t="str">
            <v>Thủ trưởng đơn vị</v>
          </cell>
          <cell r="H20" t="str">
            <v>Thiếu tá</v>
          </cell>
          <cell r="I20" t="str">
            <v>Cán bộ quản lý</v>
          </cell>
          <cell r="J20" t="str">
            <v>Phó Viện trưởng</v>
          </cell>
        </row>
        <row r="21">
          <cell r="C21" t="str">
            <v>086357</v>
          </cell>
          <cell r="D21" t="str">
            <v>Bùi Hồng Thái</v>
          </cell>
          <cell r="E21" t="str">
            <v>Khối cơ quan - Viện NCPT</v>
          </cell>
          <cell r="F21" t="str">
            <v>Ban Giám đốc</v>
          </cell>
          <cell r="G21" t="str">
            <v>Thủ trưởng đơn vị</v>
          </cell>
          <cell r="H21" t="str">
            <v>Đại tá NLL1</v>
          </cell>
          <cell r="I21" t="str">
            <v>Cán bộ quản lý</v>
          </cell>
          <cell r="J21" t="str">
            <v>Phó Viện trưởng</v>
          </cell>
        </row>
        <row r="22">
          <cell r="D22" t="str">
            <v>Phòng Tổ chức lao động</v>
          </cell>
        </row>
        <row r="23">
          <cell r="D23" t="str">
            <v>Phụ trách phòng</v>
          </cell>
        </row>
        <row r="24">
          <cell r="C24" t="str">
            <v>058985</v>
          </cell>
          <cell r="D24" t="str">
            <v>Lê Triều Dương</v>
          </cell>
          <cell r="E24" t="str">
            <v>Khối cơ quan - Viện NCPT</v>
          </cell>
          <cell r="F24" t="str">
            <v>Phòng Tổ chức lao động</v>
          </cell>
          <cell r="G24" t="str">
            <v>Phụ trách phòng</v>
          </cell>
          <cell r="H24" t="str">
            <v>Thiếu tá</v>
          </cell>
          <cell r="I24" t="str">
            <v>Cán bộ quản lý</v>
          </cell>
          <cell r="J24" t="str">
            <v>Trưởng phòng</v>
          </cell>
        </row>
        <row r="25">
          <cell r="C25" t="str">
            <v>087345</v>
          </cell>
          <cell r="D25" t="str">
            <v>Nguyễn Thị Thúy Điệp</v>
          </cell>
          <cell r="E25" t="str">
            <v>Khối cơ quan - Viện NCPT</v>
          </cell>
          <cell r="F25" t="str">
            <v>Phòng Tổ chức lao động</v>
          </cell>
          <cell r="G25" t="str">
            <v>Phụ trách phòng</v>
          </cell>
          <cell r="H25" t="str">
            <v>Hợp đồng lao động</v>
          </cell>
          <cell r="I25" t="str">
            <v>Quân lực quản lý</v>
          </cell>
          <cell r="J25" t="str">
            <v>Phó trưởng phòng</v>
          </cell>
        </row>
        <row r="26">
          <cell r="D26" t="str">
            <v>Ban Tiền lương - Chính sách</v>
          </cell>
        </row>
        <row r="27">
          <cell r="C27" t="str">
            <v>101396</v>
          </cell>
          <cell r="D27" t="str">
            <v>Hoàng Thị Việt Hà</v>
          </cell>
          <cell r="E27" t="str">
            <v>Khối cơ quan - Viện NCPT</v>
          </cell>
          <cell r="F27" t="str">
            <v>Phòng Tổ chức lao động</v>
          </cell>
          <cell r="G27" t="str">
            <v>Ban Tiền lương - Chính sách</v>
          </cell>
          <cell r="H27" t="str">
            <v>Hợp đồng lao động</v>
          </cell>
          <cell r="I27" t="str">
            <v>Quân lực quản lý</v>
          </cell>
          <cell r="J27" t="str">
            <v>Nhân viên Tiền lương</v>
          </cell>
        </row>
        <row r="28">
          <cell r="C28" t="str">
            <v>120521</v>
          </cell>
          <cell r="D28" t="str">
            <v>Lưu Thu Phương</v>
          </cell>
          <cell r="E28" t="str">
            <v>Khối cơ quan - Viện NCPT</v>
          </cell>
          <cell r="F28" t="str">
            <v>Phòng Tổ chức lao động</v>
          </cell>
          <cell r="G28" t="str">
            <v>Ban Tiền lương - Chính sách</v>
          </cell>
          <cell r="H28" t="str">
            <v>CNVQP</v>
          </cell>
          <cell r="I28" t="str">
            <v>Quân lực quản lý</v>
          </cell>
          <cell r="J28" t="str">
            <v>Nhân viên Chính sách</v>
          </cell>
        </row>
        <row r="29">
          <cell r="D29" t="str">
            <v>Ban Tổ chức biên chế</v>
          </cell>
        </row>
        <row r="30">
          <cell r="C30" t="str">
            <v>106797</v>
          </cell>
          <cell r="D30" t="str">
            <v>Hồ Thủy Linh</v>
          </cell>
          <cell r="E30" t="str">
            <v>Khối cơ quan - Viện NCPT</v>
          </cell>
          <cell r="F30" t="str">
            <v>Phòng Tổ chức lao động</v>
          </cell>
          <cell r="G30" t="str">
            <v>Ban Tổ chức biên chế</v>
          </cell>
          <cell r="H30" t="str">
            <v>Hợp đồng lao động</v>
          </cell>
          <cell r="I30" t="str">
            <v>Quân lực quản lý</v>
          </cell>
          <cell r="J30" t="str">
            <v>Nhân viên  Tuyển dụng</v>
          </cell>
        </row>
        <row r="31">
          <cell r="C31" t="str">
            <v>176115</v>
          </cell>
          <cell r="D31" t="str">
            <v>Trần Trà Linh</v>
          </cell>
          <cell r="E31" t="str">
            <v>Khối cơ quan - Viện NCPT</v>
          </cell>
          <cell r="F31" t="str">
            <v>Phòng Tổ chức lao động</v>
          </cell>
          <cell r="G31" t="str">
            <v>Ban Tổ chức biên chế</v>
          </cell>
          <cell r="H31" t="str">
            <v>Hợp đồng lao động</v>
          </cell>
          <cell r="I31" t="str">
            <v>Quân lực quản lý</v>
          </cell>
          <cell r="J31" t="str">
            <v>Nhân viên  Tuyển dụng</v>
          </cell>
        </row>
        <row r="32">
          <cell r="D32" t="str">
            <v>Ban Đào tạo_Quân số</v>
          </cell>
        </row>
        <row r="33">
          <cell r="C33" t="str">
            <v>091256</v>
          </cell>
          <cell r="D33" t="str">
            <v>Nguyễn Thị Duyên</v>
          </cell>
          <cell r="E33" t="str">
            <v>Khối cơ quan - Viện NCPT</v>
          </cell>
          <cell r="F33" t="str">
            <v>Phòng Tổ chức lao động</v>
          </cell>
          <cell r="G33" t="str">
            <v>Ban Đào tạo_Quân số</v>
          </cell>
          <cell r="H33" t="str">
            <v>Thượng úy</v>
          </cell>
          <cell r="I33" t="str">
            <v>Cán bộ quản lý</v>
          </cell>
          <cell r="J33" t="str">
            <v>Trưởng ban</v>
          </cell>
        </row>
        <row r="34">
          <cell r="C34" t="str">
            <v>087116</v>
          </cell>
          <cell r="D34" t="str">
            <v>Vũ Đức Giang</v>
          </cell>
          <cell r="E34" t="str">
            <v>Khối cơ quan - Viện NCPT</v>
          </cell>
          <cell r="F34" t="str">
            <v>Phòng Tổ chức lao động</v>
          </cell>
          <cell r="G34" t="str">
            <v>Ban Đào tạo_Quân số</v>
          </cell>
          <cell r="H34" t="str">
            <v>Hợp đồng lao động</v>
          </cell>
          <cell r="I34" t="str">
            <v>Quân lực quản lý</v>
          </cell>
          <cell r="J34" t="str">
            <v>Nhân viên  Quân số</v>
          </cell>
        </row>
        <row r="35">
          <cell r="D35" t="str">
            <v>Phòng Chính trị</v>
          </cell>
        </row>
        <row r="36">
          <cell r="D36" t="str">
            <v>Phụ trách phòng</v>
          </cell>
        </row>
        <row r="37">
          <cell r="C37" t="str">
            <v>090016</v>
          </cell>
          <cell r="D37" t="str">
            <v>Dương Đình Hải</v>
          </cell>
          <cell r="E37" t="str">
            <v>Khối cơ quan - Viện NCPT</v>
          </cell>
          <cell r="F37" t="str">
            <v>Phòng Chính trị</v>
          </cell>
          <cell r="G37" t="str">
            <v>Phụ trách phòng</v>
          </cell>
          <cell r="H37" t="str">
            <v>Thiếu tá</v>
          </cell>
          <cell r="I37" t="str">
            <v>Cán bộ quản lý</v>
          </cell>
          <cell r="J37" t="str">
            <v>Trưởng phòng</v>
          </cell>
        </row>
        <row r="38">
          <cell r="D38" t="str">
            <v>Trợ lý nghiệp vụ</v>
          </cell>
        </row>
        <row r="39">
          <cell r="C39" t="str">
            <v>086369</v>
          </cell>
          <cell r="D39" t="str">
            <v>Đặng Thị Mai Hương</v>
          </cell>
          <cell r="E39" t="str">
            <v>Khối cơ quan - Viện NCPT</v>
          </cell>
          <cell r="F39" t="str">
            <v>Phòng Chính trị</v>
          </cell>
          <cell r="G39" t="str">
            <v>Trợ lý nghiệp vụ</v>
          </cell>
          <cell r="H39" t="str">
            <v>Đại úy CN</v>
          </cell>
          <cell r="I39" t="str">
            <v>Quân lực quản lý</v>
          </cell>
          <cell r="J39" t="str">
            <v>Trợ lý tổ chức cán bộ</v>
          </cell>
        </row>
        <row r="40">
          <cell r="C40" t="str">
            <v>087327</v>
          </cell>
          <cell r="D40" t="str">
            <v>Nguyễn Thanh Tâm</v>
          </cell>
          <cell r="E40" t="str">
            <v>Khối cơ quan - Viện NCPT</v>
          </cell>
          <cell r="F40" t="str">
            <v>Phòng Chính trị</v>
          </cell>
          <cell r="G40" t="str">
            <v>Trợ lý nghiệp vụ</v>
          </cell>
          <cell r="H40" t="str">
            <v>Hợp đồng lao động</v>
          </cell>
          <cell r="I40" t="str">
            <v>Quân lực quản lý</v>
          </cell>
          <cell r="J40" t="str">
            <v>Trợ lý bảo vệ an ninh</v>
          </cell>
        </row>
        <row r="41">
          <cell r="C41" t="str">
            <v>099456</v>
          </cell>
          <cell r="D41" t="str">
            <v>Phan Thanh Long</v>
          </cell>
          <cell r="E41" t="str">
            <v>Khối cơ quan - Viện NCPT</v>
          </cell>
          <cell r="F41" t="str">
            <v>Phòng Chính trị</v>
          </cell>
          <cell r="G41" t="str">
            <v>Trợ lý nghiệp vụ</v>
          </cell>
          <cell r="H41" t="str">
            <v>Trung tá</v>
          </cell>
          <cell r="I41" t="str">
            <v>Cán bộ quản lý</v>
          </cell>
          <cell r="J41" t="str">
            <v>Trợ lý bảo vệ an ninh</v>
          </cell>
        </row>
        <row r="42">
          <cell r="C42" t="str">
            <v>102997</v>
          </cell>
          <cell r="D42" t="str">
            <v>Nguyễn Hồng Phúc</v>
          </cell>
          <cell r="E42" t="str">
            <v>Khối cơ quan - Viện NCPT</v>
          </cell>
          <cell r="F42" t="str">
            <v>Phòng Chính trị</v>
          </cell>
          <cell r="G42" t="str">
            <v>Trợ lý nghiệp vụ</v>
          </cell>
          <cell r="H42" t="str">
            <v>Hợp đồng lao động</v>
          </cell>
          <cell r="I42" t="str">
            <v>Quân lực quản lý</v>
          </cell>
          <cell r="J42" t="str">
            <v>Trợ lý Tuyên huấn</v>
          </cell>
        </row>
        <row r="43">
          <cell r="D43" t="str">
            <v xml:space="preserve">Phòng Tài chính </v>
          </cell>
        </row>
        <row r="44">
          <cell r="D44" t="str">
            <v>Phụ trách phòng</v>
          </cell>
        </row>
        <row r="45">
          <cell r="C45" t="str">
            <v>056683</v>
          </cell>
          <cell r="D45" t="str">
            <v>Nguyễn Thị Phương Thảo</v>
          </cell>
          <cell r="E45" t="str">
            <v>Khối cơ quan - Viện NCPT</v>
          </cell>
          <cell r="F45" t="str">
            <v xml:space="preserve">Phòng Tài chính </v>
          </cell>
          <cell r="G45" t="str">
            <v>Phụ trách phòng</v>
          </cell>
          <cell r="H45" t="str">
            <v>Thiếu tá CN</v>
          </cell>
          <cell r="I45" t="str">
            <v>Quân lực quản lý</v>
          </cell>
          <cell r="J45" t="str">
            <v>Trưởng phòng</v>
          </cell>
        </row>
        <row r="46">
          <cell r="C46" t="str">
            <v>013652</v>
          </cell>
          <cell r="D46" t="str">
            <v>Đinh Thị Quỳnh Hoa</v>
          </cell>
          <cell r="E46" t="str">
            <v>Khối cơ quan - Viện NCPT</v>
          </cell>
          <cell r="F46" t="str">
            <v xml:space="preserve">Phòng Tài chính </v>
          </cell>
          <cell r="G46" t="str">
            <v>Phụ trách phòng</v>
          </cell>
          <cell r="H46" t="str">
            <v>CNVQP</v>
          </cell>
          <cell r="I46" t="str">
            <v>Quân lực quản lý</v>
          </cell>
          <cell r="J46" t="str">
            <v>Phó trưởng phòng</v>
          </cell>
        </row>
        <row r="47">
          <cell r="D47" t="str">
            <v>Ban Tổng hợp</v>
          </cell>
        </row>
        <row r="48">
          <cell r="C48" t="str">
            <v>017247</v>
          </cell>
          <cell r="D48" t="str">
            <v>Cao Thị Lệ Thúy</v>
          </cell>
          <cell r="E48" t="str">
            <v>Khối cơ quan - Viện NCPT</v>
          </cell>
          <cell r="F48" t="str">
            <v xml:space="preserve">Phòng Tài chính </v>
          </cell>
          <cell r="G48" t="str">
            <v>Ban Tổng hợp</v>
          </cell>
          <cell r="H48" t="str">
            <v>Hợp đồng lao động</v>
          </cell>
          <cell r="I48" t="str">
            <v>Quân lực quản lý</v>
          </cell>
          <cell r="J48" t="str">
            <v>Kế toán tổng hợp</v>
          </cell>
        </row>
        <row r="49">
          <cell r="C49" t="str">
            <v>066587</v>
          </cell>
          <cell r="D49" t="str">
            <v>Nguyễn Thị Thu Dung</v>
          </cell>
          <cell r="E49" t="str">
            <v>Khối cơ quan - Viện NCPT</v>
          </cell>
          <cell r="F49" t="str">
            <v xml:space="preserve">Phòng Tài chính </v>
          </cell>
          <cell r="G49" t="str">
            <v>Ban Tổng hợp</v>
          </cell>
          <cell r="H49" t="str">
            <v>CNVQP</v>
          </cell>
          <cell r="I49" t="str">
            <v>Quân lực quản lý</v>
          </cell>
          <cell r="J49" t="str">
            <v>Kế toán tổng hợp</v>
          </cell>
        </row>
        <row r="50">
          <cell r="C50" t="str">
            <v>077845</v>
          </cell>
          <cell r="D50" t="str">
            <v>Vũ Thị Ánh Liên</v>
          </cell>
          <cell r="E50" t="str">
            <v>Khối cơ quan - Viện NCPT</v>
          </cell>
          <cell r="F50" t="str">
            <v xml:space="preserve">Phòng Tài chính </v>
          </cell>
          <cell r="G50" t="str">
            <v>Ban Tổng hợp</v>
          </cell>
          <cell r="H50" t="str">
            <v>Hợp đồng lao động</v>
          </cell>
          <cell r="I50" t="str">
            <v>Quân lực quản lý</v>
          </cell>
          <cell r="J50" t="str">
            <v>Kế toán tổng hợp</v>
          </cell>
        </row>
        <row r="51">
          <cell r="C51" t="str">
            <v>130168</v>
          </cell>
          <cell r="D51" t="str">
            <v>Lê Thị Thùy Linh</v>
          </cell>
          <cell r="E51" t="str">
            <v>Khối cơ quan - Viện NCPT</v>
          </cell>
          <cell r="F51" t="str">
            <v xml:space="preserve">Phòng Tài chính </v>
          </cell>
          <cell r="G51" t="str">
            <v>Ban Tổng hợp</v>
          </cell>
          <cell r="H51" t="str">
            <v>Hợp đồng lao động</v>
          </cell>
          <cell r="I51" t="str">
            <v>Quân lực quản lý</v>
          </cell>
          <cell r="J51" t="str">
            <v>Kế toán tổng hợp</v>
          </cell>
        </row>
        <row r="52">
          <cell r="D52" t="str">
            <v>Ban doanh thu, chi phí SXKD</v>
          </cell>
        </row>
        <row r="53">
          <cell r="C53" t="str">
            <v>005583</v>
          </cell>
          <cell r="D53" t="str">
            <v>Trần Công Minh</v>
          </cell>
          <cell r="E53" t="str">
            <v>Khối cơ quan - Viện NCPT</v>
          </cell>
          <cell r="F53" t="str">
            <v xml:space="preserve">Phòng Tài chính </v>
          </cell>
          <cell r="G53" t="str">
            <v>Ban doanh thu, chi phí SXKD</v>
          </cell>
          <cell r="H53" t="str">
            <v>CNVQP</v>
          </cell>
          <cell r="I53" t="str">
            <v>Quân lực quản lý</v>
          </cell>
          <cell r="J53" t="str">
            <v>Trưởng ban</v>
          </cell>
        </row>
        <row r="54">
          <cell r="D54" t="str">
            <v>Ban thanh toán quỹ KHCN, tiền lương, thuế</v>
          </cell>
        </row>
        <row r="55">
          <cell r="C55" t="str">
            <v>087226</v>
          </cell>
          <cell r="D55" t="str">
            <v>Cao Thanh Hoa</v>
          </cell>
          <cell r="E55" t="str">
            <v>Khối cơ quan - Viện NCPT</v>
          </cell>
          <cell r="F55" t="str">
            <v xml:space="preserve">Phòng Tài chính </v>
          </cell>
          <cell r="G55" t="str">
            <v>Ban thanh toán quỹ KHCN, tiền lương, thuế</v>
          </cell>
          <cell r="H55" t="str">
            <v>Hợp đồng lao động</v>
          </cell>
          <cell r="I55" t="str">
            <v>Quân lực quản lý</v>
          </cell>
          <cell r="J55" t="str">
            <v>Trưởng ban</v>
          </cell>
        </row>
        <row r="56">
          <cell r="D56" t="str">
            <v>Phòng Khoa học công nghệ</v>
          </cell>
        </row>
        <row r="57">
          <cell r="D57" t="str">
            <v>Phụ trách phòng</v>
          </cell>
        </row>
        <row r="58">
          <cell r="C58" t="str">
            <v>004011</v>
          </cell>
          <cell r="D58" t="str">
            <v>Phan Thanh Trung</v>
          </cell>
          <cell r="E58" t="str">
            <v>Khối cơ quan - Viện NCPT</v>
          </cell>
          <cell r="F58" t="str">
            <v>Phòng Khoa học công nghệ</v>
          </cell>
          <cell r="G58" t="str">
            <v>Phụ trách phòng</v>
          </cell>
          <cell r="H58" t="str">
            <v>Đại úy CN</v>
          </cell>
          <cell r="I58" t="str">
            <v>Quân lực quản lý</v>
          </cell>
          <cell r="J58" t="str">
            <v>Trưởng phòng</v>
          </cell>
        </row>
        <row r="59">
          <cell r="C59" t="str">
            <v>004010</v>
          </cell>
          <cell r="D59" t="str">
            <v>Nguyễn Ngọc Quang</v>
          </cell>
          <cell r="E59" t="str">
            <v>Khối cơ quan - Viện NCPT</v>
          </cell>
          <cell r="F59" t="str">
            <v>Phòng Khoa học công nghệ</v>
          </cell>
          <cell r="G59" t="str">
            <v>Phụ trách phòng</v>
          </cell>
          <cell r="H59" t="str">
            <v>Hợp đồng lao động</v>
          </cell>
          <cell r="I59" t="str">
            <v>Quân lực quản lý</v>
          </cell>
          <cell r="J59" t="str">
            <v>Phó Trưởng phòng</v>
          </cell>
        </row>
        <row r="60">
          <cell r="D60" t="str">
            <v>Ban Kỹ thuật công nghệ</v>
          </cell>
        </row>
        <row r="61">
          <cell r="C61" t="str">
            <v>088318</v>
          </cell>
          <cell r="D61" t="str">
            <v>Lê Anh Dũng</v>
          </cell>
          <cell r="E61" t="str">
            <v>Khối cơ quan - Viện NCPT</v>
          </cell>
          <cell r="F61" t="str">
            <v>Phòng Khoa học công nghệ</v>
          </cell>
          <cell r="G61" t="str">
            <v>Ban Kỹ thuật công nghệ</v>
          </cell>
          <cell r="H61" t="str">
            <v>Thiếu tá CN</v>
          </cell>
          <cell r="I61" t="str">
            <v>Quân lực quản lý</v>
          </cell>
          <cell r="J61" t="str">
            <v>Trưởng ban</v>
          </cell>
        </row>
        <row r="62">
          <cell r="C62" t="str">
            <v>019690</v>
          </cell>
          <cell r="D62" t="str">
            <v>Kiều Ngọc Ánh</v>
          </cell>
          <cell r="E62" t="str">
            <v>Khối cơ quan - Viện NCPT</v>
          </cell>
          <cell r="F62" t="str">
            <v>Phòng Khoa học công nghệ</v>
          </cell>
          <cell r="G62" t="str">
            <v>Ban Kỹ thuật công nghệ</v>
          </cell>
          <cell r="H62" t="str">
            <v>Hợp đồng lao động</v>
          </cell>
          <cell r="I62" t="str">
            <v>Quân lực quản lý</v>
          </cell>
          <cell r="J62" t="str">
            <v>Chuyên viên kỹ thuật</v>
          </cell>
        </row>
        <row r="63">
          <cell r="C63" t="str">
            <v>122352</v>
          </cell>
          <cell r="D63" t="str">
            <v>Trần Anh Đức</v>
          </cell>
          <cell r="E63" t="str">
            <v>Khối cơ quan - Viện NCPT</v>
          </cell>
          <cell r="F63" t="str">
            <v>Phòng Khoa học công nghệ</v>
          </cell>
          <cell r="G63" t="str">
            <v>Ban Kỹ thuật công nghệ</v>
          </cell>
          <cell r="H63" t="str">
            <v>Hợp đồng lao động</v>
          </cell>
          <cell r="I63" t="str">
            <v>Quân lực quản lý</v>
          </cell>
          <cell r="J63" t="str">
            <v>Chuyên viên kỹ thuật</v>
          </cell>
        </row>
        <row r="64">
          <cell r="D64" t="str">
            <v>Ban Hợp tác Quốc tế và sở hữu trí tuệ</v>
          </cell>
        </row>
        <row r="65">
          <cell r="C65" t="str">
            <v>087320</v>
          </cell>
          <cell r="D65" t="str">
            <v>Trần Thị Thu Hà</v>
          </cell>
          <cell r="E65" t="str">
            <v>Khối cơ quan - Viện NCPT</v>
          </cell>
          <cell r="F65" t="str">
            <v>Phòng Khoa học công nghệ</v>
          </cell>
          <cell r="G65" t="str">
            <v>Ban Hợp tác Quốc tế và sở hữu trí tuệ</v>
          </cell>
          <cell r="H65" t="str">
            <v>Hợp đồng lao động</v>
          </cell>
          <cell r="I65" t="str">
            <v>Quân lực quản lý</v>
          </cell>
          <cell r="J65" t="str">
            <v>Nhân viên Hợp tác quốc tế và Sở hữu trí tuệ</v>
          </cell>
        </row>
        <row r="66">
          <cell r="D66" t="str">
            <v>Ban Tổng hợp, đóng đề tài</v>
          </cell>
        </row>
        <row r="67">
          <cell r="C67" t="str">
            <v>056957</v>
          </cell>
          <cell r="D67" t="str">
            <v>Hoàng Thị Kim Thoa</v>
          </cell>
          <cell r="E67" t="str">
            <v>Khối cơ quan - Viện NCPT</v>
          </cell>
          <cell r="F67" t="str">
            <v>Phòng Khoa học công nghệ</v>
          </cell>
          <cell r="G67" t="str">
            <v>Ban Tổng hợp, đóng đề tài</v>
          </cell>
          <cell r="H67" t="str">
            <v>Hợp đồng lao động</v>
          </cell>
          <cell r="I67" t="str">
            <v>Quân lực quản lý</v>
          </cell>
          <cell r="J67" t="str">
            <v>Chuyên viên hoàn thiện hồ sơ đóng đề tài</v>
          </cell>
        </row>
        <row r="68">
          <cell r="C68" t="str">
            <v>088317</v>
          </cell>
          <cell r="D68" t="str">
            <v>Dương Thị Anh Thư</v>
          </cell>
          <cell r="E68" t="str">
            <v>Khối cơ quan - Viện NCPT</v>
          </cell>
          <cell r="F68" t="str">
            <v>Phòng Khoa học công nghệ</v>
          </cell>
          <cell r="G68" t="str">
            <v>Ban Tổng hợp, đóng đề tài</v>
          </cell>
          <cell r="H68" t="str">
            <v>Hợp đồng lao động</v>
          </cell>
          <cell r="I68" t="str">
            <v>Quân lực quản lý</v>
          </cell>
          <cell r="J68" t="str">
            <v>Chuyên viên SKYT, quản lý hồ sơ</v>
          </cell>
        </row>
        <row r="69">
          <cell r="C69" t="str">
            <v>135908</v>
          </cell>
          <cell r="D69" t="str">
            <v>Nguyễn Việt Đức</v>
          </cell>
          <cell r="E69" t="str">
            <v>Khối cơ quan - Viện NCPT</v>
          </cell>
          <cell r="F69" t="str">
            <v>Phòng Khoa học công nghệ</v>
          </cell>
          <cell r="G69" t="str">
            <v>Ban Tổng hợp, đóng đề tài</v>
          </cell>
          <cell r="H69" t="str">
            <v>Hợp đồng lao động</v>
          </cell>
          <cell r="I69" t="str">
            <v>Quân lực quản lý</v>
          </cell>
          <cell r="J69" t="str">
            <v>Chuyên viên hoàn thiện hồ sơ đóng đề tài</v>
          </cell>
        </row>
        <row r="70">
          <cell r="D70" t="str">
            <v>Ban Quản lý đề tài</v>
          </cell>
        </row>
        <row r="71">
          <cell r="C71" t="str">
            <v>122633</v>
          </cell>
          <cell r="D71" t="str">
            <v>Nguyễn Hải Thanh</v>
          </cell>
          <cell r="E71" t="str">
            <v>Khối cơ quan - Viện NCPT</v>
          </cell>
          <cell r="F71" t="str">
            <v>Phòng Khoa học công nghệ</v>
          </cell>
          <cell r="G71" t="str">
            <v>Ban Quản lý đề tài</v>
          </cell>
          <cell r="H71" t="str">
            <v>Thiếu tá</v>
          </cell>
          <cell r="I71" t="str">
            <v>Cán bộ quản lý</v>
          </cell>
          <cell r="J71" t="str">
            <v>Trưởng ban</v>
          </cell>
        </row>
        <row r="72">
          <cell r="C72" t="str">
            <v>056955</v>
          </cell>
          <cell r="D72" t="str">
            <v>Lê Thị Hải Yến</v>
          </cell>
          <cell r="E72" t="str">
            <v>Khối cơ quan - Viện NCPT</v>
          </cell>
          <cell r="F72" t="str">
            <v>Phòng Khoa học công nghệ</v>
          </cell>
          <cell r="G72" t="str">
            <v>Ban Quản lý đề tài</v>
          </cell>
          <cell r="H72" t="str">
            <v>Hợp đồng lao động</v>
          </cell>
          <cell r="I72" t="str">
            <v>Quân lực quản lý</v>
          </cell>
          <cell r="J72" t="str">
            <v>Nhân viên Quản lý đề tài</v>
          </cell>
        </row>
        <row r="73">
          <cell r="D73" t="str">
            <v>Ban AT ANTT</v>
          </cell>
        </row>
        <row r="74">
          <cell r="C74" t="str">
            <v>011576</v>
          </cell>
          <cell r="D74" t="str">
            <v>Hoàng Anh Tuấn</v>
          </cell>
          <cell r="E74" t="str">
            <v>Khối cơ quan - Viện NCPT</v>
          </cell>
          <cell r="F74" t="str">
            <v>Phòng Khoa học công nghệ</v>
          </cell>
          <cell r="G74" t="str">
            <v>Ban AT ANTT</v>
          </cell>
          <cell r="H74" t="str">
            <v>Hợp đồng lao động</v>
          </cell>
          <cell r="I74" t="str">
            <v>Quân lực quản lý</v>
          </cell>
          <cell r="J74" t="str">
            <v>Nhân viên ANTT</v>
          </cell>
        </row>
        <row r="75">
          <cell r="D75" t="str">
            <v>Phòng Đầu tư</v>
          </cell>
        </row>
        <row r="76">
          <cell r="D76" t="str">
            <v>Phụ trách phòng</v>
          </cell>
        </row>
        <row r="77">
          <cell r="C77" t="str">
            <v>004040</v>
          </cell>
          <cell r="D77" t="str">
            <v>Vũ Thị Dương Hùng Hoàn</v>
          </cell>
          <cell r="E77" t="str">
            <v>Khối cơ quan - Viện NCPT</v>
          </cell>
          <cell r="F77" t="str">
            <v>Phòng Đầu tư</v>
          </cell>
          <cell r="G77" t="str">
            <v>Phụ trách phòng</v>
          </cell>
          <cell r="H77" t="str">
            <v>Đại úy CN</v>
          </cell>
          <cell r="I77" t="str">
            <v>Quân lực quản lý</v>
          </cell>
          <cell r="J77" t="str">
            <v>Trưởng phòng</v>
          </cell>
        </row>
        <row r="78">
          <cell r="D78" t="str">
            <v>Ban Thẩm định</v>
          </cell>
        </row>
        <row r="79">
          <cell r="C79" t="str">
            <v>045197</v>
          </cell>
          <cell r="D79" t="str">
            <v>Nguyễn Hồng Đa Linh</v>
          </cell>
          <cell r="E79" t="str">
            <v>Khối cơ quan - Viện NCPT</v>
          </cell>
          <cell r="F79" t="str">
            <v>Phòng Đầu tư</v>
          </cell>
          <cell r="G79" t="str">
            <v>Ban Thẩm định</v>
          </cell>
          <cell r="H79" t="str">
            <v>Hợp đồng lao động</v>
          </cell>
          <cell r="I79" t="str">
            <v>Quân lực quản lý</v>
          </cell>
          <cell r="J79" t="str">
            <v>Trưởng ban</v>
          </cell>
        </row>
        <row r="80">
          <cell r="C80" t="str">
            <v>014913</v>
          </cell>
          <cell r="D80" t="str">
            <v>Trần Thị Hồng Nhung</v>
          </cell>
          <cell r="E80" t="str">
            <v>Khối cơ quan - Viện NCPT</v>
          </cell>
          <cell r="F80" t="str">
            <v>Phòng Đầu tư</v>
          </cell>
          <cell r="G80" t="str">
            <v>Ban Thẩm định</v>
          </cell>
          <cell r="H80" t="str">
            <v>Đại úy CN</v>
          </cell>
          <cell r="I80" t="str">
            <v>Quân lực quản lý</v>
          </cell>
          <cell r="J80" t="str">
            <v>Nhân viên thẩm định</v>
          </cell>
        </row>
        <row r="81">
          <cell r="C81" t="str">
            <v>047483</v>
          </cell>
          <cell r="D81" t="str">
            <v>Võ Kim Chi</v>
          </cell>
          <cell r="E81" t="str">
            <v>Khối cơ quan - Viện NCPT</v>
          </cell>
          <cell r="F81" t="str">
            <v>Phòng Đầu tư</v>
          </cell>
          <cell r="G81" t="str">
            <v>Ban Thẩm định</v>
          </cell>
          <cell r="H81" t="str">
            <v>Hợp đồng lao động</v>
          </cell>
          <cell r="I81" t="str">
            <v>Quân lực quản lý</v>
          </cell>
          <cell r="J81" t="str">
            <v>Nhân viên thẩm định</v>
          </cell>
        </row>
        <row r="82">
          <cell r="C82" t="str">
            <v>123644</v>
          </cell>
          <cell r="D82" t="str">
            <v>Hà Thị Thu Hằng</v>
          </cell>
          <cell r="E82" t="str">
            <v>Khối cơ quan - Viện NCPT</v>
          </cell>
          <cell r="F82" t="str">
            <v>Phòng Đầu tư</v>
          </cell>
          <cell r="G82" t="str">
            <v>Ban Thẩm định</v>
          </cell>
          <cell r="H82" t="str">
            <v>Hợp đồng lao động</v>
          </cell>
          <cell r="I82" t="str">
            <v>Quân lực quản lý</v>
          </cell>
          <cell r="J82" t="str">
            <v>Nhân viên thẩm định</v>
          </cell>
        </row>
        <row r="83">
          <cell r="D83" t="str">
            <v>Ban Đấu thầu</v>
          </cell>
        </row>
        <row r="84">
          <cell r="C84" t="str">
            <v>130928</v>
          </cell>
          <cell r="D84" t="str">
            <v>Phùng Thành Nam</v>
          </cell>
          <cell r="E84" t="str">
            <v>Khối cơ quan - Viện NCPT</v>
          </cell>
          <cell r="F84" t="str">
            <v>Phòng Đầu tư</v>
          </cell>
          <cell r="G84" t="str">
            <v>Ban Đấu thầu</v>
          </cell>
          <cell r="H84" t="str">
            <v>Hợp đồng lao động</v>
          </cell>
          <cell r="I84" t="str">
            <v>Quân lực quản lý</v>
          </cell>
          <cell r="J84" t="str">
            <v>Nhân viên quản lý đấu thầu</v>
          </cell>
        </row>
        <row r="85">
          <cell r="D85" t="str">
            <v>Phòng Kế hoạch</v>
          </cell>
        </row>
        <row r="86">
          <cell r="D86" t="str">
            <v>Phụ trách phòng</v>
          </cell>
        </row>
        <row r="87">
          <cell r="C87" t="str">
            <v>004012</v>
          </cell>
          <cell r="D87" t="str">
            <v>Tống Thanh Sơn</v>
          </cell>
          <cell r="E87" t="str">
            <v>Khối cơ quan - Viện NCPT</v>
          </cell>
          <cell r="F87" t="str">
            <v>Phòng Kế hoạch</v>
          </cell>
          <cell r="G87" t="str">
            <v>Phụ trách phòng</v>
          </cell>
          <cell r="H87" t="str">
            <v>Đại úy CN</v>
          </cell>
          <cell r="I87" t="str">
            <v>Quân lực quản lý</v>
          </cell>
          <cell r="J87" t="str">
            <v>Trưởng phòng</v>
          </cell>
        </row>
        <row r="88">
          <cell r="C88" t="str">
            <v>119258</v>
          </cell>
          <cell r="D88" t="str">
            <v>Nguyễn Văn Nghĩa</v>
          </cell>
          <cell r="E88" t="str">
            <v>Khối cơ quan - Viện NCPT</v>
          </cell>
          <cell r="F88" t="str">
            <v>Phòng Kế hoạch</v>
          </cell>
          <cell r="G88" t="str">
            <v>Phụ trách phòng</v>
          </cell>
          <cell r="H88" t="str">
            <v>Thượng tá</v>
          </cell>
          <cell r="I88" t="str">
            <v>Cán bộ quản lý</v>
          </cell>
          <cell r="J88" t="str">
            <v>Phó Trưởng phòng</v>
          </cell>
        </row>
        <row r="89">
          <cell r="D89" t="str">
            <v>Ban Kế hoạch tổng hợp</v>
          </cell>
        </row>
        <row r="90">
          <cell r="C90" t="str">
            <v>094059</v>
          </cell>
          <cell r="D90" t="str">
            <v>Trịnh Minh Tuynh Tú</v>
          </cell>
          <cell r="E90" t="str">
            <v>Khối cơ quan - Viện NCPT</v>
          </cell>
          <cell r="F90" t="str">
            <v>Phòng Kế hoạch</v>
          </cell>
          <cell r="G90" t="str">
            <v>Ban Kế hoạch tổng hợp</v>
          </cell>
          <cell r="H90" t="str">
            <v>Hợp đồng lao động</v>
          </cell>
          <cell r="I90" t="str">
            <v>Quân lực quản lý</v>
          </cell>
          <cell r="J90" t="str">
            <v>Trưởng ban</v>
          </cell>
        </row>
        <row r="91">
          <cell r="C91" t="str">
            <v>008878</v>
          </cell>
          <cell r="D91" t="str">
            <v>Hoàng Phương Linh</v>
          </cell>
          <cell r="E91" t="str">
            <v>Khối cơ quan - Viện NCPT</v>
          </cell>
          <cell r="F91" t="str">
            <v>Phòng Kế hoạch</v>
          </cell>
          <cell r="G91" t="str">
            <v>Ban Kế hoạch tổng hợp</v>
          </cell>
          <cell r="H91" t="str">
            <v>Hợp đồng lao động</v>
          </cell>
          <cell r="I91" t="str">
            <v>Quân lực quản lý</v>
          </cell>
          <cell r="J91" t="str">
            <v>Nhân viên kế hoạch</v>
          </cell>
        </row>
        <row r="92">
          <cell r="C92" t="str">
            <v>121979</v>
          </cell>
          <cell r="D92" t="str">
            <v>Vũ Thị Quỳnh Thu</v>
          </cell>
          <cell r="E92" t="str">
            <v>Khối cơ quan - Viện NCPT</v>
          </cell>
          <cell r="F92" t="str">
            <v>Phòng Kế hoạch</v>
          </cell>
          <cell r="G92" t="str">
            <v>Ban Kế hoạch tổng hợp</v>
          </cell>
          <cell r="H92" t="str">
            <v>Hợp đồng lao động</v>
          </cell>
          <cell r="I92" t="str">
            <v>Quân lực quản lý</v>
          </cell>
          <cell r="J92" t="str">
            <v>Nhân viên kế hoạch</v>
          </cell>
        </row>
        <row r="93">
          <cell r="D93" t="str">
            <v>Ban Quản lý sản xuất</v>
          </cell>
        </row>
        <row r="94">
          <cell r="C94" t="str">
            <v>094057</v>
          </cell>
          <cell r="D94" t="str">
            <v>Bùi Quang Trung</v>
          </cell>
          <cell r="E94" t="str">
            <v>Khối cơ quan - Viện NCPT</v>
          </cell>
          <cell r="F94" t="str">
            <v>Phòng Kế hoạch</v>
          </cell>
          <cell r="G94" t="str">
            <v>Ban Quản lý sản xuất</v>
          </cell>
          <cell r="H94" t="str">
            <v>Hợp đồng lao động</v>
          </cell>
          <cell r="I94" t="str">
            <v>Quân lực quản lý</v>
          </cell>
          <cell r="J94" t="str">
            <v>Nhân viên Quản lý sản xuất</v>
          </cell>
        </row>
        <row r="95">
          <cell r="D95" t="str">
            <v>Ban Quản lý tài sản-Kho</v>
          </cell>
        </row>
        <row r="96">
          <cell r="C96" t="str">
            <v>060786</v>
          </cell>
          <cell r="D96" t="str">
            <v>Nguyễn Thị Đoan Trang</v>
          </cell>
          <cell r="E96" t="str">
            <v>Khối cơ quan - Viện NCPT</v>
          </cell>
          <cell r="F96" t="str">
            <v>Phòng Kế hoạch</v>
          </cell>
          <cell r="G96" t="str">
            <v>Ban Quản lý tài sản-Kho</v>
          </cell>
          <cell r="H96" t="str">
            <v>Hợp đồng lao động</v>
          </cell>
          <cell r="I96" t="str">
            <v>Quân lực quản lý</v>
          </cell>
          <cell r="J96" t="str">
            <v>Trưởng ban</v>
          </cell>
        </row>
        <row r="97">
          <cell r="C97" t="str">
            <v>108598</v>
          </cell>
          <cell r="D97" t="str">
            <v>Tống Thị Thùy Linh</v>
          </cell>
          <cell r="E97" t="str">
            <v>Khối cơ quan - Viện NCPT</v>
          </cell>
          <cell r="F97" t="str">
            <v>Phòng Kế hoạch</v>
          </cell>
          <cell r="G97" t="str">
            <v>Ban Quản lý tài sản-Kho</v>
          </cell>
          <cell r="H97" t="str">
            <v>Hợp đồng lao động</v>
          </cell>
          <cell r="I97" t="str">
            <v>Quân lực quản lý</v>
          </cell>
          <cell r="J97" t="str">
            <v>Nhân viên Quản lý tài sản</v>
          </cell>
        </row>
        <row r="98">
          <cell r="C98" t="str">
            <v>118760</v>
          </cell>
          <cell r="D98" t="str">
            <v>Nguyễn Thị Linh</v>
          </cell>
          <cell r="E98" t="str">
            <v>Khối cơ quan - Viện NCPT</v>
          </cell>
          <cell r="F98" t="str">
            <v>Phòng Kế hoạch</v>
          </cell>
          <cell r="G98" t="str">
            <v>Ban Quản lý tài sản-Kho</v>
          </cell>
          <cell r="H98" t="str">
            <v>Hợp đồng lao động</v>
          </cell>
          <cell r="I98" t="str">
            <v>Quân lực quản lý</v>
          </cell>
          <cell r="J98" t="str">
            <v>Nhân viên Quản lý tài sản</v>
          </cell>
        </row>
        <row r="99">
          <cell r="C99" t="str">
            <v>123200</v>
          </cell>
          <cell r="D99" t="str">
            <v>Phạm Thị Hải Hà</v>
          </cell>
          <cell r="E99" t="str">
            <v>Khối cơ quan - Viện NCPT</v>
          </cell>
          <cell r="F99" t="str">
            <v>Phòng Kế hoạch</v>
          </cell>
          <cell r="G99" t="str">
            <v>Ban Quản lý tài sản-Kho</v>
          </cell>
          <cell r="H99" t="str">
            <v>Hợp đồng lao động</v>
          </cell>
          <cell r="I99" t="str">
            <v>Quân lực quản lý</v>
          </cell>
          <cell r="J99" t="str">
            <v>Nhân viên Quản lý tài sản</v>
          </cell>
        </row>
        <row r="100">
          <cell r="D100" t="str">
            <v>Phòng Hành chính</v>
          </cell>
        </row>
        <row r="101">
          <cell r="D101" t="str">
            <v>Phụ trách phòng</v>
          </cell>
        </row>
        <row r="102">
          <cell r="C102" t="str">
            <v>003993</v>
          </cell>
          <cell r="D102" t="str">
            <v>Tăng Trường Sơn</v>
          </cell>
          <cell r="E102" t="str">
            <v>Khối cơ quan - Viện NCPT</v>
          </cell>
          <cell r="F102" t="str">
            <v>Phòng Hành chính</v>
          </cell>
          <cell r="G102" t="str">
            <v>Phụ trách phòng</v>
          </cell>
          <cell r="H102" t="str">
            <v>Đại úy</v>
          </cell>
          <cell r="I102" t="str">
            <v>Cán bộ quản lý</v>
          </cell>
          <cell r="J102" t="str">
            <v>Trưởng phòng</v>
          </cell>
        </row>
        <row r="103">
          <cell r="C103" t="str">
            <v>001618</v>
          </cell>
          <cell r="D103" t="str">
            <v>Nguyễn Thị Hiên</v>
          </cell>
          <cell r="E103" t="str">
            <v>Khối cơ quan - Viện NCPT</v>
          </cell>
          <cell r="F103" t="str">
            <v>Phòng Hành chính</v>
          </cell>
          <cell r="G103" t="str">
            <v>Phụ trách phòng</v>
          </cell>
          <cell r="H103" t="str">
            <v>Đại úy CN</v>
          </cell>
          <cell r="I103" t="str">
            <v>Quân lực quản lý</v>
          </cell>
          <cell r="J103" t="str">
            <v>Phó trưởng phòng</v>
          </cell>
        </row>
        <row r="104">
          <cell r="D104" t="str">
            <v>Ban Hành chính</v>
          </cell>
        </row>
        <row r="105">
          <cell r="C105" t="str">
            <v>064531</v>
          </cell>
          <cell r="D105" t="str">
            <v>Nguyễn Thị Thu Huyền</v>
          </cell>
          <cell r="E105" t="str">
            <v>Khối cơ quan - Viện NCPT</v>
          </cell>
          <cell r="F105" t="str">
            <v>Phòng Hành chính</v>
          </cell>
          <cell r="G105" t="str">
            <v>Ban Hành chính</v>
          </cell>
          <cell r="H105" t="str">
            <v>Hợp đồng lao động</v>
          </cell>
          <cell r="I105" t="str">
            <v>Quân lực quản lý</v>
          </cell>
          <cell r="J105" t="str">
            <v>Nhân viên nấu ăn</v>
          </cell>
        </row>
        <row r="106">
          <cell r="C106" t="str">
            <v>149094</v>
          </cell>
          <cell r="D106" t="str">
            <v>Nguyễn Thị Lan Anh</v>
          </cell>
          <cell r="E106" t="str">
            <v>Khối cơ quan - Viện NCPT</v>
          </cell>
          <cell r="F106" t="str">
            <v>Phòng Hành chính</v>
          </cell>
          <cell r="G106" t="str">
            <v>Ban Hành chính</v>
          </cell>
          <cell r="H106" t="str">
            <v>Hợp đồng lao động</v>
          </cell>
          <cell r="I106" t="str">
            <v>Quân lực quản lý</v>
          </cell>
          <cell r="J106" t="str">
            <v>Nhân viên nấu ăn</v>
          </cell>
        </row>
        <row r="107">
          <cell r="C107" t="str">
            <v>059925</v>
          </cell>
          <cell r="D107" t="str">
            <v>Phi Thu Trang</v>
          </cell>
          <cell r="E107" t="str">
            <v>Khối cơ quan - Viện NCPT</v>
          </cell>
          <cell r="F107" t="str">
            <v>Phòng Hành chính</v>
          </cell>
          <cell r="G107" t="str">
            <v>Ban Hành chính</v>
          </cell>
          <cell r="H107" t="str">
            <v>Hợp đồng lao động</v>
          </cell>
          <cell r="I107" t="str">
            <v>Quân lực quản lý</v>
          </cell>
          <cell r="J107" t="str">
            <v>Trưởng ban</v>
          </cell>
        </row>
        <row r="108">
          <cell r="C108" t="str">
            <v>062524</v>
          </cell>
          <cell r="D108" t="str">
            <v>Trần Hồng Sơn</v>
          </cell>
          <cell r="E108" t="str">
            <v>Khối cơ quan - Viện NCPT</v>
          </cell>
          <cell r="F108" t="str">
            <v>Phòng Hành chính</v>
          </cell>
          <cell r="G108" t="str">
            <v>Ban Hành chính</v>
          </cell>
          <cell r="H108" t="str">
            <v>Trung úy CN</v>
          </cell>
          <cell r="I108" t="str">
            <v>Quân lực quản lý</v>
          </cell>
          <cell r="J108" t="str">
            <v>Nhân viên Quân y</v>
          </cell>
        </row>
        <row r="109">
          <cell r="C109" t="str">
            <v>105236</v>
          </cell>
          <cell r="D109" t="str">
            <v>Nguyễn Thị Thu Hường</v>
          </cell>
          <cell r="E109" t="str">
            <v>Khối cơ quan - Viện NCPT</v>
          </cell>
          <cell r="F109" t="str">
            <v>Phòng Hành chính</v>
          </cell>
          <cell r="G109" t="str">
            <v>Ban Hành chính</v>
          </cell>
          <cell r="H109" t="str">
            <v>Hợp đồng lao động</v>
          </cell>
          <cell r="I109" t="str">
            <v>Quân lực quản lý</v>
          </cell>
          <cell r="J109" t="str">
            <v>Nhân viên Hành chính</v>
          </cell>
        </row>
        <row r="110">
          <cell r="C110" t="str">
            <v>122429</v>
          </cell>
          <cell r="D110" t="str">
            <v>Phạm Thị Ngọc Khanh</v>
          </cell>
          <cell r="E110" t="str">
            <v>Khối cơ quan - Viện NCPT</v>
          </cell>
          <cell r="F110" t="str">
            <v>Phòng Hành chính</v>
          </cell>
          <cell r="G110" t="str">
            <v>Ban Hành chính</v>
          </cell>
          <cell r="H110" t="str">
            <v>Hợp đồng lao động</v>
          </cell>
          <cell r="I110" t="str">
            <v>Quân lực quản lý</v>
          </cell>
          <cell r="J110" t="str">
            <v>Nhân viên Quân y</v>
          </cell>
        </row>
        <row r="111">
          <cell r="C111" t="str">
            <v>186937</v>
          </cell>
          <cell r="D111" t="str">
            <v>Nguyễn Thị Huyền Trang</v>
          </cell>
          <cell r="E111" t="str">
            <v>Khối cơ quan - Viện NCPT</v>
          </cell>
          <cell r="F111" t="str">
            <v>Phòng Hành chính</v>
          </cell>
          <cell r="G111" t="str">
            <v>Ban Hành chính</v>
          </cell>
          <cell r="H111" t="str">
            <v>Hợp đồng lao động</v>
          </cell>
          <cell r="I111" t="str">
            <v>Quân lực quản lý</v>
          </cell>
          <cell r="J111" t="str">
            <v>Nhân viên hành chính</v>
          </cell>
        </row>
        <row r="112">
          <cell r="D112" t="str">
            <v>Ban Văn thư đối ngoại</v>
          </cell>
        </row>
        <row r="113">
          <cell r="C113" t="str">
            <v>059666</v>
          </cell>
          <cell r="D113" t="str">
            <v>Lê Thị Cẩm Bình</v>
          </cell>
          <cell r="E113" t="str">
            <v>Khối cơ quan - Viện NCPT</v>
          </cell>
          <cell r="F113" t="str">
            <v>Phòng Hành chính</v>
          </cell>
          <cell r="G113" t="str">
            <v>Ban Văn thư đối ngoại</v>
          </cell>
          <cell r="H113" t="str">
            <v>Hợp đồng lao động</v>
          </cell>
          <cell r="I113" t="str">
            <v>Quân lực quản lý</v>
          </cell>
          <cell r="J113" t="str">
            <v>Trưởng ban</v>
          </cell>
        </row>
        <row r="114">
          <cell r="C114" t="str">
            <v>001615</v>
          </cell>
          <cell r="D114" t="str">
            <v>Đỗ Đức Ánh</v>
          </cell>
          <cell r="E114" t="str">
            <v>Khối cơ quan - Viện NCPT</v>
          </cell>
          <cell r="F114" t="str">
            <v>Phòng Hành chính</v>
          </cell>
          <cell r="G114" t="str">
            <v>Ban Văn thư đối ngoại</v>
          </cell>
          <cell r="H114" t="str">
            <v>CNVQP</v>
          </cell>
          <cell r="I114" t="str">
            <v>Quân lực quản lý</v>
          </cell>
          <cell r="J114" t="str">
            <v>Nhân viên Đối ngoại</v>
          </cell>
        </row>
        <row r="115">
          <cell r="C115" t="str">
            <v>181034</v>
          </cell>
          <cell r="D115" t="str">
            <v>Thái Thị Trang</v>
          </cell>
          <cell r="E115" t="str">
            <v>Khối cơ quan - Viện NCPT</v>
          </cell>
          <cell r="F115" t="str">
            <v>Phòng Hành chính</v>
          </cell>
          <cell r="G115" t="str">
            <v>Ban Văn thư đối ngoại</v>
          </cell>
          <cell r="H115" t="str">
            <v>Hợp đồng lao động</v>
          </cell>
          <cell r="I115" t="str">
            <v>Quân lực quản lý</v>
          </cell>
          <cell r="J115" t="str">
            <v>Nhân viên Văn thư</v>
          </cell>
        </row>
        <row r="116">
          <cell r="D116" t="str">
            <v>Ban Hạ tầng</v>
          </cell>
        </row>
        <row r="117">
          <cell r="C117" t="str">
            <v>066815</v>
          </cell>
          <cell r="D117" t="str">
            <v>Nguyễn Hoài Hà</v>
          </cell>
          <cell r="E117" t="str">
            <v>Khối cơ quan - Viện NCPT</v>
          </cell>
          <cell r="F117" t="str">
            <v>Phòng Hành chính</v>
          </cell>
          <cell r="G117" t="str">
            <v>Ban Hạ tầng</v>
          </cell>
          <cell r="H117" t="str">
            <v>Hợp đồng lao động</v>
          </cell>
          <cell r="I117" t="str">
            <v>Quân lực quản lý</v>
          </cell>
          <cell r="J117" t="str">
            <v>Kỹ sư xây dựng.</v>
          </cell>
        </row>
        <row r="118">
          <cell r="C118" t="str">
            <v>106416</v>
          </cell>
          <cell r="D118" t="str">
            <v>Lê Thị Phương Lan</v>
          </cell>
          <cell r="E118" t="str">
            <v>Khối cơ quan - Viện NCPT</v>
          </cell>
          <cell r="F118" t="str">
            <v>Phòng Hành chính</v>
          </cell>
          <cell r="G118" t="str">
            <v>Ban Hạ tầng</v>
          </cell>
          <cell r="H118" t="str">
            <v>CNVQP</v>
          </cell>
          <cell r="I118" t="str">
            <v>Quân lực quản lý</v>
          </cell>
          <cell r="J118" t="str">
            <v>Kỹ sư xây dựng.</v>
          </cell>
        </row>
        <row r="119">
          <cell r="C119" t="str">
            <v>171733</v>
          </cell>
          <cell r="D119" t="str">
            <v>Phạm Huy Hoàng</v>
          </cell>
          <cell r="E119" t="str">
            <v>Khối cơ quan - Viện NCPT</v>
          </cell>
          <cell r="F119" t="str">
            <v>Phòng Hành chính</v>
          </cell>
          <cell r="G119" t="str">
            <v>Ban Hạ tầng</v>
          </cell>
          <cell r="H119" t="str">
            <v>Hợp đồng lao động</v>
          </cell>
          <cell r="I119" t="str">
            <v>Quân lực quản lý</v>
          </cell>
          <cell r="J119" t="str">
            <v>Kỹ sư xây dựng.</v>
          </cell>
        </row>
        <row r="120">
          <cell r="D120" t="str">
            <v>Ban Đảm bảo kỹ thuật hạ tầng</v>
          </cell>
        </row>
        <row r="121">
          <cell r="C121" t="str">
            <v>003994</v>
          </cell>
          <cell r="D121" t="str">
            <v>Đinh Ngọc Kỳ Sơn</v>
          </cell>
          <cell r="E121" t="str">
            <v>Khối cơ quan - Viện NCPT</v>
          </cell>
          <cell r="F121" t="str">
            <v>Phòng Hành chính</v>
          </cell>
          <cell r="G121" t="str">
            <v>Ban Đảm bảo kỹ thuật hạ tầng</v>
          </cell>
          <cell r="H121" t="str">
            <v>CNVQP</v>
          </cell>
          <cell r="I121" t="str">
            <v>Quân lực quản lý</v>
          </cell>
          <cell r="J121" t="str">
            <v>Trưởng ban</v>
          </cell>
        </row>
        <row r="122">
          <cell r="C122" t="str">
            <v>087330</v>
          </cell>
          <cell r="D122" t="str">
            <v>Cao Xuân Dũng</v>
          </cell>
          <cell r="E122" t="str">
            <v>Khối cơ quan - Viện NCPT</v>
          </cell>
          <cell r="F122" t="str">
            <v>Phòng Hành chính</v>
          </cell>
          <cell r="G122" t="str">
            <v>Ban Đảm bảo kỹ thuật hạ tầng</v>
          </cell>
          <cell r="H122" t="str">
            <v>Hợp đồng lao động</v>
          </cell>
          <cell r="I122" t="str">
            <v>Quân lực quản lý</v>
          </cell>
          <cell r="J122" t="str">
            <v>Nhân viện Điện, nước</v>
          </cell>
        </row>
        <row r="123">
          <cell r="D123" t="str">
            <v>Đội vệ binh</v>
          </cell>
        </row>
        <row r="124">
          <cell r="C124" t="str">
            <v>006109</v>
          </cell>
          <cell r="D124" t="str">
            <v>Lê Việt Hùng</v>
          </cell>
          <cell r="E124" t="str">
            <v>Khối cơ quan - Viện NCPT</v>
          </cell>
          <cell r="F124" t="str">
            <v>Phòng Hành chính</v>
          </cell>
          <cell r="G124" t="str">
            <v>Đội vệ binh</v>
          </cell>
          <cell r="H124" t="str">
            <v>Hợp đồng lao động</v>
          </cell>
          <cell r="I124" t="str">
            <v>Quân lực quản lý</v>
          </cell>
          <cell r="J124" t="str">
            <v>Nhân viên bảo vệ/ Vệ binh</v>
          </cell>
        </row>
        <row r="125">
          <cell r="C125" t="str">
            <v>007617</v>
          </cell>
          <cell r="D125" t="str">
            <v>Nguyễn Hữu Mạnh</v>
          </cell>
          <cell r="E125" t="str">
            <v>Khối cơ quan - Viện NCPT</v>
          </cell>
          <cell r="F125" t="str">
            <v>Phòng Hành chính</v>
          </cell>
          <cell r="G125" t="str">
            <v>Đội vệ binh</v>
          </cell>
          <cell r="H125" t="str">
            <v>Trung úy CN</v>
          </cell>
          <cell r="I125" t="str">
            <v>Quân lực quản lý</v>
          </cell>
          <cell r="J125" t="str">
            <v>Nhân viên bảo vệ/ Vệ binh</v>
          </cell>
        </row>
        <row r="126">
          <cell r="C126" t="str">
            <v>057063</v>
          </cell>
          <cell r="D126" t="str">
            <v>Mai Xuân Trình</v>
          </cell>
          <cell r="E126" t="str">
            <v>Khối cơ quan - Viện NCPT</v>
          </cell>
          <cell r="F126" t="str">
            <v>Phòng Hành chính</v>
          </cell>
          <cell r="G126" t="str">
            <v>Đội vệ binh</v>
          </cell>
          <cell r="H126" t="str">
            <v>Trung úy CN</v>
          </cell>
          <cell r="I126" t="str">
            <v>Quân lực quản lý</v>
          </cell>
          <cell r="J126" t="str">
            <v>Nhân viên bảo vệ/ Vệ binh</v>
          </cell>
        </row>
        <row r="127">
          <cell r="C127" t="str">
            <v>060562</v>
          </cell>
          <cell r="D127" t="str">
            <v>Phạm Văn Dân</v>
          </cell>
          <cell r="E127" t="str">
            <v>Khối cơ quan - Viện NCPT</v>
          </cell>
          <cell r="F127" t="str">
            <v>Phòng Hành chính</v>
          </cell>
          <cell r="G127" t="str">
            <v>Đội vệ binh</v>
          </cell>
          <cell r="H127" t="str">
            <v>Trung úy CN</v>
          </cell>
          <cell r="I127" t="str">
            <v>Quân lực quản lý</v>
          </cell>
          <cell r="J127" t="str">
            <v>Nhân viên bảo vệ/ Vệ binh</v>
          </cell>
        </row>
        <row r="128">
          <cell r="C128" t="str">
            <v>071249</v>
          </cell>
          <cell r="D128" t="str">
            <v>Nguyễn Quang Thời</v>
          </cell>
          <cell r="E128" t="str">
            <v>Khối cơ quan - Viện NCPT</v>
          </cell>
          <cell r="F128" t="str">
            <v>Phòng Hành chính</v>
          </cell>
          <cell r="G128" t="str">
            <v>Đội vệ binh</v>
          </cell>
          <cell r="H128" t="str">
            <v>Thượng úy CN</v>
          </cell>
          <cell r="I128" t="str">
            <v>Quân lực quản lý</v>
          </cell>
          <cell r="J128" t="str">
            <v>Nhân viên bảo vệ/ Vệ binh</v>
          </cell>
        </row>
        <row r="129">
          <cell r="C129" t="str">
            <v>078231</v>
          </cell>
          <cell r="D129" t="str">
            <v>Lê Thọ Lộc</v>
          </cell>
          <cell r="E129" t="str">
            <v>Khối cơ quan - Viện NCPT</v>
          </cell>
          <cell r="F129" t="str">
            <v>Phòng Hành chính</v>
          </cell>
          <cell r="G129" t="str">
            <v>Đội vệ binh</v>
          </cell>
          <cell r="H129" t="str">
            <v>Thiếu tá</v>
          </cell>
          <cell r="I129" t="str">
            <v>Cán bộ quản lý</v>
          </cell>
          <cell r="J129" t="str">
            <v>Nhân viên bảo vệ/ Vệ binh</v>
          </cell>
        </row>
        <row r="130">
          <cell r="C130" t="str">
            <v>086638</v>
          </cell>
          <cell r="D130" t="str">
            <v>Nguyễn Quang Hưng</v>
          </cell>
          <cell r="E130" t="str">
            <v>Khối cơ quan - Viện NCPT</v>
          </cell>
          <cell r="F130" t="str">
            <v>Phòng Hành chính</v>
          </cell>
          <cell r="G130" t="str">
            <v>Đội vệ binh</v>
          </cell>
          <cell r="H130" t="str">
            <v>Thượng úy CN</v>
          </cell>
          <cell r="I130" t="str">
            <v>Quân lực quản lý</v>
          </cell>
          <cell r="J130" t="str">
            <v>Nhân viên bảo vệ/ Vệ binh</v>
          </cell>
        </row>
        <row r="131">
          <cell r="C131" t="str">
            <v>093576</v>
          </cell>
          <cell r="D131" t="str">
            <v>Nguyễn Doãn Hóa</v>
          </cell>
          <cell r="E131" t="str">
            <v>Khối cơ quan - Viện NCPT</v>
          </cell>
          <cell r="F131" t="str">
            <v>Phòng Hành chính</v>
          </cell>
          <cell r="G131" t="str">
            <v>Đội vệ binh</v>
          </cell>
          <cell r="H131" t="str">
            <v>Trung úy CN</v>
          </cell>
          <cell r="I131" t="str">
            <v>Quân lực quản lý</v>
          </cell>
          <cell r="J131" t="str">
            <v>Nhân viên bảo vệ/ Vệ binh</v>
          </cell>
        </row>
        <row r="132">
          <cell r="C132" t="str">
            <v>119695</v>
          </cell>
          <cell r="D132" t="str">
            <v>Nguyễn Hữu Hùng</v>
          </cell>
          <cell r="E132" t="str">
            <v>Khối cơ quan - Viện NCPT</v>
          </cell>
          <cell r="F132" t="str">
            <v>Phòng Hành chính</v>
          </cell>
          <cell r="G132" t="str">
            <v>Đội vệ binh</v>
          </cell>
          <cell r="H132" t="str">
            <v>Trung úy CN</v>
          </cell>
          <cell r="I132" t="str">
            <v>Quân lực quản lý</v>
          </cell>
          <cell r="J132" t="str">
            <v>Nhân viên bảo vệ/ Vệ binh</v>
          </cell>
        </row>
        <row r="133">
          <cell r="C133" t="str">
            <v>121621</v>
          </cell>
          <cell r="D133" t="str">
            <v>Nguyễn Đình Duy</v>
          </cell>
          <cell r="E133" t="str">
            <v>Khối cơ quan - Viện NCPT</v>
          </cell>
          <cell r="F133" t="str">
            <v>Phòng Hành chính</v>
          </cell>
          <cell r="G133" t="str">
            <v>Đội vệ binh</v>
          </cell>
          <cell r="H133" t="str">
            <v>Hợp đồng lao động</v>
          </cell>
          <cell r="I133" t="str">
            <v>Quân lực quản lý</v>
          </cell>
          <cell r="J133" t="str">
            <v>Nhân viên bảo vệ/ Vệ binh</v>
          </cell>
        </row>
        <row r="134">
          <cell r="C134" t="str">
            <v>122150</v>
          </cell>
          <cell r="D134" t="str">
            <v>Hoàng Văn Dũng</v>
          </cell>
          <cell r="E134" t="str">
            <v>Khối cơ quan - Viện NCPT</v>
          </cell>
          <cell r="F134" t="str">
            <v>Phòng Hành chính</v>
          </cell>
          <cell r="G134" t="str">
            <v>Đội vệ binh</v>
          </cell>
          <cell r="H134" t="str">
            <v>Hợp đồng lao động</v>
          </cell>
          <cell r="I134" t="str">
            <v>Quân lực quản lý</v>
          </cell>
          <cell r="J134" t="str">
            <v>Nhân viên bảo vệ/ Vệ binh</v>
          </cell>
        </row>
        <row r="135">
          <cell r="C135" t="str">
            <v>122152</v>
          </cell>
          <cell r="D135" t="str">
            <v>Nguyễn Quốc Dựng</v>
          </cell>
          <cell r="E135" t="str">
            <v>Khối cơ quan - Viện NCPT</v>
          </cell>
          <cell r="F135" t="str">
            <v>Phòng Hành chính</v>
          </cell>
          <cell r="G135" t="str">
            <v>Đội vệ binh</v>
          </cell>
          <cell r="H135" t="str">
            <v>Hợp đồng lao động</v>
          </cell>
          <cell r="I135" t="str">
            <v>Quân lực quản lý</v>
          </cell>
          <cell r="J135" t="str">
            <v>Nhân viên bảo vệ/ Vệ binh</v>
          </cell>
        </row>
        <row r="136">
          <cell r="C136" t="str">
            <v>122158</v>
          </cell>
          <cell r="D136" t="str">
            <v>Lường Văn Thắng</v>
          </cell>
          <cell r="E136" t="str">
            <v>Khối cơ quan - Viện NCPT</v>
          </cell>
          <cell r="F136" t="str">
            <v>Phòng Hành chính</v>
          </cell>
          <cell r="G136" t="str">
            <v>Đội vệ binh</v>
          </cell>
          <cell r="H136" t="str">
            <v>Hợp đồng lao động</v>
          </cell>
          <cell r="I136" t="str">
            <v>Quân lực quản lý</v>
          </cell>
          <cell r="J136" t="str">
            <v>Nhân viên bảo vệ/ Vệ binh</v>
          </cell>
        </row>
        <row r="137">
          <cell r="C137" t="str">
            <v>128508</v>
          </cell>
          <cell r="D137" t="str">
            <v>Tống Công Viện</v>
          </cell>
          <cell r="E137" t="str">
            <v>Khối cơ quan - Viện NCPT</v>
          </cell>
          <cell r="F137" t="str">
            <v>Phòng Hành chính</v>
          </cell>
          <cell r="G137" t="str">
            <v>Đội vệ binh</v>
          </cell>
          <cell r="H137" t="str">
            <v>Thiếu úy CN</v>
          </cell>
          <cell r="I137" t="str">
            <v>Quân lực quản lý</v>
          </cell>
          <cell r="J137" t="str">
            <v>Nhân viên bảo vệ/ Vệ binh</v>
          </cell>
        </row>
        <row r="138">
          <cell r="C138" t="str">
            <v>138929</v>
          </cell>
          <cell r="D138" t="str">
            <v>Nguyễn Quang Đông</v>
          </cell>
          <cell r="E138" t="str">
            <v>Khối cơ quan - Viện NCPT</v>
          </cell>
          <cell r="F138" t="str">
            <v>Phòng Hành chính</v>
          </cell>
          <cell r="G138" t="str">
            <v>Đội vệ binh</v>
          </cell>
          <cell r="H138" t="str">
            <v>Trung úy CN</v>
          </cell>
          <cell r="I138" t="str">
            <v>Quân lực quản lý</v>
          </cell>
          <cell r="J138" t="str">
            <v>Nhân viên bảo vệ/ Vệ binh</v>
          </cell>
        </row>
        <row r="139">
          <cell r="C139" t="str">
            <v>143653</v>
          </cell>
          <cell r="D139" t="str">
            <v>Bùi Văn Tý</v>
          </cell>
          <cell r="E139" t="str">
            <v>Khối cơ quan - Viện NCPT</v>
          </cell>
          <cell r="F139" t="str">
            <v>Phòng Hành chính</v>
          </cell>
          <cell r="G139" t="str">
            <v>Đội vệ binh</v>
          </cell>
          <cell r="H139" t="str">
            <v>Hợp đồng lao động</v>
          </cell>
          <cell r="I139" t="str">
            <v>Quân lực quản lý</v>
          </cell>
          <cell r="J139" t="str">
            <v>Nhân viên bảo vệ/ Vệ binh</v>
          </cell>
        </row>
        <row r="140">
          <cell r="C140" t="str">
            <v>163293</v>
          </cell>
          <cell r="D140" t="str">
            <v>Nguyễn Văn Bình</v>
          </cell>
          <cell r="E140" t="str">
            <v>Khối cơ quan - Viện NCPT</v>
          </cell>
          <cell r="F140" t="str">
            <v>Phòng Hành chính</v>
          </cell>
          <cell r="G140" t="str">
            <v>Đội vệ binh</v>
          </cell>
          <cell r="H140" t="str">
            <v>Trung úy CN</v>
          </cell>
          <cell r="I140" t="str">
            <v>Quân lực quản lý</v>
          </cell>
          <cell r="J140" t="str">
            <v>Nhân viên bảo vệ/ Vệ binh</v>
          </cell>
        </row>
        <row r="141">
          <cell r="D141" t="str">
            <v>Đội xe</v>
          </cell>
        </row>
        <row r="142">
          <cell r="C142" t="str">
            <v>008886</v>
          </cell>
          <cell r="D142" t="str">
            <v>Phạm Tiến Dũng</v>
          </cell>
          <cell r="E142" t="str">
            <v>Khối cơ quan - Viện NCPT</v>
          </cell>
          <cell r="F142" t="str">
            <v>Phòng Hành chính</v>
          </cell>
          <cell r="G142" t="str">
            <v>Đội xe</v>
          </cell>
          <cell r="H142" t="str">
            <v>Trung úy CN</v>
          </cell>
          <cell r="I142" t="str">
            <v>Quân lực quản lý</v>
          </cell>
          <cell r="J142" t="str">
            <v>Đội trưởng</v>
          </cell>
        </row>
        <row r="143">
          <cell r="C143" t="str">
            <v>008568</v>
          </cell>
          <cell r="D143" t="str">
            <v>Cao Xuân Thu</v>
          </cell>
          <cell r="E143" t="str">
            <v>Khối cơ quan - Viện NCPT</v>
          </cell>
          <cell r="F143" t="str">
            <v>Phòng Hành chính</v>
          </cell>
          <cell r="G143" t="str">
            <v>Đội xe</v>
          </cell>
          <cell r="H143" t="str">
            <v>Thượng úy CN</v>
          </cell>
          <cell r="I143" t="str">
            <v>Quân lực quản lý</v>
          </cell>
          <cell r="J143" t="str">
            <v>Nhân viên lái xe</v>
          </cell>
        </row>
        <row r="144">
          <cell r="C144" t="str">
            <v>008594</v>
          </cell>
          <cell r="D144" t="str">
            <v>Đỗ Hùng Cường</v>
          </cell>
          <cell r="E144" t="str">
            <v>Khối cơ quan - Viện NCPT</v>
          </cell>
          <cell r="F144" t="str">
            <v>Phòng Hành chính</v>
          </cell>
          <cell r="G144" t="str">
            <v>Đội xe</v>
          </cell>
          <cell r="H144" t="str">
            <v>CNVQP</v>
          </cell>
          <cell r="I144" t="str">
            <v>Quân lực quản lý</v>
          </cell>
          <cell r="J144" t="str">
            <v>Nhân viên lái xe</v>
          </cell>
        </row>
        <row r="145">
          <cell r="C145" t="str">
            <v>012688</v>
          </cell>
          <cell r="D145" t="str">
            <v>Mai Văn Sỹ</v>
          </cell>
          <cell r="E145" t="str">
            <v>Khối cơ quan - Viện NCPT</v>
          </cell>
          <cell r="F145" t="str">
            <v>Phòng Hành chính</v>
          </cell>
          <cell r="G145" t="str">
            <v>Đội xe</v>
          </cell>
          <cell r="H145" t="str">
            <v>Trung úy CN</v>
          </cell>
          <cell r="I145" t="str">
            <v>Quân lực quản lý</v>
          </cell>
          <cell r="J145" t="str">
            <v>Nhân viên lái xe</v>
          </cell>
        </row>
        <row r="146">
          <cell r="C146" t="str">
            <v>057428</v>
          </cell>
          <cell r="D146" t="str">
            <v>Nguyễn Văn Khuyến</v>
          </cell>
          <cell r="E146" t="str">
            <v>Khối cơ quan - Viện NCPT</v>
          </cell>
          <cell r="F146" t="str">
            <v>Phòng Hành chính</v>
          </cell>
          <cell r="G146" t="str">
            <v>Đội xe</v>
          </cell>
          <cell r="H146" t="str">
            <v>Hợp đồng lao động</v>
          </cell>
          <cell r="I146" t="str">
            <v>Quân lực quản lý</v>
          </cell>
          <cell r="J146" t="str">
            <v>Nhân viên lái xe</v>
          </cell>
        </row>
        <row r="147">
          <cell r="C147" t="str">
            <v>064867</v>
          </cell>
          <cell r="D147" t="str">
            <v>Trần Văn Mạnh</v>
          </cell>
          <cell r="E147" t="str">
            <v>Khối cơ quan - Viện NCPT</v>
          </cell>
          <cell r="F147" t="str">
            <v>Phòng Hành chính</v>
          </cell>
          <cell r="G147" t="str">
            <v>Đội xe</v>
          </cell>
          <cell r="H147" t="str">
            <v>Hợp đồng lao động</v>
          </cell>
          <cell r="I147" t="str">
            <v>Quân lực quản lý</v>
          </cell>
          <cell r="J147" t="str">
            <v>Nhân viên lái xe</v>
          </cell>
        </row>
        <row r="148">
          <cell r="C148" t="str">
            <v>078170</v>
          </cell>
          <cell r="D148" t="str">
            <v>Phan Hồng Tuấn</v>
          </cell>
          <cell r="E148" t="str">
            <v>Khối cơ quan - Viện NCPT</v>
          </cell>
          <cell r="F148" t="str">
            <v>Phòng Hành chính</v>
          </cell>
          <cell r="G148" t="str">
            <v>Đội xe</v>
          </cell>
          <cell r="H148" t="str">
            <v>Trung úy CN</v>
          </cell>
          <cell r="I148" t="str">
            <v>Quân lực quản lý</v>
          </cell>
          <cell r="J148" t="str">
            <v>Nhân viên lái xe</v>
          </cell>
        </row>
        <row r="149">
          <cell r="C149" t="str">
            <v>084276</v>
          </cell>
          <cell r="D149" t="str">
            <v>Đoàn Tất Lưu</v>
          </cell>
          <cell r="E149" t="str">
            <v>Khối cơ quan - Viện NCPT</v>
          </cell>
          <cell r="F149" t="str">
            <v>Phòng Hành chính</v>
          </cell>
          <cell r="G149" t="str">
            <v>Đội xe</v>
          </cell>
          <cell r="H149" t="str">
            <v>Trung úy CN</v>
          </cell>
          <cell r="I149" t="str">
            <v>Quân lực quản lý</v>
          </cell>
          <cell r="J149" t="str">
            <v>Nhân viên lái xe</v>
          </cell>
        </row>
        <row r="150">
          <cell r="C150" t="str">
            <v>095896</v>
          </cell>
          <cell r="D150" t="str">
            <v>Vũ Văn Vĩnh</v>
          </cell>
          <cell r="E150" t="str">
            <v>Khối cơ quan - Viện NCPT</v>
          </cell>
          <cell r="F150" t="str">
            <v>Phòng Hành chính</v>
          </cell>
          <cell r="G150" t="str">
            <v>Đội xe</v>
          </cell>
          <cell r="H150" t="str">
            <v>Thiếu tá CN</v>
          </cell>
          <cell r="I150" t="str">
            <v>Quân lực quản lý</v>
          </cell>
          <cell r="J150" t="str">
            <v>Nhân viên lái xe</v>
          </cell>
        </row>
        <row r="151">
          <cell r="C151" t="str">
            <v>108961</v>
          </cell>
          <cell r="D151" t="str">
            <v>Kiều Văn Diễn</v>
          </cell>
          <cell r="E151" t="str">
            <v>Khối cơ quan - Viện NCPT</v>
          </cell>
          <cell r="F151" t="str">
            <v>Phòng Hành chính</v>
          </cell>
          <cell r="G151" t="str">
            <v>Đội xe</v>
          </cell>
          <cell r="H151" t="str">
            <v>Đại úy CN</v>
          </cell>
          <cell r="I151" t="str">
            <v>Quân lực quản lý</v>
          </cell>
          <cell r="J151" t="str">
            <v>Nhân viên lái xe</v>
          </cell>
        </row>
        <row r="152">
          <cell r="C152" t="str">
            <v>119404</v>
          </cell>
          <cell r="D152" t="str">
            <v>Phan Tiến Trình</v>
          </cell>
          <cell r="E152" t="str">
            <v>Khối cơ quan - Viện NCPT</v>
          </cell>
          <cell r="F152" t="str">
            <v>Phòng Hành chính</v>
          </cell>
          <cell r="G152" t="str">
            <v>Đội xe</v>
          </cell>
          <cell r="H152" t="str">
            <v>Hợp đồng lao động</v>
          </cell>
          <cell r="I152" t="str">
            <v>Quân lực quản lý</v>
          </cell>
          <cell r="J152" t="str">
            <v>Nhân viên lái xe</v>
          </cell>
        </row>
        <row r="153">
          <cell r="C153" t="str">
            <v>120040</v>
          </cell>
          <cell r="D153" t="str">
            <v>Nguyễn Tuấn Anh</v>
          </cell>
          <cell r="E153" t="str">
            <v>Khối cơ quan - Viện NCPT</v>
          </cell>
          <cell r="F153" t="str">
            <v>Phòng Hành chính</v>
          </cell>
          <cell r="G153" t="str">
            <v>Đội xe</v>
          </cell>
          <cell r="H153" t="str">
            <v>Hợp đồng lao động</v>
          </cell>
          <cell r="I153" t="str">
            <v>Quân lực quản lý</v>
          </cell>
          <cell r="J153" t="str">
            <v>Nhân viên lái xe</v>
          </cell>
        </row>
        <row r="154">
          <cell r="C154" t="str">
            <v>123723</v>
          </cell>
          <cell r="D154" t="str">
            <v>Trần Nam Phương</v>
          </cell>
          <cell r="E154" t="str">
            <v>Khối cơ quan - Viện NCPT</v>
          </cell>
          <cell r="F154" t="str">
            <v>Phòng Hành chính</v>
          </cell>
          <cell r="G154" t="str">
            <v>Đội xe</v>
          </cell>
          <cell r="H154" t="str">
            <v>Thượng úy CN</v>
          </cell>
          <cell r="I154" t="str">
            <v>Quân lực quản lý</v>
          </cell>
          <cell r="J154" t="str">
            <v>Nhân viên lái xe</v>
          </cell>
        </row>
        <row r="155">
          <cell r="C155" t="str">
            <v>130375</v>
          </cell>
          <cell r="D155" t="str">
            <v>Trần Anh Tuấn</v>
          </cell>
          <cell r="E155" t="str">
            <v>Khối cơ quan - Viện NCPT</v>
          </cell>
          <cell r="F155" t="str">
            <v>Phòng Hành chính</v>
          </cell>
          <cell r="G155" t="str">
            <v>Đội xe</v>
          </cell>
          <cell r="H155" t="str">
            <v>Hợp đồng lao động</v>
          </cell>
          <cell r="I155" t="str">
            <v>Quân lực quản lý</v>
          </cell>
          <cell r="J155" t="str">
            <v>Nhân viên lái xe</v>
          </cell>
        </row>
        <row r="156">
          <cell r="C156" t="str">
            <v>134368</v>
          </cell>
          <cell r="D156" t="str">
            <v>Nguyễn Thành Trung</v>
          </cell>
          <cell r="E156" t="str">
            <v>Khối cơ quan - Viện NCPT</v>
          </cell>
          <cell r="F156" t="str">
            <v>Phòng Hành chính</v>
          </cell>
          <cell r="G156" t="str">
            <v>Đội xe</v>
          </cell>
          <cell r="H156" t="str">
            <v>Hợp đồng lao động</v>
          </cell>
          <cell r="I156" t="str">
            <v>Quân lực quản lý</v>
          </cell>
          <cell r="J156" t="str">
            <v>Nhân viên lái xe</v>
          </cell>
        </row>
        <row r="157">
          <cell r="C157" t="str">
            <v>134608</v>
          </cell>
          <cell r="D157" t="str">
            <v>Nguyễn Hữu Đức</v>
          </cell>
          <cell r="E157" t="str">
            <v>Khối cơ quan - Viện NCPT</v>
          </cell>
          <cell r="F157" t="str">
            <v>Phòng Hành chính</v>
          </cell>
          <cell r="G157" t="str">
            <v>Đội xe</v>
          </cell>
          <cell r="H157" t="str">
            <v>Trung úy CN</v>
          </cell>
          <cell r="I157" t="str">
            <v>Quân lực quản lý</v>
          </cell>
          <cell r="J157" t="str">
            <v>Nhân viên lái xe</v>
          </cell>
        </row>
        <row r="158">
          <cell r="C158" t="str">
            <v>141633</v>
          </cell>
          <cell r="D158" t="str">
            <v>Nguyễn Hoàng Giang</v>
          </cell>
          <cell r="E158" t="str">
            <v>Khối cơ quan - Viện NCPT</v>
          </cell>
          <cell r="F158" t="str">
            <v>Phòng Hành chính</v>
          </cell>
          <cell r="G158" t="str">
            <v>Đội xe</v>
          </cell>
          <cell r="H158" t="str">
            <v>Hợp đồng lao động</v>
          </cell>
          <cell r="I158" t="str">
            <v>Quân lực quản lý</v>
          </cell>
          <cell r="J158" t="str">
            <v>Nhân viên lái xe</v>
          </cell>
        </row>
        <row r="159">
          <cell r="C159" t="str">
            <v>182453</v>
          </cell>
          <cell r="D159" t="str">
            <v>Quách Văn Nam</v>
          </cell>
          <cell r="E159" t="str">
            <v>Khối cơ quan - Viện NCPT</v>
          </cell>
          <cell r="F159" t="str">
            <v>Phòng Hành chính</v>
          </cell>
          <cell r="G159" t="str">
            <v>Đội xe</v>
          </cell>
          <cell r="H159" t="str">
            <v>Hợp đồng lao động</v>
          </cell>
          <cell r="I159" t="str">
            <v>Quân lực quản lý</v>
          </cell>
          <cell r="J159" t="str">
            <v>Nhân viên lái xe</v>
          </cell>
        </row>
        <row r="160">
          <cell r="D160" t="str">
            <v>Phòng Kinh doanh</v>
          </cell>
        </row>
        <row r="161">
          <cell r="D161" t="str">
            <v>Phụ trách phòng</v>
          </cell>
        </row>
        <row r="162">
          <cell r="C162" t="str">
            <v>087331</v>
          </cell>
          <cell r="D162" t="str">
            <v>Phạm Thị Hải Bình</v>
          </cell>
          <cell r="E162" t="str">
            <v>Khối cơ quan - Viện NCPT</v>
          </cell>
          <cell r="F162" t="str">
            <v>Phòng Kinh doanh</v>
          </cell>
          <cell r="G162" t="str">
            <v>Phụ trách phòng</v>
          </cell>
          <cell r="H162" t="str">
            <v>Hợp đồng lao động</v>
          </cell>
          <cell r="I162" t="str">
            <v>Quân lực quản lý</v>
          </cell>
          <cell r="J162" t="str">
            <v>Trưởng phòng</v>
          </cell>
        </row>
        <row r="163">
          <cell r="D163" t="str">
            <v>Ban Chiến lược kinh doanh</v>
          </cell>
        </row>
        <row r="164">
          <cell r="C164" t="str">
            <v>136991</v>
          </cell>
          <cell r="D164" t="str">
            <v>Lê Mỹ Hà</v>
          </cell>
          <cell r="E164" t="str">
            <v>Khối cơ quan - Viện NCPT</v>
          </cell>
          <cell r="F164" t="str">
            <v>Phòng Kinh doanh</v>
          </cell>
          <cell r="G164" t="str">
            <v>Ban Chiến lược kinh doanh</v>
          </cell>
          <cell r="H164" t="str">
            <v>Hợp đồng lao động</v>
          </cell>
          <cell r="I164" t="str">
            <v>Quân lực quản lý</v>
          </cell>
          <cell r="J164" t="str">
            <v>Nhân viên kinh doanh</v>
          </cell>
        </row>
        <row r="165">
          <cell r="C165" t="str">
            <v>190153</v>
          </cell>
          <cell r="D165" t="str">
            <v>Lê Lương Anh</v>
          </cell>
          <cell r="E165" t="str">
            <v>Khối cơ quan - Viện NCPT</v>
          </cell>
          <cell r="F165" t="str">
            <v>Phòng Kinh doanh</v>
          </cell>
          <cell r="G165" t="str">
            <v>Ban Chiến lược kinh doanh</v>
          </cell>
          <cell r="H165" t="str">
            <v>Hợp đồng lao động</v>
          </cell>
          <cell r="I165" t="str">
            <v>Quân lực quản lý</v>
          </cell>
          <cell r="J165" t="str">
            <v>Nhân viên kinh doanh</v>
          </cell>
        </row>
        <row r="166">
          <cell r="C166" t="str">
            <v>190173</v>
          </cell>
          <cell r="D166" t="str">
            <v>Trần Lê Trung</v>
          </cell>
          <cell r="E166" t="str">
            <v>Khối cơ quan - Viện NCPT</v>
          </cell>
          <cell r="F166" t="str">
            <v>Phòng Kinh doanh</v>
          </cell>
          <cell r="G166" t="str">
            <v>Ban Chiến lược kinh doanh</v>
          </cell>
          <cell r="H166" t="str">
            <v>Hợp đồng lao động</v>
          </cell>
          <cell r="I166" t="str">
            <v>Quân lực quản lý</v>
          </cell>
          <cell r="J166" t="str">
            <v>Nhân viên kinh doanh</v>
          </cell>
        </row>
        <row r="167">
          <cell r="C167" t="str">
            <v>190442</v>
          </cell>
          <cell r="D167" t="str">
            <v>Lê Hà Thu</v>
          </cell>
          <cell r="E167" t="str">
            <v>Khối cơ quan - Viện NCPT</v>
          </cell>
          <cell r="F167" t="str">
            <v>Phòng Kinh doanh</v>
          </cell>
          <cell r="G167" t="str">
            <v>Ban Chiến lược kinh doanh</v>
          </cell>
          <cell r="H167" t="str">
            <v>Hợp đồng lao động</v>
          </cell>
          <cell r="I167" t="str">
            <v>Quân lực quản lý</v>
          </cell>
          <cell r="J167" t="str">
            <v>Nhân viên kinh doanh</v>
          </cell>
        </row>
        <row r="168">
          <cell r="C168" t="str">
            <v>192353</v>
          </cell>
          <cell r="D168" t="str">
            <v>Nguyễn Hữu Phước Nguyên</v>
          </cell>
          <cell r="E168" t="str">
            <v>Khối cơ quan - Viện NCPT</v>
          </cell>
          <cell r="F168" t="str">
            <v>Phòng Kinh doanh</v>
          </cell>
          <cell r="G168" t="str">
            <v>Ban Chiến lược kinh doanh</v>
          </cell>
          <cell r="H168" t="str">
            <v>Hợp đồng lao động</v>
          </cell>
          <cell r="I168" t="str">
            <v>Quân lực quản lý</v>
          </cell>
          <cell r="J168" t="str">
            <v>Nhân viên kinh doanh</v>
          </cell>
        </row>
        <row r="169">
          <cell r="D169" t="str">
            <v>Phòng Mua sắm</v>
          </cell>
        </row>
        <row r="170">
          <cell r="D170" t="str">
            <v>Phụ trách phòng</v>
          </cell>
        </row>
        <row r="171">
          <cell r="C171" t="str">
            <v>078099</v>
          </cell>
          <cell r="D171" t="str">
            <v>Nguyễn Xuân Phương</v>
          </cell>
          <cell r="E171" t="str">
            <v>Khối cơ quan - Viện NCPT</v>
          </cell>
          <cell r="F171" t="str">
            <v>Phòng Mua sắm</v>
          </cell>
          <cell r="G171" t="str">
            <v>Phụ trách phòng</v>
          </cell>
          <cell r="H171" t="str">
            <v>Thiếu tá CN</v>
          </cell>
          <cell r="I171" t="str">
            <v>Quân lực quản lý</v>
          </cell>
          <cell r="J171" t="str">
            <v>Trưởng phòng</v>
          </cell>
        </row>
        <row r="172">
          <cell r="C172" t="str">
            <v>059667</v>
          </cell>
          <cell r="D172" t="str">
            <v>Vũ Tú Quỳnh</v>
          </cell>
          <cell r="E172" t="str">
            <v>Khối cơ quan - Viện NCPT</v>
          </cell>
          <cell r="F172" t="str">
            <v>Phòng Mua sắm</v>
          </cell>
          <cell r="G172" t="str">
            <v>Phụ trách phòng</v>
          </cell>
          <cell r="H172" t="str">
            <v>Thiếu tá CN</v>
          </cell>
          <cell r="I172" t="str">
            <v>Quân lực quản lý</v>
          </cell>
          <cell r="J172" t="str">
            <v>Phó Phòng</v>
          </cell>
        </row>
        <row r="173">
          <cell r="D173" t="str">
            <v>Ban Đấu thầu</v>
          </cell>
        </row>
        <row r="174">
          <cell r="C174" t="str">
            <v>047313</v>
          </cell>
          <cell r="D174" t="str">
            <v>Lê Đức Nhật</v>
          </cell>
          <cell r="E174" t="str">
            <v>Khối cơ quan - Viện NCPT</v>
          </cell>
          <cell r="F174" t="str">
            <v>Phòng Mua sắm</v>
          </cell>
          <cell r="G174" t="str">
            <v>Ban Đấu thầu</v>
          </cell>
          <cell r="H174" t="str">
            <v>Hợp đồng lao động</v>
          </cell>
          <cell r="I174" t="str">
            <v>Quân lực quản lý</v>
          </cell>
          <cell r="J174" t="str">
            <v>Nhân viên đấu thầu</v>
          </cell>
        </row>
        <row r="175">
          <cell r="C175" t="str">
            <v>140614</v>
          </cell>
          <cell r="D175" t="str">
            <v>Nguyễn Tuấn Hùng</v>
          </cell>
          <cell r="E175" t="str">
            <v>Khối cơ quan - Viện NCPT</v>
          </cell>
          <cell r="F175" t="str">
            <v>Phòng Mua sắm</v>
          </cell>
          <cell r="G175" t="str">
            <v>Ban Đấu thầu</v>
          </cell>
          <cell r="H175" t="str">
            <v>Hợp đồng lao động</v>
          </cell>
          <cell r="I175" t="str">
            <v>Quân lực quản lý</v>
          </cell>
          <cell r="J175" t="str">
            <v>Nhân viên đấu thầu</v>
          </cell>
        </row>
        <row r="176">
          <cell r="D176" t="str">
            <v>Ban Hợp đồng</v>
          </cell>
        </row>
        <row r="177">
          <cell r="C177" t="str">
            <v>110838</v>
          </cell>
          <cell r="D177" t="str">
            <v>Nguyễn Thị Quỳnh Liên</v>
          </cell>
          <cell r="E177" t="str">
            <v>Khối cơ quan - Viện NCPT</v>
          </cell>
          <cell r="F177" t="str">
            <v>Phòng Mua sắm</v>
          </cell>
          <cell r="G177" t="str">
            <v>Ban Hợp đồng</v>
          </cell>
          <cell r="H177" t="str">
            <v>Hợp đồng lao động</v>
          </cell>
          <cell r="I177" t="str">
            <v>Quân lực quản lý</v>
          </cell>
          <cell r="J177" t="str">
            <v>Nhân viên hợp đồng</v>
          </cell>
        </row>
        <row r="178">
          <cell r="C178" t="str">
            <v>119836</v>
          </cell>
          <cell r="D178" t="str">
            <v>Nguyễn Thị Mỹ Hạnh</v>
          </cell>
          <cell r="E178" t="str">
            <v>Khối cơ quan - Viện NCPT</v>
          </cell>
          <cell r="F178" t="str">
            <v>Phòng Mua sắm</v>
          </cell>
          <cell r="G178" t="str">
            <v>Ban Hợp đồng</v>
          </cell>
          <cell r="H178" t="str">
            <v>Hợp đồng lao động</v>
          </cell>
          <cell r="I178" t="str">
            <v>Quân lực quản lý</v>
          </cell>
          <cell r="J178" t="str">
            <v>Nhân viên hợp đồng</v>
          </cell>
        </row>
        <row r="179">
          <cell r="C179" t="str">
            <v>185273</v>
          </cell>
          <cell r="D179" t="str">
            <v>Nguyễn Thị Phương Mai</v>
          </cell>
          <cell r="E179" t="str">
            <v>Khối cơ quan - Viện NCPT</v>
          </cell>
          <cell r="F179" t="str">
            <v>Phòng Mua sắm</v>
          </cell>
          <cell r="G179" t="str">
            <v>Ban Hợp đồng</v>
          </cell>
          <cell r="H179" t="str">
            <v>Hợp đồng lao động</v>
          </cell>
          <cell r="I179" t="str">
            <v>Quân lực quản lý</v>
          </cell>
          <cell r="J179" t="str">
            <v>Nhân viên hợp đồng</v>
          </cell>
        </row>
        <row r="180">
          <cell r="D180" t="str">
            <v>Trung tâm Kiểm nghiệm và đánh giá sản phẩm - Viện NCPT</v>
          </cell>
        </row>
        <row r="181">
          <cell r="D181" t="str">
            <v>Ban Giám đốc</v>
          </cell>
        </row>
        <row r="182">
          <cell r="D182" t="str">
            <v>Thủ trưởng đơn vị</v>
          </cell>
        </row>
        <row r="183">
          <cell r="C183" t="str">
            <v>123453</v>
          </cell>
          <cell r="D183" t="str">
            <v>Tạ Hồng Cương</v>
          </cell>
          <cell r="E183" t="str">
            <v>Trung tâm Kiểm nghiệm và đánh giá sản phẩm - Viện NCPT</v>
          </cell>
          <cell r="F183" t="str">
            <v>Ban Giám đốc</v>
          </cell>
          <cell r="G183" t="str">
            <v>Thủ trưởng đơn vị</v>
          </cell>
          <cell r="H183" t="str">
            <v>Hợp đồng lao động</v>
          </cell>
          <cell r="I183" t="str">
            <v>Quân lực quản lý</v>
          </cell>
          <cell r="J183" t="str">
            <v>Giám đốc</v>
          </cell>
        </row>
        <row r="184">
          <cell r="C184" t="str">
            <v>045111</v>
          </cell>
          <cell r="D184" t="str">
            <v>Phạm Xuân Hải</v>
          </cell>
          <cell r="E184" t="str">
            <v>Trung tâm Kiểm nghiệm và đánh giá sản phẩm - Viện NCPT</v>
          </cell>
          <cell r="F184" t="str">
            <v>Ban Giám đốc</v>
          </cell>
          <cell r="G184" t="str">
            <v>Thủ trưởng đơn vị</v>
          </cell>
          <cell r="H184" t="str">
            <v>Đại úy CN</v>
          </cell>
          <cell r="I184" t="str">
            <v>Quân lực quản lý</v>
          </cell>
          <cell r="J184" t="str">
            <v>Phó Giám đốc</v>
          </cell>
        </row>
        <row r="185">
          <cell r="C185" t="str">
            <v>063773</v>
          </cell>
          <cell r="D185" t="str">
            <v>Phạm Phương Chi</v>
          </cell>
          <cell r="E185" t="str">
            <v>Trung tâm Kiểm nghiệm và đánh giá sản phẩm - Viện NCPT</v>
          </cell>
          <cell r="F185" t="str">
            <v>Ban Giám đốc</v>
          </cell>
          <cell r="G185" t="str">
            <v>Thủ trưởng đơn vị</v>
          </cell>
          <cell r="H185" t="str">
            <v>Thiếu tá CN</v>
          </cell>
          <cell r="I185" t="str">
            <v>Quân lực quản lý</v>
          </cell>
          <cell r="J185" t="str">
            <v>Phó Giám đốc</v>
          </cell>
        </row>
        <row r="186">
          <cell r="D186" t="str">
            <v>Phòng Tổng hợp</v>
          </cell>
        </row>
        <row r="187">
          <cell r="D187" t="str">
            <v>Phụ trách phòng</v>
          </cell>
        </row>
        <row r="188">
          <cell r="C188" t="str">
            <v>015413</v>
          </cell>
          <cell r="D188" t="str">
            <v>Tạ Diệu Thúy</v>
          </cell>
          <cell r="E188" t="str">
            <v>Trung tâm Kiểm nghiệm và đánh giá sản phẩm - Viện NCPT</v>
          </cell>
          <cell r="F188" t="str">
            <v>Phòng Tổng hợp</v>
          </cell>
          <cell r="G188" t="str">
            <v>Phụ trách phòng</v>
          </cell>
          <cell r="H188" t="str">
            <v>Hợp đồng lao động</v>
          </cell>
          <cell r="I188" t="str">
            <v>Quân lực quản lý</v>
          </cell>
          <cell r="J188" t="str">
            <v>Trưởng phòng</v>
          </cell>
        </row>
        <row r="189">
          <cell r="D189" t="str">
            <v>Phòng Thử nghiệm siêu cao tần</v>
          </cell>
        </row>
        <row r="190">
          <cell r="D190" t="str">
            <v>Phụ trách phòng</v>
          </cell>
        </row>
        <row r="191">
          <cell r="C191" t="str">
            <v>107457</v>
          </cell>
          <cell r="D191" t="str">
            <v>Ngô Thị Minh Hiền</v>
          </cell>
          <cell r="E191" t="str">
            <v>Trung tâm Kiểm nghiệm và đánh giá sản phẩm - Viện NCPT</v>
          </cell>
          <cell r="F191" t="str">
            <v>Phòng Thử nghiệm siêu cao tần</v>
          </cell>
          <cell r="G191" t="str">
            <v>Phụ trách phòng</v>
          </cell>
          <cell r="H191" t="str">
            <v>Hợp đồng lao động</v>
          </cell>
          <cell r="I191" t="str">
            <v>Quân lực quản lý</v>
          </cell>
          <cell r="J191" t="str">
            <v>Trưởng phòng</v>
          </cell>
        </row>
        <row r="192">
          <cell r="D192" t="str">
            <v>Trợ lý nghiệp vụ</v>
          </cell>
        </row>
        <row r="193">
          <cell r="C193" t="str">
            <v>087326</v>
          </cell>
          <cell r="D193" t="str">
            <v>Trần Huy Hoàng</v>
          </cell>
          <cell r="E193" t="str">
            <v>Trung tâm Kiểm nghiệm và đánh giá sản phẩm - Viện NCPT</v>
          </cell>
          <cell r="F193" t="str">
            <v>Phòng Thử nghiệm siêu cao tần</v>
          </cell>
          <cell r="G193" t="str">
            <v>Trợ lý nghiệp vụ</v>
          </cell>
          <cell r="H193" t="str">
            <v>Hợp đồng lao động</v>
          </cell>
          <cell r="I193" t="str">
            <v>Quân lực quản lý</v>
          </cell>
          <cell r="J193" t="str">
            <v>Kỹ sư đo kiểm vô tuyến</v>
          </cell>
        </row>
        <row r="194">
          <cell r="C194" t="str">
            <v>186936</v>
          </cell>
          <cell r="D194" t="str">
            <v>Dương Minh Trí</v>
          </cell>
          <cell r="E194" t="str">
            <v>Trung tâm Kiểm nghiệm và đánh giá sản phẩm - Viện NCPT</v>
          </cell>
          <cell r="F194" t="str">
            <v>Phòng Thử nghiệm siêu cao tần</v>
          </cell>
          <cell r="G194" t="str">
            <v>Trợ lý nghiệp vụ</v>
          </cell>
          <cell r="H194" t="str">
            <v>Hợp đồng lao động</v>
          </cell>
          <cell r="I194" t="str">
            <v>Quân lực quản lý</v>
          </cell>
          <cell r="J194" t="str">
            <v>Kỹ sư đo kiểm vô tuyến</v>
          </cell>
        </row>
        <row r="195">
          <cell r="C195" t="str">
            <v>194746</v>
          </cell>
          <cell r="D195" t="str">
            <v>Trịnh Văn Tráng</v>
          </cell>
          <cell r="E195" t="str">
            <v>Trung tâm Kiểm nghiệm và đánh giá sản phẩm - Viện NCPT</v>
          </cell>
          <cell r="F195" t="str">
            <v>Phòng Thử nghiệm siêu cao tần</v>
          </cell>
          <cell r="G195" t="str">
            <v>Trợ lý nghiệp vụ</v>
          </cell>
          <cell r="H195" t="str">
            <v>Hợp đồng lao động</v>
          </cell>
          <cell r="I195" t="str">
            <v>Quân lực quản lý</v>
          </cell>
          <cell r="J195" t="str">
            <v>Kỹ sư đo kiểm vô tuyến</v>
          </cell>
        </row>
        <row r="196">
          <cell r="D196" t="str">
            <v>Phòng Quản lý dự án và Dịch vụ đo kiểm</v>
          </cell>
        </row>
        <row r="197">
          <cell r="D197" t="str">
            <v>Phụ trách phòng</v>
          </cell>
        </row>
        <row r="198">
          <cell r="C198" t="str">
            <v>045099</v>
          </cell>
          <cell r="D198" t="str">
            <v>Phan Ngọc Hoàn</v>
          </cell>
          <cell r="E198" t="str">
            <v>Trung tâm Kiểm nghiệm và đánh giá sản phẩm - Viện NCPT</v>
          </cell>
          <cell r="F198" t="str">
            <v>Phòng Quản lý dự án và Dịch vụ đo kiểm</v>
          </cell>
          <cell r="G198" t="str">
            <v>Phụ trách phòng</v>
          </cell>
          <cell r="H198" t="str">
            <v>CNVQP</v>
          </cell>
          <cell r="I198" t="str">
            <v>Quân lực quản lý</v>
          </cell>
          <cell r="J198" t="str">
            <v>Trưởng phòng</v>
          </cell>
        </row>
        <row r="199">
          <cell r="D199" t="str">
            <v>Trợ lý nghiệp vụ</v>
          </cell>
        </row>
        <row r="200">
          <cell r="C200" t="str">
            <v>087347</v>
          </cell>
          <cell r="D200" t="str">
            <v>Lê Đức Hợp</v>
          </cell>
          <cell r="E200" t="str">
            <v>Trung tâm Kiểm nghiệm và đánh giá sản phẩm - Viện NCPT</v>
          </cell>
          <cell r="F200" t="str">
            <v>Phòng Quản lý dự án và Dịch vụ đo kiểm</v>
          </cell>
          <cell r="G200" t="str">
            <v>Trợ lý nghiệp vụ</v>
          </cell>
          <cell r="H200" t="str">
            <v>Hợp đồng lao động</v>
          </cell>
          <cell r="I200" t="str">
            <v>Quân lực quản lý</v>
          </cell>
          <cell r="J200" t="str">
            <v>Kỹ sư Quản lý chất lượng</v>
          </cell>
        </row>
        <row r="201">
          <cell r="C201" t="str">
            <v>185274</v>
          </cell>
          <cell r="D201" t="str">
            <v>Lương Thị Vân</v>
          </cell>
          <cell r="E201" t="str">
            <v>Trung tâm Kiểm nghiệm và đánh giá sản phẩm - Viện NCPT</v>
          </cell>
          <cell r="F201" t="str">
            <v>Phòng Quản lý dự án và Dịch vụ đo kiểm</v>
          </cell>
          <cell r="G201" t="str">
            <v>Trợ lý nghiệp vụ</v>
          </cell>
          <cell r="H201" t="str">
            <v>Hợp đồng lao động</v>
          </cell>
          <cell r="I201" t="str">
            <v>Quân lực quản lý</v>
          </cell>
          <cell r="J201" t="str">
            <v>Kỹ sư đo kiểm vô tuyến</v>
          </cell>
        </row>
        <row r="202">
          <cell r="D202" t="str">
            <v>Phòng Thử nghiệm tham số điện</v>
          </cell>
        </row>
        <row r="203">
          <cell r="D203" t="str">
            <v>Phụ trách phòng</v>
          </cell>
        </row>
        <row r="204">
          <cell r="C204" t="str">
            <v>047494</v>
          </cell>
          <cell r="D204" t="str">
            <v>Hà Mạnh Thắng</v>
          </cell>
          <cell r="E204" t="str">
            <v>Trung tâm Kiểm nghiệm và đánh giá sản phẩm - Viện NCPT</v>
          </cell>
          <cell r="F204" t="str">
            <v>Phòng Thử nghiệm tham số điện</v>
          </cell>
          <cell r="G204" t="str">
            <v>Phụ trách phòng</v>
          </cell>
          <cell r="H204" t="str">
            <v>Hợp đồng lao động</v>
          </cell>
          <cell r="I204" t="str">
            <v>Quân lực quản lý</v>
          </cell>
          <cell r="J204" t="str">
            <v>Trưởng phòng</v>
          </cell>
        </row>
        <row r="205">
          <cell r="D205" t="str">
            <v>Trợ lý nghiệp vụ</v>
          </cell>
        </row>
        <row r="206">
          <cell r="C206" t="str">
            <v>176180</v>
          </cell>
          <cell r="D206" t="str">
            <v>Lê Xuân Tùng</v>
          </cell>
          <cell r="E206" t="str">
            <v>Trung tâm Kiểm nghiệm và đánh giá sản phẩm - Viện NCPT</v>
          </cell>
          <cell r="F206" t="str">
            <v>Phòng Thử nghiệm tham số điện</v>
          </cell>
          <cell r="G206" t="str">
            <v>Trợ lý nghiệp vụ</v>
          </cell>
          <cell r="H206" t="str">
            <v>Hợp đồng lao động</v>
          </cell>
          <cell r="I206" t="str">
            <v>Quân lực quản lý</v>
          </cell>
          <cell r="J206" t="str">
            <v>Kỹ sư đo kiểm vô tuyến</v>
          </cell>
        </row>
        <row r="207">
          <cell r="D207" t="str">
            <v>Phòng Thử nghiệm cơ khí và môi trường</v>
          </cell>
        </row>
        <row r="208">
          <cell r="D208" t="str">
            <v>Trợ lý nghiệp vụ</v>
          </cell>
        </row>
        <row r="209">
          <cell r="C209" t="str">
            <v>122418</v>
          </cell>
          <cell r="D209" t="str">
            <v>Phạm Đức Hoài</v>
          </cell>
          <cell r="E209" t="str">
            <v>Trung tâm Kiểm nghiệm và đánh giá sản phẩm - Viện NCPT</v>
          </cell>
          <cell r="F209" t="str">
            <v>Phòng Thử nghiệm cơ khí và môi trường</v>
          </cell>
          <cell r="G209" t="str">
            <v>Trợ lý nghiệp vụ</v>
          </cell>
          <cell r="H209" t="str">
            <v>Hợp đồng lao động</v>
          </cell>
          <cell r="I209" t="str">
            <v>Quân lực quản lý</v>
          </cell>
          <cell r="J209" t="str">
            <v>Kỹ sư đo thử cơ khí môi trường lão hóa</v>
          </cell>
        </row>
        <row r="210">
          <cell r="C210" t="str">
            <v>162433</v>
          </cell>
          <cell r="D210" t="str">
            <v>Ngô Việt Dũng</v>
          </cell>
          <cell r="E210" t="str">
            <v>Trung tâm Kiểm nghiệm và đánh giá sản phẩm - Viện NCPT</v>
          </cell>
          <cell r="F210" t="str">
            <v>Phòng Thử nghiệm cơ khí và môi trường</v>
          </cell>
          <cell r="G210" t="str">
            <v>Trợ lý nghiệp vụ</v>
          </cell>
          <cell r="H210" t="str">
            <v>Hợp đồng lao động</v>
          </cell>
          <cell r="I210" t="str">
            <v>Quân lực quản lý</v>
          </cell>
          <cell r="J210" t="str">
            <v>Kỹ sư đo thử cơ khí môi trường lão hóa</v>
          </cell>
        </row>
        <row r="211">
          <cell r="D211" t="str">
            <v>Phòng Kiểm tra chất lượng sản phẩm</v>
          </cell>
        </row>
        <row r="212">
          <cell r="D212" t="str">
            <v>Trợ lý nghiệp vụ</v>
          </cell>
        </row>
        <row r="213">
          <cell r="C213" t="str">
            <v>087229</v>
          </cell>
          <cell r="D213" t="str">
            <v>Nguyễn Thanh Tùng</v>
          </cell>
          <cell r="E213" t="str">
            <v>Trung tâm Kiểm nghiệm và đánh giá sản phẩm - Viện NCPT</v>
          </cell>
          <cell r="F213" t="str">
            <v>Phòng Kiểm tra chất lượng sản phẩm</v>
          </cell>
          <cell r="G213" t="str">
            <v>Trợ lý nghiệp vụ</v>
          </cell>
          <cell r="H213" t="str">
            <v>Hợp đồng lao động</v>
          </cell>
          <cell r="I213" t="str">
            <v>Quân lực quản lý</v>
          </cell>
          <cell r="J213" t="str">
            <v>Kỹ sư kiểm tra chất lượng sản phẩm</v>
          </cell>
        </row>
        <row r="214">
          <cell r="C214" t="str">
            <v>178293</v>
          </cell>
          <cell r="D214" t="str">
            <v>Nguyễn Văn Đại</v>
          </cell>
          <cell r="E214" t="str">
            <v>Trung tâm Kiểm nghiệm và đánh giá sản phẩm - Viện NCPT</v>
          </cell>
          <cell r="F214" t="str">
            <v>Phòng Kiểm tra chất lượng sản phẩm</v>
          </cell>
          <cell r="G214" t="str">
            <v>Trợ lý nghiệp vụ</v>
          </cell>
          <cell r="H214" t="str">
            <v>Hợp đồng lao động</v>
          </cell>
          <cell r="I214" t="str">
            <v>Quân lực quản lý</v>
          </cell>
          <cell r="J214" t="str">
            <v>Kỹ sư kiểm tra chất lượng sản phẩm</v>
          </cell>
        </row>
        <row r="215">
          <cell r="C215" t="str">
            <v>186819</v>
          </cell>
          <cell r="D215" t="str">
            <v>Hà Đình Sơn</v>
          </cell>
          <cell r="E215" t="str">
            <v>Trung tâm Kiểm nghiệm và đánh giá sản phẩm - Viện NCPT</v>
          </cell>
          <cell r="F215" t="str">
            <v>Phòng Kiểm tra chất lượng sản phẩm</v>
          </cell>
          <cell r="G215" t="str">
            <v>Trợ lý nghiệp vụ</v>
          </cell>
          <cell r="H215" t="str">
            <v>Hợp đồng lao động</v>
          </cell>
          <cell r="I215" t="str">
            <v>Quân lực quản lý</v>
          </cell>
          <cell r="J215" t="str">
            <v>Kỹ sư kiểm tra chất lượng sản phẩm</v>
          </cell>
        </row>
        <row r="216">
          <cell r="D216" t="str">
            <v>Trung tâm Hệ thống và tự động hóa - Viện NCPT</v>
          </cell>
        </row>
        <row r="217">
          <cell r="D217" t="str">
            <v>Ban Giám đốc</v>
          </cell>
        </row>
        <row r="218">
          <cell r="D218" t="str">
            <v>Thủ trưởng đơn vị</v>
          </cell>
        </row>
        <row r="219">
          <cell r="C219" t="str">
            <v>003965</v>
          </cell>
          <cell r="D219" t="str">
            <v>Trần Trung Trực</v>
          </cell>
          <cell r="E219" t="str">
            <v>Trung tâm Hệ thống và tự động hóa - Viện NCPT</v>
          </cell>
          <cell r="F219" t="str">
            <v>Ban Giám đốc</v>
          </cell>
          <cell r="G219" t="str">
            <v>Thủ trưởng đơn vị</v>
          </cell>
          <cell r="H219" t="str">
            <v>Đại úy CN</v>
          </cell>
          <cell r="I219" t="str">
            <v>Cán bộ quản lý</v>
          </cell>
          <cell r="J219" t="str">
            <v>Giám đốc</v>
          </cell>
        </row>
        <row r="220">
          <cell r="C220" t="str">
            <v>003966</v>
          </cell>
          <cell r="D220" t="str">
            <v>Nguyễn Gia Vinh</v>
          </cell>
          <cell r="E220" t="str">
            <v>Trung tâm Hệ thống và tự động hóa - Viện NCPT</v>
          </cell>
          <cell r="F220" t="str">
            <v>Ban Giám đốc</v>
          </cell>
          <cell r="G220" t="str">
            <v>Thủ trưởng đơn vị</v>
          </cell>
          <cell r="H220" t="str">
            <v>Đại úy CN</v>
          </cell>
          <cell r="I220" t="str">
            <v>Quân lực quản lý</v>
          </cell>
          <cell r="J220" t="str">
            <v>Phó Giám đốc</v>
          </cell>
        </row>
        <row r="221">
          <cell r="C221" t="str">
            <v>045090</v>
          </cell>
          <cell r="D221" t="str">
            <v>Nguyễn Văn Hải</v>
          </cell>
          <cell r="E221" t="str">
            <v>Trung tâm Hệ thống và tự động hóa - Viện NCPT</v>
          </cell>
          <cell r="F221" t="str">
            <v>Ban Giám đốc</v>
          </cell>
          <cell r="G221" t="str">
            <v>Thủ trưởng đơn vị</v>
          </cell>
          <cell r="H221" t="str">
            <v>Đại úy CN</v>
          </cell>
          <cell r="I221" t="str">
            <v>Quân lực quản lý</v>
          </cell>
          <cell r="J221" t="str">
            <v>Phó Giám đốc</v>
          </cell>
        </row>
        <row r="222">
          <cell r="D222" t="str">
            <v>Phòng Tổng hợp</v>
          </cell>
        </row>
        <row r="223">
          <cell r="D223" t="str">
            <v>Phụ trách phòng</v>
          </cell>
        </row>
        <row r="224">
          <cell r="C224" t="str">
            <v>000375</v>
          </cell>
          <cell r="D224" t="str">
            <v>Nguyễn Ngọc Hà</v>
          </cell>
          <cell r="E224" t="str">
            <v>Trung tâm Hệ thống và tự động hóa - Viện NCPT</v>
          </cell>
          <cell r="F224" t="str">
            <v>Phòng Tổng hợp</v>
          </cell>
          <cell r="G224" t="str">
            <v>Phụ trách phòng</v>
          </cell>
          <cell r="H224" t="str">
            <v>Đại úy CN</v>
          </cell>
          <cell r="I224" t="str">
            <v>Quân lực quản lý</v>
          </cell>
          <cell r="J224" t="str">
            <v>Trưởng phòng</v>
          </cell>
        </row>
        <row r="225">
          <cell r="D225" t="str">
            <v>Trợ lý nghiệp vụ</v>
          </cell>
        </row>
        <row r="226">
          <cell r="C226" t="str">
            <v>009892</v>
          </cell>
          <cell r="D226" t="str">
            <v>Đinh Thị Hoan</v>
          </cell>
          <cell r="E226" t="str">
            <v>Trung tâm Hệ thống và tự động hóa - Viện NCPT</v>
          </cell>
          <cell r="F226" t="str">
            <v>Phòng Tổng hợp</v>
          </cell>
          <cell r="G226" t="str">
            <v>Trợ lý nghiệp vụ</v>
          </cell>
          <cell r="H226" t="str">
            <v>CNVQP</v>
          </cell>
          <cell r="I226" t="str">
            <v>Quân lực quản lý</v>
          </cell>
          <cell r="J226" t="str">
            <v>Kế toán</v>
          </cell>
        </row>
        <row r="227">
          <cell r="C227" t="str">
            <v>056934</v>
          </cell>
          <cell r="D227" t="str">
            <v>Lê Anh Quân</v>
          </cell>
          <cell r="E227" t="str">
            <v>Trung tâm Hệ thống và tự động hóa - Viện NCPT</v>
          </cell>
          <cell r="F227" t="str">
            <v>Phòng Tổng hợp</v>
          </cell>
          <cell r="G227" t="str">
            <v>Trợ lý nghiệp vụ</v>
          </cell>
          <cell r="H227" t="str">
            <v>Hợp đồng lao động</v>
          </cell>
          <cell r="I227" t="str">
            <v>Quân lực quản lý</v>
          </cell>
          <cell r="J227" t="str">
            <v>Nhân viên hành chính tổng hợp</v>
          </cell>
        </row>
        <row r="228">
          <cell r="C228" t="str">
            <v>184815</v>
          </cell>
          <cell r="D228" t="str">
            <v>Nguyễn Thanh Hải</v>
          </cell>
          <cell r="E228" t="str">
            <v>Trung tâm Hệ thống và tự động hóa - Viện NCPT</v>
          </cell>
          <cell r="F228" t="str">
            <v>Phòng Tổng hợp</v>
          </cell>
          <cell r="G228" t="str">
            <v>Trợ lý nghiệp vụ</v>
          </cell>
          <cell r="H228" t="str">
            <v>Hợp đồng lao động</v>
          </cell>
          <cell r="I228" t="str">
            <v>Quân lực quản lý</v>
          </cell>
          <cell r="J228" t="str">
            <v>Nhân viên Tài sản</v>
          </cell>
        </row>
        <row r="229">
          <cell r="D229" t="str">
            <v>Phòng Cơ điện tử</v>
          </cell>
        </row>
        <row r="230">
          <cell r="D230" t="str">
            <v>Phụ trách phòng</v>
          </cell>
        </row>
        <row r="231">
          <cell r="C231" t="str">
            <v>119715</v>
          </cell>
          <cell r="D231" t="str">
            <v>Hoàng Anh Tài</v>
          </cell>
          <cell r="E231" t="str">
            <v>Trung tâm Hệ thống và tự động hóa - Viện NCPT</v>
          </cell>
          <cell r="F231" t="str">
            <v>Phòng Cơ điện tử</v>
          </cell>
          <cell r="G231" t="str">
            <v>Phụ trách phòng</v>
          </cell>
          <cell r="H231" t="str">
            <v>Hợp đồng lao động</v>
          </cell>
          <cell r="I231" t="str">
            <v>Quân lực quản lý</v>
          </cell>
          <cell r="J231" t="str">
            <v>Trưởng phòng</v>
          </cell>
        </row>
        <row r="232">
          <cell r="D232" t="str">
            <v>Nhóm Thiết kế cơ khí</v>
          </cell>
        </row>
        <row r="233">
          <cell r="C233" t="str">
            <v>194747</v>
          </cell>
          <cell r="D233" t="str">
            <v>Hà Minh Thế</v>
          </cell>
          <cell r="E233" t="str">
            <v>Trung tâm Hệ thống và tự động hóa - Viện NCPT</v>
          </cell>
          <cell r="F233" t="str">
            <v>Phòng Cơ điện tử</v>
          </cell>
          <cell r="G233" t="str">
            <v>Nhóm Thiết kế cơ khí</v>
          </cell>
          <cell r="H233" t="str">
            <v>Hợp đồng lao động</v>
          </cell>
          <cell r="I233" t="str">
            <v>Quân lực quản lý</v>
          </cell>
          <cell r="J233" t="str">
            <v>Kỹ sư Cơ khí</v>
          </cell>
        </row>
        <row r="234">
          <cell r="D234" t="str">
            <v>Nhóm chế thử</v>
          </cell>
        </row>
        <row r="235">
          <cell r="C235" t="str">
            <v>171694</v>
          </cell>
          <cell r="D235" t="str">
            <v>Nguyễn Xuân Hòa</v>
          </cell>
          <cell r="E235" t="str">
            <v>Trung tâm Hệ thống và tự động hóa - Viện NCPT</v>
          </cell>
          <cell r="F235" t="str">
            <v>Phòng Cơ điện tử</v>
          </cell>
          <cell r="G235" t="str">
            <v>Nhóm chế thử</v>
          </cell>
          <cell r="H235" t="str">
            <v>Hợp đồng lao động</v>
          </cell>
          <cell r="I235" t="str">
            <v>Quân lực quản lý</v>
          </cell>
          <cell r="J235" t="str">
            <v>Kỹ sư Cơ khí</v>
          </cell>
        </row>
        <row r="236">
          <cell r="D236" t="str">
            <v>Phòng điều khiển và truyền động</v>
          </cell>
        </row>
        <row r="237">
          <cell r="D237" t="str">
            <v>Phụ trách phòng</v>
          </cell>
        </row>
        <row r="238">
          <cell r="C238" t="str">
            <v>087198</v>
          </cell>
          <cell r="D238" t="str">
            <v>Hoàng Minh Châu</v>
          </cell>
          <cell r="E238" t="str">
            <v>Trung tâm Hệ thống và tự động hóa - Viện NCPT</v>
          </cell>
          <cell r="F238" t="str">
            <v>Phòng điều khiển và truyền động</v>
          </cell>
          <cell r="G238" t="str">
            <v>Phụ trách phòng</v>
          </cell>
          <cell r="H238" t="str">
            <v>Hợp đồng lao động</v>
          </cell>
          <cell r="I238" t="str">
            <v>Quân lực quản lý</v>
          </cell>
          <cell r="J238" t="str">
            <v>Trưởng phòng</v>
          </cell>
        </row>
        <row r="239">
          <cell r="D239" t="str">
            <v>Nhóm nghiên cứu thuật toán điều khiển và truyền động</v>
          </cell>
        </row>
        <row r="240">
          <cell r="C240" t="str">
            <v>114099</v>
          </cell>
          <cell r="D240" t="str">
            <v>Nguyễn Ngọc Tuyến</v>
          </cell>
          <cell r="E240" t="str">
            <v>Trung tâm Hệ thống và tự động hóa - Viện NCPT</v>
          </cell>
          <cell r="F240" t="str">
            <v>Phòng điều khiển và truyền động</v>
          </cell>
          <cell r="G240" t="str">
            <v>Nhóm nghiên cứu thuật toán điều khiển và truyền động</v>
          </cell>
          <cell r="H240" t="str">
            <v>Hợp đồng lao động</v>
          </cell>
          <cell r="I240" t="str">
            <v>Quân lực quản lý</v>
          </cell>
          <cell r="J240" t="str">
            <v>Trưởng nhóm</v>
          </cell>
        </row>
        <row r="241">
          <cell r="C241" t="str">
            <v>185494</v>
          </cell>
          <cell r="D241" t="str">
            <v>Đoàn Xuân Thảo</v>
          </cell>
          <cell r="E241" t="str">
            <v>Trung tâm Hệ thống và tự động hóa - Viện NCPT</v>
          </cell>
          <cell r="F241" t="str">
            <v>Phòng điều khiển và truyền động</v>
          </cell>
          <cell r="G241" t="str">
            <v>Nhóm nghiên cứu thuật toán điều khiển và truyền động</v>
          </cell>
          <cell r="H241" t="str">
            <v>Hợp đồng lao động</v>
          </cell>
          <cell r="I241" t="str">
            <v>Quân lực quản lý</v>
          </cell>
          <cell r="J241" t="str">
            <v>Kỹ sư Tự động hóa</v>
          </cell>
        </row>
        <row r="242">
          <cell r="D242" t="str">
            <v>Nhóm lập trình nhúng</v>
          </cell>
        </row>
        <row r="243">
          <cell r="C243" t="str">
            <v>113038</v>
          </cell>
          <cell r="D243" t="str">
            <v>Đinh Cao Sơn</v>
          </cell>
          <cell r="E243" t="str">
            <v>Trung tâm Hệ thống và tự động hóa - Viện NCPT</v>
          </cell>
          <cell r="F243" t="str">
            <v>Phòng điều khiển và truyền động</v>
          </cell>
          <cell r="G243" t="str">
            <v>Nhóm lập trình nhúng</v>
          </cell>
          <cell r="H243" t="str">
            <v>Hợp đồng lao động</v>
          </cell>
          <cell r="I243" t="str">
            <v>Quân lực quản lý</v>
          </cell>
          <cell r="J243" t="str">
            <v>Trưởng nhóm</v>
          </cell>
        </row>
        <row r="244">
          <cell r="C244" t="str">
            <v>158173</v>
          </cell>
          <cell r="D244" t="str">
            <v>Trần Đức Hiếu</v>
          </cell>
          <cell r="E244" t="str">
            <v>Trung tâm Hệ thống và tự động hóa - Viện NCPT</v>
          </cell>
          <cell r="F244" t="str">
            <v>Phòng điều khiển và truyền động</v>
          </cell>
          <cell r="G244" t="str">
            <v>Nhóm lập trình nhúng</v>
          </cell>
          <cell r="H244" t="str">
            <v>Hợp đồng lao động</v>
          </cell>
          <cell r="I244" t="str">
            <v>Quân lực quản lý</v>
          </cell>
          <cell r="J244" t="str">
            <v>Kỹ sư phát triển phần mềm nhúng</v>
          </cell>
        </row>
        <row r="245">
          <cell r="D245" t="str">
            <v>Nhóm thiết kế phần cứng</v>
          </cell>
        </row>
        <row r="246">
          <cell r="C246" t="str">
            <v>148776</v>
          </cell>
          <cell r="D246" t="str">
            <v>Nguyễn Huy Quân</v>
          </cell>
          <cell r="E246" t="str">
            <v>Trung tâm Hệ thống và tự động hóa - Viện NCPT</v>
          </cell>
          <cell r="F246" t="str">
            <v>Phòng điều khiển và truyền động</v>
          </cell>
          <cell r="G246" t="str">
            <v>Nhóm thiết kế phần cứng</v>
          </cell>
          <cell r="H246" t="str">
            <v>Hợp đồng lao động</v>
          </cell>
          <cell r="I246" t="str">
            <v>Quân lực quản lý</v>
          </cell>
          <cell r="J246" t="str">
            <v>Kỹ sư thiết kế phần cứng</v>
          </cell>
        </row>
        <row r="247">
          <cell r="C247" t="str">
            <v>155454</v>
          </cell>
          <cell r="D247" t="str">
            <v>Chu Văn Lại</v>
          </cell>
          <cell r="E247" t="str">
            <v>Trung tâm Hệ thống và tự động hóa - Viện NCPT</v>
          </cell>
          <cell r="F247" t="str">
            <v>Phòng điều khiển và truyền động</v>
          </cell>
          <cell r="G247" t="str">
            <v>Nhóm thiết kế phần cứng</v>
          </cell>
          <cell r="H247" t="str">
            <v>Hợp đồng lao động</v>
          </cell>
          <cell r="I247" t="str">
            <v>Quân lực quản lý</v>
          </cell>
          <cell r="J247" t="str">
            <v>Kỹ sư thiết kế phần cứng</v>
          </cell>
        </row>
        <row r="248">
          <cell r="D248" t="str">
            <v>Phòng xử lý ảnh và lập trình hệ thống</v>
          </cell>
        </row>
        <row r="249">
          <cell r="D249" t="str">
            <v>Phụ trách phòng</v>
          </cell>
        </row>
        <row r="250">
          <cell r="C250" t="str">
            <v>148777</v>
          </cell>
          <cell r="D250" t="str">
            <v>Tạ Hồng Nam</v>
          </cell>
          <cell r="E250" t="str">
            <v>Trung tâm Hệ thống và tự động hóa - Viện NCPT</v>
          </cell>
          <cell r="F250" t="str">
            <v>Phòng xử lý ảnh và lập trình hệ thống</v>
          </cell>
          <cell r="G250" t="str">
            <v>Phụ trách phòng</v>
          </cell>
          <cell r="H250" t="str">
            <v>Hợp đồng lao động</v>
          </cell>
          <cell r="I250" t="str">
            <v>Quân lực quản lý</v>
          </cell>
          <cell r="J250" t="str">
            <v>Phó Trưởng phòng</v>
          </cell>
        </row>
        <row r="251">
          <cell r="D251" t="str">
            <v xml:space="preserve">Nhóm xử lý ảnh  </v>
          </cell>
        </row>
        <row r="252">
          <cell r="C252" t="str">
            <v>193281</v>
          </cell>
          <cell r="D252" t="str">
            <v>Trương Huy Hoàng</v>
          </cell>
          <cell r="E252" t="str">
            <v>Trung tâm Hệ thống và tự động hóa - Viện NCPT</v>
          </cell>
          <cell r="F252" t="str">
            <v>Phòng xử lý ảnh và lập trình hệ thống</v>
          </cell>
          <cell r="G252" t="str">
            <v xml:space="preserve">Nhóm xử lý ảnh  </v>
          </cell>
          <cell r="H252" t="str">
            <v>Hợp đồng lao động</v>
          </cell>
          <cell r="I252" t="str">
            <v>Quân lực quản lý</v>
          </cell>
          <cell r="J252" t="str">
            <v>Kỹ sư phát triển phần mềm nhúng</v>
          </cell>
        </row>
        <row r="253">
          <cell r="C253" t="str">
            <v>194749</v>
          </cell>
          <cell r="D253" t="str">
            <v>Phạm Thu Hường</v>
          </cell>
          <cell r="E253" t="str">
            <v>Trung tâm Hệ thống và tự động hóa - Viện NCPT</v>
          </cell>
          <cell r="F253" t="str">
            <v>Phòng xử lý ảnh và lập trình hệ thống</v>
          </cell>
          <cell r="G253" t="str">
            <v xml:space="preserve">Nhóm xử lý ảnh  </v>
          </cell>
          <cell r="H253" t="str">
            <v>Hợp đồng lao động</v>
          </cell>
          <cell r="I253" t="str">
            <v>Quân lực quản lý</v>
          </cell>
          <cell r="J253" t="str">
            <v>Kỹ sư phát triển phần mềm nhúng</v>
          </cell>
        </row>
        <row r="254">
          <cell r="D254" t="str">
            <v>Nhóm lập trình hệ thống</v>
          </cell>
        </row>
        <row r="255">
          <cell r="C255" t="str">
            <v>137618</v>
          </cell>
          <cell r="D255" t="str">
            <v>Mẫn Đức Thắng</v>
          </cell>
          <cell r="E255" t="str">
            <v>Trung tâm Hệ thống và tự động hóa - Viện NCPT</v>
          </cell>
          <cell r="F255" t="str">
            <v>Phòng xử lý ảnh và lập trình hệ thống</v>
          </cell>
          <cell r="G255" t="str">
            <v>Nhóm lập trình hệ thống</v>
          </cell>
          <cell r="H255" t="str">
            <v>Hợp đồng lao động</v>
          </cell>
          <cell r="I255" t="str">
            <v>Quân lực quản lý</v>
          </cell>
          <cell r="J255" t="str">
            <v>Kỹ sư lập trình</v>
          </cell>
        </row>
        <row r="256">
          <cell r="C256" t="str">
            <v>193277</v>
          </cell>
          <cell r="D256" t="str">
            <v>Phí Đình Sáng</v>
          </cell>
          <cell r="E256" t="str">
            <v>Trung tâm Hệ thống và tự động hóa - Viện NCPT</v>
          </cell>
          <cell r="F256" t="str">
            <v>Phòng xử lý ảnh và lập trình hệ thống</v>
          </cell>
          <cell r="G256" t="str">
            <v>Nhóm lập trình hệ thống</v>
          </cell>
          <cell r="H256" t="str">
            <v>Hợp đồng lao động</v>
          </cell>
          <cell r="I256" t="str">
            <v>Quân lực quản lý</v>
          </cell>
          <cell r="J256" t="str">
            <v>Kỹ sư lập trình</v>
          </cell>
        </row>
        <row r="257">
          <cell r="D257" t="str">
            <v>Phòng Tích hợp hệ thống và Quản lý sản xuất</v>
          </cell>
        </row>
        <row r="258">
          <cell r="D258" t="str">
            <v>Phụ trách phòng</v>
          </cell>
        </row>
        <row r="259">
          <cell r="C259" t="str">
            <v>056921</v>
          </cell>
          <cell r="D259" t="str">
            <v>Ngô Quang Huy</v>
          </cell>
          <cell r="E259" t="str">
            <v>Trung tâm Hệ thống và tự động hóa - Viện NCPT</v>
          </cell>
          <cell r="F259" t="str">
            <v>Phòng Tích hợp hệ thống và Quản lý sản xuất</v>
          </cell>
          <cell r="G259" t="str">
            <v>Phụ trách phòng</v>
          </cell>
          <cell r="H259" t="str">
            <v>Hợp đồng lao động</v>
          </cell>
          <cell r="I259" t="str">
            <v>Quân lực quản lý</v>
          </cell>
          <cell r="J259" t="str">
            <v>Trưởng phòng</v>
          </cell>
        </row>
        <row r="260">
          <cell r="D260" t="str">
            <v>Nhóm thiết kế hệ thống</v>
          </cell>
        </row>
        <row r="261">
          <cell r="C261" t="str">
            <v>100477</v>
          </cell>
          <cell r="D261" t="str">
            <v>Khương Văn Hữu</v>
          </cell>
          <cell r="E261" t="str">
            <v>Trung tâm Hệ thống và tự động hóa - Viện NCPT</v>
          </cell>
          <cell r="F261" t="str">
            <v>Phòng Tích hợp hệ thống và Quản lý sản xuất</v>
          </cell>
          <cell r="G261" t="str">
            <v>Nhóm thiết kế hệ thống</v>
          </cell>
          <cell r="H261" t="str">
            <v>Hợp đồng lao động</v>
          </cell>
          <cell r="I261" t="str">
            <v>Quân lực quản lý</v>
          </cell>
          <cell r="J261" t="str">
            <v>Trưởng nhóm</v>
          </cell>
        </row>
        <row r="262">
          <cell r="C262" t="str">
            <v>153033</v>
          </cell>
          <cell r="D262" t="str">
            <v>Nguyễn Đức Thuần</v>
          </cell>
          <cell r="E262" t="str">
            <v>Trung tâm Hệ thống và tự động hóa - Viện NCPT</v>
          </cell>
          <cell r="F262" t="str">
            <v>Phòng Tích hợp hệ thống và Quản lý sản xuất</v>
          </cell>
          <cell r="G262" t="str">
            <v>Nhóm thiết kế hệ thống</v>
          </cell>
          <cell r="H262" t="str">
            <v>Hợp đồng lao động</v>
          </cell>
          <cell r="I262" t="str">
            <v>Quân lực quản lý</v>
          </cell>
          <cell r="J262" t="str">
            <v>Kỹ sư hệ thống Quang điện tử</v>
          </cell>
        </row>
        <row r="263">
          <cell r="D263" t="str">
            <v>Nhóm tích hợp hệ thống</v>
          </cell>
        </row>
        <row r="264">
          <cell r="C264" t="str">
            <v>148933</v>
          </cell>
          <cell r="D264" t="str">
            <v>Nguyễn Quốc Thịnh</v>
          </cell>
          <cell r="E264" t="str">
            <v>Trung tâm Hệ thống và tự động hóa - Viện NCPT</v>
          </cell>
          <cell r="F264" t="str">
            <v>Phòng Tích hợp hệ thống và Quản lý sản xuất</v>
          </cell>
          <cell r="G264" t="str">
            <v>Nhóm tích hợp hệ thống</v>
          </cell>
          <cell r="H264" t="str">
            <v>Hợp đồng lao động</v>
          </cell>
          <cell r="I264" t="str">
            <v>Quân lực quản lý</v>
          </cell>
          <cell r="J264" t="str">
            <v>Kỹ sư Tích hợp hệ thống</v>
          </cell>
        </row>
        <row r="265">
          <cell r="D265" t="str">
            <v>Nhóm triển khai và đảm bảo</v>
          </cell>
        </row>
        <row r="266">
          <cell r="C266" t="str">
            <v>074176</v>
          </cell>
          <cell r="D266" t="str">
            <v>Nguyễn Đình Thắng</v>
          </cell>
          <cell r="E266" t="str">
            <v>Trung tâm Hệ thống và tự động hóa - Viện NCPT</v>
          </cell>
          <cell r="F266" t="str">
            <v>Phòng Tích hợp hệ thống và Quản lý sản xuất</v>
          </cell>
          <cell r="G266" t="str">
            <v>Nhóm triển khai và đảm bảo</v>
          </cell>
          <cell r="H266" t="str">
            <v>Thiếu tá CN</v>
          </cell>
          <cell r="I266" t="str">
            <v>Cán bộ quản lý</v>
          </cell>
          <cell r="J266" t="str">
            <v>Kỹ sư Tích hợp hệ thống</v>
          </cell>
        </row>
        <row r="267">
          <cell r="D267" t="str">
            <v>Trung tâm Thông tin quân sự - Viện NCPT</v>
          </cell>
        </row>
        <row r="268">
          <cell r="D268" t="str">
            <v>Ban Giám đốc và chuyên gia</v>
          </cell>
        </row>
        <row r="269">
          <cell r="D269" t="str">
            <v>Thủ trưởng đơn vị</v>
          </cell>
        </row>
        <row r="270">
          <cell r="C270" t="str">
            <v>087210</v>
          </cell>
          <cell r="D270" t="str">
            <v>Đào Vũ Kiên</v>
          </cell>
          <cell r="E270" t="str">
            <v>Trung tâm Thông tin quân sự - Viện NCPT</v>
          </cell>
          <cell r="F270" t="str">
            <v>Ban Giám đốc và chuyên gia</v>
          </cell>
          <cell r="G270" t="str">
            <v>Thủ trưởng đơn vị</v>
          </cell>
          <cell r="H270" t="str">
            <v>Đại úy CN</v>
          </cell>
          <cell r="I270" t="str">
            <v>Quân lực quản lý</v>
          </cell>
          <cell r="J270" t="str">
            <v>Giám đốc</v>
          </cell>
        </row>
        <row r="271">
          <cell r="C271" t="str">
            <v>059034</v>
          </cell>
          <cell r="D271" t="str">
            <v>Nguyễn Mạnh Linh</v>
          </cell>
          <cell r="E271" t="str">
            <v>Trung tâm Thông tin quân sự - Viện NCPT</v>
          </cell>
          <cell r="F271" t="str">
            <v>Ban Giám đốc và chuyên gia</v>
          </cell>
          <cell r="G271" t="str">
            <v>Thủ trưởng đơn vị</v>
          </cell>
          <cell r="H271" t="str">
            <v>Hợp đồng lao động</v>
          </cell>
          <cell r="I271" t="str">
            <v>Quân lực quản lý</v>
          </cell>
          <cell r="J271" t="str">
            <v>Phó Giám đốc</v>
          </cell>
        </row>
        <row r="272">
          <cell r="C272" t="str">
            <v>093077</v>
          </cell>
          <cell r="D272" t="str">
            <v>Nguyễn Cương Hoàng</v>
          </cell>
          <cell r="E272" t="str">
            <v>Trung tâm Thông tin quân sự - Viện NCPT</v>
          </cell>
          <cell r="F272" t="str">
            <v>Ban Giám đốc và chuyên gia</v>
          </cell>
          <cell r="G272" t="str">
            <v>Thủ trưởng đơn vị</v>
          </cell>
          <cell r="H272" t="str">
            <v>Thiếu tá CN</v>
          </cell>
          <cell r="I272" t="str">
            <v>Quân lực quản lý</v>
          </cell>
          <cell r="J272" t="str">
            <v>Phó Giám đốc</v>
          </cell>
        </row>
        <row r="273">
          <cell r="D273" t="str">
            <v>Phòng Tổng hợp</v>
          </cell>
        </row>
        <row r="274">
          <cell r="D274" t="str">
            <v>Phụ trách phòng</v>
          </cell>
        </row>
        <row r="275">
          <cell r="C275" t="str">
            <v>045097</v>
          </cell>
          <cell r="D275" t="str">
            <v>Hoàng Thị Nga</v>
          </cell>
          <cell r="E275" t="str">
            <v>Trung tâm Thông tin quân sự - Viện NCPT</v>
          </cell>
          <cell r="F275" t="str">
            <v>Phòng Tổng hợp</v>
          </cell>
          <cell r="G275" t="str">
            <v>Phụ trách phòng</v>
          </cell>
          <cell r="H275" t="str">
            <v>Hợp đồng lao động</v>
          </cell>
          <cell r="I275" t="str">
            <v>Quân lực quản lý</v>
          </cell>
          <cell r="J275" t="str">
            <v>Trưởng phòng</v>
          </cell>
        </row>
        <row r="276">
          <cell r="D276" t="str">
            <v>Trợ lý nghiệp vụ</v>
          </cell>
        </row>
        <row r="277">
          <cell r="C277" t="str">
            <v>009870</v>
          </cell>
          <cell r="D277" t="str">
            <v>Nguyễn Thị Thanh Thủy</v>
          </cell>
          <cell r="E277" t="str">
            <v>Trung tâm Thông tin quân sự - Viện NCPT</v>
          </cell>
          <cell r="F277" t="str">
            <v>Phòng Tổng hợp</v>
          </cell>
          <cell r="G277" t="str">
            <v>Trợ lý nghiệp vụ</v>
          </cell>
          <cell r="H277" t="str">
            <v>Hợp đồng lao động</v>
          </cell>
          <cell r="I277" t="str">
            <v>Quân lực quản lý</v>
          </cell>
          <cell r="J277" t="str">
            <v>Kế toán</v>
          </cell>
        </row>
        <row r="278">
          <cell r="C278" t="str">
            <v>063770</v>
          </cell>
          <cell r="D278" t="str">
            <v>Trương Thị Thùy Dung</v>
          </cell>
          <cell r="E278" t="str">
            <v>Trung tâm Thông tin quân sự - Viện NCPT</v>
          </cell>
          <cell r="F278" t="str">
            <v>Phòng Tổng hợp</v>
          </cell>
          <cell r="G278" t="str">
            <v>Trợ lý nghiệp vụ</v>
          </cell>
          <cell r="H278" t="str">
            <v>Hợp đồng lao động</v>
          </cell>
          <cell r="I278" t="str">
            <v>Quân lực quản lý</v>
          </cell>
          <cell r="J278" t="str">
            <v>Nhân viên hành chính tổng hợp</v>
          </cell>
        </row>
        <row r="279">
          <cell r="D279" t="str">
            <v>Phòng Quản lý sản xuất</v>
          </cell>
        </row>
        <row r="280">
          <cell r="D280" t="str">
            <v>Phụ trách phòng</v>
          </cell>
        </row>
        <row r="281">
          <cell r="C281" t="str">
            <v>120001</v>
          </cell>
          <cell r="D281" t="str">
            <v>Dương Minh Tùng</v>
          </cell>
          <cell r="E281" t="str">
            <v>Trung tâm Thông tin quân sự - Viện NCPT</v>
          </cell>
          <cell r="F281" t="str">
            <v>Phòng Quản lý sản xuất</v>
          </cell>
          <cell r="G281" t="str">
            <v>Phụ trách phòng</v>
          </cell>
          <cell r="H281" t="str">
            <v>Hợp đồng lao động</v>
          </cell>
          <cell r="I281" t="str">
            <v>Quân lực quản lý</v>
          </cell>
          <cell r="J281" t="str">
            <v>Trưởng phòng</v>
          </cell>
        </row>
        <row r="282">
          <cell r="D282" t="str">
            <v>Phòng Xử lý Tín hiệu</v>
          </cell>
        </row>
        <row r="283">
          <cell r="D283" t="str">
            <v>Phụ trách phòng</v>
          </cell>
        </row>
        <row r="284">
          <cell r="C284" t="str">
            <v>087201</v>
          </cell>
          <cell r="D284" t="str">
            <v>Nguyễn Thái Bình</v>
          </cell>
          <cell r="E284" t="str">
            <v>Trung tâm Thông tin quân sự - Viện NCPT</v>
          </cell>
          <cell r="F284" t="str">
            <v>Phòng Xử lý Tín hiệu</v>
          </cell>
          <cell r="G284" t="str">
            <v>Phụ trách phòng</v>
          </cell>
          <cell r="H284" t="str">
            <v>Đại úy CN</v>
          </cell>
          <cell r="I284" t="str">
            <v>Quân lực quản lý</v>
          </cell>
          <cell r="J284" t="str">
            <v>Trưởng phòng</v>
          </cell>
        </row>
        <row r="285">
          <cell r="C285" t="str">
            <v>132131</v>
          </cell>
          <cell r="D285" t="str">
            <v>Đồng Quang Trung</v>
          </cell>
          <cell r="E285" t="str">
            <v>Trung tâm Thông tin quân sự - Viện NCPT</v>
          </cell>
          <cell r="F285" t="str">
            <v>Phòng Xử lý Tín hiệu</v>
          </cell>
          <cell r="G285" t="str">
            <v>Phụ trách phòng</v>
          </cell>
          <cell r="H285" t="str">
            <v>Hợp đồng lao động</v>
          </cell>
          <cell r="I285" t="str">
            <v>Quân lực quản lý</v>
          </cell>
          <cell r="J285" t="str">
            <v>Phó Trưởng phòng</v>
          </cell>
        </row>
        <row r="286">
          <cell r="D286" t="str">
            <v>Bộ phận thiết kế hệ thống xử lý FPGA</v>
          </cell>
        </row>
        <row r="287">
          <cell r="C287" t="str">
            <v>108998</v>
          </cell>
          <cell r="D287" t="str">
            <v>Đàm Thế Hiếu</v>
          </cell>
          <cell r="E287" t="str">
            <v>Trung tâm Thông tin quân sự - Viện NCPT</v>
          </cell>
          <cell r="F287" t="str">
            <v>Phòng Xử lý Tín hiệu</v>
          </cell>
          <cell r="G287" t="str">
            <v>Bộ phận thiết kế hệ thống xử lý FPGA</v>
          </cell>
          <cell r="H287" t="str">
            <v>Hợp đồng lao động</v>
          </cell>
          <cell r="I287" t="str">
            <v>Quân lực quản lý</v>
          </cell>
          <cell r="J287" t="str">
            <v>Kỹ sư Lập trình kiểm thử HDL</v>
          </cell>
        </row>
        <row r="288">
          <cell r="D288" t="str">
            <v>Bộ phận xử lý tín hiệu băng gốc</v>
          </cell>
        </row>
        <row r="289">
          <cell r="C289" t="str">
            <v>123204</v>
          </cell>
          <cell r="D289" t="str">
            <v>Nguyễn Hữu Đức</v>
          </cell>
          <cell r="E289" t="str">
            <v>Trung tâm Thông tin quân sự - Viện NCPT</v>
          </cell>
          <cell r="F289" t="str">
            <v>Phòng Xử lý Tín hiệu</v>
          </cell>
          <cell r="G289" t="str">
            <v>Bộ phận xử lý tín hiệu băng gốc</v>
          </cell>
          <cell r="H289" t="str">
            <v>Hợp đồng lao động</v>
          </cell>
          <cell r="I289" t="str">
            <v>Quân lực quản lý</v>
          </cell>
          <cell r="J289" t="str">
            <v>Trưởng nhóm</v>
          </cell>
        </row>
        <row r="290">
          <cell r="C290" t="str">
            <v>135756</v>
          </cell>
          <cell r="D290" t="str">
            <v>Nguyễn Ngọc Tú</v>
          </cell>
          <cell r="E290" t="str">
            <v>Trung tâm Thông tin quân sự - Viện NCPT</v>
          </cell>
          <cell r="F290" t="str">
            <v>Phòng Xử lý Tín hiệu</v>
          </cell>
          <cell r="G290" t="str">
            <v>Bộ phận xử lý tín hiệu băng gốc</v>
          </cell>
          <cell r="H290" t="str">
            <v>Hợp đồng lao động</v>
          </cell>
          <cell r="I290" t="str">
            <v>Quân lực quản lý</v>
          </cell>
          <cell r="J290" t="str">
            <v>Kỹ sư xử lý tín hiệu</v>
          </cell>
        </row>
        <row r="291">
          <cell r="C291" t="str">
            <v>135757</v>
          </cell>
          <cell r="D291" t="str">
            <v>Bùi Tuấn Anh</v>
          </cell>
          <cell r="E291" t="str">
            <v>Trung tâm Thông tin quân sự - Viện NCPT</v>
          </cell>
          <cell r="F291" t="str">
            <v>Phòng Xử lý Tín hiệu</v>
          </cell>
          <cell r="G291" t="str">
            <v>Bộ phận xử lý tín hiệu băng gốc</v>
          </cell>
          <cell r="H291" t="str">
            <v>Hợp đồng lao động</v>
          </cell>
          <cell r="I291" t="str">
            <v>Quân lực quản lý</v>
          </cell>
          <cell r="J291" t="str">
            <v>Kỹ sư xử lý tín hiệu</v>
          </cell>
        </row>
        <row r="292">
          <cell r="C292" t="str">
            <v>198999</v>
          </cell>
          <cell r="D292" t="str">
            <v>Nguyễn Việt Hoàng</v>
          </cell>
          <cell r="E292" t="str">
            <v>Trung tâm Thông tin quân sự - Viện NCPT</v>
          </cell>
          <cell r="F292" t="str">
            <v>Phòng Xử lý Tín hiệu</v>
          </cell>
          <cell r="G292" t="str">
            <v>Bộ phận xử lý tín hiệu băng gốc</v>
          </cell>
          <cell r="H292" t="str">
            <v>Hợp đồng lao động</v>
          </cell>
          <cell r="I292" t="str">
            <v>Quân lực quản lý</v>
          </cell>
          <cell r="J292" t="str">
            <v>Kỹ sư xử lý tín hiệu</v>
          </cell>
        </row>
        <row r="293">
          <cell r="D293" t="str">
            <v>Bộ phận mã hóa và bảo mật</v>
          </cell>
        </row>
        <row r="294">
          <cell r="C294" t="str">
            <v>155474</v>
          </cell>
          <cell r="D294" t="str">
            <v>Nguyễn Phan Khánh Hà</v>
          </cell>
          <cell r="E294" t="str">
            <v>Trung tâm Thông tin quân sự - Viện NCPT</v>
          </cell>
          <cell r="F294" t="str">
            <v>Phòng Xử lý Tín hiệu</v>
          </cell>
          <cell r="G294" t="str">
            <v>Bộ phận mã hóa và bảo mật</v>
          </cell>
          <cell r="H294" t="str">
            <v>Hợp đồng lao động</v>
          </cell>
          <cell r="I294" t="str">
            <v>Quân lực quản lý</v>
          </cell>
          <cell r="J294" t="str">
            <v>Kỹ sư xử lý tín hiệu</v>
          </cell>
        </row>
        <row r="295">
          <cell r="D295" t="str">
            <v>Bộ phận Kiểm thử và thử nghiệm</v>
          </cell>
        </row>
        <row r="296">
          <cell r="C296" t="str">
            <v>135755</v>
          </cell>
          <cell r="D296" t="str">
            <v>Nguyễn Hồng Huy Thông</v>
          </cell>
          <cell r="E296" t="str">
            <v>Trung tâm Thông tin quân sự - Viện NCPT</v>
          </cell>
          <cell r="F296" t="str">
            <v>Phòng Xử lý Tín hiệu</v>
          </cell>
          <cell r="G296" t="str">
            <v>Bộ phận Kiểm thử và thử nghiệm</v>
          </cell>
          <cell r="H296" t="str">
            <v>Hợp đồng lao động</v>
          </cell>
          <cell r="I296" t="str">
            <v>Quân lực quản lý</v>
          </cell>
          <cell r="J296" t="str">
            <v>Kỹ sư xử lý tín hiệu</v>
          </cell>
        </row>
        <row r="297">
          <cell r="C297" t="str">
            <v>164964</v>
          </cell>
          <cell r="D297" t="str">
            <v>Trần Ngọc Tú</v>
          </cell>
          <cell r="E297" t="str">
            <v>Trung tâm Thông tin quân sự - Viện NCPT</v>
          </cell>
          <cell r="F297" t="str">
            <v>Phòng Xử lý Tín hiệu</v>
          </cell>
          <cell r="G297" t="str">
            <v>Bộ phận Kiểm thử và thử nghiệm</v>
          </cell>
          <cell r="H297" t="str">
            <v>Hợp đồng lao động</v>
          </cell>
          <cell r="I297" t="str">
            <v>Quân lực quản lý</v>
          </cell>
          <cell r="J297" t="str">
            <v>Kỹ sư xử lý tín hiệu</v>
          </cell>
        </row>
        <row r="298">
          <cell r="C298" t="str">
            <v>164969</v>
          </cell>
          <cell r="D298" t="str">
            <v>Hoàng Minh Tú</v>
          </cell>
          <cell r="E298" t="str">
            <v>Trung tâm Thông tin quân sự - Viện NCPT</v>
          </cell>
          <cell r="F298" t="str">
            <v>Phòng Xử lý Tín hiệu</v>
          </cell>
          <cell r="G298" t="str">
            <v>Bộ phận Kiểm thử và thử nghiệm</v>
          </cell>
          <cell r="H298" t="str">
            <v>Hợp đồng lao động</v>
          </cell>
          <cell r="I298" t="str">
            <v>Quân lực quản lý</v>
          </cell>
          <cell r="J298" t="str">
            <v>Kỹ sư xử lý tín hiệu</v>
          </cell>
        </row>
        <row r="299">
          <cell r="D299" t="str">
            <v>Phòng Thiết kế phần cứng</v>
          </cell>
        </row>
        <row r="300">
          <cell r="D300" t="str">
            <v>Phụ trách phòng</v>
          </cell>
        </row>
        <row r="301">
          <cell r="C301" t="str">
            <v>116188</v>
          </cell>
          <cell r="D301" t="str">
            <v>Khương Duy</v>
          </cell>
          <cell r="E301" t="str">
            <v>Trung tâm Thông tin quân sự - Viện NCPT</v>
          </cell>
          <cell r="F301" t="str">
            <v>Phòng Thiết kế phần cứng</v>
          </cell>
          <cell r="G301" t="str">
            <v>Phụ trách phòng</v>
          </cell>
          <cell r="H301" t="str">
            <v>Hợp đồng lao động</v>
          </cell>
          <cell r="I301" t="str">
            <v>Quân lực quản lý</v>
          </cell>
          <cell r="J301" t="str">
            <v>Trưởng phòng</v>
          </cell>
        </row>
        <row r="302">
          <cell r="C302" t="str">
            <v>130448</v>
          </cell>
          <cell r="D302" t="str">
            <v>Ngô Huy Tấn</v>
          </cell>
          <cell r="E302" t="str">
            <v>Trung tâm Thông tin quân sự - Viện NCPT</v>
          </cell>
          <cell r="F302" t="str">
            <v>Phòng Thiết kế phần cứng</v>
          </cell>
          <cell r="G302" t="str">
            <v>Phụ trách phòng</v>
          </cell>
          <cell r="H302" t="str">
            <v>Hợp đồng lao động</v>
          </cell>
          <cell r="I302" t="str">
            <v>Quân lực quản lý</v>
          </cell>
          <cell r="J302" t="str">
            <v>Phó Trưởng phòng</v>
          </cell>
        </row>
        <row r="303">
          <cell r="D303" t="str">
            <v>Bộ phận Thiết kế hệ thống số</v>
          </cell>
        </row>
        <row r="304">
          <cell r="C304" t="str">
            <v>114618</v>
          </cell>
          <cell r="D304" t="str">
            <v>Trần Văn Đăng</v>
          </cell>
          <cell r="E304" t="str">
            <v>Trung tâm Thông tin quân sự - Viện NCPT</v>
          </cell>
          <cell r="F304" t="str">
            <v>Phòng Thiết kế phần cứng</v>
          </cell>
          <cell r="G304" t="str">
            <v>Bộ phận Thiết kế hệ thống số</v>
          </cell>
          <cell r="H304" t="str">
            <v>Hợp đồng lao động</v>
          </cell>
          <cell r="I304" t="str">
            <v>Quân lực quản lý</v>
          </cell>
          <cell r="J304" t="str">
            <v>Kỹ sư thiết kế phần cứng số</v>
          </cell>
        </row>
        <row r="305">
          <cell r="C305" t="str">
            <v>137030</v>
          </cell>
          <cell r="D305" t="str">
            <v>Dương Đức Thanh</v>
          </cell>
          <cell r="E305" t="str">
            <v>Trung tâm Thông tin quân sự - Viện NCPT</v>
          </cell>
          <cell r="F305" t="str">
            <v>Phòng Thiết kế phần cứng</v>
          </cell>
          <cell r="G305" t="str">
            <v>Bộ phận Thiết kế hệ thống số</v>
          </cell>
          <cell r="H305" t="str">
            <v>Hợp đồng lao động</v>
          </cell>
          <cell r="I305" t="str">
            <v>Quân lực quản lý</v>
          </cell>
          <cell r="J305" t="str">
            <v>Kỹ sư thiết kế phần cứng số</v>
          </cell>
        </row>
        <row r="306">
          <cell r="C306" t="str">
            <v>164957</v>
          </cell>
          <cell r="D306" t="str">
            <v>Cấn Văn Lịch</v>
          </cell>
          <cell r="E306" t="str">
            <v>Trung tâm Thông tin quân sự - Viện NCPT</v>
          </cell>
          <cell r="F306" t="str">
            <v>Phòng Thiết kế phần cứng</v>
          </cell>
          <cell r="G306" t="str">
            <v>Bộ phận Thiết kế hệ thống số</v>
          </cell>
          <cell r="H306" t="str">
            <v>Hợp đồng lao động</v>
          </cell>
          <cell r="I306" t="str">
            <v>Quân lực quản lý</v>
          </cell>
          <cell r="J306" t="str">
            <v>Kỹ sư thiết kế phần cứng số</v>
          </cell>
        </row>
        <row r="307">
          <cell r="C307" t="str">
            <v>187217</v>
          </cell>
          <cell r="D307" t="str">
            <v>Nguyễn Hồ Như Ý</v>
          </cell>
          <cell r="E307" t="str">
            <v>Trung tâm Thông tin quân sự - Viện NCPT</v>
          </cell>
          <cell r="F307" t="str">
            <v>Phòng Thiết kế phần cứng</v>
          </cell>
          <cell r="G307" t="str">
            <v>Bộ phận Thiết kế hệ thống số</v>
          </cell>
          <cell r="H307" t="str">
            <v>Hợp đồng lao động</v>
          </cell>
          <cell r="I307" t="str">
            <v>Quân lực quản lý</v>
          </cell>
          <cell r="J307" t="str">
            <v>Kỹ sư thiết kế phần cứng số</v>
          </cell>
        </row>
        <row r="308">
          <cell r="D308" t="str">
            <v>Bộ phận Thiết kế phần cứng cao tần</v>
          </cell>
        </row>
        <row r="309">
          <cell r="C309" t="str">
            <v>137611</v>
          </cell>
          <cell r="D309" t="str">
            <v>Phùng Đức Phú</v>
          </cell>
          <cell r="E309" t="str">
            <v>Trung tâm Thông tin quân sự - Viện NCPT</v>
          </cell>
          <cell r="F309" t="str">
            <v>Phòng Thiết kế phần cứng</v>
          </cell>
          <cell r="G309" t="str">
            <v>Bộ phận Thiết kế phần cứng cao tần</v>
          </cell>
          <cell r="H309" t="str">
            <v>Hợp đồng lao động</v>
          </cell>
          <cell r="I309" t="str">
            <v>Quân lực quản lý</v>
          </cell>
          <cell r="J309" t="str">
            <v>Trưởng nhóm</v>
          </cell>
        </row>
        <row r="310">
          <cell r="C310" t="str">
            <v>194744</v>
          </cell>
          <cell r="D310" t="str">
            <v>Nguyễn Hoàng Linh</v>
          </cell>
          <cell r="E310" t="str">
            <v>Trung tâm Thông tin quân sự - Viện NCPT</v>
          </cell>
          <cell r="F310" t="str">
            <v>Phòng Thiết kế phần cứng</v>
          </cell>
          <cell r="G310" t="str">
            <v>Bộ phận Thiết kế phần cứng cao tần</v>
          </cell>
          <cell r="H310" t="str">
            <v>Hợp đồng lao động</v>
          </cell>
          <cell r="I310" t="str">
            <v>Quân lực quản lý</v>
          </cell>
          <cell r="J310" t="str">
            <v>Kỹ sư thiết kế phần cứng cao tần</v>
          </cell>
        </row>
        <row r="311">
          <cell r="C311" t="str">
            <v>194745</v>
          </cell>
          <cell r="D311" t="str">
            <v>Nguyễn Thị Huyền Trang</v>
          </cell>
          <cell r="E311" t="str">
            <v>Trung tâm Thông tin quân sự - Viện NCPT</v>
          </cell>
          <cell r="F311" t="str">
            <v>Phòng Thiết kế phần cứng</v>
          </cell>
          <cell r="G311" t="str">
            <v>Bộ phận Thiết kế phần cứng cao tần</v>
          </cell>
          <cell r="H311" t="str">
            <v>Hợp đồng lao động</v>
          </cell>
          <cell r="I311" t="str">
            <v>Quân lực quản lý</v>
          </cell>
          <cell r="J311" t="str">
            <v>Kỹ sư thiết kế phần cứng cao tần</v>
          </cell>
        </row>
        <row r="312">
          <cell r="C312" t="str">
            <v>197134</v>
          </cell>
          <cell r="D312" t="str">
            <v>Bùi Minh Vũ</v>
          </cell>
          <cell r="E312" t="str">
            <v>Trung tâm Thông tin quân sự - Viện NCPT</v>
          </cell>
          <cell r="F312" t="str">
            <v>Phòng Thiết kế phần cứng</v>
          </cell>
          <cell r="G312" t="str">
            <v>Bộ phận Thiết kế phần cứng cao tần</v>
          </cell>
          <cell r="H312" t="str">
            <v>Hợp đồng lao động</v>
          </cell>
          <cell r="I312" t="str">
            <v>Quân lực quản lý</v>
          </cell>
          <cell r="J312" t="str">
            <v>Kỹ sư thiết kế phần cứng cao tần</v>
          </cell>
        </row>
        <row r="313">
          <cell r="D313" t="str">
            <v>Phòng Phát triển phần mềm</v>
          </cell>
        </row>
        <row r="314">
          <cell r="D314" t="str">
            <v>Phụ trách phòng</v>
          </cell>
        </row>
        <row r="315">
          <cell r="C315" t="str">
            <v>087199</v>
          </cell>
          <cell r="D315" t="str">
            <v>Đặng Hữu Tùng</v>
          </cell>
          <cell r="E315" t="str">
            <v>Trung tâm Thông tin quân sự - Viện NCPT</v>
          </cell>
          <cell r="F315" t="str">
            <v>Phòng Phát triển phần mềm</v>
          </cell>
          <cell r="G315" t="str">
            <v>Phụ trách phòng</v>
          </cell>
          <cell r="H315" t="str">
            <v>Hợp đồng lao động</v>
          </cell>
          <cell r="I315" t="str">
            <v>Quân lực quản lý</v>
          </cell>
          <cell r="J315" t="str">
            <v>Trưởng phòng</v>
          </cell>
        </row>
        <row r="316">
          <cell r="D316" t="str">
            <v>Bộ phận Phát triển phần mềm nhúng</v>
          </cell>
        </row>
        <row r="317">
          <cell r="C317" t="str">
            <v>133931</v>
          </cell>
          <cell r="D317" t="str">
            <v>Lưu Như Hòa</v>
          </cell>
          <cell r="E317" t="str">
            <v>Trung tâm Thông tin quân sự - Viện NCPT</v>
          </cell>
          <cell r="F317" t="str">
            <v>Phòng Phát triển phần mềm</v>
          </cell>
          <cell r="G317" t="str">
            <v>Bộ phận Phát triển phần mềm nhúng</v>
          </cell>
          <cell r="H317" t="str">
            <v>Hợp đồng lao động</v>
          </cell>
          <cell r="I317" t="str">
            <v>Quân lực quản lý</v>
          </cell>
          <cell r="J317" t="str">
            <v>Trưởng nhóm</v>
          </cell>
        </row>
        <row r="318">
          <cell r="C318" t="str">
            <v>194738</v>
          </cell>
          <cell r="D318" t="str">
            <v>Đỗ Bá Minh</v>
          </cell>
          <cell r="E318" t="str">
            <v>Trung tâm Thông tin quân sự - Viện NCPT</v>
          </cell>
          <cell r="F318" t="str">
            <v>Phòng Phát triển phần mềm</v>
          </cell>
          <cell r="G318" t="str">
            <v>Bộ phận Phát triển phần mềm nhúng</v>
          </cell>
          <cell r="H318" t="str">
            <v>Hợp đồng lao động</v>
          </cell>
          <cell r="I318" t="str">
            <v>Quân lực quản lý</v>
          </cell>
          <cell r="J318" t="str">
            <v>Kỹ sư phát triển phần mềm nhúng</v>
          </cell>
        </row>
        <row r="319">
          <cell r="C319" t="str">
            <v>195193</v>
          </cell>
          <cell r="D319" t="str">
            <v>Nguyễn Viết Thu</v>
          </cell>
          <cell r="E319" t="str">
            <v>Trung tâm Thông tin quân sự - Viện NCPT</v>
          </cell>
          <cell r="F319" t="str">
            <v>Phòng Phát triển phần mềm</v>
          </cell>
          <cell r="G319" t="str">
            <v>Bộ phận Phát triển phần mềm nhúng</v>
          </cell>
          <cell r="H319" t="str">
            <v>Hợp đồng lao động</v>
          </cell>
          <cell r="I319" t="str">
            <v>Quân lực quản lý</v>
          </cell>
          <cell r="J319" t="str">
            <v>Kỹ sư phát triển phần mềm nhúng</v>
          </cell>
        </row>
        <row r="320">
          <cell r="C320" t="str">
            <v>197129</v>
          </cell>
          <cell r="D320" t="str">
            <v>Trần Xuân Trường</v>
          </cell>
          <cell r="E320" t="str">
            <v>Trung tâm Thông tin quân sự - Viện NCPT</v>
          </cell>
          <cell r="F320" t="str">
            <v>Phòng Phát triển phần mềm</v>
          </cell>
          <cell r="G320" t="str">
            <v>Bộ phận Phát triển phần mềm nhúng</v>
          </cell>
          <cell r="H320" t="str">
            <v>Hợp đồng lao động</v>
          </cell>
          <cell r="I320" t="str">
            <v>Quân lực quản lý</v>
          </cell>
          <cell r="J320" t="str">
            <v>Kỹ sư phát triển phần mềm nhúng</v>
          </cell>
        </row>
        <row r="321">
          <cell r="D321" t="str">
            <v>Bộ phận Phát triển phần mềm ứng dụng</v>
          </cell>
        </row>
        <row r="322">
          <cell r="C322" t="str">
            <v>096596</v>
          </cell>
          <cell r="D322" t="str">
            <v>Lê Đăng Hiếu</v>
          </cell>
          <cell r="E322" t="str">
            <v>Trung tâm Thông tin quân sự - Viện NCPT</v>
          </cell>
          <cell r="F322" t="str">
            <v>Phòng Phát triển phần mềm</v>
          </cell>
          <cell r="G322" t="str">
            <v>Bộ phận Phát triển phần mềm ứng dụng</v>
          </cell>
          <cell r="H322" t="str">
            <v>Hợp đồng lao động</v>
          </cell>
          <cell r="I322" t="str">
            <v>Quân lực quản lý</v>
          </cell>
          <cell r="J322" t="str">
            <v>Kỹ sư phát triển phần mềm nhúng</v>
          </cell>
        </row>
        <row r="323">
          <cell r="C323" t="str">
            <v>162555</v>
          </cell>
          <cell r="D323" t="str">
            <v>Nguyễn Đình Liệu</v>
          </cell>
          <cell r="E323" t="str">
            <v>Trung tâm Thông tin quân sự - Viện NCPT</v>
          </cell>
          <cell r="F323" t="str">
            <v>Phòng Phát triển phần mềm</v>
          </cell>
          <cell r="G323" t="str">
            <v>Bộ phận Phát triển phần mềm ứng dụng</v>
          </cell>
          <cell r="H323" t="str">
            <v>Hợp đồng lao động</v>
          </cell>
          <cell r="I323" t="str">
            <v>Quân lực quản lý</v>
          </cell>
          <cell r="J323" t="str">
            <v>Kỹ sư phát triển phần mềm nhúng</v>
          </cell>
        </row>
        <row r="324">
          <cell r="C324" t="str">
            <v>172213</v>
          </cell>
          <cell r="D324" t="str">
            <v>Trần Tiến Đạt</v>
          </cell>
          <cell r="E324" t="str">
            <v>Trung tâm Thông tin quân sự - Viện NCPT</v>
          </cell>
          <cell r="F324" t="str">
            <v>Phòng Phát triển phần mềm</v>
          </cell>
          <cell r="G324" t="str">
            <v>Bộ phận Phát triển phần mềm ứng dụng</v>
          </cell>
          <cell r="H324" t="str">
            <v>Hợp đồng lao động</v>
          </cell>
          <cell r="I324" t="str">
            <v>Quân lực quản lý</v>
          </cell>
          <cell r="J324" t="str">
            <v>Kỹ sư phát triển phần mềm nhúng</v>
          </cell>
        </row>
        <row r="325">
          <cell r="D325" t="str">
            <v>Bộ phận Phát triển giao thức và truyền thông</v>
          </cell>
        </row>
        <row r="326">
          <cell r="C326" t="str">
            <v>148778</v>
          </cell>
          <cell r="D326" t="str">
            <v>Nguyễn Hoàng Anh</v>
          </cell>
          <cell r="E326" t="str">
            <v>Trung tâm Thông tin quân sự - Viện NCPT</v>
          </cell>
          <cell r="F326" t="str">
            <v>Phòng Phát triển phần mềm</v>
          </cell>
          <cell r="G326" t="str">
            <v>Bộ phận Phát triển giao thức và truyền thông</v>
          </cell>
          <cell r="H326" t="str">
            <v>Hợp đồng lao động</v>
          </cell>
          <cell r="I326" t="str">
            <v>Quân lực quản lý</v>
          </cell>
          <cell r="J326" t="str">
            <v>Trưởng nhóm</v>
          </cell>
        </row>
        <row r="327">
          <cell r="C327" t="str">
            <v>137988</v>
          </cell>
          <cell r="D327" t="str">
            <v>Bùi Ngọc Linh</v>
          </cell>
          <cell r="E327" t="str">
            <v>Trung tâm Thông tin quân sự - Viện NCPT</v>
          </cell>
          <cell r="F327" t="str">
            <v>Phòng Phát triển phần mềm</v>
          </cell>
          <cell r="G327" t="str">
            <v>Bộ phận Phát triển giao thức và truyền thông</v>
          </cell>
          <cell r="H327" t="str">
            <v>Hợp đồng lao động</v>
          </cell>
          <cell r="I327" t="str">
            <v>Quân lực quản lý</v>
          </cell>
          <cell r="J327" t="str">
            <v>Kỹ sư lập trình phần mềm nhúng</v>
          </cell>
        </row>
        <row r="328">
          <cell r="C328" t="str">
            <v>158153</v>
          </cell>
          <cell r="D328" t="str">
            <v>Trần Quang Bình</v>
          </cell>
          <cell r="E328" t="str">
            <v>Trung tâm Thông tin quân sự - Viện NCPT</v>
          </cell>
          <cell r="F328" t="str">
            <v>Phòng Phát triển phần mềm</v>
          </cell>
          <cell r="G328" t="str">
            <v>Bộ phận Phát triển giao thức và truyền thông</v>
          </cell>
          <cell r="H328" t="str">
            <v>Hợp đồng lao động</v>
          </cell>
          <cell r="I328" t="str">
            <v>Quân lực quản lý</v>
          </cell>
          <cell r="J328" t="str">
            <v>Kỹ sư lập trình phần mềm nhúng</v>
          </cell>
        </row>
        <row r="329">
          <cell r="C329" t="str">
            <v>164974</v>
          </cell>
          <cell r="D329" t="str">
            <v>Trần Quốc Phương</v>
          </cell>
          <cell r="E329" t="str">
            <v>Trung tâm Thông tin quân sự - Viện NCPT</v>
          </cell>
          <cell r="F329" t="str">
            <v>Phòng Phát triển phần mềm</v>
          </cell>
          <cell r="G329" t="str">
            <v>Bộ phận Phát triển giao thức và truyền thông</v>
          </cell>
          <cell r="H329" t="str">
            <v>Hợp đồng lao động</v>
          </cell>
          <cell r="I329" t="str">
            <v>Quân lực quản lý</v>
          </cell>
          <cell r="J329" t="str">
            <v>Kỹ sư lập trình phần mềm nhúng</v>
          </cell>
        </row>
        <row r="330">
          <cell r="D330" t="str">
            <v>Phòng phát triển công cụ và kiểm soát chất lượng</v>
          </cell>
        </row>
        <row r="331">
          <cell r="D331" t="str">
            <v>Phụ trách phòng</v>
          </cell>
        </row>
        <row r="332">
          <cell r="C332" t="str">
            <v>110139</v>
          </cell>
          <cell r="D332" t="str">
            <v>Vũ Minh Tuấn</v>
          </cell>
          <cell r="E332" t="str">
            <v>Trung tâm Thông tin quân sự - Viện NCPT</v>
          </cell>
          <cell r="F332" t="str">
            <v>Phòng phát triển công cụ và kiểm soát chất lượng</v>
          </cell>
          <cell r="G332" t="str">
            <v>Phụ trách phòng</v>
          </cell>
          <cell r="H332" t="str">
            <v>Hợp đồng lao động</v>
          </cell>
          <cell r="I332" t="str">
            <v>Quân lực quản lý</v>
          </cell>
          <cell r="J332" t="str">
            <v>Trưởng phòng</v>
          </cell>
        </row>
        <row r="333">
          <cell r="D333" t="str">
            <v>Bộ phận Tích hợp hệ thống</v>
          </cell>
        </row>
        <row r="334">
          <cell r="C334" t="str">
            <v>135650</v>
          </cell>
          <cell r="D334" t="str">
            <v>Nguyễn Văn Mạnh</v>
          </cell>
          <cell r="E334" t="str">
            <v>Trung tâm Thông tin quân sự - Viện NCPT</v>
          </cell>
          <cell r="F334" t="str">
            <v>Phòng phát triển công cụ và kiểm soát chất lượng</v>
          </cell>
          <cell r="G334" t="str">
            <v>Bộ phận Tích hợp hệ thống</v>
          </cell>
          <cell r="H334" t="str">
            <v>Hợp đồng lao động</v>
          </cell>
          <cell r="I334" t="str">
            <v>Quân lực quản lý</v>
          </cell>
          <cell r="J334" t="str">
            <v>Kỹ sư phát triển phần cứng</v>
          </cell>
        </row>
        <row r="335">
          <cell r="C335" t="str">
            <v>164978</v>
          </cell>
          <cell r="D335" t="str">
            <v>Đoàn Ngọc Trung</v>
          </cell>
          <cell r="E335" t="str">
            <v>Trung tâm Thông tin quân sự - Viện NCPT</v>
          </cell>
          <cell r="F335" t="str">
            <v>Phòng phát triển công cụ và kiểm soát chất lượng</v>
          </cell>
          <cell r="G335" t="str">
            <v>Bộ phận Tích hợp hệ thống</v>
          </cell>
          <cell r="H335" t="str">
            <v>Hợp đồng lao động</v>
          </cell>
          <cell r="I335" t="str">
            <v>Quân lực quản lý</v>
          </cell>
          <cell r="J335" t="str">
            <v>Kỹ sư phát triển phần mềm nhúng</v>
          </cell>
        </row>
        <row r="336">
          <cell r="C336" t="str">
            <v>171854</v>
          </cell>
          <cell r="D336" t="str">
            <v>Lê Văn Lực</v>
          </cell>
          <cell r="E336" t="str">
            <v>Trung tâm Thông tin quân sự - Viện NCPT</v>
          </cell>
          <cell r="F336" t="str">
            <v>Phòng phát triển công cụ và kiểm soát chất lượng</v>
          </cell>
          <cell r="G336" t="str">
            <v>Bộ phận Tích hợp hệ thống</v>
          </cell>
          <cell r="H336" t="str">
            <v>Hợp đồng lao động</v>
          </cell>
          <cell r="I336" t="str">
            <v>Quân lực quản lý</v>
          </cell>
          <cell r="J336" t="str">
            <v>Kỹ sư Cơ khí</v>
          </cell>
        </row>
        <row r="337">
          <cell r="C337" t="str">
            <v>185513</v>
          </cell>
          <cell r="D337" t="str">
            <v>Nguyễn Tiến Thịnh</v>
          </cell>
          <cell r="E337" t="str">
            <v>Trung tâm Thông tin quân sự - Viện NCPT</v>
          </cell>
          <cell r="F337" t="str">
            <v>Phòng phát triển công cụ và kiểm soát chất lượng</v>
          </cell>
          <cell r="G337" t="str">
            <v>Bộ phận Tích hợp hệ thống</v>
          </cell>
          <cell r="H337" t="str">
            <v>Hợp đồng lao động</v>
          </cell>
          <cell r="I337" t="str">
            <v>Quân lực quản lý</v>
          </cell>
          <cell r="J337" t="str">
            <v>Kỹ sư phát triển phần mềm nhúng</v>
          </cell>
        </row>
        <row r="338">
          <cell r="C338" t="str">
            <v>187015</v>
          </cell>
          <cell r="D338" t="str">
            <v>Vương Công Định</v>
          </cell>
          <cell r="E338" t="str">
            <v>Trung tâm Thông tin quân sự - Viện NCPT</v>
          </cell>
          <cell r="F338" t="str">
            <v>Phòng phát triển công cụ và kiểm soát chất lượng</v>
          </cell>
          <cell r="G338" t="str">
            <v>Bộ phận Tích hợp hệ thống</v>
          </cell>
          <cell r="H338" t="str">
            <v>Hợp đồng lao động</v>
          </cell>
          <cell r="I338" t="str">
            <v>Quân lực quản lý</v>
          </cell>
          <cell r="J338" t="str">
            <v>Kỹ sư phát triển phần cứng</v>
          </cell>
        </row>
        <row r="339">
          <cell r="C339" t="str">
            <v>196133</v>
          </cell>
          <cell r="D339" t="str">
            <v>Nguyễn Hòa Bình</v>
          </cell>
          <cell r="E339" t="str">
            <v>Trung tâm Thông tin quân sự - Viện NCPT</v>
          </cell>
          <cell r="F339" t="str">
            <v>Phòng phát triển công cụ và kiểm soát chất lượng</v>
          </cell>
          <cell r="G339" t="str">
            <v>Bộ phận Tích hợp hệ thống</v>
          </cell>
          <cell r="H339" t="str">
            <v>Hợp đồng lao động</v>
          </cell>
          <cell r="I339" t="str">
            <v>Quân lực quản lý</v>
          </cell>
          <cell r="J339" t="str">
            <v>Kỹ sư Cơ khí</v>
          </cell>
        </row>
        <row r="340">
          <cell r="D340" t="str">
            <v>Bộ phận Phát triển công cụ</v>
          </cell>
        </row>
        <row r="341">
          <cell r="C341" t="str">
            <v>140773</v>
          </cell>
          <cell r="D341" t="str">
            <v>Nguyễn Việt Hùng</v>
          </cell>
          <cell r="E341" t="str">
            <v>Trung tâm Thông tin quân sự - Viện NCPT</v>
          </cell>
          <cell r="F341" t="str">
            <v>Phòng phát triển công cụ và kiểm soát chất lượng</v>
          </cell>
          <cell r="G341" t="str">
            <v>Bộ phận Phát triển công cụ</v>
          </cell>
          <cell r="H341" t="str">
            <v>Hợp đồng lao động</v>
          </cell>
          <cell r="I341" t="str">
            <v>Quân lực quản lý</v>
          </cell>
          <cell r="J341" t="str">
            <v>Trưởng nhóm</v>
          </cell>
        </row>
        <row r="342">
          <cell r="C342" t="str">
            <v>091497</v>
          </cell>
          <cell r="D342" t="str">
            <v>Nguyễn Việt Cường</v>
          </cell>
          <cell r="E342" t="str">
            <v>Trung tâm Thông tin quân sự - Viện NCPT</v>
          </cell>
          <cell r="F342" t="str">
            <v>Phòng phát triển công cụ và kiểm soát chất lượng</v>
          </cell>
          <cell r="G342" t="str">
            <v>Bộ phận Phát triển công cụ</v>
          </cell>
          <cell r="H342" t="str">
            <v>Đại úy CN</v>
          </cell>
          <cell r="I342" t="str">
            <v>Cán bộ quản lý</v>
          </cell>
          <cell r="J342" t="str">
            <v>Kỹ sư phát triển phần cứng</v>
          </cell>
        </row>
        <row r="343">
          <cell r="C343" t="str">
            <v>162517</v>
          </cell>
          <cell r="D343" t="str">
            <v>Chu Quang Khánh</v>
          </cell>
          <cell r="E343" t="str">
            <v>Trung tâm Thông tin quân sự - Viện NCPT</v>
          </cell>
          <cell r="F343" t="str">
            <v>Phòng phát triển công cụ và kiểm soát chất lượng</v>
          </cell>
          <cell r="G343" t="str">
            <v>Bộ phận Phát triển công cụ</v>
          </cell>
          <cell r="H343" t="str">
            <v>Hợp đồng lao động</v>
          </cell>
          <cell r="I343" t="str">
            <v>Quân lực quản lý</v>
          </cell>
          <cell r="J343" t="str">
            <v>Kỹ sư phát triển phần cứng</v>
          </cell>
        </row>
        <row r="344">
          <cell r="C344" t="str">
            <v>162539</v>
          </cell>
          <cell r="D344" t="str">
            <v>Nguyễn Viết Trường</v>
          </cell>
          <cell r="E344" t="str">
            <v>Trung tâm Thông tin quân sự - Viện NCPT</v>
          </cell>
          <cell r="F344" t="str">
            <v>Phòng phát triển công cụ và kiểm soát chất lượng</v>
          </cell>
          <cell r="G344" t="str">
            <v>Bộ phận Phát triển công cụ</v>
          </cell>
          <cell r="H344" t="str">
            <v>Hợp đồng lao động</v>
          </cell>
          <cell r="I344" t="str">
            <v>Quân lực quản lý</v>
          </cell>
          <cell r="J344" t="str">
            <v>Kỹ sư phát triển phần mềm nhúng</v>
          </cell>
        </row>
        <row r="345">
          <cell r="C345" t="str">
            <v>172733</v>
          </cell>
          <cell r="D345" t="str">
            <v>Hoàng Văn Hải</v>
          </cell>
          <cell r="E345" t="str">
            <v>Trung tâm Thông tin quân sự - Viện NCPT</v>
          </cell>
          <cell r="F345" t="str">
            <v>Phòng phát triển công cụ và kiểm soát chất lượng</v>
          </cell>
          <cell r="G345" t="str">
            <v>Bộ phận Phát triển công cụ</v>
          </cell>
          <cell r="H345" t="str">
            <v>Hợp đồng lao động</v>
          </cell>
          <cell r="I345" t="str">
            <v>Quân lực quản lý</v>
          </cell>
          <cell r="J345" t="str">
            <v>Kỹ sư phát triển phần mềm nhúng</v>
          </cell>
        </row>
        <row r="346">
          <cell r="C346" t="str">
            <v>197894</v>
          </cell>
          <cell r="D346" t="str">
            <v>Nguyễn Tuấn Anh</v>
          </cell>
          <cell r="E346" t="str">
            <v>Trung tâm Thông tin quân sự - Viện NCPT</v>
          </cell>
          <cell r="F346" t="str">
            <v>Phòng phát triển công cụ và kiểm soát chất lượng</v>
          </cell>
          <cell r="G346" t="str">
            <v>Bộ phận Phát triển công cụ</v>
          </cell>
          <cell r="H346" t="str">
            <v>HĐ Thử việc</v>
          </cell>
          <cell r="I346" t="str">
            <v>Quân lực quản lý</v>
          </cell>
          <cell r="J346" t="str">
            <v>Kỹ sư phát triển phần mềm nhúng</v>
          </cell>
        </row>
        <row r="347">
          <cell r="D347" t="str">
            <v>Bộ phận Kiểm thử</v>
          </cell>
        </row>
        <row r="348">
          <cell r="C348" t="str">
            <v>165016</v>
          </cell>
          <cell r="D348" t="str">
            <v>Nguyễn Văn Doan</v>
          </cell>
          <cell r="E348" t="str">
            <v>Trung tâm Thông tin quân sự - Viện NCPT</v>
          </cell>
          <cell r="F348" t="str">
            <v>Phòng phát triển công cụ và kiểm soát chất lượng</v>
          </cell>
          <cell r="G348" t="str">
            <v>Bộ phận Kiểm thử</v>
          </cell>
          <cell r="H348" t="str">
            <v>Hợp đồng lao động</v>
          </cell>
          <cell r="I348" t="str">
            <v>Quân lực quản lý</v>
          </cell>
          <cell r="J348" t="str">
            <v>Kỹ sư phát triển phần mềm nhúng</v>
          </cell>
        </row>
        <row r="349">
          <cell r="D349" t="str">
            <v>Bộ phận linh kiện</v>
          </cell>
        </row>
        <row r="350">
          <cell r="C350" t="str">
            <v>063771</v>
          </cell>
          <cell r="D350" t="str">
            <v>Hoàng Thị Phương Nga</v>
          </cell>
          <cell r="E350" t="str">
            <v>Trung tâm Thông tin quân sự - Viện NCPT</v>
          </cell>
          <cell r="F350" t="str">
            <v>Phòng phát triển công cụ và kiểm soát chất lượng</v>
          </cell>
          <cell r="G350" t="str">
            <v>Bộ phận linh kiện</v>
          </cell>
          <cell r="H350" t="str">
            <v>Hợp đồng lao động</v>
          </cell>
          <cell r="I350" t="str">
            <v>Quân lực quản lý</v>
          </cell>
          <cell r="J350" t="str">
            <v>Trưởng nhóm</v>
          </cell>
        </row>
        <row r="351">
          <cell r="C351" t="str">
            <v>123203</v>
          </cell>
          <cell r="D351" t="str">
            <v>Trần Mạnh Dũng</v>
          </cell>
          <cell r="E351" t="str">
            <v>Trung tâm Thông tin quân sự - Viện NCPT</v>
          </cell>
          <cell r="F351" t="str">
            <v>Phòng phát triển công cụ và kiểm soát chất lượng</v>
          </cell>
          <cell r="G351" t="str">
            <v>Bộ phận linh kiện</v>
          </cell>
          <cell r="H351" t="str">
            <v>Hợp đồng lao động</v>
          </cell>
          <cell r="I351" t="str">
            <v>Quân lực quản lý</v>
          </cell>
          <cell r="J351" t="str">
            <v>Kỹ sư linh kiện</v>
          </cell>
        </row>
        <row r="352">
          <cell r="C352" t="str">
            <v>194737</v>
          </cell>
          <cell r="D352" t="str">
            <v>Nguyễn Thị Hương</v>
          </cell>
          <cell r="E352" t="str">
            <v>Trung tâm Thông tin quân sự - Viện NCPT</v>
          </cell>
          <cell r="F352" t="str">
            <v>Phòng phát triển công cụ và kiểm soát chất lượng</v>
          </cell>
          <cell r="G352" t="str">
            <v>Bộ phận linh kiện</v>
          </cell>
          <cell r="H352" t="str">
            <v>Hợp đồng lao động</v>
          </cell>
          <cell r="I352" t="str">
            <v>Quân lực quản lý</v>
          </cell>
          <cell r="J352" t="str">
            <v>Kỹ sư linh kiện</v>
          </cell>
        </row>
        <row r="353">
          <cell r="D353" t="str">
            <v>Phòng Nghiên cứu phát triển hệ thống số</v>
          </cell>
        </row>
        <row r="354">
          <cell r="D354" t="str">
            <v>Phụ trách phòng</v>
          </cell>
        </row>
        <row r="355">
          <cell r="C355" t="str">
            <v>131748</v>
          </cell>
          <cell r="D355" t="str">
            <v>Phạm Trung Kiên</v>
          </cell>
          <cell r="E355" t="str">
            <v>Trung tâm Thông tin quân sự - Viện NCPT</v>
          </cell>
          <cell r="F355" t="str">
            <v>Phòng Nghiên cứu phát triển hệ thống số</v>
          </cell>
          <cell r="G355" t="str">
            <v>Phụ trách phòng</v>
          </cell>
          <cell r="H355" t="str">
            <v>Hợp đồng lao động</v>
          </cell>
          <cell r="I355" t="str">
            <v>Quân lực quản lý</v>
          </cell>
          <cell r="J355" t="str">
            <v>Trưởng phòng</v>
          </cell>
        </row>
        <row r="356">
          <cell r="D356" t="str">
            <v>Bộ phận thiết kế hệ thống phần cứng</v>
          </cell>
        </row>
        <row r="357">
          <cell r="C357" t="str">
            <v>188473</v>
          </cell>
          <cell r="D357" t="str">
            <v>Nguyễn Anh Tuấn</v>
          </cell>
          <cell r="E357" t="str">
            <v>Trung tâm Thông tin quân sự - Viện NCPT</v>
          </cell>
          <cell r="F357" t="str">
            <v>Phòng Nghiên cứu phát triển hệ thống số</v>
          </cell>
          <cell r="G357" t="str">
            <v>Bộ phận thiết kế hệ thống phần cứng</v>
          </cell>
          <cell r="H357" t="str">
            <v>Hợp đồng lao động</v>
          </cell>
          <cell r="I357" t="str">
            <v>Quân lực quản lý</v>
          </cell>
          <cell r="J357" t="str">
            <v>Kỹ sư phát triển phần cứng</v>
          </cell>
        </row>
        <row r="358">
          <cell r="D358" t="str">
            <v>Bộ phận Thiết kế hệ thống FPGA</v>
          </cell>
        </row>
        <row r="359">
          <cell r="C359" t="str">
            <v>095016</v>
          </cell>
          <cell r="D359" t="str">
            <v>Lê Sỹ Đức</v>
          </cell>
          <cell r="E359" t="str">
            <v>Trung tâm Thông tin quân sự - Viện NCPT</v>
          </cell>
          <cell r="F359" t="str">
            <v>Phòng Nghiên cứu phát triển hệ thống số</v>
          </cell>
          <cell r="G359" t="str">
            <v>Bộ phận Thiết kế hệ thống FPGA</v>
          </cell>
          <cell r="H359" t="str">
            <v>Hợp đồng lao động</v>
          </cell>
          <cell r="I359" t="str">
            <v>Quân lực quản lý</v>
          </cell>
          <cell r="J359" t="str">
            <v>Kỹ sư xử lý tín hiệu</v>
          </cell>
        </row>
        <row r="360">
          <cell r="C360" t="str">
            <v>137610</v>
          </cell>
          <cell r="D360" t="str">
            <v>Ngô Thanh Bình</v>
          </cell>
          <cell r="E360" t="str">
            <v>Trung tâm Thông tin quân sự - Viện NCPT</v>
          </cell>
          <cell r="F360" t="str">
            <v>Phòng Nghiên cứu phát triển hệ thống số</v>
          </cell>
          <cell r="G360" t="str">
            <v>Bộ phận Thiết kế hệ thống FPGA</v>
          </cell>
          <cell r="H360" t="str">
            <v>Hợp đồng lao động</v>
          </cell>
          <cell r="I360" t="str">
            <v>Quân lực quản lý</v>
          </cell>
          <cell r="J360" t="str">
            <v>Kỹ sư Lập trình kiểm thử HDL</v>
          </cell>
        </row>
        <row r="361">
          <cell r="C361" t="str">
            <v>164980</v>
          </cell>
          <cell r="D361" t="str">
            <v>Trần Văn Tam</v>
          </cell>
          <cell r="E361" t="str">
            <v>Trung tâm Thông tin quân sự - Viện NCPT</v>
          </cell>
          <cell r="F361" t="str">
            <v>Phòng Nghiên cứu phát triển hệ thống số</v>
          </cell>
          <cell r="G361" t="str">
            <v>Bộ phận Thiết kế hệ thống FPGA</v>
          </cell>
          <cell r="H361" t="str">
            <v>Hợp đồng lao động</v>
          </cell>
          <cell r="I361" t="str">
            <v>Quân lực quản lý</v>
          </cell>
          <cell r="J361" t="str">
            <v>Kỹ sư Lập trình kiểm thử HDL</v>
          </cell>
        </row>
        <row r="362">
          <cell r="C362" t="str">
            <v>184793</v>
          </cell>
          <cell r="D362" t="str">
            <v>Nguyễn Văn Thọ</v>
          </cell>
          <cell r="E362" t="str">
            <v>Trung tâm Thông tin quân sự - Viện NCPT</v>
          </cell>
          <cell r="F362" t="str">
            <v>Phòng Nghiên cứu phát triển hệ thống số</v>
          </cell>
          <cell r="G362" t="str">
            <v>Bộ phận Thiết kế hệ thống FPGA</v>
          </cell>
          <cell r="H362" t="str">
            <v>Hợp đồng lao động</v>
          </cell>
          <cell r="I362" t="str">
            <v>Quân lực quản lý</v>
          </cell>
          <cell r="J362" t="str">
            <v>Kỹ sư Lập trình kiểm thử HDL</v>
          </cell>
        </row>
        <row r="363">
          <cell r="C363" t="str">
            <v>196096</v>
          </cell>
          <cell r="D363" t="str">
            <v>Phạm Ngọc Quốc Anh</v>
          </cell>
          <cell r="E363" t="str">
            <v>Trung tâm Thông tin quân sự - Viện NCPT</v>
          </cell>
          <cell r="F363" t="str">
            <v>Phòng Nghiên cứu phát triển hệ thống số</v>
          </cell>
          <cell r="G363" t="str">
            <v>Bộ phận Thiết kế hệ thống FPGA</v>
          </cell>
          <cell r="H363" t="str">
            <v>Hợp đồng lao động</v>
          </cell>
          <cell r="I363" t="str">
            <v>Quân lực quản lý</v>
          </cell>
          <cell r="J363" t="str">
            <v>Kỹ sư Lập trình kiểm thử HDL</v>
          </cell>
        </row>
        <row r="364">
          <cell r="D364" t="str">
            <v>Bộ phận Tích hợp hệ thống</v>
          </cell>
        </row>
        <row r="365">
          <cell r="C365" t="str">
            <v>165017</v>
          </cell>
          <cell r="D365" t="str">
            <v>Bùi Tiến Mạnh</v>
          </cell>
          <cell r="E365" t="str">
            <v>Trung tâm Thông tin quân sự - Viện NCPT</v>
          </cell>
          <cell r="F365" t="str">
            <v>Phòng Nghiên cứu phát triển hệ thống số</v>
          </cell>
          <cell r="G365" t="str">
            <v>Bộ phận Tích hợp hệ thống</v>
          </cell>
          <cell r="H365" t="str">
            <v>Hợp đồng lao động</v>
          </cell>
          <cell r="I365" t="str">
            <v>Quân lực quản lý</v>
          </cell>
          <cell r="J365" t="str">
            <v>Kỹ sư phát triển phần mềm nhúng</v>
          </cell>
        </row>
        <row r="366">
          <cell r="C366" t="str">
            <v>176854</v>
          </cell>
          <cell r="D366" t="str">
            <v>Phạm Ngọc Thành</v>
          </cell>
          <cell r="E366" t="str">
            <v>Trung tâm Thông tin quân sự - Viện NCPT</v>
          </cell>
          <cell r="F366" t="str">
            <v>Phòng Nghiên cứu phát triển hệ thống số</v>
          </cell>
          <cell r="G366" t="str">
            <v>Bộ phận Tích hợp hệ thống</v>
          </cell>
          <cell r="H366" t="str">
            <v>Hợp đồng lao động</v>
          </cell>
          <cell r="I366" t="str">
            <v>Quân lực quản lý</v>
          </cell>
          <cell r="J366" t="str">
            <v>Kỹ sư phát triển phần mềm nhúng</v>
          </cell>
        </row>
        <row r="367">
          <cell r="D367" t="str">
            <v>Trung tâm Hệ thống chỉ huy và điều khiển - Viện NCPT</v>
          </cell>
        </row>
        <row r="368">
          <cell r="D368" t="str">
            <v>Ban Giám đốc và chuyên gia</v>
          </cell>
        </row>
        <row r="369">
          <cell r="D369" t="str">
            <v>Thủ trưởng đơn vị</v>
          </cell>
        </row>
        <row r="370">
          <cell r="C370" t="str">
            <v>011321</v>
          </cell>
          <cell r="D370" t="str">
            <v>Nguyễn Việt Thắng</v>
          </cell>
          <cell r="E370" t="str">
            <v>Trung tâm Hệ thống chỉ huy và điều khiển - Viện NCPT</v>
          </cell>
          <cell r="F370" t="str">
            <v>Ban Giám đốc và chuyên gia</v>
          </cell>
          <cell r="G370" t="str">
            <v>Thủ trưởng đơn vị</v>
          </cell>
          <cell r="H370" t="str">
            <v>Đại úy CN</v>
          </cell>
          <cell r="I370" t="str">
            <v>Cán bộ quản lý</v>
          </cell>
          <cell r="J370" t="str">
            <v>Giám đốc</v>
          </cell>
        </row>
        <row r="371">
          <cell r="C371" t="str">
            <v>003990</v>
          </cell>
          <cell r="D371" t="str">
            <v>Vũ Ngọc Vinh</v>
          </cell>
          <cell r="E371" t="str">
            <v>Trung tâm Hệ thống chỉ huy và điều khiển - Viện NCPT</v>
          </cell>
          <cell r="F371" t="str">
            <v>Ban Giám đốc và chuyên gia</v>
          </cell>
          <cell r="G371" t="str">
            <v>Thủ trưởng đơn vị</v>
          </cell>
          <cell r="H371" t="str">
            <v>Đại úy CN</v>
          </cell>
          <cell r="I371" t="str">
            <v>Quân lực quản lý</v>
          </cell>
          <cell r="J371" t="str">
            <v>Phó Giám đốc</v>
          </cell>
        </row>
        <row r="372">
          <cell r="C372" t="str">
            <v>054634</v>
          </cell>
          <cell r="D372" t="str">
            <v>Bùi Đức Hùng</v>
          </cell>
          <cell r="E372" t="str">
            <v>Trung tâm Hệ thống chỉ huy và điều khiển - Viện NCPT</v>
          </cell>
          <cell r="F372" t="str">
            <v>Ban Giám đốc và chuyên gia</v>
          </cell>
          <cell r="G372" t="str">
            <v>Thủ trưởng đơn vị</v>
          </cell>
          <cell r="H372" t="str">
            <v>Đại úy CN</v>
          </cell>
          <cell r="I372" t="str">
            <v>Quân lực quản lý</v>
          </cell>
          <cell r="J372" t="str">
            <v>Phó Giám đốc</v>
          </cell>
        </row>
        <row r="373">
          <cell r="C373" t="str">
            <v>121262</v>
          </cell>
          <cell r="D373" t="str">
            <v>Lê Trần Sự</v>
          </cell>
          <cell r="E373" t="str">
            <v>Trung tâm Hệ thống chỉ huy và điều khiển - Viện NCPT</v>
          </cell>
          <cell r="F373" t="str">
            <v>Ban Giám đốc và chuyên gia</v>
          </cell>
          <cell r="G373" t="str">
            <v>Thủ trưởng đơn vị</v>
          </cell>
          <cell r="H373" t="str">
            <v>Hợp đồng lao động</v>
          </cell>
          <cell r="I373" t="str">
            <v>Quân lực quản lý</v>
          </cell>
          <cell r="J373" t="str">
            <v>Phó Giám đốc</v>
          </cell>
        </row>
        <row r="374">
          <cell r="D374" t="str">
            <v>Phòng tổng hợp</v>
          </cell>
        </row>
        <row r="375">
          <cell r="D375" t="str">
            <v>Phụ trách phòng</v>
          </cell>
        </row>
        <row r="376">
          <cell r="C376" t="str">
            <v>087315</v>
          </cell>
          <cell r="D376" t="str">
            <v>Hoàng Thị Thu Huyền</v>
          </cell>
          <cell r="E376" t="str">
            <v>Trung tâm Hệ thống chỉ huy và điều khiển - Viện NCPT</v>
          </cell>
          <cell r="F376" t="str">
            <v>Phòng tổng hợp</v>
          </cell>
          <cell r="G376" t="str">
            <v>Phụ trách phòng</v>
          </cell>
          <cell r="H376" t="str">
            <v>Hợp đồng lao động</v>
          </cell>
          <cell r="I376" t="str">
            <v>Quân lực quản lý</v>
          </cell>
          <cell r="J376" t="str">
            <v>Trưởng phòng</v>
          </cell>
        </row>
        <row r="377">
          <cell r="D377" t="str">
            <v>Trợ lý nghiệp vụ</v>
          </cell>
        </row>
        <row r="378">
          <cell r="C378" t="str">
            <v>123614</v>
          </cell>
          <cell r="D378" t="str">
            <v>Nguyễn Tuyết Nhung</v>
          </cell>
          <cell r="E378" t="str">
            <v>Trung tâm Hệ thống chỉ huy và điều khiển - Viện NCPT</v>
          </cell>
          <cell r="F378" t="str">
            <v>Phòng tổng hợp</v>
          </cell>
          <cell r="G378" t="str">
            <v>Trợ lý nghiệp vụ</v>
          </cell>
          <cell r="H378" t="str">
            <v>Hợp đồng lao động</v>
          </cell>
          <cell r="I378" t="str">
            <v>Quân lực quản lý</v>
          </cell>
          <cell r="J378" t="str">
            <v>Nhân viên Đầu tư</v>
          </cell>
        </row>
        <row r="379">
          <cell r="D379" t="str">
            <v>Phòng Quản lý sản xuất</v>
          </cell>
        </row>
        <row r="380">
          <cell r="D380" t="str">
            <v>Phụ trách phòng</v>
          </cell>
        </row>
        <row r="381">
          <cell r="C381" t="str">
            <v>046744</v>
          </cell>
          <cell r="D381" t="str">
            <v>Nguyễn Đức Thịnh</v>
          </cell>
          <cell r="E381" t="str">
            <v>Trung tâm Hệ thống chỉ huy và điều khiển - Viện NCPT</v>
          </cell>
          <cell r="F381" t="str">
            <v>Phòng Quản lý sản xuất</v>
          </cell>
          <cell r="G381" t="str">
            <v>Phụ trách phòng</v>
          </cell>
          <cell r="H381" t="str">
            <v>Hợp đồng lao động</v>
          </cell>
          <cell r="I381" t="str">
            <v>Quân lực quản lý</v>
          </cell>
          <cell r="J381" t="str">
            <v>Trưởng phòng</v>
          </cell>
        </row>
        <row r="382">
          <cell r="D382" t="str">
            <v>Bộ phận Kế hoạch sản phẩm và nghiệm thu, hoàn công</v>
          </cell>
        </row>
        <row r="383">
          <cell r="C383" t="str">
            <v>103000</v>
          </cell>
          <cell r="D383" t="str">
            <v>Đinh Trung Dương</v>
          </cell>
          <cell r="E383" t="str">
            <v>Trung tâm Hệ thống chỉ huy và điều khiển - Viện NCPT</v>
          </cell>
          <cell r="F383" t="str">
            <v>Phòng Quản lý sản xuất</v>
          </cell>
          <cell r="G383" t="str">
            <v>Bộ phận Kế hoạch sản phẩm và nghiệm thu, hoàn công</v>
          </cell>
          <cell r="H383" t="str">
            <v>Hợp đồng lao động</v>
          </cell>
          <cell r="I383" t="str">
            <v>Quân lực quản lý</v>
          </cell>
          <cell r="J383" t="str">
            <v>Nhân viên Quản lý sản xuất</v>
          </cell>
        </row>
        <row r="384">
          <cell r="D384" t="str">
            <v xml:space="preserve">Phòng Cảnh giới </v>
          </cell>
        </row>
        <row r="385">
          <cell r="D385" t="str">
            <v>Phụ trách phòng</v>
          </cell>
        </row>
        <row r="386">
          <cell r="C386" t="str">
            <v>107437</v>
          </cell>
          <cell r="D386" t="str">
            <v>Nguyễn Duy Hoàng</v>
          </cell>
          <cell r="E386" t="str">
            <v>Trung tâm Hệ thống chỉ huy và điều khiển - Viện NCPT</v>
          </cell>
          <cell r="F386" t="str">
            <v xml:space="preserve">Phòng Cảnh giới </v>
          </cell>
          <cell r="G386" t="str">
            <v>Phụ trách phòng</v>
          </cell>
          <cell r="H386" t="str">
            <v>Hợp đồng lao động</v>
          </cell>
          <cell r="I386" t="str">
            <v>Quân lực quản lý</v>
          </cell>
          <cell r="J386" t="str">
            <v>Trưởng phòng</v>
          </cell>
        </row>
        <row r="387">
          <cell r="C387" t="str">
            <v>125568</v>
          </cell>
          <cell r="D387" t="str">
            <v>Nguyễn Anh Tuấn</v>
          </cell>
          <cell r="E387" t="str">
            <v>Trung tâm Hệ thống chỉ huy và điều khiển - Viện NCPT</v>
          </cell>
          <cell r="F387" t="str">
            <v xml:space="preserve">Phòng Cảnh giới </v>
          </cell>
          <cell r="G387" t="str">
            <v>Phụ trách phòng</v>
          </cell>
          <cell r="H387" t="str">
            <v>Hợp đồng lao động</v>
          </cell>
          <cell r="I387" t="str">
            <v>Quân lực quản lý</v>
          </cell>
          <cell r="J387" t="str">
            <v>Phó Trưởng phòng</v>
          </cell>
        </row>
        <row r="388">
          <cell r="D388" t="str">
            <v>Bộ phận nghiên cứu mô hình chiến thuật bay</v>
          </cell>
        </row>
        <row r="389">
          <cell r="C389" t="str">
            <v>120506</v>
          </cell>
          <cell r="D389" t="str">
            <v>Vũ Đức Khoa</v>
          </cell>
          <cell r="E389" t="str">
            <v>Trung tâm Hệ thống chỉ huy và điều khiển - Viện NCPT</v>
          </cell>
          <cell r="F389" t="str">
            <v xml:space="preserve">Phòng Cảnh giới </v>
          </cell>
          <cell r="G389" t="str">
            <v>Bộ phận nghiên cứu mô hình chiến thuật bay</v>
          </cell>
          <cell r="H389" t="str">
            <v>Hợp đồng lao động</v>
          </cell>
          <cell r="I389" t="str">
            <v>Quân lực quản lý</v>
          </cell>
          <cell r="J389" t="str">
            <v>Kỹ sư nghiên cứu hệ thống chỉ huy và điều khiển</v>
          </cell>
        </row>
        <row r="390">
          <cell r="C390" t="str">
            <v>167333</v>
          </cell>
          <cell r="D390" t="str">
            <v>Vũ Viết Đức</v>
          </cell>
          <cell r="E390" t="str">
            <v>Trung tâm Hệ thống chỉ huy và điều khiển - Viện NCPT</v>
          </cell>
          <cell r="F390" t="str">
            <v xml:space="preserve">Phòng Cảnh giới </v>
          </cell>
          <cell r="G390" t="str">
            <v>Bộ phận nghiên cứu mô hình chiến thuật bay</v>
          </cell>
          <cell r="H390" t="str">
            <v>Hợp đồng lao động</v>
          </cell>
          <cell r="I390" t="str">
            <v>Quân lực quản lý</v>
          </cell>
          <cell r="J390" t="str">
            <v>Kỹ sư nghiên cứu hệ thống chỉ huy và điều khiển</v>
          </cell>
        </row>
        <row r="391">
          <cell r="D391" t="str">
            <v>Bộ phận nghiên cứu mô hình tác chiến điện tử</v>
          </cell>
        </row>
        <row r="392">
          <cell r="C392" t="str">
            <v>156334</v>
          </cell>
          <cell r="D392" t="str">
            <v>Đỗ Ngọc Tuấn</v>
          </cell>
          <cell r="E392" t="str">
            <v>Trung tâm Hệ thống chỉ huy và điều khiển - Viện NCPT</v>
          </cell>
          <cell r="F392" t="str">
            <v xml:space="preserve">Phòng Cảnh giới </v>
          </cell>
          <cell r="G392" t="str">
            <v>Bộ phận nghiên cứu mô hình tác chiến điện tử</v>
          </cell>
          <cell r="H392" t="str">
            <v>Hợp đồng lao động</v>
          </cell>
          <cell r="I392" t="str">
            <v>Quân lực quản lý</v>
          </cell>
          <cell r="J392" t="str">
            <v>Kỹ sư nghiên cứu hệ thống chỉ huy và điều khiển</v>
          </cell>
        </row>
        <row r="393">
          <cell r="D393" t="str">
            <v>Bộ phận Nghiên cứu Mô hình thuật toán</v>
          </cell>
        </row>
        <row r="394">
          <cell r="C394" t="str">
            <v>165013</v>
          </cell>
          <cell r="D394" t="str">
            <v>Đào Thanh Tùng</v>
          </cell>
          <cell r="E394" t="str">
            <v>Trung tâm Hệ thống chỉ huy và điều khiển - Viện NCPT</v>
          </cell>
          <cell r="F394" t="str">
            <v xml:space="preserve">Phòng Cảnh giới </v>
          </cell>
          <cell r="G394" t="str">
            <v>Bộ phận Nghiên cứu Mô hình thuật toán</v>
          </cell>
          <cell r="H394" t="str">
            <v>Hợp đồng lao động</v>
          </cell>
          <cell r="I394" t="str">
            <v>Quân lực quản lý</v>
          </cell>
          <cell r="J394" t="str">
            <v>Kỹ sư nghiên cứu hệ thống chỉ huy và điều khiển</v>
          </cell>
        </row>
        <row r="395">
          <cell r="D395" t="str">
            <v>Bộ phận Nghiên cứu Giải pháp tổng thể</v>
          </cell>
        </row>
        <row r="396">
          <cell r="C396" t="str">
            <v>191013</v>
          </cell>
          <cell r="D396" t="str">
            <v>Hoàng Ngọc Dương</v>
          </cell>
          <cell r="E396" t="str">
            <v>Trung tâm Hệ thống chỉ huy và điều khiển - Viện NCPT</v>
          </cell>
          <cell r="F396" t="str">
            <v xml:space="preserve">Phòng Cảnh giới </v>
          </cell>
          <cell r="G396" t="str">
            <v>Bộ phận Nghiên cứu Giải pháp tổng thể</v>
          </cell>
          <cell r="H396" t="str">
            <v>Đại úy</v>
          </cell>
          <cell r="I396" t="str">
            <v>Cán bộ quản lý</v>
          </cell>
          <cell r="J396" t="str">
            <v>Kỹ sư nghiên cứu hệ thống chỉ huy và điều khiển</v>
          </cell>
        </row>
        <row r="397">
          <cell r="D397" t="str">
            <v>Bộ phận Lập trình hệ thống</v>
          </cell>
        </row>
        <row r="398">
          <cell r="C398" t="str">
            <v>174373</v>
          </cell>
          <cell r="D398" t="str">
            <v>Nguyễn Thạc Đan Thanh</v>
          </cell>
          <cell r="E398" t="str">
            <v>Trung tâm Hệ thống chỉ huy và điều khiển - Viện NCPT</v>
          </cell>
          <cell r="F398" t="str">
            <v xml:space="preserve">Phòng Cảnh giới </v>
          </cell>
          <cell r="G398" t="str">
            <v>Bộ phận Lập trình hệ thống</v>
          </cell>
          <cell r="H398" t="str">
            <v>Hợp đồng lao động</v>
          </cell>
          <cell r="I398" t="str">
            <v>Quân lực quản lý</v>
          </cell>
          <cell r="J398" t="str">
            <v>Kỹ sư nghiên cứu hệ thống chỉ huy và điều khiển</v>
          </cell>
        </row>
        <row r="399">
          <cell r="C399" t="str">
            <v>193276</v>
          </cell>
          <cell r="D399" t="str">
            <v>Nguyễn Tiến Hưởng</v>
          </cell>
          <cell r="E399" t="str">
            <v>Trung tâm Hệ thống chỉ huy và điều khiển - Viện NCPT</v>
          </cell>
          <cell r="F399" t="str">
            <v xml:space="preserve">Phòng Cảnh giới </v>
          </cell>
          <cell r="G399" t="str">
            <v>Bộ phận Lập trình hệ thống</v>
          </cell>
          <cell r="H399" t="str">
            <v>Hợp đồng lao động</v>
          </cell>
          <cell r="I399" t="str">
            <v>Quân lực quản lý</v>
          </cell>
          <cell r="J399" t="str">
            <v>Kỹ sư nghiên cứu hệ thống chỉ huy và điều khiển</v>
          </cell>
        </row>
        <row r="400">
          <cell r="D400" t="str">
            <v>Phòng Hỗ trợ tác chiến</v>
          </cell>
        </row>
        <row r="401">
          <cell r="D401" t="str">
            <v>Phụ trách phòng</v>
          </cell>
        </row>
        <row r="402">
          <cell r="C402" t="str">
            <v>123686</v>
          </cell>
          <cell r="D402" t="str">
            <v>Nguyễn Quang Bằng</v>
          </cell>
          <cell r="E402" t="str">
            <v>Trung tâm Hệ thống chỉ huy và điều khiển - Viện NCPT</v>
          </cell>
          <cell r="F402" t="str">
            <v>Phòng Hỗ trợ tác chiến</v>
          </cell>
          <cell r="G402" t="str">
            <v>Phụ trách phòng</v>
          </cell>
          <cell r="H402" t="str">
            <v>Hợp đồng lao động</v>
          </cell>
          <cell r="I402" t="str">
            <v>Quân lực quản lý</v>
          </cell>
          <cell r="J402" t="str">
            <v>Trưởng phòng</v>
          </cell>
        </row>
        <row r="403">
          <cell r="C403" t="str">
            <v>137428</v>
          </cell>
          <cell r="D403" t="str">
            <v>Uông Huy Quân</v>
          </cell>
          <cell r="E403" t="str">
            <v>Trung tâm Hệ thống chỉ huy và điều khiển - Viện NCPT</v>
          </cell>
          <cell r="F403" t="str">
            <v>Phòng Hỗ trợ tác chiến</v>
          </cell>
          <cell r="G403" t="str">
            <v>Phụ trách phòng</v>
          </cell>
          <cell r="H403" t="str">
            <v>Hợp đồng lao động</v>
          </cell>
          <cell r="I403" t="str">
            <v>Quân lực quản lý</v>
          </cell>
          <cell r="J403" t="str">
            <v>Phó Trưởng phòng</v>
          </cell>
        </row>
        <row r="404">
          <cell r="D404" t="str">
            <v>Bộ phận Đánh giá Hiểm họa</v>
          </cell>
        </row>
        <row r="405">
          <cell r="C405" t="str">
            <v>193274</v>
          </cell>
          <cell r="D405" t="str">
            <v>Vũ Việt Trung</v>
          </cell>
          <cell r="E405" t="str">
            <v>Trung tâm Hệ thống chỉ huy và điều khiển - Viện NCPT</v>
          </cell>
          <cell r="F405" t="str">
            <v>Phòng Hỗ trợ tác chiến</v>
          </cell>
          <cell r="G405" t="str">
            <v>Bộ phận Đánh giá Hiểm họa</v>
          </cell>
          <cell r="H405" t="str">
            <v>Hợp đồng lao động</v>
          </cell>
          <cell r="I405" t="str">
            <v>Quân lực quản lý</v>
          </cell>
          <cell r="J405" t="str">
            <v>Kỹ sư nghiên cứu hệ thống chỉ huy điều khiển</v>
          </cell>
        </row>
        <row r="406">
          <cell r="D406" t="str">
            <v>Bộ phận Chỉ định vũ khí</v>
          </cell>
        </row>
        <row r="407">
          <cell r="C407" t="str">
            <v>139573</v>
          </cell>
          <cell r="D407" t="str">
            <v>Vũ Minh Thành</v>
          </cell>
          <cell r="E407" t="str">
            <v>Trung tâm Hệ thống chỉ huy và điều khiển - Viện NCPT</v>
          </cell>
          <cell r="F407" t="str">
            <v>Phòng Hỗ trợ tác chiến</v>
          </cell>
          <cell r="G407" t="str">
            <v>Bộ phận Chỉ định vũ khí</v>
          </cell>
          <cell r="H407" t="str">
            <v>Hợp đồng lao động</v>
          </cell>
          <cell r="I407" t="str">
            <v>Quân lực quản lý</v>
          </cell>
          <cell r="J407" t="str">
            <v>Trưởng nhóm</v>
          </cell>
        </row>
        <row r="408">
          <cell r="C408" t="str">
            <v>193275</v>
          </cell>
          <cell r="D408" t="str">
            <v>Nguyễn Ngọc Lân</v>
          </cell>
          <cell r="E408" t="str">
            <v>Trung tâm Hệ thống chỉ huy và điều khiển - Viện NCPT</v>
          </cell>
          <cell r="F408" t="str">
            <v>Phòng Hỗ trợ tác chiến</v>
          </cell>
          <cell r="G408" t="str">
            <v>Bộ phận Chỉ định vũ khí</v>
          </cell>
          <cell r="H408" t="str">
            <v>Hợp đồng lao động</v>
          </cell>
          <cell r="I408" t="str">
            <v>Quân lực quản lý</v>
          </cell>
          <cell r="J408" t="str">
            <v>Kỹ sư nghiên cứu hệ thống chỉ huy điều khiển</v>
          </cell>
        </row>
        <row r="409">
          <cell r="D409" t="str">
            <v>Bộ phận Giải thuật</v>
          </cell>
        </row>
        <row r="410">
          <cell r="C410" t="str">
            <v>163633</v>
          </cell>
          <cell r="D410" t="str">
            <v>Trần Minh Đức</v>
          </cell>
          <cell r="E410" t="str">
            <v>Trung tâm Hệ thống chỉ huy và điều khiển - Viện NCPT</v>
          </cell>
          <cell r="F410" t="str">
            <v>Phòng Hỗ trợ tác chiến</v>
          </cell>
          <cell r="G410" t="str">
            <v>Bộ phận Giải thuật</v>
          </cell>
          <cell r="H410" t="str">
            <v>Hợp đồng lao động</v>
          </cell>
          <cell r="I410" t="str">
            <v>Quân lực quản lý</v>
          </cell>
          <cell r="J410" t="str">
            <v>Kỹ sư nghiên cứu hệ thống chỉ huy điều khiển</v>
          </cell>
        </row>
        <row r="411">
          <cell r="D411" t="str">
            <v>Bộ phận Kết nối đơn vị hỏa lực</v>
          </cell>
        </row>
        <row r="412">
          <cell r="C412" t="str">
            <v>130468</v>
          </cell>
          <cell r="D412" t="str">
            <v>Vũ Hoàng Phi</v>
          </cell>
          <cell r="E412" t="str">
            <v>Trung tâm Hệ thống chỉ huy và điều khiển - Viện NCPT</v>
          </cell>
          <cell r="F412" t="str">
            <v>Phòng Hỗ trợ tác chiến</v>
          </cell>
          <cell r="G412" t="str">
            <v>Bộ phận Kết nối đơn vị hỏa lực</v>
          </cell>
          <cell r="H412" t="str">
            <v>Hợp đồng lao động</v>
          </cell>
          <cell r="I412" t="str">
            <v>Quân lực quản lý</v>
          </cell>
          <cell r="J412" t="str">
            <v>Kỹ sư nghiên cứu hệ thống chỉ huy điều khiển</v>
          </cell>
        </row>
        <row r="413">
          <cell r="C413" t="str">
            <v>137528</v>
          </cell>
          <cell r="D413" t="str">
            <v>Vũ Văn Huy</v>
          </cell>
          <cell r="E413" t="str">
            <v>Trung tâm Hệ thống chỉ huy và điều khiển - Viện NCPT</v>
          </cell>
          <cell r="F413" t="str">
            <v>Phòng Hỗ trợ tác chiến</v>
          </cell>
          <cell r="G413" t="str">
            <v>Bộ phận Kết nối đơn vị hỏa lực</v>
          </cell>
          <cell r="H413" t="str">
            <v>Hợp đồng lao động</v>
          </cell>
          <cell r="I413" t="str">
            <v>Quân lực quản lý</v>
          </cell>
          <cell r="J413" t="str">
            <v>Kỹ sư nghiên cứu hệ thống chỉ huy điều khiển</v>
          </cell>
        </row>
        <row r="414">
          <cell r="D414" t="str">
            <v>Bộ phận Quản lý chiến trường</v>
          </cell>
        </row>
        <row r="415">
          <cell r="C415" t="str">
            <v>174074</v>
          </cell>
          <cell r="D415" t="str">
            <v>Trịnh Thế Thành</v>
          </cell>
          <cell r="E415" t="str">
            <v>Trung tâm Hệ thống chỉ huy và điều khiển - Viện NCPT</v>
          </cell>
          <cell r="F415" t="str">
            <v>Phòng Hỗ trợ tác chiến</v>
          </cell>
          <cell r="G415" t="str">
            <v>Bộ phận Quản lý chiến trường</v>
          </cell>
          <cell r="H415" t="str">
            <v>Hợp đồng lao động</v>
          </cell>
          <cell r="I415" t="str">
            <v>Quân lực quản lý</v>
          </cell>
          <cell r="J415" t="str">
            <v>Kỹ sư nghiên cứu hệ thống chỉ huy điều khiển</v>
          </cell>
        </row>
        <row r="416">
          <cell r="D416" t="str">
            <v>Phòng Mô hình mô phỏng</v>
          </cell>
        </row>
        <row r="417">
          <cell r="D417" t="str">
            <v>Phụ trách phòng</v>
          </cell>
        </row>
        <row r="418">
          <cell r="C418" t="str">
            <v>121978</v>
          </cell>
          <cell r="D418" t="str">
            <v>Nguyễn Trọng Nhật Quang</v>
          </cell>
          <cell r="E418" t="str">
            <v>Trung tâm Hệ thống chỉ huy và điều khiển - Viện NCPT</v>
          </cell>
          <cell r="F418" t="str">
            <v>Phòng Mô hình mô phỏng</v>
          </cell>
          <cell r="G418" t="str">
            <v>Phụ trách phòng</v>
          </cell>
          <cell r="H418" t="str">
            <v>Hợp đồng lao động</v>
          </cell>
          <cell r="I418" t="str">
            <v>Quân lực quản lý</v>
          </cell>
          <cell r="J418" t="str">
            <v>Trưởng phòng</v>
          </cell>
        </row>
        <row r="419">
          <cell r="C419" t="str">
            <v>121955</v>
          </cell>
          <cell r="D419" t="str">
            <v>Vũ Đình Long</v>
          </cell>
          <cell r="E419" t="str">
            <v>Trung tâm Hệ thống chỉ huy và điều khiển - Viện NCPT</v>
          </cell>
          <cell r="F419" t="str">
            <v>Phòng Mô hình mô phỏng</v>
          </cell>
          <cell r="G419" t="str">
            <v>Phụ trách phòng</v>
          </cell>
          <cell r="H419" t="str">
            <v>Hợp đồng lao động</v>
          </cell>
          <cell r="I419" t="str">
            <v>Quân lực quản lý</v>
          </cell>
          <cell r="J419" t="str">
            <v>Phó Trưởng phòng</v>
          </cell>
        </row>
        <row r="420">
          <cell r="D420" t="str">
            <v>Bộ phận mô hình và mô phỏng</v>
          </cell>
        </row>
        <row r="421">
          <cell r="C421" t="str">
            <v>163614</v>
          </cell>
          <cell r="D421" t="str">
            <v>Nguyễn Minh Tân</v>
          </cell>
          <cell r="E421" t="str">
            <v>Trung tâm Hệ thống chỉ huy và điều khiển - Viện NCPT</v>
          </cell>
          <cell r="F421" t="str">
            <v>Phòng Mô hình mô phỏng</v>
          </cell>
          <cell r="G421" t="str">
            <v>Bộ phận mô hình và mô phỏng</v>
          </cell>
          <cell r="H421" t="str">
            <v>Hợp đồng lao động</v>
          </cell>
          <cell r="I421" t="str">
            <v>Quân lực quản lý</v>
          </cell>
          <cell r="J421" t="str">
            <v>Kỹ sư nghiên cứu hệ thống chỉ huy và điều khiển</v>
          </cell>
        </row>
        <row r="422">
          <cell r="D422" t="str">
            <v>Bộ phận bản đố số, đồ họa và xử lý ảnh</v>
          </cell>
        </row>
        <row r="423">
          <cell r="C423" t="str">
            <v>123194</v>
          </cell>
          <cell r="D423" t="str">
            <v>Trần Tuấn Việt</v>
          </cell>
          <cell r="E423" t="str">
            <v>Trung tâm Hệ thống chỉ huy và điều khiển - Viện NCPT</v>
          </cell>
          <cell r="F423" t="str">
            <v>Phòng Mô hình mô phỏng</v>
          </cell>
          <cell r="G423" t="str">
            <v>Bộ phận bản đố số, đồ họa và xử lý ảnh</v>
          </cell>
          <cell r="H423" t="str">
            <v>Hợp đồng lao động</v>
          </cell>
          <cell r="I423" t="str">
            <v>Quân lực quản lý</v>
          </cell>
          <cell r="J423" t="str">
            <v>Kỹ sư nghiên cứu hệ thống chỉ huy và điều khiển</v>
          </cell>
        </row>
        <row r="424">
          <cell r="D424" t="str">
            <v>Bộ phận thiết kế điện tử và lập trình nhúng</v>
          </cell>
        </row>
        <row r="425">
          <cell r="C425" t="str">
            <v>139598</v>
          </cell>
          <cell r="D425" t="str">
            <v>Đào Duy Thoại</v>
          </cell>
          <cell r="E425" t="str">
            <v>Trung tâm Hệ thống chỉ huy và điều khiển - Viện NCPT</v>
          </cell>
          <cell r="F425" t="str">
            <v>Phòng Mô hình mô phỏng</v>
          </cell>
          <cell r="G425" t="str">
            <v>Bộ phận thiết kế điện tử và lập trình nhúng</v>
          </cell>
          <cell r="H425" t="str">
            <v>Hợp đồng lao động</v>
          </cell>
          <cell r="I425" t="str">
            <v>Quân lực quản lý</v>
          </cell>
          <cell r="J425" t="str">
            <v>Kỹ sư Thiết kế sơ đồ thiết bị</v>
          </cell>
        </row>
        <row r="426">
          <cell r="C426" t="str">
            <v>178233</v>
          </cell>
          <cell r="D426" t="str">
            <v>Hoàng Anh Sơn</v>
          </cell>
          <cell r="E426" t="str">
            <v>Trung tâm Hệ thống chỉ huy và điều khiển - Viện NCPT</v>
          </cell>
          <cell r="F426" t="str">
            <v>Phòng Mô hình mô phỏng</v>
          </cell>
          <cell r="G426" t="str">
            <v>Bộ phận thiết kế điện tử và lập trình nhúng</v>
          </cell>
          <cell r="H426" t="str">
            <v>Hợp đồng lao động</v>
          </cell>
          <cell r="I426" t="str">
            <v>Quân lực quản lý</v>
          </cell>
          <cell r="J426" t="str">
            <v>Kỹ sư Thiết kế sơ đồ thiết bị</v>
          </cell>
        </row>
        <row r="427">
          <cell r="D427" t="str">
            <v>Bộ phận nghiên cứu phát triển</v>
          </cell>
        </row>
        <row r="428">
          <cell r="C428" t="str">
            <v>087324</v>
          </cell>
          <cell r="D428" t="str">
            <v>Phùng Văn Thắng</v>
          </cell>
          <cell r="E428" t="str">
            <v>Trung tâm Hệ thống chỉ huy và điều khiển - Viện NCPT</v>
          </cell>
          <cell r="F428" t="str">
            <v>Phòng Mô hình mô phỏng</v>
          </cell>
          <cell r="G428" t="str">
            <v>Bộ phận nghiên cứu phát triển</v>
          </cell>
          <cell r="H428" t="str">
            <v>Hợp đồng lao động</v>
          </cell>
          <cell r="I428" t="str">
            <v>Quân lực quản lý</v>
          </cell>
          <cell r="J428" t="str">
            <v>Trưởng nhóm</v>
          </cell>
        </row>
        <row r="429">
          <cell r="C429" t="str">
            <v>178253</v>
          </cell>
          <cell r="D429" t="str">
            <v>Nguyễn Việt Hùng</v>
          </cell>
          <cell r="E429" t="str">
            <v>Trung tâm Hệ thống chỉ huy và điều khiển - Viện NCPT</v>
          </cell>
          <cell r="F429" t="str">
            <v>Phòng Mô hình mô phỏng</v>
          </cell>
          <cell r="G429" t="str">
            <v>Bộ phận nghiên cứu phát triển</v>
          </cell>
          <cell r="H429" t="str">
            <v>Hợp đồng lao động</v>
          </cell>
          <cell r="I429" t="str">
            <v>Quân lực quản lý</v>
          </cell>
          <cell r="J429" t="str">
            <v>Kỹ sư Nghiên cứu hệ thống mạng</v>
          </cell>
        </row>
        <row r="430">
          <cell r="D430" t="str">
            <v>Bộ phận phát triển ứng dụng core</v>
          </cell>
        </row>
        <row r="431">
          <cell r="C431" t="str">
            <v>122124</v>
          </cell>
          <cell r="D431" t="str">
            <v>Nguyễn Xuân Nam</v>
          </cell>
          <cell r="E431" t="str">
            <v>Trung tâm Hệ thống chỉ huy và điều khiển - Viện NCPT</v>
          </cell>
          <cell r="F431" t="str">
            <v>Phòng Mô hình mô phỏng</v>
          </cell>
          <cell r="G431" t="str">
            <v>Bộ phận phát triển ứng dụng core</v>
          </cell>
          <cell r="H431" t="str">
            <v>Hợp đồng lao động</v>
          </cell>
          <cell r="I431" t="str">
            <v>Quân lực quản lý</v>
          </cell>
          <cell r="J431" t="str">
            <v>Trưởng nhóm</v>
          </cell>
        </row>
        <row r="432">
          <cell r="C432" t="str">
            <v>187016</v>
          </cell>
          <cell r="D432" t="str">
            <v>Đinh Duy Anh</v>
          </cell>
          <cell r="E432" t="str">
            <v>Trung tâm Hệ thống chỉ huy và điều khiển - Viện NCPT</v>
          </cell>
          <cell r="F432" t="str">
            <v>Phòng Mô hình mô phỏng</v>
          </cell>
          <cell r="G432" t="str">
            <v>Bộ phận phát triển ứng dụng core</v>
          </cell>
          <cell r="H432" t="str">
            <v>Hợp đồng lao động</v>
          </cell>
          <cell r="I432" t="str">
            <v>Quân lực quản lý</v>
          </cell>
          <cell r="J432" t="str">
            <v>Kỹ sư Thiết kế giải thuật</v>
          </cell>
        </row>
        <row r="433">
          <cell r="D433" t="str">
            <v>Bộ phận giải pháp xử lý tín hiệu và truyền thông</v>
          </cell>
        </row>
        <row r="434">
          <cell r="C434" t="str">
            <v>141954</v>
          </cell>
          <cell r="D434" t="str">
            <v>Nguyễn Xuân Quyền</v>
          </cell>
          <cell r="E434" t="str">
            <v>Trung tâm Hệ thống chỉ huy và điều khiển - Viện NCPT</v>
          </cell>
          <cell r="F434" t="str">
            <v>Phòng Mô hình mô phỏng</v>
          </cell>
          <cell r="G434" t="str">
            <v>Bộ phận giải pháp xử lý tín hiệu và truyền thông</v>
          </cell>
          <cell r="H434" t="str">
            <v>Hợp đồng lao động</v>
          </cell>
          <cell r="I434" t="str">
            <v>Quân lực quản lý</v>
          </cell>
          <cell r="J434" t="str">
            <v>Kỹ sư Phát triển thiết bị</v>
          </cell>
        </row>
        <row r="435">
          <cell r="C435" t="str">
            <v>193273</v>
          </cell>
          <cell r="D435" t="str">
            <v>Vũ Như Thành</v>
          </cell>
          <cell r="E435" t="str">
            <v>Trung tâm Hệ thống chỉ huy và điều khiển - Viện NCPT</v>
          </cell>
          <cell r="F435" t="str">
            <v>Phòng Mô hình mô phỏng</v>
          </cell>
          <cell r="G435" t="str">
            <v>Bộ phận giải pháp xử lý tín hiệu và truyền thông</v>
          </cell>
          <cell r="H435" t="str">
            <v>Hợp đồng lao động</v>
          </cell>
          <cell r="I435" t="str">
            <v>Quân lực quản lý</v>
          </cell>
          <cell r="J435" t="str">
            <v>Kỹ sư Phát triển thiết bị</v>
          </cell>
        </row>
        <row r="436">
          <cell r="C436" t="str">
            <v>203153</v>
          </cell>
          <cell r="D436" t="str">
            <v>Lê Quốc Hưng</v>
          </cell>
          <cell r="E436" t="str">
            <v>Trung tâm Hệ thống chỉ huy và điều khiển - Viện NCPT</v>
          </cell>
          <cell r="F436" t="str">
            <v>Phòng Mô hình mô phỏng</v>
          </cell>
          <cell r="G436" t="str">
            <v>Bộ phận giải pháp xử lý tín hiệu và truyền thông</v>
          </cell>
          <cell r="H436" t="str">
            <v>HĐ Thử việc</v>
          </cell>
          <cell r="I436" t="str">
            <v>Quân lực quản lý</v>
          </cell>
          <cell r="J436" t="str">
            <v>Kỹ sư Phát triển thiết bị</v>
          </cell>
        </row>
        <row r="437">
          <cell r="D437" t="str">
            <v>Phòng Giao diện người máy</v>
          </cell>
        </row>
        <row r="438">
          <cell r="D438" t="str">
            <v>Phụ trách phòng</v>
          </cell>
        </row>
        <row r="439">
          <cell r="C439" t="str">
            <v>093857</v>
          </cell>
          <cell r="D439" t="str">
            <v>Vũ Huy Hùng</v>
          </cell>
          <cell r="E439" t="str">
            <v>Trung tâm Hệ thống chỉ huy và điều khiển - Viện NCPT</v>
          </cell>
          <cell r="F439" t="str">
            <v>Phòng Giao diện người máy</v>
          </cell>
          <cell r="G439" t="str">
            <v>Phụ trách phòng</v>
          </cell>
          <cell r="H439" t="str">
            <v>Hợp đồng lao động</v>
          </cell>
          <cell r="I439" t="str">
            <v>Quân lực quản lý</v>
          </cell>
          <cell r="J439" t="str">
            <v>Trưởng phòng</v>
          </cell>
        </row>
        <row r="440">
          <cell r="D440" t="str">
            <v>Bộ phận Lập trình hệ thống</v>
          </cell>
        </row>
        <row r="441">
          <cell r="C441" t="str">
            <v>121956</v>
          </cell>
          <cell r="D441" t="str">
            <v>Trần Thắng</v>
          </cell>
          <cell r="E441" t="str">
            <v>Trung tâm Hệ thống chỉ huy và điều khiển - Viện NCPT</v>
          </cell>
          <cell r="F441" t="str">
            <v>Phòng Giao diện người máy</v>
          </cell>
          <cell r="G441" t="str">
            <v>Bộ phận Lập trình hệ thống</v>
          </cell>
          <cell r="H441" t="str">
            <v>Hợp đồng lao động</v>
          </cell>
          <cell r="I441" t="str">
            <v>Quân lực quản lý</v>
          </cell>
          <cell r="J441" t="str">
            <v>Trưởng nhóm</v>
          </cell>
        </row>
        <row r="442">
          <cell r="C442" t="str">
            <v>194533</v>
          </cell>
          <cell r="D442" t="str">
            <v>Nguyễn Văn Cương</v>
          </cell>
          <cell r="E442" t="str">
            <v>Trung tâm Hệ thống chỉ huy và điều khiển - Viện NCPT</v>
          </cell>
          <cell r="F442" t="str">
            <v>Phòng Giao diện người máy</v>
          </cell>
          <cell r="G442" t="str">
            <v>Bộ phận Lập trình hệ thống</v>
          </cell>
          <cell r="H442" t="str">
            <v>Hợp đồng lao động</v>
          </cell>
          <cell r="I442" t="str">
            <v>Quân lực quản lý</v>
          </cell>
          <cell r="J442" t="str">
            <v>Kỹ sư lập trình hệ thống</v>
          </cell>
        </row>
        <row r="443">
          <cell r="D443" t="str">
            <v>Bộ phận Giải pháp nghiệp vụ</v>
          </cell>
        </row>
        <row r="444">
          <cell r="C444" t="str">
            <v>194534</v>
          </cell>
          <cell r="D444" t="str">
            <v>Nguyễn Minh Thông</v>
          </cell>
          <cell r="E444" t="str">
            <v>Trung tâm Hệ thống chỉ huy và điều khiển - Viện NCPT</v>
          </cell>
          <cell r="F444" t="str">
            <v>Phòng Giao diện người máy</v>
          </cell>
          <cell r="G444" t="str">
            <v>Bộ phận Giải pháp nghiệp vụ</v>
          </cell>
          <cell r="H444" t="str">
            <v>Hợp đồng lao động</v>
          </cell>
          <cell r="I444" t="str">
            <v>Quân lực quản lý</v>
          </cell>
          <cell r="J444" t="str">
            <v>Kỹ sư nghiên cứu hệ thống chỉ huy điều khiển</v>
          </cell>
        </row>
        <row r="445">
          <cell r="D445" t="str">
            <v>Phòng Quản lý chất lượng</v>
          </cell>
        </row>
        <row r="446">
          <cell r="D446" t="str">
            <v>Phụ trách phòng</v>
          </cell>
        </row>
        <row r="447">
          <cell r="C447" t="str">
            <v>048318</v>
          </cell>
          <cell r="D447" t="str">
            <v>Nguyễn Linh Giang</v>
          </cell>
          <cell r="E447" t="str">
            <v>Trung tâm Hệ thống chỉ huy và điều khiển - Viện NCPT</v>
          </cell>
          <cell r="F447" t="str">
            <v>Phòng Quản lý chất lượng</v>
          </cell>
          <cell r="G447" t="str">
            <v>Phụ trách phòng</v>
          </cell>
          <cell r="H447" t="str">
            <v>Hợp đồng lao động</v>
          </cell>
          <cell r="I447" t="str">
            <v>Quân lực quản lý</v>
          </cell>
          <cell r="J447" t="str">
            <v>Trưởng phòng</v>
          </cell>
        </row>
        <row r="448">
          <cell r="C448" t="str">
            <v>087316</v>
          </cell>
          <cell r="D448" t="str">
            <v>Nguyễn Thị Thùy Linh</v>
          </cell>
          <cell r="E448" t="str">
            <v>Trung tâm Hệ thống chỉ huy và điều khiển - Viện NCPT</v>
          </cell>
          <cell r="F448" t="str">
            <v>Phòng Quản lý chất lượng</v>
          </cell>
          <cell r="G448" t="str">
            <v>Phụ trách phòng</v>
          </cell>
          <cell r="H448" t="str">
            <v>Hợp đồng lao động</v>
          </cell>
          <cell r="I448" t="str">
            <v>Quân lực quản lý</v>
          </cell>
          <cell r="J448" t="str">
            <v>Phó Trưởng phòng</v>
          </cell>
        </row>
        <row r="449">
          <cell r="D449" t="str">
            <v>Bộ phận PTNV &amp; QLCL Tác chiến</v>
          </cell>
        </row>
        <row r="450">
          <cell r="C450" t="str">
            <v>176233</v>
          </cell>
          <cell r="D450" t="str">
            <v>Nguyễn Lan Anh</v>
          </cell>
          <cell r="E450" t="str">
            <v>Trung tâm Hệ thống chỉ huy và điều khiển - Viện NCPT</v>
          </cell>
          <cell r="F450" t="str">
            <v>Phòng Quản lý chất lượng</v>
          </cell>
          <cell r="G450" t="str">
            <v>Bộ phận PTNV &amp; QLCL Tác chiến</v>
          </cell>
          <cell r="H450" t="str">
            <v>Hợp đồng lao động</v>
          </cell>
          <cell r="I450" t="str">
            <v>Quân lực quản lý</v>
          </cell>
          <cell r="J450" t="str">
            <v>Kỹ sư kiểm soát phần mềm</v>
          </cell>
        </row>
        <row r="451">
          <cell r="D451" t="str">
            <v>Bộ phận PTNV &amp; QLCL Cảnh giới</v>
          </cell>
        </row>
        <row r="452">
          <cell r="C452" t="str">
            <v>045593</v>
          </cell>
          <cell r="D452" t="str">
            <v>Lê Thị Thanh Nhàn</v>
          </cell>
          <cell r="E452" t="str">
            <v>Trung tâm Hệ thống chỉ huy và điều khiển - Viện NCPT</v>
          </cell>
          <cell r="F452" t="str">
            <v>Phòng Quản lý chất lượng</v>
          </cell>
          <cell r="G452" t="str">
            <v>Bộ phận PTNV &amp; QLCL Cảnh giới</v>
          </cell>
          <cell r="H452" t="str">
            <v>Hợp đồng lao động</v>
          </cell>
          <cell r="I452" t="str">
            <v>Quân lực quản lý</v>
          </cell>
          <cell r="J452" t="str">
            <v>Trưởng nhóm</v>
          </cell>
        </row>
        <row r="453">
          <cell r="C453" t="str">
            <v>037193</v>
          </cell>
          <cell r="D453" t="str">
            <v>Trần Thị Việt Nga</v>
          </cell>
          <cell r="E453" t="str">
            <v>Trung tâm Hệ thống chỉ huy và điều khiển - Viện NCPT</v>
          </cell>
          <cell r="F453" t="str">
            <v>Phòng Quản lý chất lượng</v>
          </cell>
          <cell r="G453" t="str">
            <v>Bộ phận PTNV &amp; QLCL Cảnh giới</v>
          </cell>
          <cell r="H453" t="str">
            <v>Hợp đồng lao động</v>
          </cell>
          <cell r="I453" t="str">
            <v>Quân lực quản lý</v>
          </cell>
          <cell r="J453" t="str">
            <v>Kỹ sư kiểm soát phần mềm</v>
          </cell>
        </row>
        <row r="454">
          <cell r="D454" t="str">
            <v>Bộ phận PTNV &amp; QLCL Dẫn đường không quân</v>
          </cell>
        </row>
        <row r="455">
          <cell r="C455" t="str">
            <v>102996</v>
          </cell>
          <cell r="D455" t="str">
            <v>Phạm Thị Vân An</v>
          </cell>
          <cell r="E455" t="str">
            <v>Trung tâm Hệ thống chỉ huy và điều khiển - Viện NCPT</v>
          </cell>
          <cell r="F455" t="str">
            <v>Phòng Quản lý chất lượng</v>
          </cell>
          <cell r="G455" t="str">
            <v>Bộ phận PTNV &amp; QLCL Dẫn đường không quân</v>
          </cell>
          <cell r="H455" t="str">
            <v>Hợp đồng lao động</v>
          </cell>
          <cell r="I455" t="str">
            <v>Quân lực quản lý</v>
          </cell>
          <cell r="J455" t="str">
            <v>Trưởng nhóm</v>
          </cell>
        </row>
        <row r="456">
          <cell r="C456" t="str">
            <v>108597</v>
          </cell>
          <cell r="D456" t="str">
            <v>Trần Thu Hiền</v>
          </cell>
          <cell r="E456" t="str">
            <v>Trung tâm Hệ thống chỉ huy và điều khiển - Viện NCPT</v>
          </cell>
          <cell r="F456" t="str">
            <v>Phòng Quản lý chất lượng</v>
          </cell>
          <cell r="G456" t="str">
            <v>Bộ phận PTNV &amp; QLCL Dẫn đường không quân</v>
          </cell>
          <cell r="H456" t="str">
            <v>Hợp đồng lao động</v>
          </cell>
          <cell r="I456" t="str">
            <v>Quân lực quản lý</v>
          </cell>
          <cell r="J456" t="str">
            <v>Kỹ sư kiểm soát phần mềm</v>
          </cell>
        </row>
        <row r="457">
          <cell r="D457" t="str">
            <v>Phòng Nghiên cứu hệ thống dẫn đường bay</v>
          </cell>
        </row>
        <row r="458">
          <cell r="D458" t="str">
            <v>Phụ trách phòng</v>
          </cell>
        </row>
        <row r="459">
          <cell r="C459" t="str">
            <v>120505</v>
          </cell>
          <cell r="D459" t="str">
            <v>Bùi Việt Hưng</v>
          </cell>
          <cell r="E459" t="str">
            <v>Trung tâm Hệ thống chỉ huy và điều khiển - Viện NCPT</v>
          </cell>
          <cell r="F459" t="str">
            <v>Phòng Nghiên cứu hệ thống dẫn đường bay</v>
          </cell>
          <cell r="G459" t="str">
            <v>Phụ trách phòng</v>
          </cell>
          <cell r="H459" t="str">
            <v>Hợp đồng lao động</v>
          </cell>
          <cell r="I459" t="str">
            <v>Quân lực quản lý</v>
          </cell>
          <cell r="J459" t="str">
            <v>Trưởng phòng</v>
          </cell>
        </row>
        <row r="460">
          <cell r="D460" t="str">
            <v>Bộ phận Nghiên cứu giải pháp và phân tích thiết kế hệ thống</v>
          </cell>
        </row>
        <row r="461">
          <cell r="C461" t="str">
            <v>193279</v>
          </cell>
          <cell r="D461" t="str">
            <v>Nguyễn Tuấn Anh</v>
          </cell>
          <cell r="E461" t="str">
            <v>Trung tâm Hệ thống chỉ huy và điều khiển - Viện NCPT</v>
          </cell>
          <cell r="F461" t="str">
            <v>Phòng Nghiên cứu hệ thống dẫn đường bay</v>
          </cell>
          <cell r="G461" t="str">
            <v>Bộ phận Nghiên cứu giải pháp và phân tích thiết kế hệ thống</v>
          </cell>
          <cell r="H461" t="str">
            <v>Hợp đồng lao động</v>
          </cell>
          <cell r="I461" t="str">
            <v>Quân lực quản lý</v>
          </cell>
          <cell r="J461" t="str">
            <v>Kỹ sư nghiên cứu hệ thống chỉ huy điều khiển</v>
          </cell>
        </row>
        <row r="462">
          <cell r="C462" t="str">
            <v>194748</v>
          </cell>
          <cell r="D462" t="str">
            <v>Lê Văn Khuyến</v>
          </cell>
          <cell r="E462" t="str">
            <v>Trung tâm Hệ thống chỉ huy và điều khiển - Viện NCPT</v>
          </cell>
          <cell r="F462" t="str">
            <v>Phòng Nghiên cứu hệ thống dẫn đường bay</v>
          </cell>
          <cell r="G462" t="str">
            <v>Bộ phận Nghiên cứu giải pháp và phân tích thiết kế hệ thống</v>
          </cell>
          <cell r="H462" t="str">
            <v>Hợp đồng lao động</v>
          </cell>
          <cell r="I462" t="str">
            <v>Quân lực quản lý</v>
          </cell>
          <cell r="J462" t="str">
            <v>Kỹ sư nghiên cứu hệ thống chỉ huy điều khiển</v>
          </cell>
        </row>
        <row r="463">
          <cell r="D463" t="str">
            <v>Bộ phận Nghiên cứu hệ thống thông tin địa lý GIS</v>
          </cell>
        </row>
        <row r="464">
          <cell r="C464" t="str">
            <v>122635</v>
          </cell>
          <cell r="D464" t="str">
            <v>Phạm Anh Tuấn</v>
          </cell>
          <cell r="E464" t="str">
            <v>Trung tâm Hệ thống chỉ huy và điều khiển - Viện NCPT</v>
          </cell>
          <cell r="F464" t="str">
            <v>Phòng Nghiên cứu hệ thống dẫn đường bay</v>
          </cell>
          <cell r="G464" t="str">
            <v>Bộ phận Nghiên cứu hệ thống thông tin địa lý GIS</v>
          </cell>
          <cell r="H464" t="str">
            <v>Hợp đồng lao động</v>
          </cell>
          <cell r="I464" t="str">
            <v>Quân lực quản lý</v>
          </cell>
          <cell r="J464" t="str">
            <v>Trưởng nhóm</v>
          </cell>
        </row>
        <row r="465">
          <cell r="C465" t="str">
            <v>186378</v>
          </cell>
          <cell r="D465" t="str">
            <v>Nguyễn Quốc Khánh</v>
          </cell>
          <cell r="E465" t="str">
            <v>Trung tâm Hệ thống chỉ huy và điều khiển - Viện NCPT</v>
          </cell>
          <cell r="F465" t="str">
            <v>Phòng Nghiên cứu hệ thống dẫn đường bay</v>
          </cell>
          <cell r="G465" t="str">
            <v>Bộ phận Nghiên cứu hệ thống thông tin địa lý GIS</v>
          </cell>
          <cell r="H465" t="str">
            <v>Hợp đồng lao động</v>
          </cell>
          <cell r="I465" t="str">
            <v>Quân lực quản lý</v>
          </cell>
          <cell r="J465" t="str">
            <v>Kỹ sư nghiên cứu hệ thống chỉ huy điều khiển</v>
          </cell>
        </row>
        <row r="466">
          <cell r="C466" t="str">
            <v>193278</v>
          </cell>
          <cell r="D466" t="str">
            <v>Nguyễn Văn Hồng</v>
          </cell>
          <cell r="E466" t="str">
            <v>Trung tâm Hệ thống chỉ huy và điều khiển - Viện NCPT</v>
          </cell>
          <cell r="F466" t="str">
            <v>Phòng Nghiên cứu hệ thống dẫn đường bay</v>
          </cell>
          <cell r="G466" t="str">
            <v>Bộ phận Nghiên cứu hệ thống thông tin địa lý GIS</v>
          </cell>
          <cell r="H466" t="str">
            <v>Hợp đồng lao động</v>
          </cell>
          <cell r="I466" t="str">
            <v>Quân lực quản lý</v>
          </cell>
          <cell r="J466" t="str">
            <v>Kỹ sư nghiên cứu hệ thống chỉ huy điều khiển</v>
          </cell>
        </row>
        <row r="467">
          <cell r="D467" t="str">
            <v>Bộ phận Lập trình</v>
          </cell>
        </row>
        <row r="468">
          <cell r="C468" t="str">
            <v>097158</v>
          </cell>
          <cell r="D468" t="str">
            <v>Phạm Ngọc Thắng</v>
          </cell>
          <cell r="E468" t="str">
            <v>Trung tâm Hệ thống chỉ huy và điều khiển - Viện NCPT</v>
          </cell>
          <cell r="F468" t="str">
            <v>Phòng Nghiên cứu hệ thống dẫn đường bay</v>
          </cell>
          <cell r="G468" t="str">
            <v>Bộ phận Lập trình</v>
          </cell>
          <cell r="H468" t="str">
            <v>Hợp đồng lao động</v>
          </cell>
          <cell r="I468" t="str">
            <v>Quân lực quản lý</v>
          </cell>
          <cell r="J468" t="str">
            <v>Kỹ sư nghiên cứu hệ thống chỉ huy điều khiển</v>
          </cell>
        </row>
        <row r="469">
          <cell r="C469" t="str">
            <v>178273</v>
          </cell>
          <cell r="D469" t="str">
            <v>Nguyễn Văn Kiệm</v>
          </cell>
          <cell r="E469" t="str">
            <v>Trung tâm Hệ thống chỉ huy và điều khiển - Viện NCPT</v>
          </cell>
          <cell r="F469" t="str">
            <v>Phòng Nghiên cứu hệ thống dẫn đường bay</v>
          </cell>
          <cell r="G469" t="str">
            <v>Bộ phận Lập trình</v>
          </cell>
          <cell r="H469" t="str">
            <v>Hợp đồng lao động</v>
          </cell>
          <cell r="I469" t="str">
            <v>Quân lực quản lý</v>
          </cell>
          <cell r="J469" t="str">
            <v>Kỹ sư nghiên cứu hệ thống chỉ huy điều khiển</v>
          </cell>
        </row>
        <row r="470">
          <cell r="D470" t="str">
            <v>Phòng Triển khai giải pháp</v>
          </cell>
        </row>
        <row r="471">
          <cell r="D471" t="str">
            <v>Phụ trách phòng</v>
          </cell>
        </row>
        <row r="472">
          <cell r="C472" t="str">
            <v>121263</v>
          </cell>
          <cell r="D472" t="str">
            <v>Nguyễn Đình Việt</v>
          </cell>
          <cell r="E472" t="str">
            <v>Trung tâm Hệ thống chỉ huy và điều khiển - Viện NCPT</v>
          </cell>
          <cell r="F472" t="str">
            <v>Phòng Triển khai giải pháp</v>
          </cell>
          <cell r="G472" t="str">
            <v>Phụ trách phòng</v>
          </cell>
          <cell r="H472" t="str">
            <v>Hợp đồng lao động</v>
          </cell>
          <cell r="I472" t="str">
            <v>Quân lực quản lý</v>
          </cell>
          <cell r="J472" t="str">
            <v>Phó Trưởng Phòng</v>
          </cell>
        </row>
        <row r="473">
          <cell r="D473" t="str">
            <v xml:space="preserve">Bộ phận Nghiên cứu công nghệ </v>
          </cell>
        </row>
        <row r="474">
          <cell r="C474" t="str">
            <v>141184</v>
          </cell>
          <cell r="D474" t="str">
            <v>Nguyễn Văn Việt</v>
          </cell>
          <cell r="E474" t="str">
            <v>Trung tâm Hệ thống chỉ huy và điều khiển - Viện NCPT</v>
          </cell>
          <cell r="F474" t="str">
            <v>Phòng Triển khai giải pháp</v>
          </cell>
          <cell r="G474" t="str">
            <v xml:space="preserve">Bộ phận Nghiên cứu công nghệ </v>
          </cell>
          <cell r="H474" t="str">
            <v>Hợp đồng lao động</v>
          </cell>
          <cell r="I474" t="str">
            <v>Quân lực quản lý</v>
          </cell>
          <cell r="J474" t="str">
            <v>Trưởng nhóm</v>
          </cell>
        </row>
        <row r="475">
          <cell r="C475" t="str">
            <v>192435</v>
          </cell>
          <cell r="D475" t="str">
            <v>Lại Xuân Thành</v>
          </cell>
          <cell r="E475" t="str">
            <v>Trung tâm Hệ thống chỉ huy và điều khiển - Viện NCPT</v>
          </cell>
          <cell r="F475" t="str">
            <v>Phòng Triển khai giải pháp</v>
          </cell>
          <cell r="G475" t="str">
            <v xml:space="preserve">Bộ phận Nghiên cứu công nghệ </v>
          </cell>
          <cell r="H475" t="str">
            <v>Hợp đồng lao động</v>
          </cell>
          <cell r="I475" t="str">
            <v>Quân lực quản lý</v>
          </cell>
          <cell r="J475" t="str">
            <v>Kỹ sư quản trị cơ sở dữ liệu</v>
          </cell>
        </row>
        <row r="476">
          <cell r="D476" t="str">
            <v>Bộ phận Giải pháp tích hợp</v>
          </cell>
        </row>
        <row r="477">
          <cell r="C477" t="str">
            <v>121641</v>
          </cell>
          <cell r="D477" t="str">
            <v>Trần Ngọc Sơn</v>
          </cell>
          <cell r="E477" t="str">
            <v>Trung tâm Hệ thống chỉ huy và điều khiển - Viện NCPT</v>
          </cell>
          <cell r="F477" t="str">
            <v>Phòng Triển khai giải pháp</v>
          </cell>
          <cell r="G477" t="str">
            <v>Bộ phận Giải pháp tích hợp</v>
          </cell>
          <cell r="H477" t="str">
            <v>Hợp đồng lao động</v>
          </cell>
          <cell r="I477" t="str">
            <v>Quân lực quản lý</v>
          </cell>
          <cell r="J477" t="str">
            <v>Kỹ sư nghiên cứu Chỉ huy điều khiển</v>
          </cell>
        </row>
        <row r="478">
          <cell r="C478" t="str">
            <v>139854</v>
          </cell>
          <cell r="D478" t="str">
            <v>Hoàng Quốc Đạt</v>
          </cell>
          <cell r="E478" t="str">
            <v>Trung tâm Hệ thống chỉ huy và điều khiển - Viện NCPT</v>
          </cell>
          <cell r="F478" t="str">
            <v>Phòng Triển khai giải pháp</v>
          </cell>
          <cell r="G478" t="str">
            <v>Bộ phận Giải pháp tích hợp</v>
          </cell>
          <cell r="H478" t="str">
            <v>Hợp đồng lao động</v>
          </cell>
          <cell r="I478" t="str">
            <v>Quân lực quản lý</v>
          </cell>
          <cell r="J478" t="str">
            <v>Kỹ sư nghiên cứu Chỉ huy điều khiển</v>
          </cell>
        </row>
        <row r="479">
          <cell r="C479" t="str">
            <v>198833</v>
          </cell>
          <cell r="D479" t="str">
            <v>Nguyễn Việt Anh</v>
          </cell>
          <cell r="E479" t="str">
            <v>Trung tâm Hệ thống chỉ huy và điều khiển - Viện NCPT</v>
          </cell>
          <cell r="F479" t="str">
            <v>Phòng Triển khai giải pháp</v>
          </cell>
          <cell r="G479" t="str">
            <v>Bộ phận Giải pháp tích hợp</v>
          </cell>
          <cell r="H479" t="str">
            <v>Hợp đồng lao động</v>
          </cell>
          <cell r="I479" t="str">
            <v>Quân lực quản lý</v>
          </cell>
          <cell r="J479" t="str">
            <v>Kỹ sư nghiên cứu Chỉ huy điều khiển</v>
          </cell>
        </row>
        <row r="480">
          <cell r="D480" t="str">
            <v>Bộ phận quản lý An ninh thông tin</v>
          </cell>
        </row>
        <row r="481">
          <cell r="C481" t="str">
            <v>087213</v>
          </cell>
          <cell r="D481" t="str">
            <v>Nguyễn Thị Thanh Huyền</v>
          </cell>
          <cell r="E481" t="str">
            <v>Trung tâm Hệ thống chỉ huy và điều khiển - Viện NCPT</v>
          </cell>
          <cell r="F481" t="str">
            <v>Phòng Triển khai giải pháp</v>
          </cell>
          <cell r="G481" t="str">
            <v>Bộ phận quản lý An ninh thông tin</v>
          </cell>
          <cell r="H481" t="str">
            <v>Hợp đồng lao động</v>
          </cell>
          <cell r="I481" t="str">
            <v>Quân lực quản lý</v>
          </cell>
          <cell r="J481" t="str">
            <v>Kỹ sư quản lý ATTT</v>
          </cell>
        </row>
        <row r="482">
          <cell r="C482" t="str">
            <v>139133</v>
          </cell>
          <cell r="D482" t="str">
            <v>Lê Ngọc Hồ</v>
          </cell>
          <cell r="E482" t="str">
            <v>Trung tâm Hệ thống chỉ huy và điều khiển - Viện NCPT</v>
          </cell>
          <cell r="F482" t="str">
            <v>Phòng Triển khai giải pháp</v>
          </cell>
          <cell r="G482" t="str">
            <v>Bộ phận quản lý An ninh thông tin</v>
          </cell>
          <cell r="H482" t="str">
            <v>Hợp đồng lao động</v>
          </cell>
          <cell r="I482" t="str">
            <v>Quân lực quản lý</v>
          </cell>
          <cell r="J482" t="str">
            <v>Kỹ sư quản lý ATTT</v>
          </cell>
        </row>
        <row r="483">
          <cell r="D483" t="str">
            <v>Trung tâm Công nghệ tính toán mới - Viện NCPT</v>
          </cell>
        </row>
        <row r="484">
          <cell r="D484" t="str">
            <v>Ban Giám đốc</v>
          </cell>
        </row>
        <row r="485">
          <cell r="D485" t="str">
            <v>Thủ trưởng đơn vị</v>
          </cell>
        </row>
        <row r="486">
          <cell r="C486" t="str">
            <v>120507</v>
          </cell>
          <cell r="D486" t="str">
            <v>Lê Nhật Minh</v>
          </cell>
          <cell r="E486" t="str">
            <v>Trung tâm Công nghệ tính toán mới - Viện NCPT</v>
          </cell>
          <cell r="F486" t="str">
            <v>Ban Giám đốc</v>
          </cell>
          <cell r="G486" t="str">
            <v>Thủ trưởng đơn vị</v>
          </cell>
          <cell r="H486" t="str">
            <v>Hợp đồng lao động</v>
          </cell>
          <cell r="I486" t="str">
            <v>Quân lực quản lý</v>
          </cell>
          <cell r="J486" t="str">
            <v>Giám đốc</v>
          </cell>
        </row>
        <row r="487">
          <cell r="C487" t="str">
            <v>060969</v>
          </cell>
          <cell r="D487" t="str">
            <v>Bùi Huy Tùng</v>
          </cell>
          <cell r="E487" t="str">
            <v>Trung tâm Công nghệ tính toán mới - Viện NCPT</v>
          </cell>
          <cell r="F487" t="str">
            <v>Ban Giám đốc</v>
          </cell>
          <cell r="G487" t="str">
            <v>Thủ trưởng đơn vị</v>
          </cell>
          <cell r="H487" t="str">
            <v>Hợp đồng lao động</v>
          </cell>
          <cell r="I487" t="str">
            <v>Quân lực quản lý</v>
          </cell>
          <cell r="J487" t="str">
            <v>Phó Giám đốc</v>
          </cell>
        </row>
        <row r="488">
          <cell r="C488" t="str">
            <v>087233</v>
          </cell>
          <cell r="D488" t="str">
            <v>Dương Anh Trà</v>
          </cell>
          <cell r="E488" t="str">
            <v>Trung tâm Công nghệ tính toán mới - Viện NCPT</v>
          </cell>
          <cell r="F488" t="str">
            <v>Ban Giám đốc</v>
          </cell>
          <cell r="G488" t="str">
            <v>Thủ trưởng đơn vị</v>
          </cell>
          <cell r="H488" t="str">
            <v>Hợp đồng lao động</v>
          </cell>
          <cell r="I488" t="str">
            <v>Quân lực quản lý</v>
          </cell>
          <cell r="J488" t="str">
            <v>Phó Giám đốc</v>
          </cell>
        </row>
        <row r="489">
          <cell r="D489" t="str">
            <v>Phòng Tổng hợp</v>
          </cell>
        </row>
        <row r="490">
          <cell r="D490" t="str">
            <v>Trợ lý nghiệp vụ</v>
          </cell>
        </row>
        <row r="491">
          <cell r="C491" t="str">
            <v>010099</v>
          </cell>
          <cell r="D491" t="str">
            <v>Tô Lan Phương</v>
          </cell>
          <cell r="E491" t="str">
            <v>Trung tâm Công nghệ tính toán mới - Viện NCPT</v>
          </cell>
          <cell r="F491" t="str">
            <v>Phòng Tổng hợp</v>
          </cell>
          <cell r="G491" t="str">
            <v>Trợ lý nghiệp vụ</v>
          </cell>
          <cell r="H491" t="str">
            <v>Hợp đồng lao động</v>
          </cell>
          <cell r="I491" t="str">
            <v>Quân lực quản lý</v>
          </cell>
          <cell r="J491" t="str">
            <v>Kế toán</v>
          </cell>
        </row>
        <row r="492">
          <cell r="C492" t="str">
            <v>118927</v>
          </cell>
          <cell r="D492" t="str">
            <v>Tần Thị Lê Vinh</v>
          </cell>
          <cell r="E492" t="str">
            <v>Trung tâm Công nghệ tính toán mới - Viện NCPT</v>
          </cell>
          <cell r="F492" t="str">
            <v>Phòng Tổng hợp</v>
          </cell>
          <cell r="G492" t="str">
            <v>Trợ lý nghiệp vụ</v>
          </cell>
          <cell r="H492" t="str">
            <v>Hợp đồng lao động</v>
          </cell>
          <cell r="I492" t="str">
            <v>Quân lực quản lý</v>
          </cell>
          <cell r="J492" t="str">
            <v>Nhân viên kế hoạch</v>
          </cell>
        </row>
        <row r="493">
          <cell r="C493" t="str">
            <v>185613</v>
          </cell>
          <cell r="D493" t="str">
            <v>Nguyễn Thị Phương Anh</v>
          </cell>
          <cell r="E493" t="str">
            <v>Trung tâm Công nghệ tính toán mới - Viện NCPT</v>
          </cell>
          <cell r="F493" t="str">
            <v>Phòng Tổng hợp</v>
          </cell>
          <cell r="G493" t="str">
            <v>Trợ lý nghiệp vụ</v>
          </cell>
          <cell r="H493" t="str">
            <v>Hợp đồng lao động</v>
          </cell>
          <cell r="I493" t="str">
            <v>Quân lực quản lý</v>
          </cell>
          <cell r="J493" t="str">
            <v>Nhân viên hành chính tổng hợp</v>
          </cell>
        </row>
        <row r="494">
          <cell r="D494" t="str">
            <v>Phòng Nghiên cứu Hệ điều hành</v>
          </cell>
        </row>
        <row r="495">
          <cell r="D495" t="str">
            <v>Nhóm Nghiên cứu nhân</v>
          </cell>
        </row>
        <row r="496">
          <cell r="C496" t="str">
            <v>107438</v>
          </cell>
          <cell r="D496" t="str">
            <v>Nguyễn Thanh Xuân</v>
          </cell>
          <cell r="E496" t="str">
            <v>Trung tâm Công nghệ tính toán mới - Viện NCPT</v>
          </cell>
          <cell r="F496" t="str">
            <v>Phòng Nghiên cứu Hệ điều hành</v>
          </cell>
          <cell r="G496" t="str">
            <v>Nhóm Nghiên cứu nhân</v>
          </cell>
          <cell r="H496" t="str">
            <v>Hợp đồng lao động</v>
          </cell>
          <cell r="I496" t="str">
            <v>Quân lực quản lý</v>
          </cell>
          <cell r="J496" t="str">
            <v>Trưởng nhóm</v>
          </cell>
        </row>
        <row r="497">
          <cell r="C497" t="str">
            <v>176856</v>
          </cell>
          <cell r="D497" t="str">
            <v>Nguyễn Đức Thành</v>
          </cell>
          <cell r="E497" t="str">
            <v>Trung tâm Công nghệ tính toán mới - Viện NCPT</v>
          </cell>
          <cell r="F497" t="str">
            <v>Phòng Nghiên cứu Hệ điều hành</v>
          </cell>
          <cell r="G497" t="str">
            <v>Nhóm Nghiên cứu nhân</v>
          </cell>
          <cell r="H497" t="str">
            <v>Hợp đồng lao động</v>
          </cell>
          <cell r="I497" t="str">
            <v>Quân lực quản lý</v>
          </cell>
          <cell r="J497" t="str">
            <v>Kỹ sư phát triển hệ điều hành</v>
          </cell>
        </row>
        <row r="498">
          <cell r="C498" t="str">
            <v>196134</v>
          </cell>
          <cell r="D498" t="str">
            <v>Nguyễn Hải Đăng</v>
          </cell>
          <cell r="E498" t="str">
            <v>Trung tâm Công nghệ tính toán mới - Viện NCPT</v>
          </cell>
          <cell r="F498" t="str">
            <v>Phòng Nghiên cứu Hệ điều hành</v>
          </cell>
          <cell r="G498" t="str">
            <v>Nhóm Nghiên cứu nhân</v>
          </cell>
          <cell r="H498" t="str">
            <v>Hợp đồng lao động</v>
          </cell>
          <cell r="I498" t="str">
            <v>Quân lực quản lý</v>
          </cell>
          <cell r="J498" t="str">
            <v>Kỹ sư phát triển hệ điều hành</v>
          </cell>
        </row>
        <row r="499">
          <cell r="D499" t="str">
            <v>Nhóm Dịch vụ hệ thống</v>
          </cell>
        </row>
        <row r="500">
          <cell r="C500" t="str">
            <v>179974</v>
          </cell>
          <cell r="D500" t="str">
            <v>Nguyễn Thanh Hào</v>
          </cell>
          <cell r="E500" t="str">
            <v>Trung tâm Công nghệ tính toán mới - Viện NCPT</v>
          </cell>
          <cell r="F500" t="str">
            <v>Phòng Nghiên cứu Hệ điều hành</v>
          </cell>
          <cell r="G500" t="str">
            <v>Nhóm Dịch vụ hệ thống</v>
          </cell>
          <cell r="H500" t="str">
            <v>Hợp đồng lao động</v>
          </cell>
          <cell r="I500" t="str">
            <v>Quân lực quản lý</v>
          </cell>
          <cell r="J500" t="str">
            <v>Kỹ sư phát triển hệ điều hành</v>
          </cell>
        </row>
        <row r="501">
          <cell r="C501" t="str">
            <v>194753</v>
          </cell>
          <cell r="D501" t="str">
            <v>Nguyễn Trung Quân</v>
          </cell>
          <cell r="E501" t="str">
            <v>Trung tâm Công nghệ tính toán mới - Viện NCPT</v>
          </cell>
          <cell r="F501" t="str">
            <v>Phòng Nghiên cứu Hệ điều hành</v>
          </cell>
          <cell r="G501" t="str">
            <v>Nhóm Dịch vụ hệ thống</v>
          </cell>
          <cell r="H501" t="str">
            <v>Hợp đồng lao động</v>
          </cell>
          <cell r="I501" t="str">
            <v>Quân lực quản lý</v>
          </cell>
          <cell r="J501" t="str">
            <v>Kỹ sư phát triển hệ điều hành</v>
          </cell>
        </row>
        <row r="502">
          <cell r="D502" t="str">
            <v>Nhóm Hệ điều hành thời gian thực</v>
          </cell>
        </row>
        <row r="503">
          <cell r="C503" t="str">
            <v>135608</v>
          </cell>
          <cell r="D503" t="str">
            <v>Nguyễn Hải Dương</v>
          </cell>
          <cell r="E503" t="str">
            <v>Trung tâm Công nghệ tính toán mới - Viện NCPT</v>
          </cell>
          <cell r="F503" t="str">
            <v>Phòng Nghiên cứu Hệ điều hành</v>
          </cell>
          <cell r="G503" t="str">
            <v>Nhóm Hệ điều hành thời gian thực</v>
          </cell>
          <cell r="H503" t="str">
            <v>Hợp đồng lao động</v>
          </cell>
          <cell r="I503" t="str">
            <v>Quân lực quản lý</v>
          </cell>
          <cell r="J503" t="str">
            <v>Kỹ sư phát triển hệ điều hành</v>
          </cell>
        </row>
        <row r="504">
          <cell r="D504" t="str">
            <v>Nhóm Hệ điều hành nhúng</v>
          </cell>
        </row>
        <row r="505">
          <cell r="C505" t="str">
            <v>178294</v>
          </cell>
          <cell r="D505" t="str">
            <v>Vũ Thành Công</v>
          </cell>
          <cell r="E505" t="str">
            <v>Trung tâm Công nghệ tính toán mới - Viện NCPT</v>
          </cell>
          <cell r="F505" t="str">
            <v>Phòng Nghiên cứu Hệ điều hành</v>
          </cell>
          <cell r="G505" t="str">
            <v>Nhóm Hệ điều hành nhúng</v>
          </cell>
          <cell r="H505" t="str">
            <v>Hợp đồng lao động</v>
          </cell>
          <cell r="I505" t="str">
            <v>Quân lực quản lý</v>
          </cell>
          <cell r="J505" t="str">
            <v>Kỹ sư phát triển hệ điều hành</v>
          </cell>
        </row>
        <row r="506">
          <cell r="D506" t="str">
            <v>Nhóm Hệ điều hành di động</v>
          </cell>
        </row>
        <row r="507">
          <cell r="C507" t="str">
            <v>122579</v>
          </cell>
          <cell r="D507" t="str">
            <v>Nguyễn Công Tuyến</v>
          </cell>
          <cell r="E507" t="str">
            <v>Trung tâm Công nghệ tính toán mới - Viện NCPT</v>
          </cell>
          <cell r="F507" t="str">
            <v>Phòng Nghiên cứu Hệ điều hành</v>
          </cell>
          <cell r="G507" t="str">
            <v>Nhóm Hệ điều hành di động</v>
          </cell>
          <cell r="H507" t="str">
            <v>Hợp đồng lao động</v>
          </cell>
          <cell r="I507" t="str">
            <v>Quân lực quản lý</v>
          </cell>
          <cell r="J507" t="str">
            <v>Kỹ sư phát triển hệ điều hành di động</v>
          </cell>
        </row>
        <row r="508">
          <cell r="D508" t="str">
            <v>Nhóm Ứng dụng</v>
          </cell>
        </row>
        <row r="509">
          <cell r="C509" t="str">
            <v>202601</v>
          </cell>
          <cell r="D509" t="str">
            <v>Lưu Hồng Sơn</v>
          </cell>
          <cell r="E509" t="str">
            <v>Trung tâm Công nghệ tính toán mới - Viện NCPT</v>
          </cell>
          <cell r="F509" t="str">
            <v>Phòng Nghiên cứu Hệ điều hành</v>
          </cell>
          <cell r="G509" t="str">
            <v>Nhóm Ứng dụng</v>
          </cell>
          <cell r="H509" t="str">
            <v>HĐ Thử việc</v>
          </cell>
          <cell r="I509" t="str">
            <v>Quân lực quản lý</v>
          </cell>
          <cell r="J509" t="str">
            <v>Kỹ sư lập trình hệ thống</v>
          </cell>
        </row>
        <row r="510">
          <cell r="D510" t="str">
            <v>Phòng Platform</v>
          </cell>
        </row>
        <row r="511">
          <cell r="D511" t="str">
            <v>Phụ trách phòng</v>
          </cell>
        </row>
        <row r="512">
          <cell r="C512" t="str">
            <v>056938</v>
          </cell>
          <cell r="D512" t="str">
            <v>Nguyễn Văn Nội</v>
          </cell>
          <cell r="E512" t="str">
            <v>Trung tâm Công nghệ tính toán mới - Viện NCPT</v>
          </cell>
          <cell r="F512" t="str">
            <v>Phòng Platform</v>
          </cell>
          <cell r="G512" t="str">
            <v>Phụ trách phòng</v>
          </cell>
          <cell r="H512" t="str">
            <v>Hợp đồng lao động</v>
          </cell>
          <cell r="I512" t="str">
            <v>Quân lực quản lý</v>
          </cell>
          <cell r="J512" t="str">
            <v>Phó Trưởng phòng</v>
          </cell>
        </row>
        <row r="513">
          <cell r="D513" t="str">
            <v>Nhóm Cluster</v>
          </cell>
        </row>
        <row r="514">
          <cell r="C514" t="str">
            <v>122580</v>
          </cell>
          <cell r="D514" t="str">
            <v>Nguyễn Tuấn Hưng</v>
          </cell>
          <cell r="E514" t="str">
            <v>Trung tâm Công nghệ tính toán mới - Viện NCPT</v>
          </cell>
          <cell r="F514" t="str">
            <v>Phòng Platform</v>
          </cell>
          <cell r="G514" t="str">
            <v>Nhóm Cluster</v>
          </cell>
          <cell r="H514" t="str">
            <v>Hợp đồng lao động</v>
          </cell>
          <cell r="I514" t="str">
            <v>Quân lực quản lý</v>
          </cell>
          <cell r="J514" t="str">
            <v>Trưởng nhóm</v>
          </cell>
        </row>
        <row r="515">
          <cell r="C515" t="str">
            <v>130929</v>
          </cell>
          <cell r="D515" t="str">
            <v>Phạm Quang Định</v>
          </cell>
          <cell r="E515" t="str">
            <v>Trung tâm Công nghệ tính toán mới - Viện NCPT</v>
          </cell>
          <cell r="F515" t="str">
            <v>Phòng Platform</v>
          </cell>
          <cell r="G515" t="str">
            <v>Nhóm Cluster</v>
          </cell>
          <cell r="H515" t="str">
            <v>Hợp đồng lao động</v>
          </cell>
          <cell r="I515" t="str">
            <v>Quân lực quản lý</v>
          </cell>
          <cell r="J515" t="str">
            <v>Kỹ sư lập trình hệ thống</v>
          </cell>
        </row>
        <row r="516">
          <cell r="D516" t="str">
            <v>Nhóm chất lượng dịch vụ</v>
          </cell>
        </row>
        <row r="517">
          <cell r="C517" t="str">
            <v>166813</v>
          </cell>
          <cell r="D517" t="str">
            <v>Tô Trần Tiến</v>
          </cell>
          <cell r="E517" t="str">
            <v>Trung tâm Công nghệ tính toán mới - Viện NCPT</v>
          </cell>
          <cell r="F517" t="str">
            <v>Phòng Platform</v>
          </cell>
          <cell r="G517" t="str">
            <v>Nhóm chất lượng dịch vụ</v>
          </cell>
          <cell r="H517" t="str">
            <v>Hợp đồng lao động</v>
          </cell>
          <cell r="I517" t="str">
            <v>Quân lực quản lý</v>
          </cell>
          <cell r="J517" t="str">
            <v>Kỹ sư lập trình hệ thống</v>
          </cell>
        </row>
        <row r="518">
          <cell r="D518" t="str">
            <v>Nhóm giám sát và vận hành hệ thống</v>
          </cell>
        </row>
        <row r="519">
          <cell r="C519" t="str">
            <v>137448</v>
          </cell>
          <cell r="D519" t="str">
            <v>Nguyễn Đình Chương</v>
          </cell>
          <cell r="E519" t="str">
            <v>Trung tâm Công nghệ tính toán mới - Viện NCPT</v>
          </cell>
          <cell r="F519" t="str">
            <v>Phòng Platform</v>
          </cell>
          <cell r="G519" t="str">
            <v>Nhóm giám sát và vận hành hệ thống</v>
          </cell>
          <cell r="H519" t="str">
            <v>Hợp đồng lao động</v>
          </cell>
          <cell r="I519" t="str">
            <v>Quân lực quản lý</v>
          </cell>
          <cell r="J519" t="str">
            <v>Kỹ sư lập trình hệ thống</v>
          </cell>
        </row>
        <row r="520">
          <cell r="C520" t="str">
            <v>186376</v>
          </cell>
          <cell r="D520" t="str">
            <v>Nguyễn Hữu Tùng</v>
          </cell>
          <cell r="E520" t="str">
            <v>Trung tâm Công nghệ tính toán mới - Viện NCPT</v>
          </cell>
          <cell r="F520" t="str">
            <v>Phòng Platform</v>
          </cell>
          <cell r="G520" t="str">
            <v>Nhóm giám sát và vận hành hệ thống</v>
          </cell>
          <cell r="H520" t="str">
            <v>Hợp đồng lao động</v>
          </cell>
          <cell r="I520" t="str">
            <v>Quân lực quản lý</v>
          </cell>
          <cell r="J520" t="str">
            <v>Kỹ sư lập trình hệ thống</v>
          </cell>
        </row>
        <row r="521">
          <cell r="D521" t="str">
            <v>Nhóm Framework</v>
          </cell>
        </row>
        <row r="522">
          <cell r="C522" t="str">
            <v>163693</v>
          </cell>
          <cell r="D522" t="str">
            <v>Nguyễn Duy Bình</v>
          </cell>
          <cell r="E522" t="str">
            <v>Trung tâm Công nghệ tính toán mới - Viện NCPT</v>
          </cell>
          <cell r="F522" t="str">
            <v>Phòng Platform</v>
          </cell>
          <cell r="G522" t="str">
            <v>Nhóm Framework</v>
          </cell>
          <cell r="H522" t="str">
            <v>Hợp đồng lao động</v>
          </cell>
          <cell r="I522" t="str">
            <v>Quân lực quản lý</v>
          </cell>
          <cell r="J522" t="str">
            <v>Kỹ sư lập trình hệ thống</v>
          </cell>
        </row>
        <row r="523">
          <cell r="C523" t="str">
            <v>169153</v>
          </cell>
          <cell r="D523" t="str">
            <v>Nguyễn Mạnh Toàn</v>
          </cell>
          <cell r="E523" t="str">
            <v>Trung tâm Công nghệ tính toán mới - Viện NCPT</v>
          </cell>
          <cell r="F523" t="str">
            <v>Phòng Platform</v>
          </cell>
          <cell r="G523" t="str">
            <v>Nhóm Framework</v>
          </cell>
          <cell r="H523" t="str">
            <v>Hợp đồng lao động</v>
          </cell>
          <cell r="I523" t="str">
            <v>Quân lực quản lý</v>
          </cell>
          <cell r="J523" t="str">
            <v>Kỹ sư lập trình hệ thống</v>
          </cell>
        </row>
        <row r="524">
          <cell r="D524" t="str">
            <v>Nhóm lập trình mạng</v>
          </cell>
        </row>
        <row r="525">
          <cell r="C525" t="str">
            <v>140543</v>
          </cell>
          <cell r="D525" t="str">
            <v>Phạm Anh Tuấn</v>
          </cell>
          <cell r="E525" t="str">
            <v>Trung tâm Công nghệ tính toán mới - Viện NCPT</v>
          </cell>
          <cell r="F525" t="str">
            <v>Phòng Platform</v>
          </cell>
          <cell r="G525" t="str">
            <v>Nhóm lập trình mạng</v>
          </cell>
          <cell r="H525" t="str">
            <v>Hợp đồng lao động</v>
          </cell>
          <cell r="I525" t="str">
            <v>Quân lực quản lý</v>
          </cell>
          <cell r="J525" t="str">
            <v>Kỹ sư lập trình hệ thống</v>
          </cell>
        </row>
        <row r="526">
          <cell r="C526" t="str">
            <v>148773</v>
          </cell>
          <cell r="D526" t="str">
            <v>Nguyễn Văn Sơn</v>
          </cell>
          <cell r="E526" t="str">
            <v>Trung tâm Công nghệ tính toán mới - Viện NCPT</v>
          </cell>
          <cell r="F526" t="str">
            <v>Phòng Platform</v>
          </cell>
          <cell r="G526" t="str">
            <v>Nhóm lập trình mạng</v>
          </cell>
          <cell r="H526" t="str">
            <v>Hợp đồng lao động</v>
          </cell>
          <cell r="I526" t="str">
            <v>Quân lực quản lý</v>
          </cell>
          <cell r="J526" t="str">
            <v>Kỹ sư lập trình hệ thống</v>
          </cell>
        </row>
        <row r="527">
          <cell r="D527" t="str">
            <v>Phòng Xử lý thông tin</v>
          </cell>
        </row>
        <row r="528">
          <cell r="D528" t="str">
            <v>Phụ trách phòng</v>
          </cell>
        </row>
        <row r="529">
          <cell r="C529" t="str">
            <v>122390</v>
          </cell>
          <cell r="D529" t="str">
            <v>Nguyễn Văn Thuật</v>
          </cell>
          <cell r="E529" t="str">
            <v>Trung tâm Công nghệ tính toán mới - Viện NCPT</v>
          </cell>
          <cell r="F529" t="str">
            <v>Phòng Xử lý thông tin</v>
          </cell>
          <cell r="G529" t="str">
            <v>Phụ trách phòng</v>
          </cell>
          <cell r="H529" t="str">
            <v>Hợp đồng lao động</v>
          </cell>
          <cell r="I529" t="str">
            <v>Quân lực quản lý</v>
          </cell>
          <cell r="J529" t="str">
            <v>Phó Trưởng phòng</v>
          </cell>
        </row>
        <row r="530">
          <cell r="D530" t="str">
            <v>Nhóm Xử lý tín hiệu số</v>
          </cell>
        </row>
        <row r="531">
          <cell r="C531" t="str">
            <v>137616</v>
          </cell>
          <cell r="D531" t="str">
            <v>Lê Thái Linh</v>
          </cell>
          <cell r="E531" t="str">
            <v>Trung tâm Công nghệ tính toán mới - Viện NCPT</v>
          </cell>
          <cell r="F531" t="str">
            <v>Phòng Xử lý thông tin</v>
          </cell>
          <cell r="G531" t="str">
            <v>Nhóm Xử lý tín hiệu số</v>
          </cell>
          <cell r="H531" t="str">
            <v>Hợp đồng lao động</v>
          </cell>
          <cell r="I531" t="str">
            <v>Quân lực quản lý</v>
          </cell>
          <cell r="J531" t="str">
            <v>Kỹ sư xử lý tín hiệu số</v>
          </cell>
        </row>
        <row r="532">
          <cell r="C532" t="str">
            <v>149033</v>
          </cell>
          <cell r="D532" t="str">
            <v>Trần Quốc Huy</v>
          </cell>
          <cell r="E532" t="str">
            <v>Trung tâm Công nghệ tính toán mới - Viện NCPT</v>
          </cell>
          <cell r="F532" t="str">
            <v>Phòng Xử lý thông tin</v>
          </cell>
          <cell r="G532" t="str">
            <v>Nhóm Xử lý tín hiệu số</v>
          </cell>
          <cell r="H532" t="str">
            <v>Hợp đồng lao động</v>
          </cell>
          <cell r="I532" t="str">
            <v>Quân lực quản lý</v>
          </cell>
          <cell r="J532" t="str">
            <v>Kỹ sư xử lý tín hiệu số</v>
          </cell>
        </row>
        <row r="533">
          <cell r="C533" t="str">
            <v>193280</v>
          </cell>
          <cell r="D533" t="str">
            <v>Nguyễn Văn Hoàng</v>
          </cell>
          <cell r="E533" t="str">
            <v>Trung tâm Công nghệ tính toán mới - Viện NCPT</v>
          </cell>
          <cell r="F533" t="str">
            <v>Phòng Xử lý thông tin</v>
          </cell>
          <cell r="G533" t="str">
            <v>Nhóm Xử lý tín hiệu số</v>
          </cell>
          <cell r="H533" t="str">
            <v>Hợp đồng lao động</v>
          </cell>
          <cell r="I533" t="str">
            <v>Quân lực quản lý</v>
          </cell>
          <cell r="J533" t="str">
            <v>Kỹ sư xử lý tín hiệu số</v>
          </cell>
        </row>
        <row r="534">
          <cell r="C534" t="str">
            <v>137011</v>
          </cell>
          <cell r="D534" t="str">
            <v>Lê Quang Hiếu</v>
          </cell>
          <cell r="E534" t="str">
            <v>Trung tâm Công nghệ tính toán mới - Viện NCPT</v>
          </cell>
          <cell r="F534" t="str">
            <v>Phòng Xử lý thông tin</v>
          </cell>
          <cell r="G534" t="str">
            <v>Nhóm Xử lý tín hiệu số</v>
          </cell>
          <cell r="H534" t="str">
            <v>Hợp đồng lao động</v>
          </cell>
          <cell r="I534" t="str">
            <v>Quân lực quản lý</v>
          </cell>
          <cell r="J534" t="str">
            <v>Trưởng nhóm</v>
          </cell>
        </row>
        <row r="535">
          <cell r="D535" t="str">
            <v>Nhóm Truyền dẫn thông tin</v>
          </cell>
        </row>
        <row r="536">
          <cell r="C536" t="str">
            <v>190454</v>
          </cell>
          <cell r="D536" t="str">
            <v>Nguyễn Trọng Hiếu</v>
          </cell>
          <cell r="E536" t="str">
            <v>Trung tâm Công nghệ tính toán mới - Viện NCPT</v>
          </cell>
          <cell r="F536" t="str">
            <v>Phòng Xử lý thông tin</v>
          </cell>
          <cell r="G536" t="str">
            <v>Nhóm Truyền dẫn thông tin</v>
          </cell>
          <cell r="H536" t="str">
            <v>Hợp đồng lao động</v>
          </cell>
          <cell r="I536" t="str">
            <v>Quân lực quản lý</v>
          </cell>
          <cell r="J536" t="str">
            <v>Kỹ sư lập trình hệ thống</v>
          </cell>
        </row>
        <row r="537">
          <cell r="C537" t="str">
            <v>191813</v>
          </cell>
          <cell r="D537" t="str">
            <v>Nguyễn Vũ Dũng</v>
          </cell>
          <cell r="E537" t="str">
            <v>Trung tâm Công nghệ tính toán mới - Viện NCPT</v>
          </cell>
          <cell r="F537" t="str">
            <v>Phòng Xử lý thông tin</v>
          </cell>
          <cell r="G537" t="str">
            <v>Nhóm Truyền dẫn thông tin</v>
          </cell>
          <cell r="H537" t="str">
            <v>Hợp đồng lao động</v>
          </cell>
          <cell r="I537" t="str">
            <v>Quân lực quản lý</v>
          </cell>
          <cell r="J537" t="str">
            <v>Kỹ sư lập trình hệ thống</v>
          </cell>
        </row>
        <row r="538">
          <cell r="D538" t="str">
            <v>Nhóm Thiết bị ngoại vi</v>
          </cell>
        </row>
        <row r="539">
          <cell r="C539" t="str">
            <v>139599</v>
          </cell>
          <cell r="D539" t="str">
            <v>Phạm Nguyên Bình</v>
          </cell>
          <cell r="E539" t="str">
            <v>Trung tâm Công nghệ tính toán mới - Viện NCPT</v>
          </cell>
          <cell r="F539" t="str">
            <v>Phòng Xử lý thông tin</v>
          </cell>
          <cell r="G539" t="str">
            <v>Nhóm Thiết bị ngoại vi</v>
          </cell>
          <cell r="H539" t="str">
            <v>Hợp đồng lao động</v>
          </cell>
          <cell r="I539" t="str">
            <v>Quân lực quản lý</v>
          </cell>
          <cell r="J539" t="str">
            <v>Trưởng nhóm</v>
          </cell>
        </row>
        <row r="540">
          <cell r="C540" t="str">
            <v>194750</v>
          </cell>
          <cell r="D540" t="str">
            <v>Hà Quang Dương</v>
          </cell>
          <cell r="E540" t="str">
            <v>Trung tâm Công nghệ tính toán mới - Viện NCPT</v>
          </cell>
          <cell r="F540" t="str">
            <v>Phòng Xử lý thông tin</v>
          </cell>
          <cell r="G540" t="str">
            <v>Nhóm Thiết bị ngoại vi</v>
          </cell>
          <cell r="H540" t="str">
            <v>Hợp đồng lao động</v>
          </cell>
          <cell r="I540" t="str">
            <v>Quân lực quản lý</v>
          </cell>
          <cell r="J540" t="str">
            <v>Kỹ sư lập trình hệ thống</v>
          </cell>
        </row>
        <row r="541">
          <cell r="D541" t="str">
            <v>Nhóm Tương tác người máy</v>
          </cell>
        </row>
        <row r="542">
          <cell r="C542" t="str">
            <v>166814</v>
          </cell>
          <cell r="D542" t="str">
            <v>Nguyễn Đắc Thành</v>
          </cell>
          <cell r="E542" t="str">
            <v>Trung tâm Công nghệ tính toán mới - Viện NCPT</v>
          </cell>
          <cell r="F542" t="str">
            <v>Phòng Xử lý thông tin</v>
          </cell>
          <cell r="G542" t="str">
            <v>Nhóm Tương tác người máy</v>
          </cell>
          <cell r="H542" t="str">
            <v>Hợp đồng lao động</v>
          </cell>
          <cell r="I542" t="str">
            <v>Quân lực quản lý</v>
          </cell>
          <cell r="J542" t="str">
            <v>Kỹ sư lập trình hệ thống</v>
          </cell>
        </row>
        <row r="543">
          <cell r="D543" t="str">
            <v>Nhóm Nghiên cứu thuật toán</v>
          </cell>
        </row>
        <row r="544">
          <cell r="C544" t="str">
            <v>164995</v>
          </cell>
          <cell r="D544" t="str">
            <v>Phạm Đức Long</v>
          </cell>
          <cell r="E544" t="str">
            <v>Trung tâm Công nghệ tính toán mới - Viện NCPT</v>
          </cell>
          <cell r="F544" t="str">
            <v>Phòng Xử lý thông tin</v>
          </cell>
          <cell r="G544" t="str">
            <v>Nhóm Nghiên cứu thuật toán</v>
          </cell>
          <cell r="H544" t="str">
            <v>Hợp đồng lao động</v>
          </cell>
          <cell r="I544" t="str">
            <v>Quân lực quản lý</v>
          </cell>
          <cell r="J544" t="str">
            <v>Kỹ sư thiết kế giải thuật</v>
          </cell>
        </row>
        <row r="545">
          <cell r="C545" t="str">
            <v>194752</v>
          </cell>
          <cell r="D545" t="str">
            <v>Đoàn Thế Vinh</v>
          </cell>
          <cell r="E545" t="str">
            <v>Trung tâm Công nghệ tính toán mới - Viện NCPT</v>
          </cell>
          <cell r="F545" t="str">
            <v>Phòng Xử lý thông tin</v>
          </cell>
          <cell r="G545" t="str">
            <v>Nhóm Nghiên cứu thuật toán</v>
          </cell>
          <cell r="H545" t="str">
            <v>Hợp đồng lao động</v>
          </cell>
          <cell r="I545" t="str">
            <v>Quân lực quản lý</v>
          </cell>
          <cell r="J545" t="str">
            <v>Kỹ sư thiết kế giải thuật</v>
          </cell>
        </row>
        <row r="546">
          <cell r="D546" t="str">
            <v>Phòng An toàn thông tin</v>
          </cell>
        </row>
        <row r="547">
          <cell r="D547" t="str">
            <v>Phụ trách phòng</v>
          </cell>
        </row>
        <row r="548">
          <cell r="C548" t="str">
            <v>122636</v>
          </cell>
          <cell r="D548" t="str">
            <v>Cao Xuân Sáng</v>
          </cell>
          <cell r="E548" t="str">
            <v>Trung tâm Công nghệ tính toán mới - Viện NCPT</v>
          </cell>
          <cell r="F548" t="str">
            <v>Phòng An toàn thông tin</v>
          </cell>
          <cell r="G548" t="str">
            <v>Phụ trách phòng</v>
          </cell>
          <cell r="H548" t="str">
            <v>Hợp đồng lao động</v>
          </cell>
          <cell r="I548" t="str">
            <v>Quân lực quản lý</v>
          </cell>
          <cell r="J548" t="str">
            <v>Phó Trưởng Phòng</v>
          </cell>
        </row>
        <row r="549">
          <cell r="D549" t="str">
            <v>Nhóm An ninh phần cứng</v>
          </cell>
        </row>
        <row r="550">
          <cell r="C550" t="str">
            <v>195475</v>
          </cell>
          <cell r="D550" t="str">
            <v>Đặng Xuân Thảo</v>
          </cell>
          <cell r="E550" t="str">
            <v>Trung tâm Công nghệ tính toán mới - Viện NCPT</v>
          </cell>
          <cell r="F550" t="str">
            <v>Phòng An toàn thông tin</v>
          </cell>
          <cell r="G550" t="str">
            <v>Nhóm An ninh phần cứng</v>
          </cell>
          <cell r="H550" t="str">
            <v>Hợp đồng lao động</v>
          </cell>
          <cell r="I550" t="str">
            <v>Quân lực quản lý</v>
          </cell>
          <cell r="J550" t="str">
            <v>Kỹ sư lập trình nhúng</v>
          </cell>
        </row>
        <row r="551">
          <cell r="C551" t="str">
            <v>195484</v>
          </cell>
          <cell r="D551" t="str">
            <v>Nguyễn Anh Tuấn</v>
          </cell>
          <cell r="E551" t="str">
            <v>Trung tâm Công nghệ tính toán mới - Viện NCPT</v>
          </cell>
          <cell r="F551" t="str">
            <v>Phòng An toàn thông tin</v>
          </cell>
          <cell r="G551" t="str">
            <v>Nhóm An ninh phần cứng</v>
          </cell>
          <cell r="H551" t="str">
            <v>Hợp đồng lao động</v>
          </cell>
          <cell r="I551" t="str">
            <v>Quân lực quản lý</v>
          </cell>
          <cell r="J551" t="str">
            <v>Kỹ sư lập trình nhúng</v>
          </cell>
        </row>
        <row r="552">
          <cell r="C552" t="str">
            <v>200633</v>
          </cell>
          <cell r="D552" t="str">
            <v>Nguyễn Quang Tuấn Anh</v>
          </cell>
          <cell r="E552" t="str">
            <v>Trung tâm Công nghệ tính toán mới - Viện NCPT</v>
          </cell>
          <cell r="F552" t="str">
            <v>Phòng An toàn thông tin</v>
          </cell>
          <cell r="G552" t="str">
            <v>Nhóm An ninh phần cứng</v>
          </cell>
          <cell r="H552" t="str">
            <v>Hợp đồng lao động</v>
          </cell>
          <cell r="I552" t="str">
            <v>Quân lực quản lý</v>
          </cell>
          <cell r="J552" t="str">
            <v>Kỹ sư nghiên cứu ATTT phần cứng</v>
          </cell>
        </row>
        <row r="553">
          <cell r="C553" t="str">
            <v>200933</v>
          </cell>
          <cell r="D553" t="str">
            <v>Tạ Duy Tùng</v>
          </cell>
          <cell r="E553" t="str">
            <v>Trung tâm Công nghệ tính toán mới - Viện NCPT</v>
          </cell>
          <cell r="F553" t="str">
            <v>Phòng An toàn thông tin</v>
          </cell>
          <cell r="G553" t="str">
            <v>Nhóm An ninh phần cứng</v>
          </cell>
          <cell r="H553" t="str">
            <v>Hợp đồng lao động</v>
          </cell>
          <cell r="I553" t="str">
            <v>Quân lực quản lý</v>
          </cell>
          <cell r="J553" t="str">
            <v>Kỹ sư nghiên cứu ATTT phần cứng</v>
          </cell>
        </row>
        <row r="554">
          <cell r="D554" t="str">
            <v>Nhóm An ninh ứng dụng</v>
          </cell>
        </row>
        <row r="555">
          <cell r="C555" t="str">
            <v>175669</v>
          </cell>
          <cell r="D555" t="str">
            <v>Nguyễn Quốc Minh</v>
          </cell>
          <cell r="E555" t="str">
            <v>Trung tâm Công nghệ tính toán mới - Viện NCPT</v>
          </cell>
          <cell r="F555" t="str">
            <v>Phòng An toàn thông tin</v>
          </cell>
          <cell r="G555" t="str">
            <v>Nhóm An ninh ứng dụng</v>
          </cell>
          <cell r="H555" t="str">
            <v>Hợp đồng lao động</v>
          </cell>
          <cell r="I555" t="str">
            <v>Quân lực quản lý</v>
          </cell>
          <cell r="J555" t="str">
            <v>Kỹ sư nghiên cứu lỗ hổng phần mềm desktop</v>
          </cell>
        </row>
        <row r="556">
          <cell r="D556" t="str">
            <v>Nhóm Tác chiến Điện tử</v>
          </cell>
        </row>
        <row r="557">
          <cell r="C557" t="str">
            <v>194742</v>
          </cell>
          <cell r="D557" t="str">
            <v>Bùi Văn Hùng</v>
          </cell>
          <cell r="E557" t="str">
            <v>Trung tâm Công nghệ tính toán mới - Viện NCPT</v>
          </cell>
          <cell r="F557" t="str">
            <v>Phòng An toàn thông tin</v>
          </cell>
          <cell r="G557" t="str">
            <v>Nhóm Tác chiến Điện tử</v>
          </cell>
          <cell r="H557" t="str">
            <v>Hợp đồng lao động</v>
          </cell>
          <cell r="I557" t="str">
            <v>Quân lực quản lý</v>
          </cell>
          <cell r="J557" t="str">
            <v>Kỹ sư thiết kế phần cứng cao tần</v>
          </cell>
        </row>
        <row r="558">
          <cell r="D558" t="str">
            <v>Phân viện Radar - Viện NCPT</v>
          </cell>
        </row>
        <row r="559">
          <cell r="D559" t="str">
            <v>Ban Giám đốc và chuyên gia</v>
          </cell>
        </row>
        <row r="560">
          <cell r="D560" t="str">
            <v>Thủ trưởng đơn vị</v>
          </cell>
        </row>
        <row r="561">
          <cell r="C561" t="str">
            <v>004036</v>
          </cell>
          <cell r="D561" t="str">
            <v>Nguyễn Đình Công</v>
          </cell>
          <cell r="E561" t="str">
            <v>Phân viện Radar - Viện NCPT</v>
          </cell>
          <cell r="F561" t="str">
            <v>Ban Giám đốc và chuyên gia</v>
          </cell>
          <cell r="G561" t="str">
            <v>Thủ trưởng đơn vị</v>
          </cell>
          <cell r="H561" t="str">
            <v>Thượng tá</v>
          </cell>
          <cell r="I561" t="str">
            <v>Cán bộ quản lý</v>
          </cell>
          <cell r="J561" t="str">
            <v>Giám đốc</v>
          </cell>
        </row>
        <row r="562">
          <cell r="C562" t="str">
            <v>046788</v>
          </cell>
          <cell r="D562" t="str">
            <v>Phạm Huy Tường</v>
          </cell>
          <cell r="E562" t="str">
            <v>Phân viện Radar - Viện NCPT</v>
          </cell>
          <cell r="F562" t="str">
            <v>Ban Giám đốc và chuyên gia</v>
          </cell>
          <cell r="G562" t="str">
            <v>Thủ trưởng đơn vị</v>
          </cell>
          <cell r="H562" t="str">
            <v>Thiếu tá CN</v>
          </cell>
          <cell r="I562" t="str">
            <v>Quân lực quản lý</v>
          </cell>
          <cell r="J562" t="str">
            <v>Phó Giám đốc</v>
          </cell>
        </row>
        <row r="563">
          <cell r="C563" t="str">
            <v>056933</v>
          </cell>
          <cell r="D563" t="str">
            <v>Vũ Việt Tiến</v>
          </cell>
          <cell r="E563" t="str">
            <v>Phân viện Radar - Viện NCPT</v>
          </cell>
          <cell r="F563" t="str">
            <v>Ban Giám đốc và chuyên gia</v>
          </cell>
          <cell r="G563" t="str">
            <v>Thủ trưởng đơn vị</v>
          </cell>
          <cell r="H563" t="str">
            <v>Hợp đồng lao động</v>
          </cell>
          <cell r="I563" t="str">
            <v>Quân lực quản lý</v>
          </cell>
          <cell r="J563" t="str">
            <v>Phó Giám đốc</v>
          </cell>
        </row>
        <row r="564">
          <cell r="C564" t="str">
            <v>095496</v>
          </cell>
          <cell r="D564" t="str">
            <v>Lê Hữu Trưởng</v>
          </cell>
          <cell r="E564" t="str">
            <v>Phân viện Radar - Viện NCPT</v>
          </cell>
          <cell r="F564" t="str">
            <v>Ban Giám đốc và chuyên gia</v>
          </cell>
          <cell r="G564" t="str">
            <v>Thủ trưởng đơn vị</v>
          </cell>
          <cell r="H564" t="str">
            <v>Hợp đồng lao động</v>
          </cell>
          <cell r="I564" t="str">
            <v>Quân lực quản lý</v>
          </cell>
          <cell r="J564" t="str">
            <v>Phó Giám đốc</v>
          </cell>
        </row>
        <row r="565">
          <cell r="D565" t="str">
            <v>Phòng Tổng hợp</v>
          </cell>
        </row>
        <row r="566">
          <cell r="D566" t="str">
            <v>Phụ trách phòng</v>
          </cell>
        </row>
        <row r="567">
          <cell r="C567" t="str">
            <v>072154</v>
          </cell>
          <cell r="D567" t="str">
            <v>Nguyễn Thị Mai</v>
          </cell>
          <cell r="E567" t="str">
            <v>Phân viện Radar - Viện NCPT</v>
          </cell>
          <cell r="F567" t="str">
            <v>Phòng Tổng hợp</v>
          </cell>
          <cell r="G567" t="str">
            <v>Phụ trách phòng</v>
          </cell>
          <cell r="H567" t="str">
            <v>Hợp đồng lao động</v>
          </cell>
          <cell r="I567" t="str">
            <v>Quân lực quản lý</v>
          </cell>
          <cell r="J567" t="str">
            <v>Trưởng phòng</v>
          </cell>
        </row>
        <row r="568">
          <cell r="D568" t="str">
            <v>Trợ lý nghiệp vụ</v>
          </cell>
        </row>
        <row r="569">
          <cell r="C569" t="str">
            <v>034637</v>
          </cell>
          <cell r="D569" t="str">
            <v>Trần Hoài Nam</v>
          </cell>
          <cell r="E569" t="str">
            <v>Phân viện Radar - Viện NCPT</v>
          </cell>
          <cell r="F569" t="str">
            <v>Phòng Tổng hợp</v>
          </cell>
          <cell r="G569" t="str">
            <v>Trợ lý nghiệp vụ</v>
          </cell>
          <cell r="H569" t="str">
            <v>Hợp đồng lao động</v>
          </cell>
          <cell r="I569" t="str">
            <v>Quân lực quản lý</v>
          </cell>
          <cell r="J569" t="str">
            <v>Kế toán</v>
          </cell>
        </row>
        <row r="570">
          <cell r="C570" t="str">
            <v>110839</v>
          </cell>
          <cell r="D570" t="str">
            <v>Vũ Đình Bình</v>
          </cell>
          <cell r="E570" t="str">
            <v>Phân viện Radar - Viện NCPT</v>
          </cell>
          <cell r="F570" t="str">
            <v>Phòng Tổng hợp</v>
          </cell>
          <cell r="G570" t="str">
            <v>Trợ lý nghiệp vụ</v>
          </cell>
          <cell r="H570" t="str">
            <v>Hợp đồng lao động</v>
          </cell>
          <cell r="I570" t="str">
            <v>Quân lực quản lý</v>
          </cell>
          <cell r="J570" t="str">
            <v>Nhân viên Đầu tư</v>
          </cell>
        </row>
        <row r="571">
          <cell r="C571" t="str">
            <v>126109</v>
          </cell>
          <cell r="D571" t="str">
            <v>Vũ Thị Phương</v>
          </cell>
          <cell r="E571" t="str">
            <v>Phân viện Radar - Viện NCPT</v>
          </cell>
          <cell r="F571" t="str">
            <v>Phòng Tổng hợp</v>
          </cell>
          <cell r="G571" t="str">
            <v>Trợ lý nghiệp vụ</v>
          </cell>
          <cell r="H571" t="str">
            <v>Hợp đồng lao động</v>
          </cell>
          <cell r="I571" t="str">
            <v>Quân lực quản lý</v>
          </cell>
          <cell r="J571" t="str">
            <v>Nhân viên Đầu tư</v>
          </cell>
        </row>
        <row r="572">
          <cell r="C572" t="str">
            <v>137168</v>
          </cell>
          <cell r="D572" t="str">
            <v>Nguyễn Hương Giang</v>
          </cell>
          <cell r="E572" t="str">
            <v>Phân viện Radar - Viện NCPT</v>
          </cell>
          <cell r="F572" t="str">
            <v>Phòng Tổng hợp</v>
          </cell>
          <cell r="G572" t="str">
            <v>Trợ lý nghiệp vụ</v>
          </cell>
          <cell r="H572" t="str">
            <v>Hợp đồng lao động</v>
          </cell>
          <cell r="I572" t="str">
            <v>Quân lực quản lý</v>
          </cell>
          <cell r="J572" t="str">
            <v>Nhân viên hành chính tổng hợp</v>
          </cell>
        </row>
        <row r="573">
          <cell r="C573" t="str">
            <v>171404</v>
          </cell>
          <cell r="D573" t="str">
            <v>Bùi Thu Giang</v>
          </cell>
          <cell r="E573" t="str">
            <v>Phân viện Radar - Viện NCPT</v>
          </cell>
          <cell r="F573" t="str">
            <v>Phòng Tổng hợp</v>
          </cell>
          <cell r="G573" t="str">
            <v>Trợ lý nghiệp vụ</v>
          </cell>
          <cell r="H573" t="str">
            <v>Hợp đồng lao động</v>
          </cell>
          <cell r="I573" t="str">
            <v>Quân lực quản lý</v>
          </cell>
          <cell r="J573" t="str">
            <v>Nhân viên Đầu tư</v>
          </cell>
        </row>
        <row r="574">
          <cell r="C574" t="str">
            <v>175666</v>
          </cell>
          <cell r="D574" t="str">
            <v>Khúc Đình Thịnh</v>
          </cell>
          <cell r="E574" t="str">
            <v>Phân viện Radar - Viện NCPT</v>
          </cell>
          <cell r="F574" t="str">
            <v>Phòng Tổng hợp</v>
          </cell>
          <cell r="G574" t="str">
            <v>Trợ lý nghiệp vụ</v>
          </cell>
          <cell r="H574" t="str">
            <v>Hợp đồng lao động</v>
          </cell>
          <cell r="I574" t="str">
            <v>Quân lực quản lý</v>
          </cell>
          <cell r="J574" t="str">
            <v>Nhân viên kế hoạch</v>
          </cell>
        </row>
        <row r="575">
          <cell r="C575" t="str">
            <v>189995</v>
          </cell>
          <cell r="D575" t="str">
            <v>Đặng Thanh Hoàng</v>
          </cell>
          <cell r="E575" t="str">
            <v>Phân viện Radar - Viện NCPT</v>
          </cell>
          <cell r="F575" t="str">
            <v>Phòng Tổng hợp</v>
          </cell>
          <cell r="G575" t="str">
            <v>Trợ lý nghiệp vụ</v>
          </cell>
          <cell r="H575" t="str">
            <v>Hợp đồng lao động</v>
          </cell>
          <cell r="I575" t="str">
            <v>Quân lực quản lý</v>
          </cell>
          <cell r="J575" t="str">
            <v>Nhân viên Tài sản</v>
          </cell>
        </row>
        <row r="576">
          <cell r="D576" t="str">
            <v>Trung tâm Sản xuất</v>
          </cell>
        </row>
        <row r="577">
          <cell r="D577" t="str">
            <v>Ban Giám đốc</v>
          </cell>
        </row>
        <row r="578">
          <cell r="C578" t="str">
            <v>086857</v>
          </cell>
          <cell r="D578" t="str">
            <v>Vũ Thế Dũng</v>
          </cell>
          <cell r="E578" t="str">
            <v>Phân viện Radar - Viện NCPT</v>
          </cell>
          <cell r="F578" t="str">
            <v>Trung tâm Sản xuất</v>
          </cell>
          <cell r="G578" t="str">
            <v>Ban Giám đốc</v>
          </cell>
          <cell r="H578" t="str">
            <v>Hợp đồng lao động</v>
          </cell>
          <cell r="I578" t="str">
            <v>Quân lực quản lý</v>
          </cell>
          <cell r="J578" t="str">
            <v>Giám đốc</v>
          </cell>
        </row>
        <row r="579">
          <cell r="C579" t="str">
            <v>123201</v>
          </cell>
          <cell r="D579" t="str">
            <v>Hoàng Nam</v>
          </cell>
          <cell r="E579" t="str">
            <v>Phân viện Radar - Viện NCPT</v>
          </cell>
          <cell r="F579" t="str">
            <v>Trung tâm Sản xuất</v>
          </cell>
          <cell r="G579" t="str">
            <v>Ban Giám đốc</v>
          </cell>
          <cell r="H579" t="str">
            <v>Hợp đồng lao động</v>
          </cell>
          <cell r="I579" t="str">
            <v>Quân lực quản lý</v>
          </cell>
          <cell r="J579" t="str">
            <v>Phó Giám đốc</v>
          </cell>
        </row>
        <row r="580">
          <cell r="C580" t="str">
            <v>151873</v>
          </cell>
          <cell r="D580" t="str">
            <v>Lê Mạnh Linh</v>
          </cell>
          <cell r="E580" t="str">
            <v>Phân viện Radar - Viện NCPT</v>
          </cell>
          <cell r="F580" t="str">
            <v>Trung tâm Sản xuất</v>
          </cell>
          <cell r="G580" t="str">
            <v>Ban Giám đốc</v>
          </cell>
          <cell r="H580" t="str">
            <v>Hợp đồng lao động</v>
          </cell>
          <cell r="I580" t="str">
            <v>Quân lực quản lý</v>
          </cell>
          <cell r="J580" t="str">
            <v>Phó Giám đốc</v>
          </cell>
        </row>
        <row r="581">
          <cell r="D581" t="str">
            <v>Phòng kiểm soát tiến độ sản xuất</v>
          </cell>
        </row>
        <row r="582">
          <cell r="C582" t="str">
            <v>165033</v>
          </cell>
          <cell r="D582" t="str">
            <v>Nguyễn Hoàng Linh</v>
          </cell>
          <cell r="E582" t="str">
            <v>Phân viện Radar - Viện NCPT</v>
          </cell>
          <cell r="F582" t="str">
            <v>Trung tâm Sản xuất</v>
          </cell>
          <cell r="G582" t="str">
            <v>Phòng kiểm soát tiến độ sản xuất</v>
          </cell>
          <cell r="H582" t="str">
            <v>Hợp đồng lao động</v>
          </cell>
          <cell r="I582" t="str">
            <v>Quân lực quản lý</v>
          </cell>
          <cell r="J582" t="str">
            <v>Trưởng phòng</v>
          </cell>
        </row>
        <row r="583">
          <cell r="C583" t="str">
            <v>113838</v>
          </cell>
          <cell r="D583" t="str">
            <v>Ngô Văn Thiện</v>
          </cell>
          <cell r="E583" t="str">
            <v>Phân viện Radar - Viện NCPT</v>
          </cell>
          <cell r="F583" t="str">
            <v>Trung tâm Sản xuất</v>
          </cell>
          <cell r="G583" t="str">
            <v>Phòng kiểm soát tiến độ sản xuất</v>
          </cell>
          <cell r="H583" t="str">
            <v>Hợp đồng lao động</v>
          </cell>
          <cell r="I583" t="str">
            <v>Quân lực quản lý</v>
          </cell>
          <cell r="J583" t="str">
            <v>Kỹ sư kiểm soát tiến độ sản xuất điện tử, siêu cao tần, anten</v>
          </cell>
        </row>
        <row r="584">
          <cell r="C584" t="str">
            <v>140755</v>
          </cell>
          <cell r="D584" t="str">
            <v>Lương Đức Long</v>
          </cell>
          <cell r="E584" t="str">
            <v>Phân viện Radar - Viện NCPT</v>
          </cell>
          <cell r="F584" t="str">
            <v>Trung tâm Sản xuất</v>
          </cell>
          <cell r="G584" t="str">
            <v>Phòng kiểm soát tiến độ sản xuất</v>
          </cell>
          <cell r="H584" t="str">
            <v>Hợp đồng lao động</v>
          </cell>
          <cell r="I584" t="str">
            <v>Quân lực quản lý</v>
          </cell>
          <cell r="J584" t="str">
            <v>Kỹ sư kiểm soát tiến độ sản xuất cơ khí, ô tô</v>
          </cell>
        </row>
        <row r="585">
          <cell r="C585" t="str">
            <v>185253</v>
          </cell>
          <cell r="D585" t="str">
            <v>Lê Xuân Thành</v>
          </cell>
          <cell r="E585" t="str">
            <v>Phân viện Radar - Viện NCPT</v>
          </cell>
          <cell r="F585" t="str">
            <v>Trung tâm Sản xuất</v>
          </cell>
          <cell r="G585" t="str">
            <v>Phòng kiểm soát tiến độ sản xuất</v>
          </cell>
          <cell r="H585" t="str">
            <v>Trung úy</v>
          </cell>
          <cell r="I585" t="str">
            <v>Cán bộ quản lý</v>
          </cell>
          <cell r="J585" t="str">
            <v>Kỹ sư kiểm soát tiến độ sản xuất cơ khí, ô tô</v>
          </cell>
        </row>
        <row r="586">
          <cell r="C586" t="str">
            <v>185256</v>
          </cell>
          <cell r="D586" t="str">
            <v>Nguyễn Trọng Thanh</v>
          </cell>
          <cell r="E586" t="str">
            <v>Phân viện Radar - Viện NCPT</v>
          </cell>
          <cell r="F586" t="str">
            <v>Trung tâm Sản xuất</v>
          </cell>
          <cell r="G586" t="str">
            <v>Phòng kiểm soát tiến độ sản xuất</v>
          </cell>
          <cell r="H586" t="str">
            <v>Trung úy</v>
          </cell>
          <cell r="I586" t="str">
            <v>Cán bộ quản lý</v>
          </cell>
          <cell r="J586" t="str">
            <v>Kỹ sư kiểm soát tiến độ sản xuất cơ khí, ô tô</v>
          </cell>
        </row>
        <row r="587">
          <cell r="C587" t="str">
            <v>187153</v>
          </cell>
          <cell r="D587" t="str">
            <v>Ngô Đức Anh</v>
          </cell>
          <cell r="E587" t="str">
            <v>Phân viện Radar - Viện NCPT</v>
          </cell>
          <cell r="F587" t="str">
            <v>Trung tâm Sản xuất</v>
          </cell>
          <cell r="G587" t="str">
            <v>Phòng kiểm soát tiến độ sản xuất</v>
          </cell>
          <cell r="H587" t="str">
            <v>Hợp đồng lao động</v>
          </cell>
          <cell r="I587" t="str">
            <v>Quân lực quản lý</v>
          </cell>
          <cell r="J587" t="str">
            <v>Kỹ sư kiểm soát tiến độ sản xuất điện tử, siêu cao tần, anten</v>
          </cell>
        </row>
        <row r="588">
          <cell r="C588" t="str">
            <v>188375</v>
          </cell>
          <cell r="D588" t="str">
            <v>Trương Đức Anh</v>
          </cell>
          <cell r="E588" t="str">
            <v>Phân viện Radar - Viện NCPT</v>
          </cell>
          <cell r="F588" t="str">
            <v>Trung tâm Sản xuất</v>
          </cell>
          <cell r="G588" t="str">
            <v>Phòng kiểm soát tiến độ sản xuất</v>
          </cell>
          <cell r="H588" t="str">
            <v>Hợp đồng lao động</v>
          </cell>
          <cell r="I588" t="str">
            <v>Quân lực quản lý</v>
          </cell>
          <cell r="J588" t="str">
            <v>Kỹ sư kiểm soát tiến độ sản xuất điện tử, siêu cao tần, anten</v>
          </cell>
        </row>
        <row r="589">
          <cell r="D589" t="str">
            <v>Phòng tài liệu và quy trình Công nghệ</v>
          </cell>
        </row>
        <row r="590">
          <cell r="C590" t="str">
            <v>091257</v>
          </cell>
          <cell r="D590" t="str">
            <v>Tạ Quang Trung</v>
          </cell>
          <cell r="E590" t="str">
            <v>Phân viện Radar - Viện NCPT</v>
          </cell>
          <cell r="F590" t="str">
            <v>Trung tâm Sản xuất</v>
          </cell>
          <cell r="G590" t="str">
            <v>Phòng tài liệu và quy trình Công nghệ</v>
          </cell>
          <cell r="H590" t="str">
            <v>Thiếu tá CN</v>
          </cell>
          <cell r="I590" t="str">
            <v>Cán bộ quản lý</v>
          </cell>
          <cell r="J590" t="str">
            <v>Trưởng phòng</v>
          </cell>
        </row>
        <row r="591">
          <cell r="C591" t="str">
            <v>121095</v>
          </cell>
          <cell r="D591" t="str">
            <v>Nguyễn Văn Thịnh</v>
          </cell>
          <cell r="E591" t="str">
            <v>Phân viện Radar - Viện NCPT</v>
          </cell>
          <cell r="F591" t="str">
            <v>Trung tâm Sản xuất</v>
          </cell>
          <cell r="G591" t="str">
            <v>Phòng tài liệu và quy trình Công nghệ</v>
          </cell>
          <cell r="H591" t="str">
            <v>Hợp đồng lao động</v>
          </cell>
          <cell r="I591" t="str">
            <v>Quân lực quản lý</v>
          </cell>
          <cell r="J591" t="str">
            <v>Kỹ sư tài liệu công nghệ</v>
          </cell>
        </row>
        <row r="592">
          <cell r="C592" t="str">
            <v>123639</v>
          </cell>
          <cell r="D592" t="str">
            <v>Nguyễn Xuân Hùng</v>
          </cell>
          <cell r="E592" t="str">
            <v>Phân viện Radar - Viện NCPT</v>
          </cell>
          <cell r="F592" t="str">
            <v>Trung tâm Sản xuất</v>
          </cell>
          <cell r="G592" t="str">
            <v>Phòng tài liệu và quy trình Công nghệ</v>
          </cell>
          <cell r="H592" t="str">
            <v>Hợp đồng lao động</v>
          </cell>
          <cell r="I592" t="str">
            <v>Quân lực quản lý</v>
          </cell>
          <cell r="J592" t="str">
            <v>Kỹ sư tài liệu công nghệ</v>
          </cell>
        </row>
        <row r="593">
          <cell r="D593" t="str">
            <v>Phòng Tích hợp và thử nghiệm</v>
          </cell>
        </row>
        <row r="594">
          <cell r="C594" t="str">
            <v>092259</v>
          </cell>
          <cell r="D594" t="str">
            <v>Nguyễn Trần Nam</v>
          </cell>
          <cell r="E594" t="str">
            <v>Phân viện Radar - Viện NCPT</v>
          </cell>
          <cell r="F594" t="str">
            <v>Trung tâm Sản xuất</v>
          </cell>
          <cell r="G594" t="str">
            <v>Phòng Tích hợp và thử nghiệm</v>
          </cell>
          <cell r="H594" t="str">
            <v>Hợp đồng lao động</v>
          </cell>
          <cell r="I594" t="str">
            <v>Quân lực quản lý</v>
          </cell>
          <cell r="J594" t="str">
            <v>Trưởng phòng</v>
          </cell>
        </row>
        <row r="595">
          <cell r="C595" t="str">
            <v>139601</v>
          </cell>
          <cell r="D595" t="str">
            <v>Phan Xuân Tuấn</v>
          </cell>
          <cell r="E595" t="str">
            <v>Phân viện Radar - Viện NCPT</v>
          </cell>
          <cell r="F595" t="str">
            <v>Trung tâm Sản xuất</v>
          </cell>
          <cell r="G595" t="str">
            <v>Phòng Tích hợp và thử nghiệm</v>
          </cell>
          <cell r="H595" t="str">
            <v>Hợp đồng lao động</v>
          </cell>
          <cell r="I595" t="str">
            <v>Quân lực quản lý</v>
          </cell>
          <cell r="J595" t="str">
            <v>Kỹ sư tích hợp</v>
          </cell>
        </row>
        <row r="596">
          <cell r="C596" t="str">
            <v>154954</v>
          </cell>
          <cell r="D596" t="str">
            <v>Bùi Hữu Hoàng</v>
          </cell>
          <cell r="E596" t="str">
            <v>Phân viện Radar - Viện NCPT</v>
          </cell>
          <cell r="F596" t="str">
            <v>Trung tâm Sản xuất</v>
          </cell>
          <cell r="G596" t="str">
            <v>Phòng Tích hợp và thử nghiệm</v>
          </cell>
          <cell r="H596" t="str">
            <v>Hợp đồng lao động</v>
          </cell>
          <cell r="I596" t="str">
            <v>Quân lực quản lý</v>
          </cell>
          <cell r="J596" t="str">
            <v>Kỹ sư tích hợp</v>
          </cell>
        </row>
        <row r="597">
          <cell r="C597" t="str">
            <v>185175</v>
          </cell>
          <cell r="D597" t="str">
            <v>Bùi Xuân Thắng</v>
          </cell>
          <cell r="E597" t="str">
            <v>Phân viện Radar - Viện NCPT</v>
          </cell>
          <cell r="F597" t="str">
            <v>Trung tâm Sản xuất</v>
          </cell>
          <cell r="G597" t="str">
            <v>Phòng Tích hợp và thử nghiệm</v>
          </cell>
          <cell r="H597" t="str">
            <v>Trung úy CN</v>
          </cell>
          <cell r="I597" t="str">
            <v>Quân lực quản lý</v>
          </cell>
          <cell r="J597" t="str">
            <v>Kỹ sư thử nghiệm</v>
          </cell>
        </row>
        <row r="598">
          <cell r="C598" t="str">
            <v>189993</v>
          </cell>
          <cell r="D598" t="str">
            <v>Phạm Văn Trinh</v>
          </cell>
          <cell r="E598" t="str">
            <v>Phân viện Radar - Viện NCPT</v>
          </cell>
          <cell r="F598" t="str">
            <v>Trung tâm Sản xuất</v>
          </cell>
          <cell r="G598" t="str">
            <v>Phòng Tích hợp và thử nghiệm</v>
          </cell>
          <cell r="H598" t="str">
            <v>Hợp đồng lao động</v>
          </cell>
          <cell r="I598" t="str">
            <v>Quân lực quản lý</v>
          </cell>
          <cell r="J598" t="str">
            <v>Kỹ sư tích hợp</v>
          </cell>
        </row>
        <row r="599">
          <cell r="D599" t="str">
            <v>Phòng Quản lý kho và nhà xưởng</v>
          </cell>
        </row>
        <row r="600">
          <cell r="C600" t="str">
            <v>154613</v>
          </cell>
          <cell r="D600" t="str">
            <v>Phương Văn Hiệp</v>
          </cell>
          <cell r="E600" t="str">
            <v>Phân viện Radar - Viện NCPT</v>
          </cell>
          <cell r="F600" t="str">
            <v>Trung tâm Sản xuất</v>
          </cell>
          <cell r="G600" t="str">
            <v>Phòng Quản lý kho và nhà xưởng</v>
          </cell>
          <cell r="H600" t="str">
            <v>Hợp đồng lao động</v>
          </cell>
          <cell r="I600" t="str">
            <v>Quân lực quản lý</v>
          </cell>
          <cell r="J600" t="str">
            <v>Xưởng trưởng</v>
          </cell>
        </row>
        <row r="601">
          <cell r="C601" t="str">
            <v>154953</v>
          </cell>
          <cell r="D601" t="str">
            <v>Bùi Văn Thọ</v>
          </cell>
          <cell r="E601" t="str">
            <v>Phân viện Radar - Viện NCPT</v>
          </cell>
          <cell r="F601" t="str">
            <v>Trung tâm Sản xuất</v>
          </cell>
          <cell r="G601" t="str">
            <v>Phòng Quản lý kho và nhà xưởng</v>
          </cell>
          <cell r="H601" t="str">
            <v>Hợp đồng lao động</v>
          </cell>
          <cell r="I601" t="str">
            <v>Quân lực quản lý</v>
          </cell>
          <cell r="J601" t="str">
            <v>Trưởng phòng</v>
          </cell>
        </row>
        <row r="602">
          <cell r="C602" t="str">
            <v>123196</v>
          </cell>
          <cell r="D602" t="str">
            <v>Hồ Quang Huyên</v>
          </cell>
          <cell r="E602" t="str">
            <v>Phân viện Radar - Viện NCPT</v>
          </cell>
          <cell r="F602" t="str">
            <v>Trung tâm Sản xuất</v>
          </cell>
          <cell r="G602" t="str">
            <v>Phòng Quản lý kho và nhà xưởng</v>
          </cell>
          <cell r="H602" t="str">
            <v>Hợp đồng lao động</v>
          </cell>
          <cell r="I602" t="str">
            <v>Quân lực quản lý</v>
          </cell>
          <cell r="J602" t="str">
            <v>Phó Trưởng phòng</v>
          </cell>
        </row>
        <row r="603">
          <cell r="D603" t="str">
            <v>Trung tâm nghiên cứu</v>
          </cell>
        </row>
        <row r="604">
          <cell r="D604" t="str">
            <v>Ban Giám đốc</v>
          </cell>
        </row>
        <row r="605">
          <cell r="C605" t="str">
            <v>059526</v>
          </cell>
          <cell r="D605" t="str">
            <v>Trần Vũ Hợp</v>
          </cell>
          <cell r="E605" t="str">
            <v>Phân viện Radar - Viện NCPT</v>
          </cell>
          <cell r="F605" t="str">
            <v>Trung tâm nghiên cứu</v>
          </cell>
          <cell r="G605" t="str">
            <v>Ban Giám đốc</v>
          </cell>
          <cell r="H605" t="str">
            <v>Đại úy CN</v>
          </cell>
          <cell r="I605" t="str">
            <v>Quân lực quản lý</v>
          </cell>
          <cell r="J605" t="str">
            <v>Giám đốc</v>
          </cell>
        </row>
        <row r="606">
          <cell r="C606" t="str">
            <v>059037</v>
          </cell>
          <cell r="D606" t="str">
            <v>Văn Tuấn Cường</v>
          </cell>
          <cell r="E606" t="str">
            <v>Phân viện Radar - Viện NCPT</v>
          </cell>
          <cell r="F606" t="str">
            <v>Trung tâm nghiên cứu</v>
          </cell>
          <cell r="G606" t="str">
            <v>Ban Giám đốc</v>
          </cell>
          <cell r="H606" t="str">
            <v>Đại úy CN</v>
          </cell>
          <cell r="I606" t="str">
            <v>Quân lực quản lý</v>
          </cell>
          <cell r="J606" t="str">
            <v>Phó Giám đốc</v>
          </cell>
        </row>
        <row r="607">
          <cell r="C607" t="str">
            <v>059527</v>
          </cell>
          <cell r="D607" t="str">
            <v>Phạm Đình Hưng</v>
          </cell>
          <cell r="E607" t="str">
            <v>Phân viện Radar - Viện NCPT</v>
          </cell>
          <cell r="F607" t="str">
            <v>Trung tâm nghiên cứu</v>
          </cell>
          <cell r="G607" t="str">
            <v>Ban Giám đốc</v>
          </cell>
          <cell r="H607" t="str">
            <v>Hợp đồng lao động</v>
          </cell>
          <cell r="I607" t="str">
            <v>Quân lực quản lý</v>
          </cell>
          <cell r="J607" t="str">
            <v>Phó Giám đốc</v>
          </cell>
        </row>
        <row r="608">
          <cell r="D608" t="str">
            <v>Phòng Thiết kế hệ thống</v>
          </cell>
        </row>
        <row r="609">
          <cell r="C609" t="str">
            <v>095099</v>
          </cell>
          <cell r="D609" t="str">
            <v>Đặng Lưu Hạnh</v>
          </cell>
          <cell r="E609" t="str">
            <v>Phân viện Radar - Viện NCPT</v>
          </cell>
          <cell r="F609" t="str">
            <v>Trung tâm nghiên cứu</v>
          </cell>
          <cell r="G609" t="str">
            <v>Phòng Thiết kế hệ thống</v>
          </cell>
          <cell r="H609" t="str">
            <v>Hợp đồng lao động</v>
          </cell>
          <cell r="I609" t="str">
            <v>Quân lực quản lý</v>
          </cell>
          <cell r="J609" t="str">
            <v>Phó Trưởng phòng</v>
          </cell>
        </row>
        <row r="610">
          <cell r="C610" t="str">
            <v>085596</v>
          </cell>
          <cell r="D610" t="str">
            <v>Nguyễn Việt Anh</v>
          </cell>
          <cell r="E610" t="str">
            <v>Phân viện Radar - Viện NCPT</v>
          </cell>
          <cell r="F610" t="str">
            <v>Trung tâm nghiên cứu</v>
          </cell>
          <cell r="G610" t="str">
            <v>Phòng Thiết kế hệ thống</v>
          </cell>
          <cell r="H610" t="str">
            <v>Hợp đồng lao động</v>
          </cell>
          <cell r="I610" t="str">
            <v>Quân lực quản lý</v>
          </cell>
          <cell r="J610" t="str">
            <v>Trưởng nhóm</v>
          </cell>
        </row>
        <row r="611">
          <cell r="C611" t="str">
            <v>121096</v>
          </cell>
          <cell r="D611" t="str">
            <v>Đào Thị Hồng Huệ</v>
          </cell>
          <cell r="E611" t="str">
            <v>Phân viện Radar - Viện NCPT</v>
          </cell>
          <cell r="F611" t="str">
            <v>Trung tâm nghiên cứu</v>
          </cell>
          <cell r="G611" t="str">
            <v>Phòng Thiết kế hệ thống</v>
          </cell>
          <cell r="H611" t="str">
            <v>Hợp đồng lao động</v>
          </cell>
          <cell r="I611" t="str">
            <v>Quân lực quản lý</v>
          </cell>
          <cell r="J611" t="str">
            <v>Chuyên viên thiết kế đồ họa tương tác</v>
          </cell>
        </row>
        <row r="612">
          <cell r="C612" t="str">
            <v>139600</v>
          </cell>
          <cell r="D612" t="str">
            <v>Thân Hồng Phi</v>
          </cell>
          <cell r="E612" t="str">
            <v>Phân viện Radar - Viện NCPT</v>
          </cell>
          <cell r="F612" t="str">
            <v>Trung tâm nghiên cứu</v>
          </cell>
          <cell r="G612" t="str">
            <v>Phòng Thiết kế hệ thống</v>
          </cell>
          <cell r="H612" t="str">
            <v>Hợp đồng lao động</v>
          </cell>
          <cell r="I612" t="str">
            <v>Quân lực quản lý</v>
          </cell>
          <cell r="J612" t="str">
            <v>Chuyên viên thiết kế đồ họa tương tác</v>
          </cell>
        </row>
        <row r="613">
          <cell r="C613" t="str">
            <v>171853</v>
          </cell>
          <cell r="D613" t="str">
            <v>Phạm Minh Hằng</v>
          </cell>
          <cell r="E613" t="str">
            <v>Phân viện Radar - Viện NCPT</v>
          </cell>
          <cell r="F613" t="str">
            <v>Trung tâm nghiên cứu</v>
          </cell>
          <cell r="G613" t="str">
            <v>Phòng Thiết kế hệ thống</v>
          </cell>
          <cell r="H613" t="str">
            <v>Hợp đồng lao động</v>
          </cell>
          <cell r="I613" t="str">
            <v>Quân lực quản lý</v>
          </cell>
          <cell r="J613" t="str">
            <v>Chuyên viên thiết kế đồ họa tương tác</v>
          </cell>
        </row>
        <row r="614">
          <cell r="D614" t="str">
            <v>Phòng siêu cao tần</v>
          </cell>
        </row>
        <row r="615">
          <cell r="C615" t="str">
            <v>137012</v>
          </cell>
          <cell r="D615" t="str">
            <v>Trần Anh Dũng</v>
          </cell>
          <cell r="E615" t="str">
            <v>Phân viện Radar - Viện NCPT</v>
          </cell>
          <cell r="F615" t="str">
            <v>Trung tâm nghiên cứu</v>
          </cell>
          <cell r="G615" t="str">
            <v>Phòng siêu cao tần</v>
          </cell>
          <cell r="H615" t="str">
            <v>Hợp đồng lao động</v>
          </cell>
          <cell r="I615" t="str">
            <v>Quân lực quản lý</v>
          </cell>
          <cell r="J615" t="str">
            <v>Trưởng phòng</v>
          </cell>
        </row>
        <row r="616">
          <cell r="C616" t="str">
            <v>121960</v>
          </cell>
          <cell r="D616" t="str">
            <v>Nguyễn Ngọc Thủy</v>
          </cell>
          <cell r="E616" t="str">
            <v>Phân viện Radar - Viện NCPT</v>
          </cell>
          <cell r="F616" t="str">
            <v>Trung tâm nghiên cứu</v>
          </cell>
          <cell r="G616" t="str">
            <v>Phòng siêu cao tần</v>
          </cell>
          <cell r="H616" t="str">
            <v>Hợp đồng lao động</v>
          </cell>
          <cell r="I616" t="str">
            <v>Quân lực quản lý</v>
          </cell>
          <cell r="J616" t="str">
            <v>Kỹ sư thiết kế phần cứng cao tần</v>
          </cell>
        </row>
        <row r="617">
          <cell r="C617" t="str">
            <v>122661</v>
          </cell>
          <cell r="D617" t="str">
            <v>Phạm Minh Thuận</v>
          </cell>
          <cell r="E617" t="str">
            <v>Phân viện Radar - Viện NCPT</v>
          </cell>
          <cell r="F617" t="str">
            <v>Trung tâm nghiên cứu</v>
          </cell>
          <cell r="G617" t="str">
            <v>Phòng siêu cao tần</v>
          </cell>
          <cell r="H617" t="str">
            <v>Thượng úy</v>
          </cell>
          <cell r="I617" t="str">
            <v>Cán bộ quản lý</v>
          </cell>
          <cell r="J617" t="str">
            <v>Kỹ sư thiết kế phần cứng cao tần</v>
          </cell>
        </row>
        <row r="618">
          <cell r="C618" t="str">
            <v>140833</v>
          </cell>
          <cell r="D618" t="str">
            <v>Đỗ Huy Tùng</v>
          </cell>
          <cell r="E618" t="str">
            <v>Phân viện Radar - Viện NCPT</v>
          </cell>
          <cell r="F618" t="str">
            <v>Trung tâm nghiên cứu</v>
          </cell>
          <cell r="G618" t="str">
            <v>Phòng siêu cao tần</v>
          </cell>
          <cell r="H618" t="str">
            <v>Hợp đồng lao động</v>
          </cell>
          <cell r="I618" t="str">
            <v>Quân lực quản lý</v>
          </cell>
          <cell r="J618" t="str">
            <v>Kỹ sư thiết kế phần cứng cao tần</v>
          </cell>
        </row>
        <row r="619">
          <cell r="C619" t="str">
            <v>175668</v>
          </cell>
          <cell r="D619" t="str">
            <v>Kim Thị Phương</v>
          </cell>
          <cell r="E619" t="str">
            <v>Phân viện Radar - Viện NCPT</v>
          </cell>
          <cell r="F619" t="str">
            <v>Trung tâm nghiên cứu</v>
          </cell>
          <cell r="G619" t="str">
            <v>Phòng siêu cao tần</v>
          </cell>
          <cell r="H619" t="str">
            <v>Hợp đồng lao động</v>
          </cell>
          <cell r="I619" t="str">
            <v>Quân lực quản lý</v>
          </cell>
          <cell r="J619" t="str">
            <v>Kỹ sư thiết kế phần cứng cao tần</v>
          </cell>
        </row>
        <row r="620">
          <cell r="C620" t="str">
            <v>185257</v>
          </cell>
          <cell r="D620" t="str">
            <v>Nguyễn Văn Nghĩa</v>
          </cell>
          <cell r="E620" t="str">
            <v>Phân viện Radar - Viện NCPT</v>
          </cell>
          <cell r="F620" t="str">
            <v>Trung tâm nghiên cứu</v>
          </cell>
          <cell r="G620" t="str">
            <v>Phòng siêu cao tần</v>
          </cell>
          <cell r="H620" t="str">
            <v>Trung úy</v>
          </cell>
          <cell r="I620" t="str">
            <v>Cán bộ quản lý</v>
          </cell>
          <cell r="J620" t="str">
            <v>Kỹ sư thiết kế phần cứng cao tần</v>
          </cell>
        </row>
        <row r="621">
          <cell r="C621" t="str">
            <v>185258</v>
          </cell>
          <cell r="D621" t="str">
            <v>Trịnh Văn Du</v>
          </cell>
          <cell r="E621" t="str">
            <v>Phân viện Radar - Viện NCPT</v>
          </cell>
          <cell r="F621" t="str">
            <v>Trung tâm nghiên cứu</v>
          </cell>
          <cell r="G621" t="str">
            <v>Phòng siêu cao tần</v>
          </cell>
          <cell r="H621" t="str">
            <v>Thiếu úy</v>
          </cell>
          <cell r="I621" t="str">
            <v>Cán bộ quản lý</v>
          </cell>
          <cell r="J621" t="str">
            <v>Kỹ sư thiết kế phần cứng cao tần</v>
          </cell>
        </row>
        <row r="622">
          <cell r="C622" t="str">
            <v>190174</v>
          </cell>
          <cell r="D622" t="str">
            <v>Nguyễn Hoàng Dương</v>
          </cell>
          <cell r="E622" t="str">
            <v>Phân viện Radar - Viện NCPT</v>
          </cell>
          <cell r="F622" t="str">
            <v>Trung tâm nghiên cứu</v>
          </cell>
          <cell r="G622" t="str">
            <v>Phòng siêu cao tần</v>
          </cell>
          <cell r="H622" t="str">
            <v>Hợp đồng lao động</v>
          </cell>
          <cell r="I622" t="str">
            <v>Quân lực quản lý</v>
          </cell>
          <cell r="J622" t="str">
            <v>Kỹ sư thiết kế phần cứng cao tần</v>
          </cell>
        </row>
        <row r="623">
          <cell r="D623" t="str">
            <v>Phòng xử lý tín hiệu</v>
          </cell>
        </row>
        <row r="624">
          <cell r="C624" t="str">
            <v>004032</v>
          </cell>
          <cell r="D624" t="str">
            <v>Nguyễn Đức Nam</v>
          </cell>
          <cell r="E624" t="str">
            <v>Phân viện Radar - Viện NCPT</v>
          </cell>
          <cell r="F624" t="str">
            <v>Trung tâm nghiên cứu</v>
          </cell>
          <cell r="G624" t="str">
            <v>Phòng xử lý tín hiệu</v>
          </cell>
          <cell r="H624" t="str">
            <v>Hợp đồng lao động</v>
          </cell>
          <cell r="I624" t="str">
            <v>Quân lực quản lý</v>
          </cell>
          <cell r="J624" t="str">
            <v>Phó Trưởng phòng</v>
          </cell>
        </row>
        <row r="625">
          <cell r="C625" t="str">
            <v>121961</v>
          </cell>
          <cell r="D625" t="str">
            <v>Lưu Hoài Nam</v>
          </cell>
          <cell r="E625" t="str">
            <v>Phân viện Radar - Viện NCPT</v>
          </cell>
          <cell r="F625" t="str">
            <v>Trung tâm nghiên cứu</v>
          </cell>
          <cell r="G625" t="str">
            <v>Phòng xử lý tín hiệu</v>
          </cell>
          <cell r="H625" t="str">
            <v>Hợp đồng lao động</v>
          </cell>
          <cell r="I625" t="str">
            <v>Quân lực quản lý</v>
          </cell>
          <cell r="J625" t="str">
            <v>Trưởng nhóm</v>
          </cell>
        </row>
        <row r="626">
          <cell r="C626" t="str">
            <v>122657</v>
          </cell>
          <cell r="D626" t="str">
            <v>Lê Đình Tiến</v>
          </cell>
          <cell r="E626" t="str">
            <v>Phân viện Radar - Viện NCPT</v>
          </cell>
          <cell r="F626" t="str">
            <v>Trung tâm nghiên cứu</v>
          </cell>
          <cell r="G626" t="str">
            <v>Phòng xử lý tín hiệu</v>
          </cell>
          <cell r="H626" t="str">
            <v>Thượng úy</v>
          </cell>
          <cell r="I626" t="str">
            <v>Cán bộ quản lý</v>
          </cell>
          <cell r="J626" t="str">
            <v>Kỹ sư Xử lý tín hiệu</v>
          </cell>
        </row>
        <row r="627">
          <cell r="C627" t="str">
            <v>137028</v>
          </cell>
          <cell r="D627" t="str">
            <v>Nguyễn Như Thành</v>
          </cell>
          <cell r="E627" t="str">
            <v>Phân viện Radar - Viện NCPT</v>
          </cell>
          <cell r="F627" t="str">
            <v>Trung tâm nghiên cứu</v>
          </cell>
          <cell r="G627" t="str">
            <v>Phòng xử lý tín hiệu</v>
          </cell>
          <cell r="H627" t="str">
            <v>Hợp đồng lao động</v>
          </cell>
          <cell r="I627" t="str">
            <v>Quân lực quản lý</v>
          </cell>
          <cell r="J627" t="str">
            <v>Kỹ sư Xử lý tín hiệu</v>
          </cell>
        </row>
        <row r="628">
          <cell r="C628" t="str">
            <v>139597</v>
          </cell>
          <cell r="D628" t="str">
            <v>Trần Văn Trường</v>
          </cell>
          <cell r="E628" t="str">
            <v>Phân viện Radar - Viện NCPT</v>
          </cell>
          <cell r="F628" t="str">
            <v>Trung tâm nghiên cứu</v>
          </cell>
          <cell r="G628" t="str">
            <v>Phòng xử lý tín hiệu</v>
          </cell>
          <cell r="H628" t="str">
            <v>Hợp đồng lao động</v>
          </cell>
          <cell r="I628" t="str">
            <v>Quân lực quản lý</v>
          </cell>
          <cell r="J628" t="str">
            <v>Kỹ sư thiết kế bo mạch</v>
          </cell>
        </row>
        <row r="629">
          <cell r="C629" t="str">
            <v>141953</v>
          </cell>
          <cell r="D629" t="str">
            <v>Phạm Vũ Hoàng</v>
          </cell>
          <cell r="E629" t="str">
            <v>Phân viện Radar - Viện NCPT</v>
          </cell>
          <cell r="F629" t="str">
            <v>Trung tâm nghiên cứu</v>
          </cell>
          <cell r="G629" t="str">
            <v>Phòng xử lý tín hiệu</v>
          </cell>
          <cell r="H629" t="str">
            <v>Hợp đồng lao động</v>
          </cell>
          <cell r="I629" t="str">
            <v>Quân lực quản lý</v>
          </cell>
          <cell r="J629" t="str">
            <v>Kỹ sư thiết kế bo mạch</v>
          </cell>
        </row>
        <row r="630">
          <cell r="C630" t="str">
            <v>152993</v>
          </cell>
          <cell r="D630" t="str">
            <v>Lê Trung Đức</v>
          </cell>
          <cell r="E630" t="str">
            <v>Phân viện Radar - Viện NCPT</v>
          </cell>
          <cell r="F630" t="str">
            <v>Trung tâm nghiên cứu</v>
          </cell>
          <cell r="G630" t="str">
            <v>Phòng xử lý tín hiệu</v>
          </cell>
          <cell r="H630" t="str">
            <v>Hợp đồng lao động</v>
          </cell>
          <cell r="I630" t="str">
            <v>Quân lực quản lý</v>
          </cell>
          <cell r="J630" t="str">
            <v>Kỹ sư Xử lý tín hiệu</v>
          </cell>
        </row>
        <row r="631">
          <cell r="C631" t="str">
            <v>175665</v>
          </cell>
          <cell r="D631" t="str">
            <v>Đồng Xuân Hoàng</v>
          </cell>
          <cell r="E631" t="str">
            <v>Phân viện Radar - Viện NCPT</v>
          </cell>
          <cell r="F631" t="str">
            <v>Trung tâm nghiên cứu</v>
          </cell>
          <cell r="G631" t="str">
            <v>Phòng xử lý tín hiệu</v>
          </cell>
          <cell r="H631" t="str">
            <v>Hợp đồng lao động</v>
          </cell>
          <cell r="I631" t="str">
            <v>Quân lực quản lý</v>
          </cell>
          <cell r="J631" t="str">
            <v>Kỹ sư Lập trình kiểm thử HDL</v>
          </cell>
        </row>
        <row r="632">
          <cell r="C632" t="str">
            <v>185254</v>
          </cell>
          <cell r="D632" t="str">
            <v>Nguyễn Mạnh Thắng</v>
          </cell>
          <cell r="E632" t="str">
            <v>Phân viện Radar - Viện NCPT</v>
          </cell>
          <cell r="F632" t="str">
            <v>Trung tâm nghiên cứu</v>
          </cell>
          <cell r="G632" t="str">
            <v>Phòng xử lý tín hiệu</v>
          </cell>
          <cell r="H632" t="str">
            <v>Trung úy</v>
          </cell>
          <cell r="I632" t="str">
            <v>Cán bộ quản lý</v>
          </cell>
          <cell r="J632" t="str">
            <v>Kỹ sư Xử lý tín hiệu</v>
          </cell>
        </row>
        <row r="633">
          <cell r="C633" t="str">
            <v>185255</v>
          </cell>
          <cell r="D633" t="str">
            <v>Nguyễn Mạnh Tuấn</v>
          </cell>
          <cell r="E633" t="str">
            <v>Phân viện Radar - Viện NCPT</v>
          </cell>
          <cell r="F633" t="str">
            <v>Trung tâm nghiên cứu</v>
          </cell>
          <cell r="G633" t="str">
            <v>Phòng xử lý tín hiệu</v>
          </cell>
          <cell r="H633" t="str">
            <v>Trung úy</v>
          </cell>
          <cell r="I633" t="str">
            <v>Cán bộ quản lý</v>
          </cell>
          <cell r="J633" t="str">
            <v>Kỹ sư Lập trình kiểm thử HDL</v>
          </cell>
        </row>
        <row r="634">
          <cell r="D634" t="str">
            <v>Phòng xử lý thông tin</v>
          </cell>
        </row>
        <row r="635">
          <cell r="C635" t="str">
            <v>140756</v>
          </cell>
          <cell r="D635" t="str">
            <v>Trần Trung Kiên</v>
          </cell>
          <cell r="E635" t="str">
            <v>Phân viện Radar - Viện NCPT</v>
          </cell>
          <cell r="F635" t="str">
            <v>Trung tâm nghiên cứu</v>
          </cell>
          <cell r="G635" t="str">
            <v>Phòng xử lý thông tin</v>
          </cell>
          <cell r="H635" t="str">
            <v>Hợp đồng lao động</v>
          </cell>
          <cell r="I635" t="str">
            <v>Quân lực quản lý</v>
          </cell>
          <cell r="J635" t="str">
            <v>Trưởng phòng</v>
          </cell>
        </row>
        <row r="636">
          <cell r="C636" t="str">
            <v>121962</v>
          </cell>
          <cell r="D636" t="str">
            <v>Nguyễn Bảo Trung</v>
          </cell>
          <cell r="E636" t="str">
            <v>Phân viện Radar - Viện NCPT</v>
          </cell>
          <cell r="F636" t="str">
            <v>Trung tâm nghiên cứu</v>
          </cell>
          <cell r="G636" t="str">
            <v>Phòng xử lý thông tin</v>
          </cell>
          <cell r="H636" t="str">
            <v>Hợp đồng lao động</v>
          </cell>
          <cell r="I636" t="str">
            <v>Quân lực quản lý</v>
          </cell>
          <cell r="J636" t="str">
            <v>Trưởng nhóm</v>
          </cell>
        </row>
        <row r="637">
          <cell r="C637" t="str">
            <v>122582</v>
          </cell>
          <cell r="D637" t="str">
            <v>Đào Việt Phương</v>
          </cell>
          <cell r="E637" t="str">
            <v>Phân viện Radar - Viện NCPT</v>
          </cell>
          <cell r="F637" t="str">
            <v>Trung tâm nghiên cứu</v>
          </cell>
          <cell r="G637" t="str">
            <v>Phòng xử lý thông tin</v>
          </cell>
          <cell r="H637" t="str">
            <v>Hợp đồng lao động</v>
          </cell>
          <cell r="I637" t="str">
            <v>Quân lực quản lý</v>
          </cell>
          <cell r="J637" t="str">
            <v>Kỹ sư lập trình</v>
          </cell>
        </row>
        <row r="638">
          <cell r="C638" t="str">
            <v>185197</v>
          </cell>
          <cell r="D638" t="str">
            <v>Đinh Duy Mạnh</v>
          </cell>
          <cell r="E638" t="str">
            <v>Phân viện Radar - Viện NCPT</v>
          </cell>
          <cell r="F638" t="str">
            <v>Trung tâm nghiên cứu</v>
          </cell>
          <cell r="G638" t="str">
            <v>Phòng xử lý thông tin</v>
          </cell>
          <cell r="H638" t="str">
            <v>Trung úy</v>
          </cell>
          <cell r="I638" t="str">
            <v>Cán bộ quản lý</v>
          </cell>
          <cell r="J638" t="str">
            <v>Kỹ sư xử lý tín hiệu</v>
          </cell>
        </row>
        <row r="639">
          <cell r="C639" t="str">
            <v>185499</v>
          </cell>
          <cell r="D639" t="str">
            <v>Trác Văn Kỳ</v>
          </cell>
          <cell r="E639" t="str">
            <v>Phân viện Radar - Viện NCPT</v>
          </cell>
          <cell r="F639" t="str">
            <v>Trung tâm nghiên cứu</v>
          </cell>
          <cell r="G639" t="str">
            <v>Phòng xử lý thông tin</v>
          </cell>
          <cell r="H639" t="str">
            <v>Hợp đồng lao động</v>
          </cell>
          <cell r="I639" t="str">
            <v>Quân lực quản lý</v>
          </cell>
          <cell r="J639" t="str">
            <v>Kỹ sư lập trình</v>
          </cell>
        </row>
        <row r="640">
          <cell r="C640" t="str">
            <v>198340</v>
          </cell>
          <cell r="D640" t="str">
            <v>Phạm Văn Tập</v>
          </cell>
          <cell r="E640" t="str">
            <v>Phân viện Radar - Viện NCPT</v>
          </cell>
          <cell r="F640" t="str">
            <v>Trung tâm nghiên cứu</v>
          </cell>
          <cell r="G640" t="str">
            <v>Phòng xử lý thông tin</v>
          </cell>
          <cell r="H640" t="str">
            <v>Hợp đồng lao động</v>
          </cell>
          <cell r="I640" t="str">
            <v>Quân lực quản lý</v>
          </cell>
          <cell r="J640" t="str">
            <v>Kỹ sư lập trình</v>
          </cell>
        </row>
        <row r="641">
          <cell r="D641" t="str">
            <v>Phòng ô tô và cơ khí Ra đa</v>
          </cell>
        </row>
        <row r="642">
          <cell r="C642" t="str">
            <v>134048</v>
          </cell>
          <cell r="D642" t="str">
            <v>Lê Đức Dũng</v>
          </cell>
          <cell r="E642" t="str">
            <v>Phân viện Radar - Viện NCPT</v>
          </cell>
          <cell r="F642" t="str">
            <v>Trung tâm nghiên cứu</v>
          </cell>
          <cell r="G642" t="str">
            <v>Phòng ô tô và cơ khí Ra đa</v>
          </cell>
          <cell r="H642" t="str">
            <v>Hợp đồng lao động</v>
          </cell>
          <cell r="I642" t="str">
            <v>Quân lực quản lý</v>
          </cell>
          <cell r="J642" t="str">
            <v>Trưởng phòng</v>
          </cell>
        </row>
        <row r="643">
          <cell r="C643" t="str">
            <v>170333</v>
          </cell>
          <cell r="D643" t="str">
            <v>Lê Duy Hùng</v>
          </cell>
          <cell r="E643" t="str">
            <v>Phân viện Radar - Viện NCPT</v>
          </cell>
          <cell r="F643" t="str">
            <v>Trung tâm nghiên cứu</v>
          </cell>
          <cell r="G643" t="str">
            <v>Phòng ô tô và cơ khí Ra đa</v>
          </cell>
          <cell r="H643" t="str">
            <v>Hợp đồng lao động</v>
          </cell>
          <cell r="I643" t="str">
            <v>Quân lực quản lý</v>
          </cell>
          <cell r="J643" t="str">
            <v>Kỹ sư cơ khí</v>
          </cell>
        </row>
        <row r="644">
          <cell r="C644" t="str">
            <v>179954</v>
          </cell>
          <cell r="D644" t="str">
            <v>Trịnh Xuân Trường</v>
          </cell>
          <cell r="E644" t="str">
            <v>Phân viện Radar - Viện NCPT</v>
          </cell>
          <cell r="F644" t="str">
            <v>Trung tâm nghiên cứu</v>
          </cell>
          <cell r="G644" t="str">
            <v>Phòng ô tô và cơ khí Ra đa</v>
          </cell>
          <cell r="H644" t="str">
            <v>Hợp đồng lao động</v>
          </cell>
          <cell r="I644" t="str">
            <v>Quân lực quản lý</v>
          </cell>
          <cell r="J644" t="str">
            <v>Kỹ sư cơ khí</v>
          </cell>
        </row>
        <row r="645">
          <cell r="C645" t="str">
            <v>184814</v>
          </cell>
          <cell r="D645" t="str">
            <v>Đinh Trọng Tình</v>
          </cell>
          <cell r="E645" t="str">
            <v>Phân viện Radar - Viện NCPT</v>
          </cell>
          <cell r="F645" t="str">
            <v>Trung tâm nghiên cứu</v>
          </cell>
          <cell r="G645" t="str">
            <v>Phòng ô tô và cơ khí Ra đa</v>
          </cell>
          <cell r="H645" t="str">
            <v>Hợp đồng lao động</v>
          </cell>
          <cell r="I645" t="str">
            <v>Quân lực quản lý</v>
          </cell>
          <cell r="J645" t="str">
            <v>Kỹ sư cơ khí</v>
          </cell>
        </row>
        <row r="646">
          <cell r="C646" t="str">
            <v>188453</v>
          </cell>
          <cell r="D646" t="str">
            <v>Nguyễn Hữu Hảo</v>
          </cell>
          <cell r="E646" t="str">
            <v>Phân viện Radar - Viện NCPT</v>
          </cell>
          <cell r="F646" t="str">
            <v>Trung tâm nghiên cứu</v>
          </cell>
          <cell r="G646" t="str">
            <v>Phòng ô tô và cơ khí Ra đa</v>
          </cell>
          <cell r="H646" t="str">
            <v>Hợp đồng lao động</v>
          </cell>
          <cell r="I646" t="str">
            <v>Quân lực quản lý</v>
          </cell>
          <cell r="J646" t="str">
            <v>Kỹ sư cơ khí</v>
          </cell>
        </row>
        <row r="647">
          <cell r="D647" t="str">
            <v>Phòng Điện và Tự động hóa</v>
          </cell>
        </row>
        <row r="648">
          <cell r="C648" t="str">
            <v>123195</v>
          </cell>
          <cell r="D648" t="str">
            <v>Nguyễn Quí Chinh</v>
          </cell>
          <cell r="E648" t="str">
            <v>Phân viện Radar - Viện NCPT</v>
          </cell>
          <cell r="F648" t="str">
            <v>Trung tâm nghiên cứu</v>
          </cell>
          <cell r="G648" t="str">
            <v>Phòng Điện và Tự động hóa</v>
          </cell>
          <cell r="H648" t="str">
            <v>Hợp đồng lao động</v>
          </cell>
          <cell r="I648" t="str">
            <v>Quân lực quản lý</v>
          </cell>
          <cell r="J648" t="str">
            <v>Trưởng phòng</v>
          </cell>
        </row>
        <row r="649">
          <cell r="C649" t="str">
            <v>139596</v>
          </cell>
          <cell r="D649" t="str">
            <v>Trần Tuấn Hải</v>
          </cell>
          <cell r="E649" t="str">
            <v>Phân viện Radar - Viện NCPT</v>
          </cell>
          <cell r="F649" t="str">
            <v>Trung tâm nghiên cứu</v>
          </cell>
          <cell r="G649" t="str">
            <v>Phòng Điện và Tự động hóa</v>
          </cell>
          <cell r="H649" t="str">
            <v>Hợp đồng lao động</v>
          </cell>
          <cell r="I649" t="str">
            <v>Quân lực quản lý</v>
          </cell>
          <cell r="J649" t="str">
            <v>Kỹ sư điện, động lực</v>
          </cell>
        </row>
        <row r="650">
          <cell r="C650" t="str">
            <v>148774</v>
          </cell>
          <cell r="D650" t="str">
            <v>Nguyễn Tiến Sơn</v>
          </cell>
          <cell r="E650" t="str">
            <v>Phân viện Radar - Viện NCPT</v>
          </cell>
          <cell r="F650" t="str">
            <v>Trung tâm nghiên cứu</v>
          </cell>
          <cell r="G650" t="str">
            <v>Phòng Điện và Tự động hóa</v>
          </cell>
          <cell r="H650" t="str">
            <v>Hợp đồng lao động</v>
          </cell>
          <cell r="I650" t="str">
            <v>Quân lực quản lý</v>
          </cell>
          <cell r="J650" t="str">
            <v>Kỹ sư điện, động lực</v>
          </cell>
        </row>
        <row r="651">
          <cell r="C651" t="str">
            <v>185515</v>
          </cell>
          <cell r="D651" t="str">
            <v>Nguyễn Thị Toàn</v>
          </cell>
          <cell r="E651" t="str">
            <v>Phân viện Radar - Viện NCPT</v>
          </cell>
          <cell r="F651" t="str">
            <v>Trung tâm nghiên cứu</v>
          </cell>
          <cell r="G651" t="str">
            <v>Phòng Điện và Tự động hóa</v>
          </cell>
          <cell r="H651" t="str">
            <v>Hợp đồng lao động</v>
          </cell>
          <cell r="I651" t="str">
            <v>Quân lực quản lý</v>
          </cell>
          <cell r="J651" t="str">
            <v>Kỹ sư điện, động lực</v>
          </cell>
        </row>
        <row r="652">
          <cell r="C652" t="str">
            <v>186955</v>
          </cell>
          <cell r="D652" t="str">
            <v>Nguyễn Huy Hùng</v>
          </cell>
          <cell r="E652" t="str">
            <v>Phân viện Radar - Viện NCPT</v>
          </cell>
          <cell r="F652" t="str">
            <v>Trung tâm nghiên cứu</v>
          </cell>
          <cell r="G652" t="str">
            <v>Phòng Điện và Tự động hóa</v>
          </cell>
          <cell r="H652" t="str">
            <v>Hợp đồng lao động</v>
          </cell>
          <cell r="I652" t="str">
            <v>Quân lực quản lý</v>
          </cell>
          <cell r="J652" t="str">
            <v>Kỹ sư tự động hóa</v>
          </cell>
        </row>
        <row r="653">
          <cell r="D653" t="str">
            <v>Trung tâm Anten</v>
          </cell>
        </row>
        <row r="654">
          <cell r="D654" t="str">
            <v>Ban Giám đốc</v>
          </cell>
        </row>
        <row r="655">
          <cell r="C655" t="str">
            <v>087322</v>
          </cell>
          <cell r="D655" t="str">
            <v>Nguyễn Thế Anh</v>
          </cell>
          <cell r="E655" t="str">
            <v>Phân viện Radar - Viện NCPT</v>
          </cell>
          <cell r="F655" t="str">
            <v>Trung tâm Anten</v>
          </cell>
          <cell r="G655" t="str">
            <v>Ban Giám đốc</v>
          </cell>
          <cell r="H655" t="str">
            <v>Hợp đồng lao động</v>
          </cell>
          <cell r="I655" t="str">
            <v>Quân lực quản lý</v>
          </cell>
          <cell r="J655" t="str">
            <v>Giám đốc</v>
          </cell>
        </row>
        <row r="656">
          <cell r="C656" t="str">
            <v>059525</v>
          </cell>
          <cell r="D656" t="str">
            <v>Lê Thị Hằng</v>
          </cell>
          <cell r="E656" t="str">
            <v>Phân viện Radar - Viện NCPT</v>
          </cell>
          <cell r="F656" t="str">
            <v>Trung tâm Anten</v>
          </cell>
          <cell r="G656" t="str">
            <v>Ban Giám đốc</v>
          </cell>
          <cell r="H656" t="str">
            <v>Hợp đồng lao động</v>
          </cell>
          <cell r="I656" t="str">
            <v>Quân lực quản lý</v>
          </cell>
          <cell r="J656" t="str">
            <v>Phó Giám đốc</v>
          </cell>
        </row>
        <row r="657">
          <cell r="D657" t="str">
            <v>Phòng thiết kế anten</v>
          </cell>
        </row>
        <row r="658">
          <cell r="C658" t="str">
            <v>099036</v>
          </cell>
          <cell r="D658" t="str">
            <v>Trần Hoàng Việt</v>
          </cell>
          <cell r="E658" t="str">
            <v>Phân viện Radar - Viện NCPT</v>
          </cell>
          <cell r="F658" t="str">
            <v>Trung tâm Anten</v>
          </cell>
          <cell r="G658" t="str">
            <v>Phòng thiết kế anten</v>
          </cell>
          <cell r="H658" t="str">
            <v>CNVQP</v>
          </cell>
          <cell r="I658" t="str">
            <v>Quân lực quản lý</v>
          </cell>
          <cell r="J658" t="str">
            <v>Trưởng phòng</v>
          </cell>
        </row>
        <row r="659">
          <cell r="C659" t="str">
            <v>087317</v>
          </cell>
          <cell r="D659" t="str">
            <v>Đinh Ngọc Việt Tùng</v>
          </cell>
          <cell r="E659" t="str">
            <v>Phân viện Radar - Viện NCPT</v>
          </cell>
          <cell r="F659" t="str">
            <v>Trung tâm Anten</v>
          </cell>
          <cell r="G659" t="str">
            <v>Phòng thiết kế anten</v>
          </cell>
          <cell r="H659" t="str">
            <v>Hợp đồng lao động</v>
          </cell>
          <cell r="I659" t="str">
            <v>Quân lực quản lý</v>
          </cell>
          <cell r="J659" t="str">
            <v>Kỹ sư thiết kế Anten</v>
          </cell>
        </row>
        <row r="660">
          <cell r="C660" t="str">
            <v>186818</v>
          </cell>
          <cell r="D660" t="str">
            <v>Nguyễn Mạnh Quyết</v>
          </cell>
          <cell r="E660" t="str">
            <v>Phân viện Radar - Viện NCPT</v>
          </cell>
          <cell r="F660" t="str">
            <v>Trung tâm Anten</v>
          </cell>
          <cell r="G660" t="str">
            <v>Phòng thiết kế anten</v>
          </cell>
          <cell r="H660" t="str">
            <v>Hợp đồng lao động</v>
          </cell>
          <cell r="I660" t="str">
            <v>Quân lực quản lý</v>
          </cell>
          <cell r="J660" t="str">
            <v>Kỹ sư thiết kế Anten</v>
          </cell>
        </row>
        <row r="661">
          <cell r="C661" t="str">
            <v>196094</v>
          </cell>
          <cell r="D661" t="str">
            <v>Nguyễn Nam Khánh</v>
          </cell>
          <cell r="E661" t="str">
            <v>Phân viện Radar - Viện NCPT</v>
          </cell>
          <cell r="F661" t="str">
            <v>Trung tâm Anten</v>
          </cell>
          <cell r="G661" t="str">
            <v>Phòng thiết kế anten</v>
          </cell>
          <cell r="H661" t="str">
            <v>Hợp đồng lao động</v>
          </cell>
          <cell r="I661" t="str">
            <v>Quân lực quản lý</v>
          </cell>
          <cell r="J661" t="str">
            <v>Kỹ sư thiết kế Anten</v>
          </cell>
        </row>
        <row r="662">
          <cell r="C662" t="str">
            <v>196095</v>
          </cell>
          <cell r="D662" t="str">
            <v>Nguyễn Đức Duy</v>
          </cell>
          <cell r="E662" t="str">
            <v>Phân viện Radar - Viện NCPT</v>
          </cell>
          <cell r="F662" t="str">
            <v>Trung tâm Anten</v>
          </cell>
          <cell r="G662" t="str">
            <v>Phòng thiết kế anten</v>
          </cell>
          <cell r="H662" t="str">
            <v>Hợp đồng lao động</v>
          </cell>
          <cell r="I662" t="str">
            <v>Quân lực quản lý</v>
          </cell>
          <cell r="J662" t="str">
            <v>Kỹ sư thiết kế Anten</v>
          </cell>
        </row>
        <row r="663">
          <cell r="C663" t="str">
            <v>197127</v>
          </cell>
          <cell r="D663" t="str">
            <v>Phạm Đình Toại</v>
          </cell>
          <cell r="E663" t="str">
            <v>Phân viện Radar - Viện NCPT</v>
          </cell>
          <cell r="F663" t="str">
            <v>Trung tâm Anten</v>
          </cell>
          <cell r="G663" t="str">
            <v>Phòng thiết kế anten</v>
          </cell>
          <cell r="H663" t="str">
            <v>Hợp đồng lao động</v>
          </cell>
          <cell r="I663" t="str">
            <v>Quân lực quản lý</v>
          </cell>
          <cell r="J663" t="str">
            <v>Kỹ sư thiết kế Anten</v>
          </cell>
        </row>
        <row r="664">
          <cell r="C664" t="str">
            <v>200453</v>
          </cell>
          <cell r="D664" t="str">
            <v>Tạ Đình Đức</v>
          </cell>
          <cell r="E664" t="str">
            <v>Phân viện Radar - Viện NCPT</v>
          </cell>
          <cell r="F664" t="str">
            <v>Trung tâm Anten</v>
          </cell>
          <cell r="G664" t="str">
            <v>Phòng thiết kế anten</v>
          </cell>
          <cell r="H664" t="str">
            <v>Hợp đồng lao động</v>
          </cell>
          <cell r="I664" t="str">
            <v>Quân lực quản lý</v>
          </cell>
          <cell r="J664" t="str">
            <v>Kỹ sư thiết kế Anten</v>
          </cell>
        </row>
        <row r="665">
          <cell r="C665" t="str">
            <v>204325</v>
          </cell>
          <cell r="D665" t="str">
            <v>Nguyễn Tất Thắng</v>
          </cell>
          <cell r="E665" t="str">
            <v>Phân viện Radar - Viện NCPT</v>
          </cell>
          <cell r="F665" t="str">
            <v>Trung tâm Anten</v>
          </cell>
          <cell r="G665" t="str">
            <v>Phòng thiết kế anten</v>
          </cell>
          <cell r="H665" t="str">
            <v>HĐ Thử việc</v>
          </cell>
          <cell r="I665" t="str">
            <v>Quân lực quản lý</v>
          </cell>
          <cell r="J665" t="str">
            <v>Kỹ sư thiết kế Anten</v>
          </cell>
        </row>
        <row r="666">
          <cell r="C666" t="str">
            <v>204428</v>
          </cell>
          <cell r="D666" t="str">
            <v>Dương Thanh Tuyền</v>
          </cell>
          <cell r="E666" t="str">
            <v>Phân viện Radar - Viện NCPT</v>
          </cell>
          <cell r="F666" t="str">
            <v>Trung tâm Anten</v>
          </cell>
          <cell r="G666" t="str">
            <v>Phòng thiết kế anten</v>
          </cell>
          <cell r="H666" t="str">
            <v>HĐ Thử việc</v>
          </cell>
          <cell r="I666" t="str">
            <v>Quân lực quản lý</v>
          </cell>
          <cell r="J666" t="str">
            <v>Kỹ sư thiết kế Anten</v>
          </cell>
        </row>
        <row r="667">
          <cell r="D667" t="str">
            <v>Phòng chế tạo và thử nghiệm anten</v>
          </cell>
        </row>
        <row r="668">
          <cell r="C668" t="str">
            <v>144353</v>
          </cell>
          <cell r="D668" t="str">
            <v>Hoàng Văn Sơn</v>
          </cell>
          <cell r="E668" t="str">
            <v>Phân viện Radar - Viện NCPT</v>
          </cell>
          <cell r="F668" t="str">
            <v>Trung tâm Anten</v>
          </cell>
          <cell r="G668" t="str">
            <v>Phòng chế tạo và thử nghiệm anten</v>
          </cell>
          <cell r="H668" t="str">
            <v>Hợp đồng lao động</v>
          </cell>
          <cell r="I668" t="str">
            <v>Quân lực quản lý</v>
          </cell>
          <cell r="J668" t="str">
            <v>Trưởng phòng</v>
          </cell>
        </row>
        <row r="669">
          <cell r="C669" t="str">
            <v>173333</v>
          </cell>
          <cell r="D669" t="str">
            <v>Nguyễn Văn Hải</v>
          </cell>
          <cell r="E669" t="str">
            <v>Phân viện Radar - Viện NCPT</v>
          </cell>
          <cell r="F669" t="str">
            <v>Trung tâm Anten</v>
          </cell>
          <cell r="G669" t="str">
            <v>Phòng chế tạo và thử nghiệm anten</v>
          </cell>
          <cell r="H669" t="str">
            <v>Hợp đồng lao động</v>
          </cell>
          <cell r="I669" t="str">
            <v>Quân lực quản lý</v>
          </cell>
          <cell r="J669" t="str">
            <v>Kỹ sư chế tạo Anten</v>
          </cell>
        </row>
        <row r="670">
          <cell r="D670" t="str">
            <v>Phòng đo kiểm anten</v>
          </cell>
        </row>
        <row r="671">
          <cell r="C671" t="str">
            <v>105757</v>
          </cell>
          <cell r="D671" t="str">
            <v>Nguyễn Hoài Sơn</v>
          </cell>
          <cell r="E671" t="str">
            <v>Phân viện Radar - Viện NCPT</v>
          </cell>
          <cell r="F671" t="str">
            <v>Trung tâm Anten</v>
          </cell>
          <cell r="G671" t="str">
            <v>Phòng đo kiểm anten</v>
          </cell>
          <cell r="H671" t="str">
            <v>Hợp đồng lao động</v>
          </cell>
          <cell r="I671" t="str">
            <v>Quân lực quản lý</v>
          </cell>
          <cell r="J671" t="str">
            <v>Kỹ sư đo kiểm anten</v>
          </cell>
        </row>
        <row r="672">
          <cell r="C672" t="str">
            <v>123199</v>
          </cell>
          <cell r="D672" t="str">
            <v>Bùi Tân Mẫn</v>
          </cell>
          <cell r="E672" t="str">
            <v>Phân viện Radar - Viện NCPT</v>
          </cell>
          <cell r="F672" t="str">
            <v>Trung tâm Anten</v>
          </cell>
          <cell r="G672" t="str">
            <v>Phòng đo kiểm anten</v>
          </cell>
          <cell r="H672" t="str">
            <v>Hợp đồng lao động</v>
          </cell>
          <cell r="I672" t="str">
            <v>Quân lực quản lý</v>
          </cell>
          <cell r="J672" t="str">
            <v>Kỹ sư đo kiểm anten</v>
          </cell>
        </row>
        <row r="673">
          <cell r="D673" t="str">
            <v>Phân viện Khí cụ bay - Viện NCPT</v>
          </cell>
        </row>
        <row r="674">
          <cell r="D674" t="str">
            <v>Ban Giám đốc</v>
          </cell>
        </row>
        <row r="675">
          <cell r="D675" t="str">
            <v>Thủ trưởng đơn vị</v>
          </cell>
        </row>
        <row r="676">
          <cell r="C676" t="str">
            <v>121348</v>
          </cell>
          <cell r="D676" t="str">
            <v>Nguyễn Tuấn Minh</v>
          </cell>
          <cell r="E676" t="str">
            <v>Phân viện Khí cụ bay - Viện NCPT</v>
          </cell>
          <cell r="F676" t="str">
            <v>Ban Giám đốc</v>
          </cell>
          <cell r="G676" t="str">
            <v>Thủ trưởng đơn vị</v>
          </cell>
          <cell r="H676" t="str">
            <v>Thượng tá</v>
          </cell>
          <cell r="I676" t="str">
            <v>Cán bộ quản lý</v>
          </cell>
          <cell r="J676" t="str">
            <v>Phó Giám đốc</v>
          </cell>
        </row>
        <row r="677">
          <cell r="D677" t="str">
            <v>Phòng Tổng hợp</v>
          </cell>
        </row>
        <row r="678">
          <cell r="D678" t="str">
            <v>Trợ lý nghiệp vụ</v>
          </cell>
        </row>
        <row r="679">
          <cell r="C679" t="str">
            <v>008887</v>
          </cell>
          <cell r="D679" t="str">
            <v>Nguyễn Quỳnh Nga</v>
          </cell>
          <cell r="E679" t="str">
            <v>Phân viện Khí cụ bay - Viện NCPT</v>
          </cell>
          <cell r="F679" t="str">
            <v>Phòng Tổng hợp</v>
          </cell>
          <cell r="G679" t="str">
            <v>Trợ lý nghiệp vụ</v>
          </cell>
          <cell r="H679" t="str">
            <v>Hợp đồng lao động</v>
          </cell>
          <cell r="I679" t="str">
            <v>Quân lực quản lý</v>
          </cell>
          <cell r="J679" t="str">
            <v>Nhân viên Đầu tư</v>
          </cell>
        </row>
        <row r="680">
          <cell r="C680" t="str">
            <v>045096</v>
          </cell>
          <cell r="D680" t="str">
            <v>Nguyễn Thị Thúy Hà</v>
          </cell>
          <cell r="E680" t="str">
            <v>Phân viện Khí cụ bay - Viện NCPT</v>
          </cell>
          <cell r="F680" t="str">
            <v>Phòng Tổng hợp</v>
          </cell>
          <cell r="G680" t="str">
            <v>Trợ lý nghiệp vụ</v>
          </cell>
          <cell r="H680" t="str">
            <v>Thiếu tá CN</v>
          </cell>
          <cell r="I680" t="str">
            <v>Quân lực quản lý</v>
          </cell>
          <cell r="J680" t="str">
            <v>Kế toán</v>
          </cell>
        </row>
        <row r="681">
          <cell r="C681" t="str">
            <v>056953</v>
          </cell>
          <cell r="D681" t="str">
            <v>Trần Thị Bích Hồng</v>
          </cell>
          <cell r="E681" t="str">
            <v>Phân viện Khí cụ bay - Viện NCPT</v>
          </cell>
          <cell r="F681" t="str">
            <v>Phòng Tổng hợp</v>
          </cell>
          <cell r="G681" t="str">
            <v>Trợ lý nghiệp vụ</v>
          </cell>
          <cell r="H681" t="str">
            <v>Hợp đồng lao động</v>
          </cell>
          <cell r="I681" t="str">
            <v>Quân lực quản lý</v>
          </cell>
          <cell r="J681" t="str">
            <v>Nhân viên kế hoạch</v>
          </cell>
        </row>
        <row r="682">
          <cell r="C682" t="str">
            <v>199779</v>
          </cell>
          <cell r="D682" t="str">
            <v>Nguyễn Vĩnh Thành</v>
          </cell>
          <cell r="E682" t="str">
            <v>Phân viện Khí cụ bay - Viện NCPT</v>
          </cell>
          <cell r="F682" t="str">
            <v>Phòng Tổng hợp</v>
          </cell>
          <cell r="G682" t="str">
            <v>Trợ lý nghiệp vụ</v>
          </cell>
          <cell r="H682" t="str">
            <v>Hợp đồng lao động</v>
          </cell>
          <cell r="I682" t="str">
            <v>Quân lực quản lý</v>
          </cell>
          <cell r="J682" t="str">
            <v>Nhân viên hành chính tổng hợp</v>
          </cell>
        </row>
        <row r="683">
          <cell r="D683" t="str">
            <v>Trung tâm UAV</v>
          </cell>
        </row>
        <row r="684">
          <cell r="D684" t="str">
            <v>Ban Giám đốc</v>
          </cell>
        </row>
        <row r="685">
          <cell r="C685" t="str">
            <v>099596</v>
          </cell>
          <cell r="D685" t="str">
            <v>Đỗ Văn Lập</v>
          </cell>
          <cell r="E685" t="str">
            <v>Phân viện Khí cụ bay - Viện NCPT</v>
          </cell>
          <cell r="F685" t="str">
            <v>Trung tâm UAV</v>
          </cell>
          <cell r="G685" t="str">
            <v>Ban Giám đốc</v>
          </cell>
          <cell r="H685" t="str">
            <v>Đại tá NLL1</v>
          </cell>
          <cell r="I685" t="str">
            <v>Cán bộ quản lý</v>
          </cell>
          <cell r="J685" t="str">
            <v>Giám đốc</v>
          </cell>
        </row>
        <row r="686">
          <cell r="C686" t="str">
            <v>123139</v>
          </cell>
          <cell r="D686" t="str">
            <v>Nguyễn Lê Minh</v>
          </cell>
          <cell r="E686" t="str">
            <v>Phân viện Khí cụ bay - Viện NCPT</v>
          </cell>
          <cell r="F686" t="str">
            <v>Trung tâm UAV</v>
          </cell>
          <cell r="G686" t="str">
            <v>Ban Giám đốc</v>
          </cell>
          <cell r="H686" t="str">
            <v>Hợp đồng lao động</v>
          </cell>
          <cell r="I686" t="str">
            <v>Quân lực quản lý</v>
          </cell>
          <cell r="J686" t="str">
            <v>Giám đốc</v>
          </cell>
        </row>
        <row r="687">
          <cell r="C687" t="str">
            <v>123710</v>
          </cell>
          <cell r="D687" t="str">
            <v>Phạm Đức Toàn</v>
          </cell>
          <cell r="E687" t="str">
            <v>Phân viện Khí cụ bay - Viện NCPT</v>
          </cell>
          <cell r="F687" t="str">
            <v>Trung tâm UAV</v>
          </cell>
          <cell r="G687" t="str">
            <v>Ban Giám đốc</v>
          </cell>
          <cell r="H687" t="str">
            <v>Hợp đồng lao động</v>
          </cell>
          <cell r="I687" t="str">
            <v>Quân lực quản lý</v>
          </cell>
          <cell r="J687" t="str">
            <v>Phó Giám đốc</v>
          </cell>
        </row>
        <row r="688">
          <cell r="D688" t="str">
            <v>Phòng Thiết kế Khí động và Động lực</v>
          </cell>
        </row>
        <row r="689">
          <cell r="C689" t="str">
            <v>122589</v>
          </cell>
          <cell r="D689" t="str">
            <v>Phan Xuân Tùng</v>
          </cell>
          <cell r="E689" t="str">
            <v>Phân viện Khí cụ bay - Viện NCPT</v>
          </cell>
          <cell r="F689" t="str">
            <v>Trung tâm UAV</v>
          </cell>
          <cell r="G689" t="str">
            <v>Phòng Thiết kế Khí động và Động lực</v>
          </cell>
          <cell r="H689" t="str">
            <v>Hợp đồng lao động</v>
          </cell>
          <cell r="I689" t="str">
            <v>Quân lực quản lý</v>
          </cell>
          <cell r="J689" t="str">
            <v>Trưởng phòng</v>
          </cell>
        </row>
        <row r="690">
          <cell r="C690" t="str">
            <v>163573</v>
          </cell>
          <cell r="D690" t="str">
            <v>Bùi Vinh Bình</v>
          </cell>
          <cell r="E690" t="str">
            <v>Phân viện Khí cụ bay - Viện NCPT</v>
          </cell>
          <cell r="F690" t="str">
            <v>Trung tâm UAV</v>
          </cell>
          <cell r="G690" t="str">
            <v>Phòng Thiết kế Khí động và Động lực</v>
          </cell>
          <cell r="H690" t="str">
            <v>Hợp đồng lao động</v>
          </cell>
          <cell r="I690" t="str">
            <v>Quân lực quản lý</v>
          </cell>
          <cell r="J690" t="str">
            <v>Kỹ sư Kỹ thuật hàng không</v>
          </cell>
        </row>
        <row r="691">
          <cell r="C691" t="str">
            <v>163593</v>
          </cell>
          <cell r="D691" t="str">
            <v>Hoàng Đức Minh</v>
          </cell>
          <cell r="E691" t="str">
            <v>Phân viện Khí cụ bay - Viện NCPT</v>
          </cell>
          <cell r="F691" t="str">
            <v>Trung tâm UAV</v>
          </cell>
          <cell r="G691" t="str">
            <v>Phòng Thiết kế Khí động và Động lực</v>
          </cell>
          <cell r="H691" t="str">
            <v>Hợp đồng lao động</v>
          </cell>
          <cell r="I691" t="str">
            <v>Quân lực quản lý</v>
          </cell>
          <cell r="J691" t="str">
            <v>Kỹ sư Kỹ thuật hàng không</v>
          </cell>
        </row>
        <row r="692">
          <cell r="C692" t="str">
            <v>164994</v>
          </cell>
          <cell r="D692" t="str">
            <v>Nguyễn Thiên Bách</v>
          </cell>
          <cell r="E692" t="str">
            <v>Phân viện Khí cụ bay - Viện NCPT</v>
          </cell>
          <cell r="F692" t="str">
            <v>Trung tâm UAV</v>
          </cell>
          <cell r="G692" t="str">
            <v>Phòng Thiết kế Khí động và Động lực</v>
          </cell>
          <cell r="H692" t="str">
            <v>Hợp đồng lao động</v>
          </cell>
          <cell r="I692" t="str">
            <v>Quân lực quản lý</v>
          </cell>
          <cell r="J692" t="str">
            <v>Kỹ sư cơ khí</v>
          </cell>
        </row>
        <row r="693">
          <cell r="C693" t="str">
            <v>187734</v>
          </cell>
          <cell r="D693" t="str">
            <v>Trần Đình Thắng</v>
          </cell>
          <cell r="E693" t="str">
            <v>Phân viện Khí cụ bay - Viện NCPT</v>
          </cell>
          <cell r="F693" t="str">
            <v>Trung tâm UAV</v>
          </cell>
          <cell r="G693" t="str">
            <v>Phòng Thiết kế Khí động và Động lực</v>
          </cell>
          <cell r="H693" t="str">
            <v>Thượng úy</v>
          </cell>
          <cell r="I693" t="str">
            <v>Cán bộ quản lý</v>
          </cell>
          <cell r="J693" t="str">
            <v>Kỹ sư Kỹ thuật hàng không</v>
          </cell>
        </row>
        <row r="694">
          <cell r="C694" t="str">
            <v>196093</v>
          </cell>
          <cell r="D694" t="str">
            <v>Tạ Đình Giáp</v>
          </cell>
          <cell r="E694" t="str">
            <v>Phân viện Khí cụ bay - Viện NCPT</v>
          </cell>
          <cell r="F694" t="str">
            <v>Trung tâm UAV</v>
          </cell>
          <cell r="G694" t="str">
            <v>Phòng Thiết kế Khí động và Động lực</v>
          </cell>
          <cell r="H694" t="str">
            <v>Hợp đồng lao động</v>
          </cell>
          <cell r="I694" t="str">
            <v>Quân lực quản lý</v>
          </cell>
          <cell r="J694" t="str">
            <v>Kỹ sư cơ khí</v>
          </cell>
        </row>
        <row r="695">
          <cell r="C695" t="str">
            <v>196903</v>
          </cell>
          <cell r="D695" t="str">
            <v>Lưu Quốc Khánh</v>
          </cell>
          <cell r="E695" t="str">
            <v>Phân viện Khí cụ bay - Viện NCPT</v>
          </cell>
          <cell r="F695" t="str">
            <v>Trung tâm UAV</v>
          </cell>
          <cell r="G695" t="str">
            <v>Phòng Thiết kế Khí động và Động lực</v>
          </cell>
          <cell r="H695" t="str">
            <v>Hợp đồng lao động</v>
          </cell>
          <cell r="I695" t="str">
            <v>Quân lực quản lý</v>
          </cell>
          <cell r="J695" t="str">
            <v>Kỹ sư cơ khí</v>
          </cell>
        </row>
        <row r="696">
          <cell r="D696" t="str">
            <v xml:space="preserve">Phòng Kết cấu và Công nghệ  Vật Liệu </v>
          </cell>
        </row>
        <row r="697">
          <cell r="C697" t="str">
            <v>123123</v>
          </cell>
          <cell r="D697" t="str">
            <v>Trần Anh Tuấn</v>
          </cell>
          <cell r="E697" t="str">
            <v>Phân viện Khí cụ bay - Viện NCPT</v>
          </cell>
          <cell r="F697" t="str">
            <v>Trung tâm UAV</v>
          </cell>
          <cell r="G697" t="str">
            <v xml:space="preserve">Phòng Kết cấu và Công nghệ  Vật Liệu </v>
          </cell>
          <cell r="H697" t="str">
            <v>Hợp đồng lao động</v>
          </cell>
          <cell r="I697" t="str">
            <v>Quân lực quản lý</v>
          </cell>
          <cell r="J697" t="str">
            <v>Trưởng phòng</v>
          </cell>
        </row>
        <row r="698">
          <cell r="C698" t="str">
            <v>139593</v>
          </cell>
          <cell r="D698" t="str">
            <v>Trần Quyết Thắng</v>
          </cell>
          <cell r="E698" t="str">
            <v>Phân viện Khí cụ bay - Viện NCPT</v>
          </cell>
          <cell r="F698" t="str">
            <v>Trung tâm UAV</v>
          </cell>
          <cell r="G698" t="str">
            <v xml:space="preserve">Phòng Kết cấu và Công nghệ  Vật Liệu </v>
          </cell>
          <cell r="H698" t="str">
            <v>Hợp đồng lao động</v>
          </cell>
          <cell r="I698" t="str">
            <v>Quân lực quản lý</v>
          </cell>
          <cell r="J698" t="str">
            <v>Kỹ sư vật liệu</v>
          </cell>
        </row>
        <row r="699">
          <cell r="C699" t="str">
            <v>164993</v>
          </cell>
          <cell r="D699" t="str">
            <v>Nguyễn Quyết</v>
          </cell>
          <cell r="E699" t="str">
            <v>Phân viện Khí cụ bay - Viện NCPT</v>
          </cell>
          <cell r="F699" t="str">
            <v>Trung tâm UAV</v>
          </cell>
          <cell r="G699" t="str">
            <v xml:space="preserve">Phòng Kết cấu và Công nghệ  Vật Liệu </v>
          </cell>
          <cell r="H699" t="str">
            <v>Hợp đồng lao động</v>
          </cell>
          <cell r="I699" t="str">
            <v>Quân lực quản lý</v>
          </cell>
          <cell r="J699" t="str">
            <v>Kỹ sư cơ khí</v>
          </cell>
        </row>
        <row r="700">
          <cell r="C700" t="str">
            <v>187714</v>
          </cell>
          <cell r="D700" t="str">
            <v>Đỗ Văn Phương</v>
          </cell>
          <cell r="E700" t="str">
            <v>Phân viện Khí cụ bay - Viện NCPT</v>
          </cell>
          <cell r="F700" t="str">
            <v>Trung tâm UAV</v>
          </cell>
          <cell r="G700" t="str">
            <v xml:space="preserve">Phòng Kết cấu và Công nghệ  Vật Liệu </v>
          </cell>
          <cell r="H700" t="str">
            <v>Thượng úy</v>
          </cell>
          <cell r="I700" t="str">
            <v>Cán bộ quản lý</v>
          </cell>
          <cell r="J700" t="str">
            <v>Kỹ sư kết cấu</v>
          </cell>
        </row>
        <row r="701">
          <cell r="C701" t="str">
            <v>188374</v>
          </cell>
          <cell r="D701" t="str">
            <v>Phạm Thị Huyền</v>
          </cell>
          <cell r="E701" t="str">
            <v>Phân viện Khí cụ bay - Viện NCPT</v>
          </cell>
          <cell r="F701" t="str">
            <v>Trung tâm UAV</v>
          </cell>
          <cell r="G701" t="str">
            <v xml:space="preserve">Phòng Kết cấu và Công nghệ  Vật Liệu </v>
          </cell>
          <cell r="H701" t="str">
            <v>Hợp đồng lao động</v>
          </cell>
          <cell r="I701" t="str">
            <v>Quân lực quản lý</v>
          </cell>
          <cell r="J701" t="str">
            <v>Kỹ sư vật liệu</v>
          </cell>
        </row>
        <row r="702">
          <cell r="D702" t="str">
            <v>Phòng Phát triển phần mềm bay</v>
          </cell>
        </row>
        <row r="703">
          <cell r="C703" t="str">
            <v>053372</v>
          </cell>
          <cell r="D703" t="str">
            <v>Đỗ Lý Thanh Tùng</v>
          </cell>
          <cell r="E703" t="str">
            <v>Phân viện Khí cụ bay - Viện NCPT</v>
          </cell>
          <cell r="F703" t="str">
            <v>Trung tâm UAV</v>
          </cell>
          <cell r="G703" t="str">
            <v>Phòng Phát triển phần mềm bay</v>
          </cell>
          <cell r="H703" t="str">
            <v>Hợp đồng lao động</v>
          </cell>
          <cell r="I703" t="str">
            <v>Quân lực quản lý</v>
          </cell>
          <cell r="J703" t="str">
            <v>Trưởng phòng</v>
          </cell>
        </row>
        <row r="704">
          <cell r="C704" t="str">
            <v>137608</v>
          </cell>
          <cell r="D704" t="str">
            <v>Nguyễn Hữu Hải</v>
          </cell>
          <cell r="E704" t="str">
            <v>Phân viện Khí cụ bay - Viện NCPT</v>
          </cell>
          <cell r="F704" t="str">
            <v>Trung tâm UAV</v>
          </cell>
          <cell r="G704" t="str">
            <v>Phòng Phát triển phần mềm bay</v>
          </cell>
          <cell r="H704" t="str">
            <v>Hợp đồng lao động</v>
          </cell>
          <cell r="I704" t="str">
            <v>Quân lực quản lý</v>
          </cell>
          <cell r="J704" t="str">
            <v>Trưởng nhóm</v>
          </cell>
        </row>
        <row r="705">
          <cell r="C705" t="str">
            <v>057755</v>
          </cell>
          <cell r="D705" t="str">
            <v>Đinh Khánh Hà</v>
          </cell>
          <cell r="E705" t="str">
            <v>Phân viện Khí cụ bay - Viện NCPT</v>
          </cell>
          <cell r="F705" t="str">
            <v>Trung tâm UAV</v>
          </cell>
          <cell r="G705" t="str">
            <v>Phòng Phát triển phần mềm bay</v>
          </cell>
          <cell r="H705" t="str">
            <v>Hợp đồng lao động</v>
          </cell>
          <cell r="I705" t="str">
            <v>Quân lực quản lý</v>
          </cell>
          <cell r="J705" t="str">
            <v>Kỹ sư thiết kế phần mềm</v>
          </cell>
        </row>
        <row r="706">
          <cell r="C706" t="str">
            <v>137612</v>
          </cell>
          <cell r="D706" t="str">
            <v>Nguyễn Quốc Huy</v>
          </cell>
          <cell r="E706" t="str">
            <v>Phân viện Khí cụ bay - Viện NCPT</v>
          </cell>
          <cell r="F706" t="str">
            <v>Trung tâm UAV</v>
          </cell>
          <cell r="G706" t="str">
            <v>Phòng Phát triển phần mềm bay</v>
          </cell>
          <cell r="H706" t="str">
            <v>Hợp đồng lao động</v>
          </cell>
          <cell r="I706" t="str">
            <v>Quân lực quản lý</v>
          </cell>
          <cell r="J706" t="str">
            <v>Kỹ sư Kỹ thuật điều khiển</v>
          </cell>
        </row>
        <row r="707">
          <cell r="C707" t="str">
            <v>164982</v>
          </cell>
          <cell r="D707" t="str">
            <v>Nguyễn Văn Tuấn</v>
          </cell>
          <cell r="E707" t="str">
            <v>Phân viện Khí cụ bay - Viện NCPT</v>
          </cell>
          <cell r="F707" t="str">
            <v>Trung tâm UAV</v>
          </cell>
          <cell r="G707" t="str">
            <v>Phòng Phát triển phần mềm bay</v>
          </cell>
          <cell r="H707" t="str">
            <v>Hợp đồng lao động</v>
          </cell>
          <cell r="I707" t="str">
            <v>Quân lực quản lý</v>
          </cell>
          <cell r="J707" t="str">
            <v>Kỹ sư Kỹ thuật điều khiển</v>
          </cell>
        </row>
        <row r="708">
          <cell r="C708" t="str">
            <v>194751</v>
          </cell>
          <cell r="D708" t="str">
            <v>Chu Đức Anh</v>
          </cell>
          <cell r="E708" t="str">
            <v>Phân viện Khí cụ bay - Viện NCPT</v>
          </cell>
          <cell r="F708" t="str">
            <v>Trung tâm UAV</v>
          </cell>
          <cell r="G708" t="str">
            <v>Phòng Phát triển phần mềm bay</v>
          </cell>
          <cell r="H708" t="str">
            <v>Hợp đồng lao động</v>
          </cell>
          <cell r="I708" t="str">
            <v>Quân lực quản lý</v>
          </cell>
          <cell r="J708" t="str">
            <v>Kỹ sư Kỹ thuật điều khiển</v>
          </cell>
        </row>
        <row r="709">
          <cell r="D709" t="str">
            <v>Phòng Phát triển phần mềm ứng dụng</v>
          </cell>
        </row>
        <row r="710">
          <cell r="C710" t="str">
            <v>130932</v>
          </cell>
          <cell r="D710" t="str">
            <v>Trương Tuấn Mạnh</v>
          </cell>
          <cell r="E710" t="str">
            <v>Phân viện Khí cụ bay - Viện NCPT</v>
          </cell>
          <cell r="F710" t="str">
            <v>Trung tâm UAV</v>
          </cell>
          <cell r="G710" t="str">
            <v>Phòng Phát triển phần mềm ứng dụng</v>
          </cell>
          <cell r="H710" t="str">
            <v>Hợp đồng lao động</v>
          </cell>
          <cell r="I710" t="str">
            <v>Quân lực quản lý</v>
          </cell>
          <cell r="J710" t="str">
            <v>Trưởng nhóm</v>
          </cell>
        </row>
        <row r="711">
          <cell r="C711" t="str">
            <v>122222</v>
          </cell>
          <cell r="D711" t="str">
            <v>Nguyễn Thanh Đông</v>
          </cell>
          <cell r="E711" t="str">
            <v>Phân viện Khí cụ bay - Viện NCPT</v>
          </cell>
          <cell r="F711" t="str">
            <v>Trung tâm UAV</v>
          </cell>
          <cell r="G711" t="str">
            <v>Phòng Phát triển phần mềm ứng dụng</v>
          </cell>
          <cell r="H711" t="str">
            <v>Hợp đồng lao động</v>
          </cell>
          <cell r="I711" t="str">
            <v>Quân lực quản lý</v>
          </cell>
          <cell r="J711" t="str">
            <v>Kỹ sư lập trình</v>
          </cell>
        </row>
        <row r="712">
          <cell r="C712" t="str">
            <v>191793</v>
          </cell>
          <cell r="D712" t="str">
            <v>Bùi Trung Hiếu</v>
          </cell>
          <cell r="E712" t="str">
            <v>Phân viện Khí cụ bay - Viện NCPT</v>
          </cell>
          <cell r="F712" t="str">
            <v>Trung tâm UAV</v>
          </cell>
          <cell r="G712" t="str">
            <v>Phòng Phát triển phần mềm ứng dụng</v>
          </cell>
          <cell r="H712" t="str">
            <v>Hợp đồng lao động</v>
          </cell>
          <cell r="I712" t="str">
            <v>Quân lực quản lý</v>
          </cell>
          <cell r="J712" t="str">
            <v>Kỹ sư lập trình</v>
          </cell>
        </row>
        <row r="713">
          <cell r="D713" t="str">
            <v>Phòng Thiết kế phần cứng</v>
          </cell>
        </row>
        <row r="714">
          <cell r="C714" t="str">
            <v>116282</v>
          </cell>
          <cell r="D714" t="str">
            <v>Trần Bá Quỳnh</v>
          </cell>
          <cell r="E714" t="str">
            <v>Phân viện Khí cụ bay - Viện NCPT</v>
          </cell>
          <cell r="F714" t="str">
            <v>Trung tâm UAV</v>
          </cell>
          <cell r="G714" t="str">
            <v>Phòng Thiết kế phần cứng</v>
          </cell>
          <cell r="H714" t="str">
            <v>Hợp đồng lao động</v>
          </cell>
          <cell r="I714" t="str">
            <v>Quân lực quản lý</v>
          </cell>
          <cell r="J714" t="str">
            <v>Trưởng phòng</v>
          </cell>
        </row>
        <row r="715">
          <cell r="C715" t="str">
            <v>109842</v>
          </cell>
          <cell r="D715" t="str">
            <v>Nguyễn Văn Trường</v>
          </cell>
          <cell r="E715" t="str">
            <v>Phân viện Khí cụ bay - Viện NCPT</v>
          </cell>
          <cell r="F715" t="str">
            <v>Trung tâm UAV</v>
          </cell>
          <cell r="G715" t="str">
            <v>Phòng Thiết kế phần cứng</v>
          </cell>
          <cell r="H715" t="str">
            <v>Hợp đồng lao động</v>
          </cell>
          <cell r="I715" t="str">
            <v>Quân lực quản lý</v>
          </cell>
          <cell r="J715" t="str">
            <v>Phó Trưởng phòng</v>
          </cell>
        </row>
        <row r="716">
          <cell r="C716" t="str">
            <v>121860</v>
          </cell>
          <cell r="D716" t="str">
            <v>Nguyễn Tiến Trường</v>
          </cell>
          <cell r="E716" t="str">
            <v>Phân viện Khí cụ bay - Viện NCPT</v>
          </cell>
          <cell r="F716" t="str">
            <v>Trung tâm UAV</v>
          </cell>
          <cell r="G716" t="str">
            <v>Phòng Thiết kế phần cứng</v>
          </cell>
          <cell r="H716" t="str">
            <v>Hợp đồng lao động</v>
          </cell>
          <cell r="I716" t="str">
            <v>Quân lực quản lý</v>
          </cell>
          <cell r="J716" t="str">
            <v>Kỹ sư thiết kế phần cứng</v>
          </cell>
        </row>
        <row r="717">
          <cell r="C717" t="str">
            <v>165015</v>
          </cell>
          <cell r="D717" t="str">
            <v>Ngô Lê Nhật Minh</v>
          </cell>
          <cell r="E717" t="str">
            <v>Phân viện Khí cụ bay - Viện NCPT</v>
          </cell>
          <cell r="F717" t="str">
            <v>Trung tâm UAV</v>
          </cell>
          <cell r="G717" t="str">
            <v>Phòng Thiết kế phần cứng</v>
          </cell>
          <cell r="H717" t="str">
            <v>Hợp đồng lao động</v>
          </cell>
          <cell r="I717" t="str">
            <v>Quân lực quản lý</v>
          </cell>
          <cell r="J717" t="str">
            <v>Kỹ sư thiết kế FPGA</v>
          </cell>
        </row>
        <row r="718">
          <cell r="C718" t="str">
            <v>165018</v>
          </cell>
          <cell r="D718" t="str">
            <v>Đàm Mạnh Cường</v>
          </cell>
          <cell r="E718" t="str">
            <v>Phân viện Khí cụ bay - Viện NCPT</v>
          </cell>
          <cell r="F718" t="str">
            <v>Trung tâm UAV</v>
          </cell>
          <cell r="G718" t="str">
            <v>Phòng Thiết kế phần cứng</v>
          </cell>
          <cell r="H718" t="str">
            <v>Hợp đồng lao động</v>
          </cell>
          <cell r="I718" t="str">
            <v>Quân lực quản lý</v>
          </cell>
          <cell r="J718" t="str">
            <v>Kỹ sư thiết kế phần cứng</v>
          </cell>
        </row>
        <row r="719">
          <cell r="D719" t="str">
            <v>Phòng Kỹ thuật vô tuyến và bảo mật</v>
          </cell>
        </row>
        <row r="720">
          <cell r="C720" t="str">
            <v>109338</v>
          </cell>
          <cell r="D720" t="str">
            <v>Vũ Anh Hải</v>
          </cell>
          <cell r="E720" t="str">
            <v>Phân viện Khí cụ bay - Viện NCPT</v>
          </cell>
          <cell r="F720" t="str">
            <v>Trung tâm UAV</v>
          </cell>
          <cell r="G720" t="str">
            <v>Phòng Kỹ thuật vô tuyến và bảo mật</v>
          </cell>
          <cell r="H720" t="str">
            <v>Hợp đồng lao động</v>
          </cell>
          <cell r="I720" t="str">
            <v>Quân lực quản lý</v>
          </cell>
          <cell r="J720" t="str">
            <v>Trưởng nhóm</v>
          </cell>
        </row>
        <row r="721">
          <cell r="C721" t="str">
            <v>107117</v>
          </cell>
          <cell r="D721" t="str">
            <v>Nguyễn Như Khánh</v>
          </cell>
          <cell r="E721" t="str">
            <v>Phân viện Khí cụ bay - Viện NCPT</v>
          </cell>
          <cell r="F721" t="str">
            <v>Trung tâm UAV</v>
          </cell>
          <cell r="G721" t="str">
            <v>Phòng Kỹ thuật vô tuyến và bảo mật</v>
          </cell>
          <cell r="H721" t="str">
            <v>Hợp đồng lao động</v>
          </cell>
          <cell r="I721" t="str">
            <v>Quân lực quản lý</v>
          </cell>
          <cell r="J721" t="str">
            <v>Kỹ sư thiết kế phần cứng cao tần</v>
          </cell>
        </row>
        <row r="722">
          <cell r="C722" t="str">
            <v>132790</v>
          </cell>
          <cell r="D722" t="str">
            <v>Nguyễn Thành Vũ</v>
          </cell>
          <cell r="E722" t="str">
            <v>Phân viện Khí cụ bay - Viện NCPT</v>
          </cell>
          <cell r="F722" t="str">
            <v>Trung tâm UAV</v>
          </cell>
          <cell r="G722" t="str">
            <v>Phòng Kỹ thuật vô tuyến và bảo mật</v>
          </cell>
          <cell r="H722" t="str">
            <v>Hợp đồng lao động</v>
          </cell>
          <cell r="I722" t="str">
            <v>Quân lực quản lý</v>
          </cell>
          <cell r="J722" t="str">
            <v>Kỹ sư thiết kế phần cứng cao tần</v>
          </cell>
        </row>
        <row r="723">
          <cell r="D723" t="str">
            <v xml:space="preserve">Phòng tích hợp và bay thử </v>
          </cell>
        </row>
        <row r="724">
          <cell r="C724" t="str">
            <v>114498</v>
          </cell>
          <cell r="D724" t="str">
            <v>Chu Bá Lâm</v>
          </cell>
          <cell r="E724" t="str">
            <v>Phân viện Khí cụ bay - Viện NCPT</v>
          </cell>
          <cell r="F724" t="str">
            <v>Trung tâm UAV</v>
          </cell>
          <cell r="G724" t="str">
            <v xml:space="preserve">Phòng tích hợp và bay thử </v>
          </cell>
          <cell r="H724" t="str">
            <v>Hợp đồng lao động</v>
          </cell>
          <cell r="I724" t="str">
            <v>Quân lực quản lý</v>
          </cell>
          <cell r="J724" t="str">
            <v>Trưởng nhóm</v>
          </cell>
        </row>
        <row r="725">
          <cell r="C725" t="str">
            <v>087321</v>
          </cell>
          <cell r="D725" t="str">
            <v>Phạm Thế Thính</v>
          </cell>
          <cell r="E725" t="str">
            <v>Phân viện Khí cụ bay - Viện NCPT</v>
          </cell>
          <cell r="F725" t="str">
            <v>Trung tâm UAV</v>
          </cell>
          <cell r="G725" t="str">
            <v xml:space="preserve">Phòng tích hợp và bay thử </v>
          </cell>
          <cell r="H725" t="str">
            <v>Hợp đồng lao động</v>
          </cell>
          <cell r="I725" t="str">
            <v>Quân lực quản lý</v>
          </cell>
          <cell r="J725" t="str">
            <v>Kỹ sư Điện tử viễn thông</v>
          </cell>
        </row>
        <row r="726">
          <cell r="C726" t="str">
            <v>100598</v>
          </cell>
          <cell r="D726" t="str">
            <v>Hà Hùng Việt</v>
          </cell>
          <cell r="E726" t="str">
            <v>Phân viện Khí cụ bay - Viện NCPT</v>
          </cell>
          <cell r="F726" t="str">
            <v>Trung tâm UAV</v>
          </cell>
          <cell r="G726" t="str">
            <v xml:space="preserve">Phòng tích hợp và bay thử </v>
          </cell>
          <cell r="H726" t="str">
            <v>Hợp đồng lao động</v>
          </cell>
          <cell r="I726" t="str">
            <v>Quân lực quản lý</v>
          </cell>
          <cell r="J726" t="str">
            <v>Kỹ sư Thiết bị điện - điện tử</v>
          </cell>
        </row>
        <row r="727">
          <cell r="C727" t="str">
            <v>102605</v>
          </cell>
          <cell r="D727" t="str">
            <v>Trần Đức Long</v>
          </cell>
          <cell r="E727" t="str">
            <v>Phân viện Khí cụ bay - Viện NCPT</v>
          </cell>
          <cell r="F727" t="str">
            <v>Trung tâm UAV</v>
          </cell>
          <cell r="G727" t="str">
            <v xml:space="preserve">Phòng tích hợp và bay thử </v>
          </cell>
          <cell r="H727" t="str">
            <v>Hợp đồng lao động</v>
          </cell>
          <cell r="I727" t="str">
            <v>Quân lực quản lý</v>
          </cell>
          <cell r="J727" t="str">
            <v>Kỹ sư Điện tử viễn thông</v>
          </cell>
        </row>
        <row r="728">
          <cell r="C728" t="str">
            <v>102876</v>
          </cell>
          <cell r="D728" t="str">
            <v>Bùi Minh Hải</v>
          </cell>
          <cell r="E728" t="str">
            <v>Phân viện Khí cụ bay - Viện NCPT</v>
          </cell>
          <cell r="F728" t="str">
            <v>Trung tâm UAV</v>
          </cell>
          <cell r="G728" t="str">
            <v xml:space="preserve">Phòng tích hợp và bay thử </v>
          </cell>
          <cell r="H728" t="str">
            <v>Hợp đồng lao động</v>
          </cell>
          <cell r="I728" t="str">
            <v>Quân lực quản lý</v>
          </cell>
          <cell r="J728" t="str">
            <v>Kỹ sư Điện tử viễn thông</v>
          </cell>
        </row>
        <row r="729">
          <cell r="C729" t="str">
            <v>137613</v>
          </cell>
          <cell r="D729" t="str">
            <v>Đoàn Anh Đức</v>
          </cell>
          <cell r="E729" t="str">
            <v>Phân viện Khí cụ bay - Viện NCPT</v>
          </cell>
          <cell r="F729" t="str">
            <v>Trung tâm UAV</v>
          </cell>
          <cell r="G729" t="str">
            <v xml:space="preserve">Phòng tích hợp và bay thử </v>
          </cell>
          <cell r="H729" t="str">
            <v>Hợp đồng lao động</v>
          </cell>
          <cell r="I729" t="str">
            <v>Quân lực quản lý</v>
          </cell>
          <cell r="J729" t="str">
            <v>Kỹ sư linh kiện</v>
          </cell>
        </row>
        <row r="730">
          <cell r="C730" t="str">
            <v>191194</v>
          </cell>
          <cell r="D730" t="str">
            <v>Phạm Xuân Trường</v>
          </cell>
          <cell r="E730" t="str">
            <v>Phân viện Khí cụ bay - Viện NCPT</v>
          </cell>
          <cell r="F730" t="str">
            <v>Trung tâm UAV</v>
          </cell>
          <cell r="G730" t="str">
            <v xml:space="preserve">Phòng tích hợp và bay thử </v>
          </cell>
          <cell r="H730" t="str">
            <v>Đại úy</v>
          </cell>
          <cell r="I730" t="str">
            <v>Cán bộ quản lý</v>
          </cell>
          <cell r="J730" t="str">
            <v>Kỹ sư Thiết bị điện - điện tử</v>
          </cell>
        </row>
        <row r="731">
          <cell r="C731" t="str">
            <v>196908</v>
          </cell>
          <cell r="D731" t="str">
            <v>Vi Văn Trường</v>
          </cell>
          <cell r="E731" t="str">
            <v>Phân viện Khí cụ bay - Viện NCPT</v>
          </cell>
          <cell r="F731" t="str">
            <v>Trung tâm UAV</v>
          </cell>
          <cell r="G731" t="str">
            <v xml:space="preserve">Phòng tích hợp và bay thử </v>
          </cell>
          <cell r="H731" t="str">
            <v>Hợp đồng lao động</v>
          </cell>
          <cell r="I731" t="str">
            <v>Quân lực quản lý</v>
          </cell>
          <cell r="J731" t="str">
            <v>Phi công</v>
          </cell>
        </row>
        <row r="732">
          <cell r="D732" t="str">
            <v>Trung tâm A1</v>
          </cell>
        </row>
        <row r="733">
          <cell r="D733" t="str">
            <v>Ban Giám đốc và chuyên gia</v>
          </cell>
        </row>
        <row r="734">
          <cell r="C734" t="str">
            <v>176113</v>
          </cell>
          <cell r="D734" t="str">
            <v>Đặng Đình Thi</v>
          </cell>
          <cell r="E734" t="str">
            <v>Phân viện Khí cụ bay - Viện NCPT</v>
          </cell>
          <cell r="F734" t="str">
            <v>Trung tâm A1</v>
          </cell>
          <cell r="G734" t="str">
            <v>Ban Giám đốc và chuyên gia</v>
          </cell>
          <cell r="H734" t="str">
            <v>Hợp đồng lao động</v>
          </cell>
          <cell r="I734" t="str">
            <v>Quân lực quản lý</v>
          </cell>
          <cell r="J734" t="str">
            <v>Chuyên gia thiết kế hệ thống</v>
          </cell>
        </row>
        <row r="735">
          <cell r="C735" t="str">
            <v>059026</v>
          </cell>
          <cell r="D735" t="str">
            <v>Nguyễn Thị Thu Dung</v>
          </cell>
          <cell r="E735" t="str">
            <v>Phân viện Khí cụ bay - Viện NCPT</v>
          </cell>
          <cell r="F735" t="str">
            <v>Trung tâm A1</v>
          </cell>
          <cell r="G735" t="str">
            <v>Ban Giám đốc và chuyên gia</v>
          </cell>
          <cell r="H735" t="str">
            <v>Hợp đồng lao động</v>
          </cell>
          <cell r="I735" t="str">
            <v>Quân lực quản lý</v>
          </cell>
          <cell r="J735" t="str">
            <v>Nhân viên hành chính tổng hợp</v>
          </cell>
        </row>
        <row r="736">
          <cell r="C736" t="str">
            <v>148779</v>
          </cell>
          <cell r="D736" t="str">
            <v>Nghiêm Thị Tuyết Nhung</v>
          </cell>
          <cell r="E736" t="str">
            <v>Phân viện Khí cụ bay - Viện NCPT</v>
          </cell>
          <cell r="F736" t="str">
            <v>Trung tâm A1</v>
          </cell>
          <cell r="G736" t="str">
            <v>Ban Giám đốc và chuyên gia</v>
          </cell>
          <cell r="H736" t="str">
            <v>Hợp đồng lao động</v>
          </cell>
          <cell r="I736" t="str">
            <v>Quân lực quản lý</v>
          </cell>
          <cell r="J736" t="str">
            <v>Nhân viên hành chính tổng hợp</v>
          </cell>
        </row>
        <row r="737">
          <cell r="D737" t="str">
            <v xml:space="preserve">Phòng thiết kế hệ thống </v>
          </cell>
        </row>
        <row r="738">
          <cell r="C738" t="str">
            <v>187713</v>
          </cell>
          <cell r="D738" t="str">
            <v>Lê Quốc Định</v>
          </cell>
          <cell r="E738" t="str">
            <v>Phân viện Khí cụ bay - Viện NCPT</v>
          </cell>
          <cell r="F738" t="str">
            <v>Trung tâm A1</v>
          </cell>
          <cell r="G738" t="str">
            <v xml:space="preserve">Phòng thiết kế hệ thống </v>
          </cell>
          <cell r="H738" t="str">
            <v>Đại úy</v>
          </cell>
          <cell r="I738" t="str">
            <v>Cán bộ quản lý</v>
          </cell>
          <cell r="J738" t="str">
            <v>Kỹ sư hàng không</v>
          </cell>
        </row>
        <row r="739">
          <cell r="C739" t="str">
            <v>198253</v>
          </cell>
          <cell r="D739" t="str">
            <v>Nguyễn Như Trung</v>
          </cell>
          <cell r="E739" t="str">
            <v>Phân viện Khí cụ bay - Viện NCPT</v>
          </cell>
          <cell r="F739" t="str">
            <v>Trung tâm A1</v>
          </cell>
          <cell r="G739" t="str">
            <v xml:space="preserve">Phòng thiết kế hệ thống </v>
          </cell>
          <cell r="H739" t="str">
            <v>Hợp đồng lao động</v>
          </cell>
          <cell r="I739" t="str">
            <v>Quân lực quản lý</v>
          </cell>
          <cell r="J739" t="str">
            <v>Kỹ sư hàng không</v>
          </cell>
        </row>
        <row r="740">
          <cell r="C740" t="str">
            <v>199833</v>
          </cell>
          <cell r="D740" t="str">
            <v>Nguyễn Xuân Đồng</v>
          </cell>
          <cell r="E740" t="str">
            <v>Phân viện Khí cụ bay - Viện NCPT</v>
          </cell>
          <cell r="F740" t="str">
            <v>Trung tâm A1</v>
          </cell>
          <cell r="G740" t="str">
            <v xml:space="preserve">Phòng thiết kế hệ thống </v>
          </cell>
          <cell r="H740" t="str">
            <v>Đại úy</v>
          </cell>
          <cell r="I740" t="str">
            <v>Cán bộ quản lý</v>
          </cell>
          <cell r="J740" t="str">
            <v>Kỹ sư động cơ</v>
          </cell>
        </row>
        <row r="741">
          <cell r="C741" t="str">
            <v>204322</v>
          </cell>
          <cell r="D741" t="str">
            <v>Nguyễn Bá Dũng</v>
          </cell>
          <cell r="E741" t="str">
            <v>Phân viện Khí cụ bay - Viện NCPT</v>
          </cell>
          <cell r="F741" t="str">
            <v>Trung tâm A1</v>
          </cell>
          <cell r="G741" t="str">
            <v xml:space="preserve">Phòng thiết kế hệ thống </v>
          </cell>
          <cell r="H741" t="str">
            <v>HĐ Thử việc</v>
          </cell>
          <cell r="I741" t="str">
            <v>Quân lực quản lý</v>
          </cell>
          <cell r="J741" t="str">
            <v>Kỹ sư hàng không</v>
          </cell>
        </row>
        <row r="742">
          <cell r="C742" t="str">
            <v>204633</v>
          </cell>
          <cell r="D742" t="str">
            <v>Đinh Văn Hoan</v>
          </cell>
          <cell r="E742" t="str">
            <v>Phân viện Khí cụ bay - Viện NCPT</v>
          </cell>
          <cell r="F742" t="str">
            <v>Trung tâm A1</v>
          </cell>
          <cell r="G742" t="str">
            <v xml:space="preserve">Phòng thiết kế hệ thống </v>
          </cell>
          <cell r="H742" t="str">
            <v>Đại úy</v>
          </cell>
          <cell r="I742" t="str">
            <v>Cán bộ quản lý</v>
          </cell>
          <cell r="J742" t="str">
            <v>Kỹ sư đầu tự dẫn</v>
          </cell>
        </row>
        <row r="743">
          <cell r="C743" t="str">
            <v>204765</v>
          </cell>
          <cell r="D743" t="str">
            <v>Nhữ Văn Sử</v>
          </cell>
          <cell r="E743" t="str">
            <v>Phân viện Khí cụ bay - Viện NCPT</v>
          </cell>
          <cell r="F743" t="str">
            <v>Trung tâm A1</v>
          </cell>
          <cell r="G743" t="str">
            <v xml:space="preserve">Phòng thiết kế hệ thống </v>
          </cell>
          <cell r="H743" t="str">
            <v>Trung úy</v>
          </cell>
          <cell r="I743" t="str">
            <v>Cán bộ quản lý</v>
          </cell>
          <cell r="J743" t="str">
            <v>Kỹ sư động cơ</v>
          </cell>
        </row>
        <row r="744">
          <cell r="C744" t="str">
            <v>204767</v>
          </cell>
          <cell r="D744" t="str">
            <v>Vũ Huy Mừng</v>
          </cell>
          <cell r="E744" t="str">
            <v>Phân viện Khí cụ bay - Viện NCPT</v>
          </cell>
          <cell r="F744" t="str">
            <v>Trung tâm A1</v>
          </cell>
          <cell r="G744" t="str">
            <v xml:space="preserve">Phòng thiết kế hệ thống </v>
          </cell>
          <cell r="H744" t="str">
            <v>Đại úy</v>
          </cell>
          <cell r="I744" t="str">
            <v>Cán bộ quản lý</v>
          </cell>
          <cell r="J744" t="str">
            <v>Kỹ sư động cơ</v>
          </cell>
        </row>
        <row r="745">
          <cell r="C745" t="str">
            <v>204923</v>
          </cell>
          <cell r="D745" t="str">
            <v>Lã Hải Dũng</v>
          </cell>
          <cell r="E745" t="str">
            <v>Phân viện Khí cụ bay - Viện NCPT</v>
          </cell>
          <cell r="F745" t="str">
            <v>Trung tâm A1</v>
          </cell>
          <cell r="G745" t="str">
            <v xml:space="preserve">Phòng thiết kế hệ thống </v>
          </cell>
          <cell r="H745" t="str">
            <v>Đại tá</v>
          </cell>
          <cell r="I745" t="str">
            <v>Cán bộ quản lý</v>
          </cell>
          <cell r="J745" t="str">
            <v>Kỹ sư hàng không</v>
          </cell>
        </row>
        <row r="746">
          <cell r="D746" t="str">
            <v>Phòng thân cánh</v>
          </cell>
        </row>
        <row r="747">
          <cell r="C747" t="str">
            <v>123636</v>
          </cell>
          <cell r="D747" t="str">
            <v>Cao Văn Bình</v>
          </cell>
          <cell r="E747" t="str">
            <v>Phân viện Khí cụ bay - Viện NCPT</v>
          </cell>
          <cell r="F747" t="str">
            <v>Trung tâm A1</v>
          </cell>
          <cell r="G747" t="str">
            <v>Phòng thân cánh</v>
          </cell>
          <cell r="H747" t="str">
            <v>Hợp đồng lao động</v>
          </cell>
          <cell r="I747" t="str">
            <v>Quân lực quản lý</v>
          </cell>
          <cell r="J747" t="str">
            <v>Kỹ sư kĩ thuật hàng không</v>
          </cell>
        </row>
        <row r="748">
          <cell r="C748" t="str">
            <v>187715</v>
          </cell>
          <cell r="D748" t="str">
            <v>Ngô Sỹ Hoàng</v>
          </cell>
          <cell r="E748" t="str">
            <v>Phân viện Khí cụ bay - Viện NCPT</v>
          </cell>
          <cell r="F748" t="str">
            <v>Trung tâm A1</v>
          </cell>
          <cell r="G748" t="str">
            <v>Phòng thân cánh</v>
          </cell>
          <cell r="H748" t="str">
            <v>Thượng úy</v>
          </cell>
          <cell r="I748" t="str">
            <v>Cán bộ quản lý</v>
          </cell>
          <cell r="J748" t="str">
            <v>Kỹ sư kĩ thuật hàng không</v>
          </cell>
        </row>
        <row r="749">
          <cell r="C749" t="str">
            <v>187733</v>
          </cell>
          <cell r="D749" t="str">
            <v>Trần Hùng Cường</v>
          </cell>
          <cell r="E749" t="str">
            <v>Phân viện Khí cụ bay - Viện NCPT</v>
          </cell>
          <cell r="F749" t="str">
            <v>Trung tâm A1</v>
          </cell>
          <cell r="G749" t="str">
            <v>Phòng thân cánh</v>
          </cell>
          <cell r="H749" t="str">
            <v>Thượng úy</v>
          </cell>
          <cell r="I749" t="str">
            <v>Cán bộ quản lý</v>
          </cell>
          <cell r="J749" t="str">
            <v>Kỹ sư kĩ thuật hàng không</v>
          </cell>
        </row>
        <row r="750">
          <cell r="C750" t="str">
            <v>199794</v>
          </cell>
          <cell r="D750" t="str">
            <v>Chu Duy Lành</v>
          </cell>
          <cell r="E750" t="str">
            <v>Phân viện Khí cụ bay - Viện NCPT</v>
          </cell>
          <cell r="F750" t="str">
            <v>Trung tâm A1</v>
          </cell>
          <cell r="G750" t="str">
            <v>Phòng thân cánh</v>
          </cell>
          <cell r="H750" t="str">
            <v>Đại úy</v>
          </cell>
          <cell r="I750" t="str">
            <v>Cán bộ quản lý</v>
          </cell>
          <cell r="J750" t="str">
            <v>Kỹ sư kĩ thuật hàng không</v>
          </cell>
        </row>
        <row r="751">
          <cell r="D751" t="str">
            <v>Phòng điều khiển</v>
          </cell>
        </row>
        <row r="752">
          <cell r="C752" t="str">
            <v>123140</v>
          </cell>
          <cell r="D752" t="str">
            <v>Nguyễn Thanh Hùng</v>
          </cell>
          <cell r="E752" t="str">
            <v>Phân viện Khí cụ bay - Viện NCPT</v>
          </cell>
          <cell r="F752" t="str">
            <v>Trung tâm A1</v>
          </cell>
          <cell r="G752" t="str">
            <v>Phòng điều khiển</v>
          </cell>
          <cell r="H752" t="str">
            <v>Hợp đồng lao động</v>
          </cell>
          <cell r="I752" t="str">
            <v>Quân lực quản lý</v>
          </cell>
          <cell r="J752" t="str">
            <v>Kỹ sư thiết kế phần phần mềm</v>
          </cell>
        </row>
        <row r="753">
          <cell r="C753" t="str">
            <v>187013</v>
          </cell>
          <cell r="D753" t="str">
            <v>Nguyễn Đức Anh</v>
          </cell>
          <cell r="E753" t="str">
            <v>Phân viện Khí cụ bay - Viện NCPT</v>
          </cell>
          <cell r="F753" t="str">
            <v>Trung tâm A1</v>
          </cell>
          <cell r="G753" t="str">
            <v>Phòng điều khiển</v>
          </cell>
          <cell r="H753" t="str">
            <v>Hợp đồng lao động</v>
          </cell>
          <cell r="I753" t="str">
            <v>Quân lực quản lý</v>
          </cell>
          <cell r="J753" t="str">
            <v>Kỹ sư thiết kế phần cứng</v>
          </cell>
        </row>
        <row r="754">
          <cell r="C754" t="str">
            <v>199603</v>
          </cell>
          <cell r="D754" t="str">
            <v>Nguyễn Kiêm Chiến</v>
          </cell>
          <cell r="E754" t="str">
            <v>Phân viện Khí cụ bay - Viện NCPT</v>
          </cell>
          <cell r="F754" t="str">
            <v>Trung tâm A1</v>
          </cell>
          <cell r="G754" t="str">
            <v>Phòng điều khiển</v>
          </cell>
          <cell r="H754" t="str">
            <v>Đại úy</v>
          </cell>
          <cell r="I754" t="str">
            <v>Cán bộ quản lý</v>
          </cell>
          <cell r="J754" t="str">
            <v>Kỹ sư thiết kế phần cứng</v>
          </cell>
        </row>
        <row r="755">
          <cell r="C755" t="str">
            <v>200793</v>
          </cell>
          <cell r="D755" t="str">
            <v>Đỗ Văn Hòe</v>
          </cell>
          <cell r="E755" t="str">
            <v>Phân viện Khí cụ bay - Viện NCPT</v>
          </cell>
          <cell r="F755" t="str">
            <v>Trung tâm A1</v>
          </cell>
          <cell r="G755" t="str">
            <v>Phòng điều khiển</v>
          </cell>
          <cell r="H755" t="str">
            <v>Đại úy</v>
          </cell>
          <cell r="I755" t="str">
            <v>Cán bộ quản lý</v>
          </cell>
          <cell r="J755" t="str">
            <v>Kỹ sư thiết kế phần cứng</v>
          </cell>
        </row>
        <row r="756">
          <cell r="C756" t="str">
            <v>200934</v>
          </cell>
          <cell r="D756" t="str">
            <v>Hoàng Đức Long</v>
          </cell>
          <cell r="E756" t="str">
            <v>Phân viện Khí cụ bay - Viện NCPT</v>
          </cell>
          <cell r="F756" t="str">
            <v>Trung tâm A1</v>
          </cell>
          <cell r="G756" t="str">
            <v>Phòng điều khiển</v>
          </cell>
          <cell r="H756" t="str">
            <v>Hợp đồng lao động</v>
          </cell>
          <cell r="I756" t="str">
            <v>Quân lực quản lý</v>
          </cell>
          <cell r="J756" t="str">
            <v>Kỹ sư thiết kế phần cứng</v>
          </cell>
        </row>
        <row r="757">
          <cell r="C757" t="str">
            <v>204766</v>
          </cell>
          <cell r="D757" t="str">
            <v>Nguyễn Hoàng Minh</v>
          </cell>
          <cell r="E757" t="str">
            <v>Phân viện Khí cụ bay - Viện NCPT</v>
          </cell>
          <cell r="F757" t="str">
            <v>Trung tâm A1</v>
          </cell>
          <cell r="G757" t="str">
            <v>Phòng điều khiển</v>
          </cell>
          <cell r="H757" t="str">
            <v>Thượng úy</v>
          </cell>
          <cell r="I757" t="str">
            <v>Cán bộ quản lý</v>
          </cell>
          <cell r="J757" t="str">
            <v>Kỹ sư thiết kế phần phần mềm</v>
          </cell>
        </row>
        <row r="758">
          <cell r="C758" t="str">
            <v>204771</v>
          </cell>
          <cell r="D758" t="str">
            <v>Hoàng Trọng Biên</v>
          </cell>
          <cell r="E758" t="str">
            <v>Phân viện Khí cụ bay - Viện NCPT</v>
          </cell>
          <cell r="F758" t="str">
            <v>Trung tâm A1</v>
          </cell>
          <cell r="G758" t="str">
            <v>Phòng điều khiển</v>
          </cell>
          <cell r="H758" t="str">
            <v>HĐ Thử việc</v>
          </cell>
          <cell r="I758" t="str">
            <v>Quân lực quản lý</v>
          </cell>
          <cell r="J758" t="str">
            <v>Kỹ sư thiết kế phần cứng</v>
          </cell>
        </row>
        <row r="759">
          <cell r="D759" t="str">
            <v>Phòng Rada</v>
          </cell>
        </row>
        <row r="760">
          <cell r="C760" t="str">
            <v>087203</v>
          </cell>
          <cell r="D760" t="str">
            <v>Đoàn Duy Hưng</v>
          </cell>
          <cell r="E760" t="str">
            <v>Phân viện Khí cụ bay - Viện NCPT</v>
          </cell>
          <cell r="F760" t="str">
            <v>Trung tâm A1</v>
          </cell>
          <cell r="G760" t="str">
            <v>Phòng Rada</v>
          </cell>
          <cell r="H760" t="str">
            <v>Hợp đồng lao động</v>
          </cell>
          <cell r="I760" t="str">
            <v>Quân lực quản lý</v>
          </cell>
          <cell r="J760" t="str">
            <v>Kỹ sư điều khiển</v>
          </cell>
        </row>
        <row r="761">
          <cell r="C761" t="str">
            <v>087214</v>
          </cell>
          <cell r="D761" t="str">
            <v>Nguyễn Cảnh Dương</v>
          </cell>
          <cell r="E761" t="str">
            <v>Phân viện Khí cụ bay - Viện NCPT</v>
          </cell>
          <cell r="F761" t="str">
            <v>Trung tâm A1</v>
          </cell>
          <cell r="G761" t="str">
            <v>Phòng Rada</v>
          </cell>
          <cell r="H761" t="str">
            <v>Hợp đồng lao động</v>
          </cell>
          <cell r="I761" t="str">
            <v>Quân lực quản lý</v>
          </cell>
          <cell r="J761" t="str">
            <v>Kỹ sư điều khiển</v>
          </cell>
        </row>
        <row r="762">
          <cell r="C762" t="str">
            <v>141934</v>
          </cell>
          <cell r="D762" t="str">
            <v>Võ Như Dẫn</v>
          </cell>
          <cell r="E762" t="str">
            <v>Phân viện Khí cụ bay - Viện NCPT</v>
          </cell>
          <cell r="F762" t="str">
            <v>Trung tâm A1</v>
          </cell>
          <cell r="G762" t="str">
            <v>Phòng Rada</v>
          </cell>
          <cell r="H762" t="str">
            <v>Hợp đồng lao động</v>
          </cell>
          <cell r="I762" t="str">
            <v>Quân lực quản lý</v>
          </cell>
          <cell r="J762" t="str">
            <v>Kỹ sư kỹ thuật Rada</v>
          </cell>
        </row>
        <row r="763">
          <cell r="C763" t="str">
            <v>165019</v>
          </cell>
          <cell r="D763" t="str">
            <v>Lê Anh Tuấn</v>
          </cell>
          <cell r="E763" t="str">
            <v>Phân viện Khí cụ bay - Viện NCPT</v>
          </cell>
          <cell r="F763" t="str">
            <v>Trung tâm A1</v>
          </cell>
          <cell r="G763" t="str">
            <v>Phòng Rada</v>
          </cell>
          <cell r="H763" t="str">
            <v>Hợp đồng lao động</v>
          </cell>
          <cell r="I763" t="str">
            <v>Quân lực quản lý</v>
          </cell>
          <cell r="J763" t="str">
            <v>Kỹ sư điều khiển</v>
          </cell>
        </row>
        <row r="764">
          <cell r="D764" t="str">
            <v xml:space="preserve">Phòng thông tin và bảo mật </v>
          </cell>
        </row>
        <row r="765">
          <cell r="C765" t="str">
            <v>131370</v>
          </cell>
          <cell r="D765" t="str">
            <v>Trịnh Văn Thành</v>
          </cell>
          <cell r="E765" t="str">
            <v>Phân viện Khí cụ bay - Viện NCPT</v>
          </cell>
          <cell r="F765" t="str">
            <v>Trung tâm A1</v>
          </cell>
          <cell r="G765" t="str">
            <v xml:space="preserve">Phòng thông tin và bảo mật </v>
          </cell>
          <cell r="H765" t="str">
            <v>Hợp đồng lao động</v>
          </cell>
          <cell r="I765" t="str">
            <v>Quân lực quản lý</v>
          </cell>
          <cell r="J765" t="str">
            <v>Kỹ sư xử lý tín hiệu</v>
          </cell>
        </row>
        <row r="766">
          <cell r="C766" t="str">
            <v>153014</v>
          </cell>
          <cell r="D766" t="str">
            <v>Nguyễn Nhất Hải</v>
          </cell>
          <cell r="E766" t="str">
            <v>Phân viện Khí cụ bay - Viện NCPT</v>
          </cell>
          <cell r="F766" t="str">
            <v>Trung tâm A1</v>
          </cell>
          <cell r="G766" t="str">
            <v xml:space="preserve">Phòng thông tin và bảo mật </v>
          </cell>
          <cell r="H766" t="str">
            <v>Hợp đồng lao động</v>
          </cell>
          <cell r="I766" t="str">
            <v>Quân lực quản lý</v>
          </cell>
          <cell r="J766" t="str">
            <v>Kỹ sư Điện tử viễn thông</v>
          </cell>
        </row>
        <row r="767">
          <cell r="C767" t="str">
            <v>155473</v>
          </cell>
          <cell r="D767" t="str">
            <v>Nguyễn Khánh Huy</v>
          </cell>
          <cell r="E767" t="str">
            <v>Phân viện Khí cụ bay - Viện NCPT</v>
          </cell>
          <cell r="F767" t="str">
            <v>Trung tâm A1</v>
          </cell>
          <cell r="G767" t="str">
            <v xml:space="preserve">Phòng thông tin và bảo mật </v>
          </cell>
          <cell r="H767" t="str">
            <v>Hợp đồng lao động</v>
          </cell>
          <cell r="I767" t="str">
            <v>Quân lực quản lý</v>
          </cell>
          <cell r="J767" t="str">
            <v>Kỹ sư xử lý tín hiệu</v>
          </cell>
        </row>
        <row r="768">
          <cell r="C768" t="str">
            <v>200813</v>
          </cell>
          <cell r="D768" t="str">
            <v>Lục Đình Đông</v>
          </cell>
          <cell r="E768" t="str">
            <v>Phân viện Khí cụ bay - Viện NCPT</v>
          </cell>
          <cell r="F768" t="str">
            <v>Trung tâm A1</v>
          </cell>
          <cell r="G768" t="str">
            <v xml:space="preserve">Phòng thông tin và bảo mật </v>
          </cell>
          <cell r="H768" t="str">
            <v>Thượng úy</v>
          </cell>
          <cell r="I768" t="str">
            <v>Cán bộ quản lý</v>
          </cell>
          <cell r="J768" t="str">
            <v>Kỹ sư Điện tử viễn thông</v>
          </cell>
        </row>
        <row r="769">
          <cell r="D769" t="str">
            <v xml:space="preserve">Phòng Chỉ huy điều khiển </v>
          </cell>
        </row>
        <row r="770">
          <cell r="C770" t="str">
            <v>112139</v>
          </cell>
          <cell r="D770" t="str">
            <v>Kiều Hữu Thu</v>
          </cell>
          <cell r="E770" t="str">
            <v>Phân viện Khí cụ bay - Viện NCPT</v>
          </cell>
          <cell r="F770" t="str">
            <v>Trung tâm A1</v>
          </cell>
          <cell r="G770" t="str">
            <v xml:space="preserve">Phòng Chỉ huy điều khiển </v>
          </cell>
          <cell r="H770" t="str">
            <v>Hợp đồng lao động</v>
          </cell>
          <cell r="I770" t="str">
            <v>Quân lực quản lý</v>
          </cell>
          <cell r="J770" t="str">
            <v>Kỹ sư công nghệ thông tin</v>
          </cell>
        </row>
        <row r="771">
          <cell r="C771" t="str">
            <v>170193</v>
          </cell>
          <cell r="D771" t="str">
            <v>Phạm Việt Đức</v>
          </cell>
          <cell r="E771" t="str">
            <v>Phân viện Khí cụ bay - Viện NCPT</v>
          </cell>
          <cell r="F771" t="str">
            <v>Trung tâm A1</v>
          </cell>
          <cell r="G771" t="str">
            <v xml:space="preserve">Phòng Chỉ huy điều khiển </v>
          </cell>
          <cell r="H771" t="str">
            <v>Hợp đồng lao động</v>
          </cell>
          <cell r="I771" t="str">
            <v>Quân lực quản lý</v>
          </cell>
          <cell r="J771" t="str">
            <v>Kỹ sư công nghệ thông tin</v>
          </cell>
        </row>
        <row r="772">
          <cell r="D772" t="str">
            <v xml:space="preserve">Phòng động cơ </v>
          </cell>
        </row>
        <row r="773">
          <cell r="C773" t="str">
            <v>182454</v>
          </cell>
          <cell r="D773" t="str">
            <v>Đinh Tiến Dũng</v>
          </cell>
          <cell r="E773" t="str">
            <v>Phân viện Khí cụ bay - Viện NCPT</v>
          </cell>
          <cell r="F773" t="str">
            <v>Trung tâm A1</v>
          </cell>
          <cell r="G773" t="str">
            <v xml:space="preserve">Phòng động cơ </v>
          </cell>
          <cell r="H773" t="str">
            <v>Hợp đồng lao động</v>
          </cell>
          <cell r="I773" t="str">
            <v>Quân lực quản lý</v>
          </cell>
          <cell r="J773" t="str">
            <v>Kỹ sư động cơ</v>
          </cell>
        </row>
        <row r="774">
          <cell r="D774" t="str">
            <v xml:space="preserve">Phòng cơ khí </v>
          </cell>
        </row>
        <row r="775">
          <cell r="C775" t="str">
            <v>121094</v>
          </cell>
          <cell r="D775" t="str">
            <v>Nguyễn Văn Hoan</v>
          </cell>
          <cell r="E775" t="str">
            <v>Phân viện Khí cụ bay - Viện NCPT</v>
          </cell>
          <cell r="F775" t="str">
            <v>Trung tâm A1</v>
          </cell>
          <cell r="G775" t="str">
            <v xml:space="preserve">Phòng cơ khí </v>
          </cell>
          <cell r="H775" t="str">
            <v>Hợp đồng lao động</v>
          </cell>
          <cell r="I775" t="str">
            <v>Quân lực quản lý</v>
          </cell>
          <cell r="J775" t="str">
            <v>Kỹ sư cơ khí</v>
          </cell>
        </row>
        <row r="776">
          <cell r="C776" t="str">
            <v>123638</v>
          </cell>
          <cell r="D776" t="str">
            <v>Trần Quốc Hoàng</v>
          </cell>
          <cell r="E776" t="str">
            <v>Phân viện Khí cụ bay - Viện NCPT</v>
          </cell>
          <cell r="F776" t="str">
            <v>Trung tâm A1</v>
          </cell>
          <cell r="G776" t="str">
            <v xml:space="preserve">Phòng cơ khí </v>
          </cell>
          <cell r="H776" t="str">
            <v>Hợp đồng lao động</v>
          </cell>
          <cell r="I776" t="str">
            <v>Quân lực quản lý</v>
          </cell>
          <cell r="J776" t="str">
            <v>Kỹ sư cơ khí</v>
          </cell>
        </row>
        <row r="777">
          <cell r="C777" t="str">
            <v>197810</v>
          </cell>
          <cell r="D777" t="str">
            <v>Vũ Trọng Đại</v>
          </cell>
          <cell r="E777" t="str">
            <v>Phân viện Khí cụ bay - Viện NCPT</v>
          </cell>
          <cell r="F777" t="str">
            <v>Trung tâm A1</v>
          </cell>
          <cell r="G777" t="str">
            <v xml:space="preserve">Phòng cơ khí </v>
          </cell>
          <cell r="H777" t="str">
            <v>Hợp đồng lao động</v>
          </cell>
          <cell r="I777" t="str">
            <v>Quân lực quản lý</v>
          </cell>
          <cell r="J777" t="str">
            <v>Kỹ sư cơ khí</v>
          </cell>
        </row>
        <row r="778">
          <cell r="C778" t="str">
            <v>199791</v>
          </cell>
          <cell r="D778" t="str">
            <v>Đặng Lê Thắng</v>
          </cell>
          <cell r="E778" t="str">
            <v>Phân viện Khí cụ bay - Viện NCPT</v>
          </cell>
          <cell r="F778" t="str">
            <v>Trung tâm A1</v>
          </cell>
          <cell r="G778" t="str">
            <v xml:space="preserve">Phòng cơ khí </v>
          </cell>
          <cell r="H778" t="str">
            <v>Hợp đồng lao động</v>
          </cell>
          <cell r="I778" t="str">
            <v>Quân lực quản lý</v>
          </cell>
          <cell r="J778" t="str">
            <v>Kỹ sư cơ khí</v>
          </cell>
        </row>
        <row r="779">
          <cell r="C779" t="str">
            <v>201060</v>
          </cell>
          <cell r="D779" t="str">
            <v>Cao Anh Tuấn</v>
          </cell>
          <cell r="E779" t="str">
            <v>Phân viện Khí cụ bay - Viện NCPT</v>
          </cell>
          <cell r="F779" t="str">
            <v>Trung tâm A1</v>
          </cell>
          <cell r="G779" t="str">
            <v xml:space="preserve">Phòng cơ khí </v>
          </cell>
          <cell r="H779" t="str">
            <v>Trung úy</v>
          </cell>
          <cell r="I779" t="str">
            <v>Cán bộ quản lý</v>
          </cell>
          <cell r="J779" t="str">
            <v>Kỹ sư cơ khí</v>
          </cell>
        </row>
        <row r="780">
          <cell r="C780" t="str">
            <v>204764</v>
          </cell>
          <cell r="D780" t="str">
            <v>Lê Kim Bảo</v>
          </cell>
          <cell r="E780" t="str">
            <v>Phân viện Khí cụ bay - Viện NCPT</v>
          </cell>
          <cell r="F780" t="str">
            <v>Trung tâm A1</v>
          </cell>
          <cell r="G780" t="str">
            <v xml:space="preserve">Phòng cơ khí </v>
          </cell>
          <cell r="H780" t="str">
            <v>Trung úy</v>
          </cell>
          <cell r="I780" t="str">
            <v>Cán bộ quản lý</v>
          </cell>
          <cell r="J780" t="str">
            <v>Kỹ sư cơ khí</v>
          </cell>
        </row>
        <row r="781">
          <cell r="D781" t="str">
            <v xml:space="preserve">Phòng hệ thống điện </v>
          </cell>
        </row>
        <row r="782">
          <cell r="C782" t="str">
            <v>199734</v>
          </cell>
          <cell r="D782" t="str">
            <v>Nguyễn Công Trường</v>
          </cell>
          <cell r="E782" t="str">
            <v>Phân viện Khí cụ bay - Viện NCPT</v>
          </cell>
          <cell r="F782" t="str">
            <v>Trung tâm A1</v>
          </cell>
          <cell r="G782" t="str">
            <v xml:space="preserve">Phòng hệ thống điện </v>
          </cell>
          <cell r="H782" t="str">
            <v>Thiếu tá</v>
          </cell>
          <cell r="I782" t="str">
            <v>Cán bộ quản lý</v>
          </cell>
          <cell r="J782" t="str">
            <v>Kỹ sư Hệ thống điện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luong T10"/>
      <sheetName val="Bang phan bo T10"/>
      <sheetName val="Tong hop T10"/>
      <sheetName val="PIVOT T10"/>
      <sheetName val="Bang luong T11"/>
      <sheetName val="Bang phan bo T11"/>
      <sheetName val="Tong hop T11"/>
      <sheetName val="Check"/>
      <sheetName val="Sheet1"/>
      <sheetName val="PIVOT T11"/>
      <sheetName val="LIST"/>
    </sheetNames>
    <sheetDataSet>
      <sheetData sheetId="0">
        <row r="1">
          <cell r="B1" t="str">
            <v>TẬP ĐOÀN CÔNG NGHIỆP - VIỄN THÔNG QUÂN ĐỘI</v>
          </cell>
        </row>
      </sheetData>
      <sheetData sheetId="1">
        <row r="1">
          <cell r="D1" t="str">
            <v>Tên đề tài</v>
          </cell>
          <cell r="G1" t="str">
            <v>Phân nguồn (KHCN, QL, Bán hàng, Bảo hành, SXKD)</v>
          </cell>
          <cell r="I1" t="str">
            <v>Đơn vị phân bổ</v>
          </cell>
          <cell r="AE1" t="str">
            <v>CHI PHÍ NHÂN CÔNG PHÂN BỔ</v>
          </cell>
        </row>
        <row r="2">
          <cell r="AC2" t="str">
            <v>Các khoản ăn ca, điện thoại, chi phí phụ cấp</v>
          </cell>
          <cell r="AD2" t="str">
            <v>CỘNG</v>
          </cell>
          <cell r="AE2" t="str">
            <v>Lương tháng</v>
          </cell>
          <cell r="AF2" t="str">
            <v>Lương tháng (trừ BH cá nhân)</v>
          </cell>
          <cell r="AG2" t="str">
            <v>Truy thu/truy lĩnh (lương tháng lần 2)</v>
          </cell>
          <cell r="AH2" t="str">
            <v>Lương SXKD (nếu có)</v>
          </cell>
          <cell r="AI2" t="str">
            <v>Lương thử việc, tập nghề</v>
          </cell>
          <cell r="AJ2" t="str">
            <v>Lương kinh doanh thử việc, tập nghề</v>
          </cell>
          <cell r="AK2" t="str">
            <v>BHXH</v>
          </cell>
          <cell r="AM2" t="str">
            <v>BHYT</v>
          </cell>
          <cell r="AO2" t="str">
            <v>BHTN</v>
          </cell>
        </row>
        <row r="3">
          <cell r="AK3" t="str">
            <v>Cá nhân</v>
          </cell>
          <cell r="AL3" t="str">
            <v>Đơn vị</v>
          </cell>
          <cell r="AM3" t="str">
            <v>Cá nhân</v>
          </cell>
          <cell r="AN3" t="str">
            <v>Đơn vị</v>
          </cell>
          <cell r="AO3" t="str">
            <v>Cá nhân</v>
          </cell>
          <cell r="AP3" t="str">
            <v>Đơn vị</v>
          </cell>
        </row>
        <row r="4">
          <cell r="D4" t="str">
            <v>Tên đề tài</v>
          </cell>
          <cell r="G4" t="str">
            <v>Phân nguồn (KHCN, QL, Bán hàng, Bảo hành, SXKD)</v>
          </cell>
          <cell r="I4" t="str">
            <v>Đơn vị phân bổ</v>
          </cell>
          <cell r="AC4" t="str">
            <v>Các khoản ăn ca, điện thoại, chi phí phụ cấp</v>
          </cell>
          <cell r="AD4" t="str">
            <v>CỘNG</v>
          </cell>
          <cell r="AE4" t="str">
            <v>Lương tháng</v>
          </cell>
          <cell r="AF4" t="str">
            <v>Lương tháng (trừ BH cá nhân)</v>
          </cell>
          <cell r="AG4" t="str">
            <v>Truy thu/truy lĩnh (lương tháng lần 2)</v>
          </cell>
          <cell r="AH4" t="str">
            <v>Lương SXKD (nếu có)</v>
          </cell>
          <cell r="AI4" t="str">
            <v>Lương thử việc, tập nghề</v>
          </cell>
          <cell r="AJ4" t="str">
            <v>Lương kinh doanh thử việc, tập nghề</v>
          </cell>
          <cell r="AK4" t="str">
            <v>Cá nhân</v>
          </cell>
          <cell r="AL4" t="str">
            <v>Đơn vị</v>
          </cell>
          <cell r="AM4" t="str">
            <v>Cá nhân</v>
          </cell>
          <cell r="AN4" t="str">
            <v>Đơn vị</v>
          </cell>
          <cell r="AO4" t="str">
            <v>Cá nhân</v>
          </cell>
          <cell r="AP4" t="str">
            <v>Đơn vị</v>
          </cell>
        </row>
        <row r="5">
          <cell r="D5" t="str">
            <v>PAKD Cung cấp hệ thống giám sát hành trình xe vTracking 2.0</v>
          </cell>
          <cell r="G5" t="str">
            <v>SXKD</v>
          </cell>
          <cell r="I5" t="str">
            <v>IOT</v>
          </cell>
          <cell r="AC5">
            <v>1230000</v>
          </cell>
          <cell r="AD5">
            <v>74606137</v>
          </cell>
          <cell r="AE5">
            <v>3049381</v>
          </cell>
          <cell r="AF5">
            <v>2986432</v>
          </cell>
          <cell r="AG5">
            <v>0</v>
          </cell>
          <cell r="AH5">
            <v>0</v>
          </cell>
          <cell r="AI5">
            <v>0</v>
          </cell>
          <cell r="AJ5">
            <v>0</v>
          </cell>
          <cell r="AK5">
            <v>47961</v>
          </cell>
          <cell r="AL5">
            <v>104915</v>
          </cell>
          <cell r="AM5">
            <v>8993</v>
          </cell>
          <cell r="AN5">
            <v>17985</v>
          </cell>
          <cell r="AO5">
            <v>5995</v>
          </cell>
          <cell r="AP5">
            <v>5995</v>
          </cell>
        </row>
        <row r="6">
          <cell r="D6" t="str">
            <v>PAKD Cung cấp hệ thống giám sát hành trình xe vTracking 2.0</v>
          </cell>
          <cell r="G6" t="str">
            <v>SXKD</v>
          </cell>
          <cell r="I6" t="str">
            <v>IOT</v>
          </cell>
          <cell r="AC6">
            <v>1730000</v>
          </cell>
          <cell r="AD6">
            <v>82741288</v>
          </cell>
          <cell r="AE6">
            <v>3422424</v>
          </cell>
          <cell r="AF6">
            <v>3380283</v>
          </cell>
          <cell r="AG6">
            <v>0</v>
          </cell>
          <cell r="AH6">
            <v>0</v>
          </cell>
          <cell r="AI6">
            <v>0</v>
          </cell>
          <cell r="AJ6">
            <v>0</v>
          </cell>
          <cell r="AK6">
            <v>35487</v>
          </cell>
          <cell r="AL6">
            <v>77627</v>
          </cell>
          <cell r="AM6">
            <v>6654</v>
          </cell>
          <cell r="AN6">
            <v>13307</v>
          </cell>
          <cell r="AO6">
            <v>0</v>
          </cell>
          <cell r="AP6">
            <v>0</v>
          </cell>
        </row>
        <row r="7">
          <cell r="D7" t="str">
            <v>PAKD Cung cấp hệ thống giám sát hành trình xe vTracking 2.0</v>
          </cell>
          <cell r="G7" t="str">
            <v>SXKD</v>
          </cell>
          <cell r="I7" t="str">
            <v>IOT</v>
          </cell>
          <cell r="AC7">
            <v>1030000</v>
          </cell>
          <cell r="AD7">
            <v>42023471</v>
          </cell>
          <cell r="AE7">
            <v>8364299</v>
          </cell>
          <cell r="AF7">
            <v>8119750</v>
          </cell>
          <cell r="AG7">
            <v>0</v>
          </cell>
          <cell r="AH7">
            <v>0</v>
          </cell>
          <cell r="AI7">
            <v>0</v>
          </cell>
          <cell r="AJ7">
            <v>0</v>
          </cell>
          <cell r="AK7">
            <v>186323</v>
          </cell>
          <cell r="AL7">
            <v>407583</v>
          </cell>
          <cell r="AM7">
            <v>34936</v>
          </cell>
          <cell r="AN7">
            <v>69871</v>
          </cell>
          <cell r="AO7">
            <v>23290</v>
          </cell>
          <cell r="AP7">
            <v>23290</v>
          </cell>
        </row>
        <row r="8">
          <cell r="D8" t="str">
            <v>PAKD Cung cấp hệ thống giám sát hành trình xe vTracking 2.0</v>
          </cell>
          <cell r="G8" t="str">
            <v>SXKD</v>
          </cell>
          <cell r="I8" t="str">
            <v>IOT</v>
          </cell>
          <cell r="AC8">
            <v>1030000</v>
          </cell>
          <cell r="AD8">
            <v>54654678</v>
          </cell>
          <cell r="AE8">
            <v>33155800</v>
          </cell>
          <cell r="AF8">
            <v>32344032</v>
          </cell>
          <cell r="AG8">
            <v>0</v>
          </cell>
          <cell r="AH8">
            <v>0</v>
          </cell>
          <cell r="AI8">
            <v>0</v>
          </cell>
          <cell r="AJ8">
            <v>0</v>
          </cell>
          <cell r="AK8">
            <v>618490</v>
          </cell>
          <cell r="AL8">
            <v>1352948</v>
          </cell>
          <cell r="AM8">
            <v>115967</v>
          </cell>
          <cell r="AN8">
            <v>231934</v>
          </cell>
          <cell r="AO8">
            <v>77311</v>
          </cell>
          <cell r="AP8">
            <v>77311</v>
          </cell>
        </row>
        <row r="9">
          <cell r="D9" t="str">
            <v>PAKD Cung cấp hệ thống giám sát hành trình xe vTracking 2.0</v>
          </cell>
          <cell r="G9" t="str">
            <v>SXKD</v>
          </cell>
          <cell r="I9" t="str">
            <v>IOT</v>
          </cell>
          <cell r="AC9">
            <v>930000</v>
          </cell>
          <cell r="AD9">
            <v>17275656</v>
          </cell>
          <cell r="AE9">
            <v>3804939</v>
          </cell>
          <cell r="AF9">
            <v>3599789</v>
          </cell>
          <cell r="AG9">
            <v>0</v>
          </cell>
          <cell r="AH9">
            <v>0</v>
          </cell>
          <cell r="AI9">
            <v>0</v>
          </cell>
          <cell r="AJ9">
            <v>0</v>
          </cell>
          <cell r="AK9">
            <v>156305</v>
          </cell>
          <cell r="AL9">
            <v>341917</v>
          </cell>
          <cell r="AM9">
            <v>29307</v>
          </cell>
          <cell r="AN9">
            <v>58614</v>
          </cell>
          <cell r="AO9">
            <v>19538</v>
          </cell>
          <cell r="AP9">
            <v>19538</v>
          </cell>
        </row>
        <row r="10">
          <cell r="D10" t="str">
            <v>PAKD Cung cấp hệ thống giám sát hành trình xe vTracking 2.0</v>
          </cell>
          <cell r="G10" t="str">
            <v>SXKD</v>
          </cell>
          <cell r="I10" t="str">
            <v>IOT</v>
          </cell>
          <cell r="AC10">
            <v>930000</v>
          </cell>
          <cell r="AD10">
            <v>15796808</v>
          </cell>
          <cell r="AE10">
            <v>5739130</v>
          </cell>
          <cell r="AF10">
            <v>5415329</v>
          </cell>
          <cell r="AG10">
            <v>0</v>
          </cell>
          <cell r="AH10">
            <v>0</v>
          </cell>
          <cell r="AI10">
            <v>0</v>
          </cell>
          <cell r="AJ10">
            <v>0</v>
          </cell>
          <cell r="AK10">
            <v>246706</v>
          </cell>
          <cell r="AL10">
            <v>539670</v>
          </cell>
          <cell r="AM10">
            <v>46257</v>
          </cell>
          <cell r="AN10">
            <v>92515</v>
          </cell>
          <cell r="AO10">
            <v>30838</v>
          </cell>
          <cell r="AP10">
            <v>30838</v>
          </cell>
        </row>
        <row r="11">
          <cell r="D11" t="str">
            <v>PAKD Cung cấp hệ thống giám sát hành trình xe vTracking 2.0</v>
          </cell>
          <cell r="G11" t="str">
            <v>SXKD</v>
          </cell>
          <cell r="I11" t="str">
            <v>IOT</v>
          </cell>
          <cell r="AC11">
            <v>930000</v>
          </cell>
          <cell r="AD11">
            <v>20309612</v>
          </cell>
          <cell r="AE11">
            <v>7579591</v>
          </cell>
          <cell r="AF11">
            <v>7201445</v>
          </cell>
          <cell r="AG11">
            <v>0</v>
          </cell>
          <cell r="AH11">
            <v>0</v>
          </cell>
          <cell r="AI11">
            <v>0</v>
          </cell>
          <cell r="AJ11">
            <v>0</v>
          </cell>
          <cell r="AK11">
            <v>288111</v>
          </cell>
          <cell r="AL11">
            <v>630243</v>
          </cell>
          <cell r="AM11">
            <v>54021</v>
          </cell>
          <cell r="AN11">
            <v>108042</v>
          </cell>
          <cell r="AO11">
            <v>36014</v>
          </cell>
          <cell r="AP11">
            <v>36014</v>
          </cell>
        </row>
        <row r="12">
          <cell r="D12" t="str">
            <v>PAKD Cung cấp hệ thống giám sát hành trình xe vTracking 2.0</v>
          </cell>
          <cell r="G12" t="str">
            <v>SXKD</v>
          </cell>
          <cell r="I12" t="str">
            <v>IOT</v>
          </cell>
          <cell r="AC12">
            <v>930000</v>
          </cell>
          <cell r="AD12">
            <v>27141396</v>
          </cell>
          <cell r="AE12">
            <v>21008643</v>
          </cell>
          <cell r="AF12">
            <v>20211592</v>
          </cell>
          <cell r="AG12">
            <v>0</v>
          </cell>
          <cell r="AH12">
            <v>0</v>
          </cell>
          <cell r="AI12">
            <v>0</v>
          </cell>
          <cell r="AJ12">
            <v>0</v>
          </cell>
          <cell r="AK12">
            <v>607277</v>
          </cell>
          <cell r="AL12">
            <v>1328417</v>
          </cell>
          <cell r="AM12">
            <v>113864</v>
          </cell>
          <cell r="AN12">
            <v>227729</v>
          </cell>
          <cell r="AO12">
            <v>75910</v>
          </cell>
          <cell r="AP12">
            <v>75910</v>
          </cell>
        </row>
        <row r="13">
          <cell r="D13" t="str">
            <v>PAKD Cung cấp hệ thống giám sát hành trình xe vTracking 2.0</v>
          </cell>
          <cell r="G13" t="str">
            <v>SXKD</v>
          </cell>
          <cell r="I13" t="str">
            <v>QLCL</v>
          </cell>
          <cell r="AC13">
            <v>1047000</v>
          </cell>
          <cell r="AD13">
            <v>24501912</v>
          </cell>
          <cell r="AE13">
            <v>1861170</v>
          </cell>
          <cell r="AF13">
            <v>1781465</v>
          </cell>
          <cell r="AG13">
            <v>0</v>
          </cell>
          <cell r="AH13">
            <v>0</v>
          </cell>
          <cell r="AI13">
            <v>0</v>
          </cell>
          <cell r="AJ13">
            <v>0</v>
          </cell>
          <cell r="AK13">
            <v>60728</v>
          </cell>
          <cell r="AL13">
            <v>132842</v>
          </cell>
          <cell r="AM13">
            <v>11386</v>
          </cell>
          <cell r="AN13">
            <v>22773</v>
          </cell>
          <cell r="AO13">
            <v>7591</v>
          </cell>
          <cell r="AP13">
            <v>7591</v>
          </cell>
        </row>
        <row r="14">
          <cell r="D14" t="str">
            <v>PAKD Cung cấp hệ thống giám sát hành trình xe vTracking 2.0</v>
          </cell>
          <cell r="G14" t="str">
            <v>SXKD</v>
          </cell>
          <cell r="I14" t="str">
            <v>IOT</v>
          </cell>
          <cell r="AC14">
            <v>1398000</v>
          </cell>
          <cell r="AD14">
            <v>24629570</v>
          </cell>
          <cell r="AE14">
            <v>4604373</v>
          </cell>
          <cell r="AF14">
            <v>4405111</v>
          </cell>
          <cell r="AG14">
            <v>0</v>
          </cell>
          <cell r="AH14">
            <v>0</v>
          </cell>
          <cell r="AI14">
            <v>0</v>
          </cell>
          <cell r="AJ14">
            <v>0</v>
          </cell>
          <cell r="AK14">
            <v>151819</v>
          </cell>
          <cell r="AL14">
            <v>332104</v>
          </cell>
          <cell r="AM14">
            <v>28466</v>
          </cell>
          <cell r="AN14">
            <v>56932</v>
          </cell>
          <cell r="AO14">
            <v>18977</v>
          </cell>
          <cell r="AP14">
            <v>18977</v>
          </cell>
        </row>
        <row r="15">
          <cell r="D15" t="str">
            <v>Thiết bị định vị thông minh Personal Tracking</v>
          </cell>
          <cell r="G15" t="str">
            <v>SXKD</v>
          </cell>
          <cell r="I15" t="str">
            <v>IOT</v>
          </cell>
          <cell r="AC15">
            <v>930000</v>
          </cell>
          <cell r="AD15">
            <v>14692708</v>
          </cell>
          <cell r="AE15">
            <v>1051817</v>
          </cell>
          <cell r="AF15">
            <v>987057</v>
          </cell>
          <cell r="AG15">
            <v>0</v>
          </cell>
          <cell r="AH15">
            <v>0</v>
          </cell>
          <cell r="AI15">
            <v>0</v>
          </cell>
          <cell r="AJ15">
            <v>0</v>
          </cell>
          <cell r="AK15">
            <v>49341</v>
          </cell>
          <cell r="AL15">
            <v>107934</v>
          </cell>
          <cell r="AM15">
            <v>9251</v>
          </cell>
          <cell r="AN15">
            <v>18503</v>
          </cell>
          <cell r="AO15">
            <v>6168</v>
          </cell>
          <cell r="AP15">
            <v>6168</v>
          </cell>
        </row>
        <row r="16">
          <cell r="D16" t="str">
            <v>Dự án đầu tư Nền tảng quản lý kết nối CMP (Connectivity Management Platform)</v>
          </cell>
          <cell r="G16" t="str">
            <v>Quản lý</v>
          </cell>
          <cell r="I16" t="str">
            <v>IOT</v>
          </cell>
          <cell r="AC16">
            <v>2730000</v>
          </cell>
          <cell r="AD16">
            <v>132112699</v>
          </cell>
          <cell r="AE16">
            <v>54718196</v>
          </cell>
          <cell r="AF16">
            <v>54088390</v>
          </cell>
          <cell r="AG16">
            <v>0</v>
          </cell>
          <cell r="AH16">
            <v>0</v>
          </cell>
          <cell r="AI16">
            <v>0</v>
          </cell>
          <cell r="AJ16">
            <v>0</v>
          </cell>
          <cell r="AK16">
            <v>629806</v>
          </cell>
          <cell r="AL16">
            <v>1377700</v>
          </cell>
          <cell r="AM16">
            <v>0</v>
          </cell>
          <cell r="AN16">
            <v>0</v>
          </cell>
          <cell r="AO16">
            <v>0</v>
          </cell>
          <cell r="AP16">
            <v>0</v>
          </cell>
        </row>
        <row r="17">
          <cell r="D17" t="str">
            <v>Dự án đầu tư Nền tảng quản lý kết nối CMP (Connectivity Management Platform)</v>
          </cell>
          <cell r="G17" t="str">
            <v>Quản lý</v>
          </cell>
          <cell r="I17" t="str">
            <v>IOT</v>
          </cell>
          <cell r="AC17">
            <v>1730000</v>
          </cell>
          <cell r="AD17">
            <v>82741288</v>
          </cell>
          <cell r="AE17">
            <v>47913934</v>
          </cell>
          <cell r="AF17">
            <v>47323969</v>
          </cell>
          <cell r="AG17">
            <v>0</v>
          </cell>
          <cell r="AH17">
            <v>0</v>
          </cell>
          <cell r="AI17">
            <v>0</v>
          </cell>
          <cell r="AJ17">
            <v>0</v>
          </cell>
          <cell r="AK17">
            <v>496813</v>
          </cell>
          <cell r="AL17">
            <v>1086777</v>
          </cell>
          <cell r="AM17">
            <v>93152</v>
          </cell>
          <cell r="AN17">
            <v>186305</v>
          </cell>
          <cell r="AO17">
            <v>0</v>
          </cell>
          <cell r="AP17">
            <v>0</v>
          </cell>
        </row>
        <row r="18">
          <cell r="D18" t="str">
            <v>Dự án đầu tư Nền tảng quản lý kết nối CMP (Connectivity Management Platform)</v>
          </cell>
          <cell r="G18" t="str">
            <v>Quản lý</v>
          </cell>
          <cell r="I18" t="str">
            <v>IOT</v>
          </cell>
          <cell r="AC18">
            <v>1230000</v>
          </cell>
          <cell r="AD18">
            <v>41469209</v>
          </cell>
          <cell r="AE18">
            <v>27887065</v>
          </cell>
          <cell r="AF18">
            <v>27126056</v>
          </cell>
          <cell r="AG18">
            <v>0</v>
          </cell>
          <cell r="AH18">
            <v>0</v>
          </cell>
          <cell r="AI18">
            <v>0</v>
          </cell>
          <cell r="AJ18">
            <v>0</v>
          </cell>
          <cell r="AK18">
            <v>761009</v>
          </cell>
          <cell r="AL18">
            <v>1664707</v>
          </cell>
          <cell r="AM18">
            <v>0</v>
          </cell>
          <cell r="AN18">
            <v>0</v>
          </cell>
          <cell r="AO18">
            <v>0</v>
          </cell>
          <cell r="AP18">
            <v>0</v>
          </cell>
        </row>
        <row r="19">
          <cell r="D19" t="str">
            <v>Dự án đầu tư Nền tảng quản lý kết nối CMP (Connectivity Management Platform)</v>
          </cell>
          <cell r="G19" t="str">
            <v>Quản lý</v>
          </cell>
          <cell r="I19" t="str">
            <v>IOT</v>
          </cell>
          <cell r="AC19">
            <v>930000</v>
          </cell>
          <cell r="AD19">
            <v>15796808</v>
          </cell>
          <cell r="AE19">
            <v>9756522</v>
          </cell>
          <cell r="AF19">
            <v>9206059</v>
          </cell>
          <cell r="AG19">
            <v>0</v>
          </cell>
          <cell r="AH19">
            <v>0</v>
          </cell>
          <cell r="AI19">
            <v>0</v>
          </cell>
          <cell r="AJ19">
            <v>0</v>
          </cell>
          <cell r="AK19">
            <v>419400</v>
          </cell>
          <cell r="AL19">
            <v>917438</v>
          </cell>
          <cell r="AM19">
            <v>78638</v>
          </cell>
          <cell r="AN19">
            <v>157275</v>
          </cell>
          <cell r="AO19">
            <v>52425</v>
          </cell>
          <cell r="AP19">
            <v>52425</v>
          </cell>
        </row>
        <row r="20">
          <cell r="D20" t="str">
            <v>Dự án đầu tư Nền tảng quản lý kết nối CMP (Connectivity Management Platform)</v>
          </cell>
          <cell r="G20" t="str">
            <v>Quản lý</v>
          </cell>
          <cell r="I20" t="str">
            <v>IOT</v>
          </cell>
          <cell r="AC20">
            <v>930000</v>
          </cell>
          <cell r="AD20">
            <v>15796808</v>
          </cell>
          <cell r="AE20">
            <v>7460870</v>
          </cell>
          <cell r="AF20">
            <v>7039927</v>
          </cell>
          <cell r="AG20">
            <v>0</v>
          </cell>
          <cell r="AH20">
            <v>0</v>
          </cell>
          <cell r="AI20">
            <v>0</v>
          </cell>
          <cell r="AJ20">
            <v>0</v>
          </cell>
          <cell r="AK20">
            <v>320718</v>
          </cell>
          <cell r="AL20">
            <v>701570</v>
          </cell>
          <cell r="AM20">
            <v>60135</v>
          </cell>
          <cell r="AN20">
            <v>120269</v>
          </cell>
          <cell r="AO20">
            <v>40090</v>
          </cell>
          <cell r="AP20">
            <v>40090</v>
          </cell>
        </row>
        <row r="21">
          <cell r="D21" t="str">
            <v>Dự án đầu tư Nền tảng quản lý kết nối CMP (Connectivity Management Platform)</v>
          </cell>
          <cell r="G21" t="str">
            <v>Quản lý</v>
          </cell>
          <cell r="I21" t="str">
            <v>IOT</v>
          </cell>
          <cell r="AC21">
            <v>930000</v>
          </cell>
          <cell r="AD21">
            <v>20128152</v>
          </cell>
          <cell r="AE21">
            <v>12751183</v>
          </cell>
          <cell r="AF21">
            <v>12108335</v>
          </cell>
          <cell r="AG21">
            <v>0</v>
          </cell>
          <cell r="AH21">
            <v>0</v>
          </cell>
          <cell r="AI21">
            <v>0</v>
          </cell>
          <cell r="AJ21">
            <v>0</v>
          </cell>
          <cell r="AK21">
            <v>489789</v>
          </cell>
          <cell r="AL21">
            <v>1071414</v>
          </cell>
          <cell r="AM21">
            <v>91835</v>
          </cell>
          <cell r="AN21">
            <v>183671</v>
          </cell>
          <cell r="AO21">
            <v>61224</v>
          </cell>
          <cell r="AP21">
            <v>61224</v>
          </cell>
        </row>
        <row r="22">
          <cell r="D22" t="str">
            <v>Dự án đầu tư Nền tảng quản lý kết nối CMP (Connectivity Management Platform)</v>
          </cell>
          <cell r="G22" t="str">
            <v>Quản lý</v>
          </cell>
          <cell r="I22" t="str">
            <v>IOT</v>
          </cell>
          <cell r="AC22">
            <v>1147000</v>
          </cell>
          <cell r="AD22">
            <v>44718450</v>
          </cell>
          <cell r="AE22">
            <v>30249311</v>
          </cell>
          <cell r="AF22">
            <v>29375500</v>
          </cell>
          <cell r="AG22">
            <v>0</v>
          </cell>
          <cell r="AH22">
            <v>0</v>
          </cell>
          <cell r="AI22">
            <v>0</v>
          </cell>
          <cell r="AJ22">
            <v>0</v>
          </cell>
          <cell r="AK22">
            <v>665761</v>
          </cell>
          <cell r="AL22">
            <v>1456353</v>
          </cell>
          <cell r="AM22">
            <v>124830</v>
          </cell>
          <cell r="AN22">
            <v>249661</v>
          </cell>
          <cell r="AO22">
            <v>83220</v>
          </cell>
          <cell r="AP22">
            <v>83220</v>
          </cell>
        </row>
        <row r="23">
          <cell r="D23" t="str">
            <v>Dự án đầu tư Nền tảng quản lý kết nối CMP (Connectivity Management Platform)</v>
          </cell>
          <cell r="G23" t="str">
            <v>Quản lý</v>
          </cell>
          <cell r="I23" t="str">
            <v>QLCL</v>
          </cell>
          <cell r="AC23">
            <v>1047000</v>
          </cell>
          <cell r="AD23">
            <v>17348899</v>
          </cell>
          <cell r="AE23">
            <v>10748319</v>
          </cell>
          <cell r="AF23">
            <v>10167061</v>
          </cell>
          <cell r="AG23">
            <v>0</v>
          </cell>
          <cell r="AH23">
            <v>0</v>
          </cell>
          <cell r="AI23">
            <v>0</v>
          </cell>
          <cell r="AJ23">
            <v>0</v>
          </cell>
          <cell r="AK23">
            <v>442863</v>
          </cell>
          <cell r="AL23">
            <v>968763</v>
          </cell>
          <cell r="AM23">
            <v>83037</v>
          </cell>
          <cell r="AN23">
            <v>166074</v>
          </cell>
          <cell r="AO23">
            <v>55358</v>
          </cell>
          <cell r="AP23">
            <v>55358</v>
          </cell>
        </row>
        <row r="24">
          <cell r="D24" t="str">
            <v>Dự án đầu tư Nền tảng quản lý kết nối CMP (Connectivity Management Platform)</v>
          </cell>
          <cell r="G24" t="str">
            <v>Quản lý</v>
          </cell>
          <cell r="I24" t="str">
            <v>QLCL</v>
          </cell>
          <cell r="AC24">
            <v>1047000</v>
          </cell>
          <cell r="AD24">
            <v>22201034</v>
          </cell>
          <cell r="AE24">
            <v>9136016</v>
          </cell>
          <cell r="AF24">
            <v>8697639</v>
          </cell>
          <cell r="AG24">
            <v>0</v>
          </cell>
          <cell r="AH24">
            <v>0</v>
          </cell>
          <cell r="AI24">
            <v>0</v>
          </cell>
          <cell r="AJ24">
            <v>0</v>
          </cell>
          <cell r="AK24">
            <v>334002</v>
          </cell>
          <cell r="AL24">
            <v>730630</v>
          </cell>
          <cell r="AM24">
            <v>62625</v>
          </cell>
          <cell r="AN24">
            <v>125251</v>
          </cell>
          <cell r="AO24">
            <v>41750</v>
          </cell>
          <cell r="AP24">
            <v>41750</v>
          </cell>
        </row>
        <row r="25">
          <cell r="D25" t="str">
            <v>Dự án đầu tư Nền tảng quản lý kết nối CMP (Connectivity Management Platform)</v>
          </cell>
          <cell r="G25" t="str">
            <v>Quản lý</v>
          </cell>
          <cell r="I25" t="str">
            <v>IOT</v>
          </cell>
          <cell r="AC25">
            <v>1398000</v>
          </cell>
          <cell r="AD25">
            <v>24629570</v>
          </cell>
          <cell r="AE25">
            <v>15654867</v>
          </cell>
          <cell r="AF25">
            <v>14977374</v>
          </cell>
          <cell r="AG25">
            <v>0</v>
          </cell>
          <cell r="AH25">
            <v>0</v>
          </cell>
          <cell r="AI25">
            <v>0</v>
          </cell>
          <cell r="AJ25">
            <v>0</v>
          </cell>
          <cell r="AK25">
            <v>516185</v>
          </cell>
          <cell r="AL25">
            <v>1129155</v>
          </cell>
          <cell r="AM25">
            <v>96785</v>
          </cell>
          <cell r="AN25">
            <v>193569</v>
          </cell>
          <cell r="AO25">
            <v>64523</v>
          </cell>
          <cell r="AP25">
            <v>64523</v>
          </cell>
        </row>
        <row r="26">
          <cell r="D26" t="str">
            <v>Dự án đầu tư Nền tảng quản lý kết nối CMP (Connectivity Management Platform)</v>
          </cell>
          <cell r="G26" t="str">
            <v>Quản lý</v>
          </cell>
          <cell r="I26" t="str">
            <v>IOT</v>
          </cell>
          <cell r="AC26">
            <v>1147000</v>
          </cell>
          <cell r="AD26">
            <v>33995771</v>
          </cell>
          <cell r="AE26">
            <v>22513389</v>
          </cell>
          <cell r="AF26">
            <v>21724264</v>
          </cell>
          <cell r="AG26">
            <v>0</v>
          </cell>
          <cell r="AH26">
            <v>0</v>
          </cell>
          <cell r="AI26">
            <v>0</v>
          </cell>
          <cell r="AJ26">
            <v>0</v>
          </cell>
          <cell r="AK26">
            <v>601238</v>
          </cell>
          <cell r="AL26">
            <v>1315209</v>
          </cell>
          <cell r="AM26">
            <v>112732</v>
          </cell>
          <cell r="AN26">
            <v>225464</v>
          </cell>
          <cell r="AO26">
            <v>75155</v>
          </cell>
          <cell r="AP26">
            <v>75155</v>
          </cell>
        </row>
        <row r="27">
          <cell r="D27" t="str">
            <v>Dự án đầu tư Nền tảng quản lý kết nối CMP (Connectivity Management Platform)</v>
          </cell>
          <cell r="G27" t="str">
            <v>Quản lý</v>
          </cell>
          <cell r="I27" t="str">
            <v>IOT</v>
          </cell>
          <cell r="AC27">
            <v>1047000</v>
          </cell>
          <cell r="AD27">
            <v>21173952</v>
          </cell>
          <cell r="AE27">
            <v>13437687</v>
          </cell>
          <cell r="AF27">
            <v>12794839</v>
          </cell>
          <cell r="AG27">
            <v>0</v>
          </cell>
          <cell r="AH27">
            <v>0</v>
          </cell>
          <cell r="AI27">
            <v>0</v>
          </cell>
          <cell r="AJ27">
            <v>0</v>
          </cell>
          <cell r="AK27">
            <v>489789</v>
          </cell>
          <cell r="AL27">
            <v>1071414</v>
          </cell>
          <cell r="AM27">
            <v>91835</v>
          </cell>
          <cell r="AN27">
            <v>183671</v>
          </cell>
          <cell r="AO27">
            <v>61224</v>
          </cell>
          <cell r="AP27">
            <v>61224</v>
          </cell>
        </row>
        <row r="28">
          <cell r="D28" t="str">
            <v>Dự án đầu tư Nền tảng quản lý kết nối CMP (Connectivity Management Platform)</v>
          </cell>
          <cell r="G28" t="str">
            <v>Quản lý</v>
          </cell>
          <cell r="I28" t="str">
            <v>IOT</v>
          </cell>
          <cell r="AC28">
            <v>930000</v>
          </cell>
          <cell r="AD28">
            <v>21163248</v>
          </cell>
          <cell r="AE28">
            <v>13516254</v>
          </cell>
          <cell r="AF28">
            <v>12873406</v>
          </cell>
          <cell r="AG28">
            <v>0</v>
          </cell>
          <cell r="AH28">
            <v>0</v>
          </cell>
          <cell r="AI28">
            <v>0</v>
          </cell>
          <cell r="AJ28">
            <v>0</v>
          </cell>
          <cell r="AK28">
            <v>489789</v>
          </cell>
          <cell r="AL28">
            <v>1071414</v>
          </cell>
          <cell r="AM28">
            <v>91835</v>
          </cell>
          <cell r="AN28">
            <v>183671</v>
          </cell>
          <cell r="AO28">
            <v>61224</v>
          </cell>
          <cell r="AP28">
            <v>61224</v>
          </cell>
        </row>
        <row r="29">
          <cell r="D29" t="str">
            <v>Dự án đầu tư Nền tảng quản lý kết nối CMP (Connectivity Management Platform)</v>
          </cell>
          <cell r="G29" t="str">
            <v>Quản lý</v>
          </cell>
          <cell r="I29" t="str">
            <v>IOT</v>
          </cell>
          <cell r="AC29">
            <v>1030000</v>
          </cell>
          <cell r="AD29">
            <v>42023471</v>
          </cell>
          <cell r="AE29">
            <v>28438616</v>
          </cell>
          <cell r="AF29">
            <v>27607148</v>
          </cell>
          <cell r="AG29">
            <v>0</v>
          </cell>
          <cell r="AH29">
            <v>0</v>
          </cell>
          <cell r="AI29">
            <v>0</v>
          </cell>
          <cell r="AJ29">
            <v>0</v>
          </cell>
          <cell r="AK29">
            <v>633500</v>
          </cell>
          <cell r="AL29">
            <v>1385781</v>
          </cell>
          <cell r="AM29">
            <v>118781</v>
          </cell>
          <cell r="AN29">
            <v>237562</v>
          </cell>
          <cell r="AO29">
            <v>79187</v>
          </cell>
          <cell r="AP29">
            <v>79187</v>
          </cell>
        </row>
        <row r="30">
          <cell r="D30" t="str">
            <v>Dự án đầu tư Nền tảng quản lý kết nối CMP (Connectivity Management Platform)</v>
          </cell>
          <cell r="G30" t="str">
            <v>Quản lý</v>
          </cell>
          <cell r="I30" t="str">
            <v>IOT</v>
          </cell>
          <cell r="AC30">
            <v>1030000</v>
          </cell>
          <cell r="AD30">
            <v>35081579</v>
          </cell>
          <cell r="AE30">
            <v>23488574</v>
          </cell>
          <cell r="AF30">
            <v>22737942</v>
          </cell>
          <cell r="AG30">
            <v>0</v>
          </cell>
          <cell r="AH30">
            <v>0</v>
          </cell>
          <cell r="AI30">
            <v>0</v>
          </cell>
          <cell r="AJ30">
            <v>0</v>
          </cell>
          <cell r="AK30">
            <v>571910</v>
          </cell>
          <cell r="AL30">
            <v>1251052</v>
          </cell>
          <cell r="AM30">
            <v>107233</v>
          </cell>
          <cell r="AN30">
            <v>214466</v>
          </cell>
          <cell r="AO30">
            <v>71489</v>
          </cell>
          <cell r="AP30">
            <v>71489</v>
          </cell>
        </row>
        <row r="31">
          <cell r="D31" t="str">
            <v>Dự án đầu tư Nền tảng quản lý kết nối CMP (Connectivity Management Platform)</v>
          </cell>
          <cell r="G31" t="str">
            <v>Quản lý</v>
          </cell>
          <cell r="I31" t="str">
            <v>IOT</v>
          </cell>
          <cell r="AC31">
            <v>1030000</v>
          </cell>
          <cell r="AD31">
            <v>37733608</v>
          </cell>
          <cell r="AE31">
            <v>25267848</v>
          </cell>
          <cell r="AF31">
            <v>24436380</v>
          </cell>
          <cell r="AG31">
            <v>0</v>
          </cell>
          <cell r="AH31">
            <v>0</v>
          </cell>
          <cell r="AI31">
            <v>0</v>
          </cell>
          <cell r="AJ31">
            <v>0</v>
          </cell>
          <cell r="AK31">
            <v>633500</v>
          </cell>
          <cell r="AL31">
            <v>1385781</v>
          </cell>
          <cell r="AM31">
            <v>118781</v>
          </cell>
          <cell r="AN31">
            <v>237562</v>
          </cell>
          <cell r="AO31">
            <v>79187</v>
          </cell>
          <cell r="AP31">
            <v>79187</v>
          </cell>
        </row>
        <row r="32">
          <cell r="D32" t="str">
            <v>Dự án đầu tư Nền tảng quản lý kết nối CMP (Connectivity Management Platform)</v>
          </cell>
          <cell r="G32" t="str">
            <v>Quản lý</v>
          </cell>
          <cell r="I32" t="str">
            <v>IOT</v>
          </cell>
          <cell r="AC32">
            <v>1030000</v>
          </cell>
          <cell r="AD32">
            <v>54654678</v>
          </cell>
          <cell r="AE32">
            <v>17683094</v>
          </cell>
          <cell r="AF32">
            <v>17250150</v>
          </cell>
          <cell r="AG32">
            <v>0</v>
          </cell>
          <cell r="AH32">
            <v>0</v>
          </cell>
          <cell r="AI32">
            <v>0</v>
          </cell>
          <cell r="AJ32">
            <v>0</v>
          </cell>
          <cell r="AK32">
            <v>329862</v>
          </cell>
          <cell r="AL32">
            <v>721572</v>
          </cell>
          <cell r="AM32">
            <v>61849</v>
          </cell>
          <cell r="AN32">
            <v>123698</v>
          </cell>
          <cell r="AO32">
            <v>41233</v>
          </cell>
          <cell r="AP32">
            <v>41233</v>
          </cell>
        </row>
        <row r="33">
          <cell r="D33" t="str">
            <v>Dự án đầu tư Nền tảng quản lý kết nối CMP (Connectivity Management Platform)</v>
          </cell>
          <cell r="G33" t="str">
            <v>Quản lý</v>
          </cell>
          <cell r="I33" t="str">
            <v>IOT</v>
          </cell>
          <cell r="AC33">
            <v>930000</v>
          </cell>
          <cell r="AD33">
            <v>19325404</v>
          </cell>
          <cell r="AE33">
            <v>12226770</v>
          </cell>
          <cell r="AF33">
            <v>11614717</v>
          </cell>
          <cell r="AG33">
            <v>0</v>
          </cell>
          <cell r="AH33">
            <v>0</v>
          </cell>
          <cell r="AI33">
            <v>0</v>
          </cell>
          <cell r="AJ33">
            <v>0</v>
          </cell>
          <cell r="AK33">
            <v>466326</v>
          </cell>
          <cell r="AL33">
            <v>1020089</v>
          </cell>
          <cell r="AM33">
            <v>87436</v>
          </cell>
          <cell r="AN33">
            <v>174872</v>
          </cell>
          <cell r="AO33">
            <v>58291</v>
          </cell>
          <cell r="AP33">
            <v>58291</v>
          </cell>
        </row>
        <row r="34">
          <cell r="D34" t="str">
            <v>Dự án đầu tư Nền tảng quản lý kết nối CMP (Connectivity Management Platform)</v>
          </cell>
          <cell r="G34" t="str">
            <v>Quản lý</v>
          </cell>
          <cell r="I34" t="str">
            <v>IOT</v>
          </cell>
          <cell r="AC34">
            <v>1230000</v>
          </cell>
          <cell r="AD34">
            <v>74606137</v>
          </cell>
          <cell r="AE34">
            <v>36592575</v>
          </cell>
          <cell r="AF34">
            <v>35837188</v>
          </cell>
          <cell r="AG34">
            <v>0</v>
          </cell>
          <cell r="AH34">
            <v>0</v>
          </cell>
          <cell r="AI34">
            <v>0</v>
          </cell>
          <cell r="AJ34">
            <v>0</v>
          </cell>
          <cell r="AK34">
            <v>575533</v>
          </cell>
          <cell r="AL34">
            <v>1258977</v>
          </cell>
          <cell r="AM34">
            <v>107912</v>
          </cell>
          <cell r="AN34">
            <v>215825</v>
          </cell>
          <cell r="AO34">
            <v>71942</v>
          </cell>
          <cell r="AP34">
            <v>71942</v>
          </cell>
        </row>
        <row r="35">
          <cell r="D35" t="str">
            <v>Dự án đầu tư Nền tảng quản lý kết nối CMP (Connectivity Management Platform)</v>
          </cell>
          <cell r="G35" t="str">
            <v>Quản lý</v>
          </cell>
          <cell r="I35" t="str">
            <v>IOT</v>
          </cell>
          <cell r="AC35">
            <v>1398000</v>
          </cell>
          <cell r="AD35">
            <v>19743971</v>
          </cell>
          <cell r="AE35">
            <v>7170725</v>
          </cell>
          <cell r="AF35">
            <v>6810693</v>
          </cell>
          <cell r="AG35">
            <v>0</v>
          </cell>
          <cell r="AH35">
            <v>0</v>
          </cell>
          <cell r="AI35">
            <v>0</v>
          </cell>
          <cell r="AJ35">
            <v>0</v>
          </cell>
          <cell r="AK35">
            <v>274310</v>
          </cell>
          <cell r="AL35">
            <v>600052</v>
          </cell>
          <cell r="AM35">
            <v>51433</v>
          </cell>
          <cell r="AN35">
            <v>102866</v>
          </cell>
          <cell r="AO35">
            <v>34289</v>
          </cell>
          <cell r="AP35">
            <v>34289</v>
          </cell>
        </row>
        <row r="36">
          <cell r="D36" t="str">
            <v>Dự án đầu tư Nền tảng quản lý kết nối CMP (Connectivity Management Platform)</v>
          </cell>
          <cell r="G36" t="str">
            <v>Quản lý</v>
          </cell>
          <cell r="I36" t="str">
            <v>QLCL</v>
          </cell>
          <cell r="AC36">
            <v>1047000</v>
          </cell>
          <cell r="AD36">
            <v>22209921</v>
          </cell>
          <cell r="AE36">
            <v>5012966</v>
          </cell>
          <cell r="AF36">
            <v>4786078</v>
          </cell>
          <cell r="AG36">
            <v>0</v>
          </cell>
          <cell r="AH36">
            <v>0</v>
          </cell>
          <cell r="AI36">
            <v>0</v>
          </cell>
          <cell r="AJ36">
            <v>0</v>
          </cell>
          <cell r="AK36">
            <v>172867</v>
          </cell>
          <cell r="AL36">
            <v>378146</v>
          </cell>
          <cell r="AM36">
            <v>32413</v>
          </cell>
          <cell r="AN36">
            <v>64825</v>
          </cell>
          <cell r="AO36">
            <v>21608</v>
          </cell>
          <cell r="AP36">
            <v>21608</v>
          </cell>
        </row>
        <row r="37">
          <cell r="D37" t="str">
            <v>Dự án đầu tư Nền tảng quản lý kết nối CMP (Connectivity Management Platform)</v>
          </cell>
          <cell r="G37" t="str">
            <v>Quản lý</v>
          </cell>
          <cell r="I37" t="str">
            <v>QLCL</v>
          </cell>
          <cell r="AC37">
            <v>1615000</v>
          </cell>
          <cell r="AD37">
            <v>34463771</v>
          </cell>
          <cell r="AE37">
            <v>7945902</v>
          </cell>
          <cell r="AF37">
            <v>7667387</v>
          </cell>
          <cell r="AG37">
            <v>0</v>
          </cell>
          <cell r="AH37">
            <v>0</v>
          </cell>
          <cell r="AI37">
            <v>0</v>
          </cell>
          <cell r="AJ37">
            <v>0</v>
          </cell>
          <cell r="AK37">
            <v>212202</v>
          </cell>
          <cell r="AL37">
            <v>464191</v>
          </cell>
          <cell r="AM37">
            <v>39788</v>
          </cell>
          <cell r="AN37">
            <v>79576</v>
          </cell>
          <cell r="AO37">
            <v>26525</v>
          </cell>
          <cell r="AP37">
            <v>26525</v>
          </cell>
        </row>
        <row r="38">
          <cell r="D38" t="str">
            <v>Dự án đầu tư Nền tảng quản lý kết nối CMP (Connectivity Management Platform)</v>
          </cell>
          <cell r="G38" t="str">
            <v>Quản lý</v>
          </cell>
          <cell r="I38" t="str">
            <v>IOT</v>
          </cell>
          <cell r="AC38">
            <v>930000</v>
          </cell>
          <cell r="AD38">
            <v>17210056</v>
          </cell>
          <cell r="AE38">
            <v>10732174</v>
          </cell>
          <cell r="AF38">
            <v>10150916</v>
          </cell>
          <cell r="AG38">
            <v>0</v>
          </cell>
          <cell r="AH38">
            <v>0</v>
          </cell>
          <cell r="AI38">
            <v>0</v>
          </cell>
          <cell r="AJ38">
            <v>0</v>
          </cell>
          <cell r="AK38">
            <v>442863</v>
          </cell>
          <cell r="AL38">
            <v>968763</v>
          </cell>
          <cell r="AM38">
            <v>83037</v>
          </cell>
          <cell r="AN38">
            <v>166074</v>
          </cell>
          <cell r="AO38">
            <v>55358</v>
          </cell>
          <cell r="AP38">
            <v>55358</v>
          </cell>
        </row>
        <row r="39">
          <cell r="D39" t="str">
            <v>Dự án đầu tư Nền tảng quản lý kết nối CMP (Connectivity Management Platform)</v>
          </cell>
          <cell r="G39" t="str">
            <v>Quản lý</v>
          </cell>
          <cell r="I39" t="str">
            <v>IOT</v>
          </cell>
          <cell r="AC39">
            <v>930000</v>
          </cell>
          <cell r="AD39">
            <v>17275656</v>
          </cell>
          <cell r="AE39">
            <v>10780661</v>
          </cell>
          <cell r="AF39">
            <v>10199403</v>
          </cell>
          <cell r="AG39">
            <v>0</v>
          </cell>
          <cell r="AH39">
            <v>0</v>
          </cell>
          <cell r="AI39">
            <v>0</v>
          </cell>
          <cell r="AJ39">
            <v>0</v>
          </cell>
          <cell r="AK39">
            <v>442863</v>
          </cell>
          <cell r="AL39">
            <v>968763</v>
          </cell>
          <cell r="AM39">
            <v>83037</v>
          </cell>
          <cell r="AN39">
            <v>166074</v>
          </cell>
          <cell r="AO39">
            <v>55358</v>
          </cell>
          <cell r="AP39">
            <v>55358</v>
          </cell>
        </row>
        <row r="40">
          <cell r="D40" t="str">
            <v>Dự án đầu tư Nền tảng quản lý kết nối CMP (Connectivity Management Platform)</v>
          </cell>
          <cell r="G40" t="str">
            <v>Quản lý</v>
          </cell>
          <cell r="I40" t="str">
            <v>IOT</v>
          </cell>
          <cell r="AC40">
            <v>930000</v>
          </cell>
          <cell r="AD40">
            <v>17741776</v>
          </cell>
          <cell r="AE40">
            <v>11125184</v>
          </cell>
          <cell r="AF40">
            <v>10543926</v>
          </cell>
          <cell r="AG40">
            <v>0</v>
          </cell>
          <cell r="AH40">
            <v>0</v>
          </cell>
          <cell r="AI40">
            <v>0</v>
          </cell>
          <cell r="AJ40">
            <v>0</v>
          </cell>
          <cell r="AK40">
            <v>442863</v>
          </cell>
          <cell r="AL40">
            <v>968763</v>
          </cell>
          <cell r="AM40">
            <v>83037</v>
          </cell>
          <cell r="AN40">
            <v>166074</v>
          </cell>
          <cell r="AO40">
            <v>55358</v>
          </cell>
          <cell r="AP40">
            <v>55358</v>
          </cell>
        </row>
        <row r="41">
          <cell r="D41" t="str">
            <v>Dự án đầu tư Nền tảng quản lý kết nối CMP (Connectivity Management Platform)</v>
          </cell>
          <cell r="G41" t="str">
            <v>Quản lý</v>
          </cell>
          <cell r="I41" t="str">
            <v>IOT</v>
          </cell>
          <cell r="AC41">
            <v>1281000</v>
          </cell>
          <cell r="AD41">
            <v>27955601</v>
          </cell>
          <cell r="AE41">
            <v>18199716</v>
          </cell>
          <cell r="AF41">
            <v>17522223</v>
          </cell>
          <cell r="AG41">
            <v>0</v>
          </cell>
          <cell r="AH41">
            <v>0</v>
          </cell>
          <cell r="AI41">
            <v>0</v>
          </cell>
          <cell r="AJ41">
            <v>0</v>
          </cell>
          <cell r="AK41">
            <v>516185</v>
          </cell>
          <cell r="AL41">
            <v>1129155</v>
          </cell>
          <cell r="AM41">
            <v>96785</v>
          </cell>
          <cell r="AN41">
            <v>193569</v>
          </cell>
          <cell r="AO41">
            <v>64523</v>
          </cell>
          <cell r="AP41">
            <v>64523</v>
          </cell>
        </row>
        <row r="42">
          <cell r="D42" t="str">
            <v>Dự án đầu tư Nền tảng quản lý kết nối CMP (Connectivity Management Platform)</v>
          </cell>
          <cell r="G42" t="str">
            <v>Quản lý</v>
          </cell>
          <cell r="I42" t="str">
            <v>IOT</v>
          </cell>
          <cell r="AC42">
            <v>930000</v>
          </cell>
          <cell r="AD42">
            <v>20309612</v>
          </cell>
          <cell r="AE42">
            <v>12885305</v>
          </cell>
          <cell r="AF42">
            <v>12242457</v>
          </cell>
          <cell r="AG42">
            <v>0</v>
          </cell>
          <cell r="AH42">
            <v>0</v>
          </cell>
          <cell r="AI42">
            <v>0</v>
          </cell>
          <cell r="AJ42">
            <v>0</v>
          </cell>
          <cell r="AK42">
            <v>489789</v>
          </cell>
          <cell r="AL42">
            <v>1071414</v>
          </cell>
          <cell r="AM42">
            <v>91835</v>
          </cell>
          <cell r="AN42">
            <v>183671</v>
          </cell>
          <cell r="AO42">
            <v>61224</v>
          </cell>
          <cell r="AP42">
            <v>61224</v>
          </cell>
        </row>
        <row r="43">
          <cell r="D43" t="str">
            <v>Dự án đầu tư Nền tảng quản lý kết nối CMP (Connectivity Management Platform)</v>
          </cell>
          <cell r="G43" t="str">
            <v>Quản lý</v>
          </cell>
          <cell r="I43" t="str">
            <v>IOT</v>
          </cell>
          <cell r="AC43">
            <v>930000</v>
          </cell>
          <cell r="AD43">
            <v>16124116</v>
          </cell>
          <cell r="AE43">
            <v>9929523</v>
          </cell>
          <cell r="AF43">
            <v>9348265</v>
          </cell>
          <cell r="AG43">
            <v>0</v>
          </cell>
          <cell r="AH43">
            <v>0</v>
          </cell>
          <cell r="AI43">
            <v>0</v>
          </cell>
          <cell r="AJ43">
            <v>0</v>
          </cell>
          <cell r="AK43">
            <v>442863</v>
          </cell>
          <cell r="AL43">
            <v>968763</v>
          </cell>
          <cell r="AM43">
            <v>83037</v>
          </cell>
          <cell r="AN43">
            <v>166074</v>
          </cell>
          <cell r="AO43">
            <v>55358</v>
          </cell>
          <cell r="AP43">
            <v>55358</v>
          </cell>
        </row>
        <row r="44">
          <cell r="D44" t="str">
            <v>Dự án đầu tư Nền tảng quản lý kết nối CMP (Connectivity Management Platform)</v>
          </cell>
          <cell r="G44" t="str">
            <v>Quản lý</v>
          </cell>
          <cell r="I44" t="str">
            <v>IOT</v>
          </cell>
          <cell r="AC44">
            <v>930000</v>
          </cell>
          <cell r="AD44">
            <v>14692708</v>
          </cell>
          <cell r="AE44">
            <v>8940448</v>
          </cell>
          <cell r="AF44">
            <v>8389985</v>
          </cell>
          <cell r="AG44">
            <v>0</v>
          </cell>
          <cell r="AH44">
            <v>0</v>
          </cell>
          <cell r="AI44">
            <v>0</v>
          </cell>
          <cell r="AJ44">
            <v>0</v>
          </cell>
          <cell r="AK44">
            <v>419400</v>
          </cell>
          <cell r="AL44">
            <v>917438</v>
          </cell>
          <cell r="AM44">
            <v>78638</v>
          </cell>
          <cell r="AN44">
            <v>157275</v>
          </cell>
          <cell r="AO44">
            <v>52425</v>
          </cell>
          <cell r="AP44">
            <v>52425</v>
          </cell>
        </row>
        <row r="45">
          <cell r="D45" t="str">
            <v>Dự án đầu tư Nền tảng quản lý kết nối CMP (Connectivity Management Platform)</v>
          </cell>
          <cell r="G45" t="str">
            <v>Quản lý</v>
          </cell>
          <cell r="I45" t="str">
            <v>IOT</v>
          </cell>
          <cell r="AC45">
            <v>1281000</v>
          </cell>
          <cell r="AD45">
            <v>27955601</v>
          </cell>
          <cell r="AE45">
            <v>6423429</v>
          </cell>
          <cell r="AF45">
            <v>6184314</v>
          </cell>
          <cell r="AG45">
            <v>0</v>
          </cell>
          <cell r="AH45">
            <v>0</v>
          </cell>
          <cell r="AI45">
            <v>0</v>
          </cell>
          <cell r="AJ45">
            <v>0</v>
          </cell>
          <cell r="AK45">
            <v>182183</v>
          </cell>
          <cell r="AL45">
            <v>398525</v>
          </cell>
          <cell r="AM45">
            <v>34159</v>
          </cell>
          <cell r="AN45">
            <v>68319</v>
          </cell>
          <cell r="AO45">
            <v>22773</v>
          </cell>
          <cell r="AP45">
            <v>22773</v>
          </cell>
        </row>
        <row r="46">
          <cell r="D46" t="str">
            <v>Triển khai hệ thống giám sát thiết bị ONT cho Công ty Hoàng Phúc</v>
          </cell>
          <cell r="G46" t="str">
            <v>SXKD</v>
          </cell>
          <cell r="I46" t="str">
            <v>KTCN</v>
          </cell>
          <cell r="AC46">
            <v>930000</v>
          </cell>
          <cell r="AD46">
            <v>20493652</v>
          </cell>
          <cell r="AE46">
            <v>8425570</v>
          </cell>
          <cell r="AF46">
            <v>8009610</v>
          </cell>
          <cell r="AG46">
            <v>0</v>
          </cell>
          <cell r="AH46">
            <v>0</v>
          </cell>
          <cell r="AI46">
            <v>0</v>
          </cell>
          <cell r="AJ46">
            <v>0</v>
          </cell>
          <cell r="AK46">
            <v>316922</v>
          </cell>
          <cell r="AL46">
            <v>693268</v>
          </cell>
          <cell r="AM46">
            <v>59423</v>
          </cell>
          <cell r="AN46">
            <v>118846</v>
          </cell>
          <cell r="AO46">
            <v>39615</v>
          </cell>
          <cell r="AP46">
            <v>39615</v>
          </cell>
        </row>
        <row r="47">
          <cell r="D47" t="str">
            <v>Triển khai hệ thống giám sát thiết bị ONT cho Công ty Hoàng Phúc</v>
          </cell>
          <cell r="G47" t="str">
            <v>SXKD</v>
          </cell>
          <cell r="I47" t="str">
            <v>KTCN</v>
          </cell>
          <cell r="AC47">
            <v>930000</v>
          </cell>
          <cell r="AD47">
            <v>27107932</v>
          </cell>
          <cell r="AE47">
            <v>24021572</v>
          </cell>
          <cell r="AF47">
            <v>23058092</v>
          </cell>
          <cell r="AG47">
            <v>0</v>
          </cell>
          <cell r="AH47">
            <v>0</v>
          </cell>
          <cell r="AI47">
            <v>0</v>
          </cell>
          <cell r="AJ47">
            <v>0</v>
          </cell>
          <cell r="AK47">
            <v>734080</v>
          </cell>
          <cell r="AL47">
            <v>1605800</v>
          </cell>
          <cell r="AM47">
            <v>137640</v>
          </cell>
          <cell r="AN47">
            <v>275280</v>
          </cell>
          <cell r="AO47">
            <v>91760</v>
          </cell>
          <cell r="AP47">
            <v>91760</v>
          </cell>
        </row>
        <row r="48">
          <cell r="D48" t="str">
            <v>Phương án kinh doanh 466.000 thiết bị ONT và 600.000 thiết bị Homewifi (466K ONT)</v>
          </cell>
          <cell r="G48" t="str">
            <v>SXKD</v>
          </cell>
          <cell r="I48" t="str">
            <v>KTCN</v>
          </cell>
          <cell r="AC48">
            <v>1030000</v>
          </cell>
          <cell r="AD48">
            <v>37023471</v>
          </cell>
          <cell r="AE48">
            <v>4366405</v>
          </cell>
          <cell r="AF48">
            <v>4219676</v>
          </cell>
          <cell r="AG48">
            <v>0</v>
          </cell>
          <cell r="AH48">
            <v>0</v>
          </cell>
          <cell r="AI48">
            <v>0</v>
          </cell>
          <cell r="AJ48">
            <v>0</v>
          </cell>
          <cell r="AK48">
            <v>111794</v>
          </cell>
          <cell r="AL48">
            <v>244550</v>
          </cell>
          <cell r="AM48">
            <v>20961</v>
          </cell>
          <cell r="AN48">
            <v>41923</v>
          </cell>
          <cell r="AO48">
            <v>13974</v>
          </cell>
          <cell r="AP48">
            <v>13974</v>
          </cell>
        </row>
        <row r="49">
          <cell r="D49" t="str">
            <v>Phương án kinh doanh 466.000 thiết bị ONT và 600.000 thiết bị Homewifi (466K ONT)</v>
          </cell>
          <cell r="G49" t="str">
            <v>SXKD</v>
          </cell>
          <cell r="I49" t="str">
            <v>KTCN</v>
          </cell>
          <cell r="AC49">
            <v>930000</v>
          </cell>
          <cell r="AD49">
            <v>29328464</v>
          </cell>
          <cell r="AE49">
            <v>3407680</v>
          </cell>
          <cell r="AF49">
            <v>3275216</v>
          </cell>
          <cell r="AG49">
            <v>0</v>
          </cell>
          <cell r="AH49">
            <v>0</v>
          </cell>
          <cell r="AI49">
            <v>0</v>
          </cell>
          <cell r="AJ49">
            <v>0</v>
          </cell>
          <cell r="AK49">
            <v>100925</v>
          </cell>
          <cell r="AL49">
            <v>220774</v>
          </cell>
          <cell r="AM49">
            <v>18923</v>
          </cell>
          <cell r="AN49">
            <v>37847</v>
          </cell>
          <cell r="AO49">
            <v>12616</v>
          </cell>
          <cell r="AP49">
            <v>12616</v>
          </cell>
        </row>
        <row r="50">
          <cell r="D50" t="str">
            <v>Phương án kinh doanh 466.000 thiết bị ONT và 600.000 thiết bị Homewifi (466K ONT)</v>
          </cell>
          <cell r="G50" t="str">
            <v>SXKD</v>
          </cell>
          <cell r="I50" t="str">
            <v>KTCN</v>
          </cell>
          <cell r="AC50">
            <v>1398000</v>
          </cell>
          <cell r="AD50">
            <v>25810420</v>
          </cell>
          <cell r="AE50">
            <v>10644203</v>
          </cell>
          <cell r="AF50">
            <v>10183408</v>
          </cell>
          <cell r="AG50">
            <v>0</v>
          </cell>
          <cell r="AH50">
            <v>0</v>
          </cell>
          <cell r="AI50">
            <v>0</v>
          </cell>
          <cell r="AJ50">
            <v>0</v>
          </cell>
          <cell r="AK50">
            <v>351082</v>
          </cell>
          <cell r="AL50">
            <v>767991</v>
          </cell>
          <cell r="AM50">
            <v>65828</v>
          </cell>
          <cell r="AN50">
            <v>131656</v>
          </cell>
          <cell r="AO50">
            <v>43885</v>
          </cell>
          <cell r="AP50">
            <v>43885</v>
          </cell>
        </row>
        <row r="51">
          <cell r="D51" t="str">
            <v>Phương án kinh doanh 466.000 thiết bị ONT và 600.000 thiết bị Homewifi (600k AP)</v>
          </cell>
          <cell r="G51" t="str">
            <v>SXKD</v>
          </cell>
          <cell r="I51" t="str">
            <v>QLSX</v>
          </cell>
          <cell r="AC51">
            <v>1030000</v>
          </cell>
          <cell r="AD51">
            <v>31229808</v>
          </cell>
          <cell r="AE51">
            <v>13356338</v>
          </cell>
          <cell r="AF51">
            <v>12870636</v>
          </cell>
          <cell r="AG51">
            <v>0</v>
          </cell>
          <cell r="AH51">
            <v>0</v>
          </cell>
          <cell r="AI51">
            <v>0</v>
          </cell>
          <cell r="AJ51">
            <v>0</v>
          </cell>
          <cell r="AK51">
            <v>370059</v>
          </cell>
          <cell r="AL51">
            <v>809504</v>
          </cell>
          <cell r="AM51">
            <v>69386</v>
          </cell>
          <cell r="AN51">
            <v>138772</v>
          </cell>
          <cell r="AO51">
            <v>46257</v>
          </cell>
          <cell r="AP51">
            <v>46257</v>
          </cell>
        </row>
        <row r="52">
          <cell r="D52" t="str">
            <v>Phương án kinh doanh 466.000 thiết bị ONT và 600.000 thiết bị Homewifi (600k AP)</v>
          </cell>
          <cell r="G52" t="str">
            <v>SXKD</v>
          </cell>
          <cell r="I52" t="str">
            <v>QLSX</v>
          </cell>
          <cell r="AC52">
            <v>930000</v>
          </cell>
          <cell r="AD52">
            <v>19029409</v>
          </cell>
          <cell r="AE52">
            <v>7769876</v>
          </cell>
          <cell r="AF52">
            <v>7373841</v>
          </cell>
          <cell r="AG52">
            <v>0</v>
          </cell>
          <cell r="AH52">
            <v>0</v>
          </cell>
          <cell r="AI52">
            <v>0</v>
          </cell>
          <cell r="AJ52">
            <v>0</v>
          </cell>
          <cell r="AK52">
            <v>301741</v>
          </cell>
          <cell r="AL52">
            <v>660057</v>
          </cell>
          <cell r="AM52">
            <v>56576</v>
          </cell>
          <cell r="AN52">
            <v>113153</v>
          </cell>
          <cell r="AO52">
            <v>37718</v>
          </cell>
          <cell r="AP52">
            <v>37718</v>
          </cell>
        </row>
        <row r="53">
          <cell r="D53" t="str">
            <v>Phương án kinh doanh 466.000 thiết bị ONT và 600.000 thiết bị Homewifi (600k AP)</v>
          </cell>
          <cell r="G53" t="str">
            <v>SXKD</v>
          </cell>
          <cell r="I53" t="str">
            <v>QLSX</v>
          </cell>
          <cell r="AC53">
            <v>930000</v>
          </cell>
          <cell r="AD53">
            <v>17741776</v>
          </cell>
          <cell r="AE53">
            <v>7198649</v>
          </cell>
          <cell r="AF53">
            <v>6822540</v>
          </cell>
          <cell r="AG53">
            <v>0</v>
          </cell>
          <cell r="AH53">
            <v>0</v>
          </cell>
          <cell r="AI53">
            <v>0</v>
          </cell>
          <cell r="AJ53">
            <v>0</v>
          </cell>
          <cell r="AK53">
            <v>286559</v>
          </cell>
          <cell r="AL53">
            <v>626847</v>
          </cell>
          <cell r="AM53">
            <v>53730</v>
          </cell>
          <cell r="AN53">
            <v>107459</v>
          </cell>
          <cell r="AO53">
            <v>35820</v>
          </cell>
          <cell r="AP53">
            <v>35820</v>
          </cell>
        </row>
        <row r="54">
          <cell r="D54" t="str">
            <v>Phương án kinh doanh 466.000 thiết bị ONT và 600.000 thiết bị Homewifi (600k AP)</v>
          </cell>
          <cell r="G54" t="str">
            <v>SXKD</v>
          </cell>
          <cell r="I54" t="str">
            <v>QLSX</v>
          </cell>
          <cell r="AC54">
            <v>1147000</v>
          </cell>
          <cell r="AD54">
            <v>31641431</v>
          </cell>
          <cell r="AE54">
            <v>7362133</v>
          </cell>
          <cell r="AF54">
            <v>7097205</v>
          </cell>
          <cell r="AG54">
            <v>0</v>
          </cell>
          <cell r="AH54">
            <v>0</v>
          </cell>
          <cell r="AI54">
            <v>0</v>
          </cell>
          <cell r="AJ54">
            <v>0</v>
          </cell>
          <cell r="AK54">
            <v>201850</v>
          </cell>
          <cell r="AL54">
            <v>441548</v>
          </cell>
          <cell r="AM54">
            <v>37847</v>
          </cell>
          <cell r="AN54">
            <v>75694</v>
          </cell>
          <cell r="AO54">
            <v>25231</v>
          </cell>
          <cell r="AP54">
            <v>25231</v>
          </cell>
        </row>
        <row r="55">
          <cell r="D55" t="str">
            <v>Phương án kinh doanh 466.000 thiết bị ONT và 600.000 thiết bị Homewifi (600k AP)</v>
          </cell>
          <cell r="G55" t="str">
            <v>SXKD</v>
          </cell>
          <cell r="I55" t="str">
            <v>CNTD</v>
          </cell>
          <cell r="AC55">
            <v>1030000</v>
          </cell>
          <cell r="AD55">
            <v>38246120</v>
          </cell>
          <cell r="AE55">
            <v>3028403</v>
          </cell>
          <cell r="AF55">
            <v>2935564</v>
          </cell>
          <cell r="AG55">
            <v>0</v>
          </cell>
          <cell r="AH55">
            <v>0</v>
          </cell>
          <cell r="AI55">
            <v>0</v>
          </cell>
          <cell r="AJ55">
            <v>0</v>
          </cell>
          <cell r="AK55">
            <v>70734</v>
          </cell>
          <cell r="AL55">
            <v>154730</v>
          </cell>
          <cell r="AM55">
            <v>13263</v>
          </cell>
          <cell r="AN55">
            <v>26525</v>
          </cell>
          <cell r="AO55">
            <v>8842</v>
          </cell>
          <cell r="AP55">
            <v>8842</v>
          </cell>
        </row>
        <row r="56">
          <cell r="D56" t="str">
            <v>Phương án kinh doanh 466.000 thiết bị ONT và 600.000 thiết bị Homewifi (600k AP)</v>
          </cell>
          <cell r="G56" t="str">
            <v>SXKD</v>
          </cell>
          <cell r="I56" t="str">
            <v>KTCN</v>
          </cell>
          <cell r="AC56">
            <v>1030000</v>
          </cell>
          <cell r="AD56">
            <v>37023471</v>
          </cell>
          <cell r="AE56">
            <v>2910937</v>
          </cell>
          <cell r="AF56">
            <v>2813118</v>
          </cell>
          <cell r="AG56">
            <v>0</v>
          </cell>
          <cell r="AH56">
            <v>0</v>
          </cell>
          <cell r="AI56">
            <v>0</v>
          </cell>
          <cell r="AJ56">
            <v>0</v>
          </cell>
          <cell r="AK56">
            <v>74529</v>
          </cell>
          <cell r="AL56">
            <v>163033</v>
          </cell>
          <cell r="AM56">
            <v>13974</v>
          </cell>
          <cell r="AN56">
            <v>27949</v>
          </cell>
          <cell r="AO56">
            <v>9316</v>
          </cell>
          <cell r="AP56">
            <v>9316</v>
          </cell>
        </row>
        <row r="57">
          <cell r="D57" t="str">
            <v>Phương án kinh doanh 466.000 thiết bị ONT và 600.000 thiết bị Homewifi (600k AP)</v>
          </cell>
          <cell r="G57" t="str">
            <v>SXKD</v>
          </cell>
          <cell r="I57" t="str">
            <v>KTCN</v>
          </cell>
          <cell r="AC57">
            <v>930000</v>
          </cell>
          <cell r="AD57">
            <v>29328464</v>
          </cell>
          <cell r="AE57">
            <v>2271786</v>
          </cell>
          <cell r="AF57">
            <v>2183477</v>
          </cell>
          <cell r="AG57">
            <v>0</v>
          </cell>
          <cell r="AH57">
            <v>0</v>
          </cell>
          <cell r="AI57">
            <v>0</v>
          </cell>
          <cell r="AJ57">
            <v>0</v>
          </cell>
          <cell r="AK57">
            <v>67283</v>
          </cell>
          <cell r="AL57">
            <v>147183</v>
          </cell>
          <cell r="AM57">
            <v>12616</v>
          </cell>
          <cell r="AN57">
            <v>25231</v>
          </cell>
          <cell r="AO57">
            <v>8410</v>
          </cell>
          <cell r="AP57">
            <v>8410</v>
          </cell>
        </row>
        <row r="58">
          <cell r="D58" t="str">
            <v>Phương án kinh doanh 466.000 thiết bị ONT và 600.000 thiết bị Homewifi (600k AP)</v>
          </cell>
          <cell r="G58" t="str">
            <v>SXKD</v>
          </cell>
          <cell r="I58" t="str">
            <v>KTCN</v>
          </cell>
          <cell r="AC58">
            <v>1398000</v>
          </cell>
          <cell r="AD58">
            <v>25810420</v>
          </cell>
          <cell r="AE58">
            <v>10644203</v>
          </cell>
          <cell r="AF58">
            <v>10183408</v>
          </cell>
          <cell r="AG58">
            <v>0</v>
          </cell>
          <cell r="AH58">
            <v>0</v>
          </cell>
          <cell r="AI58">
            <v>0</v>
          </cell>
          <cell r="AJ58">
            <v>0</v>
          </cell>
          <cell r="AK58">
            <v>351082</v>
          </cell>
          <cell r="AL58">
            <v>767991</v>
          </cell>
          <cell r="AM58">
            <v>65828</v>
          </cell>
          <cell r="AN58">
            <v>131656</v>
          </cell>
          <cell r="AO58">
            <v>43885</v>
          </cell>
          <cell r="AP58">
            <v>43885</v>
          </cell>
        </row>
        <row r="59">
          <cell r="D59" t="str">
            <v>Nghiên cứu, thiết kế và chế tạo thiết bị XGSPON ONT</v>
          </cell>
          <cell r="G59" t="str">
            <v>KHCN</v>
          </cell>
          <cell r="I59" t="str">
            <v>CNTD</v>
          </cell>
          <cell r="AC59">
            <v>1230000</v>
          </cell>
          <cell r="AD59">
            <v>70450713</v>
          </cell>
          <cell r="AE59">
            <v>28935373</v>
          </cell>
          <cell r="AF59">
            <v>28459234</v>
          </cell>
          <cell r="AG59">
            <v>0</v>
          </cell>
          <cell r="AH59">
            <v>0</v>
          </cell>
          <cell r="AI59">
            <v>0</v>
          </cell>
          <cell r="AJ59">
            <v>0</v>
          </cell>
          <cell r="AK59">
            <v>476139</v>
          </cell>
          <cell r="AL59">
            <v>1041554</v>
          </cell>
          <cell r="AM59">
            <v>0</v>
          </cell>
          <cell r="AN59">
            <v>0</v>
          </cell>
          <cell r="AO59">
            <v>0</v>
          </cell>
          <cell r="AP59">
            <v>0</v>
          </cell>
        </row>
        <row r="60">
          <cell r="D60" t="str">
            <v>Nghiên cứu, thiết kế và chế tạo thiết bị XGSPON ONT</v>
          </cell>
          <cell r="G60" t="str">
            <v>KHCN</v>
          </cell>
          <cell r="I60" t="str">
            <v>KTCN</v>
          </cell>
          <cell r="AC60">
            <v>1030000</v>
          </cell>
          <cell r="AD60">
            <v>37023471</v>
          </cell>
          <cell r="AE60">
            <v>26198433</v>
          </cell>
          <cell r="AF60">
            <v>25318053</v>
          </cell>
          <cell r="AG60">
            <v>0</v>
          </cell>
          <cell r="AH60">
            <v>0</v>
          </cell>
          <cell r="AI60">
            <v>0</v>
          </cell>
          <cell r="AJ60">
            <v>0</v>
          </cell>
          <cell r="AK60">
            <v>670765</v>
          </cell>
          <cell r="AL60">
            <v>1467297</v>
          </cell>
          <cell r="AM60">
            <v>125769</v>
          </cell>
          <cell r="AN60">
            <v>251536</v>
          </cell>
          <cell r="AO60">
            <v>83846</v>
          </cell>
          <cell r="AP60">
            <v>83846</v>
          </cell>
        </row>
        <row r="61">
          <cell r="D61" t="str">
            <v>Nghiên cứu, thiết kế và chế tạo thiết bị XGSPON ONT</v>
          </cell>
          <cell r="G61" t="str">
            <v>KHCN</v>
          </cell>
          <cell r="I61" t="str">
            <v>CNTD</v>
          </cell>
          <cell r="AC61">
            <v>1047000</v>
          </cell>
          <cell r="AD61">
            <v>17348899</v>
          </cell>
          <cell r="AE61">
            <v>1896762</v>
          </cell>
          <cell r="AF61">
            <v>1794187</v>
          </cell>
          <cell r="AG61">
            <v>0</v>
          </cell>
          <cell r="AH61">
            <v>0</v>
          </cell>
          <cell r="AI61">
            <v>0</v>
          </cell>
          <cell r="AJ61">
            <v>0</v>
          </cell>
          <cell r="AK61">
            <v>78152</v>
          </cell>
          <cell r="AL61">
            <v>170958</v>
          </cell>
          <cell r="AM61">
            <v>14654</v>
          </cell>
          <cell r="AN61">
            <v>29307</v>
          </cell>
          <cell r="AO61">
            <v>9769</v>
          </cell>
          <cell r="AP61">
            <v>9769</v>
          </cell>
        </row>
        <row r="62">
          <cell r="D62" t="str">
            <v>Nghiên cứu, thiết kế và chế tạo thiết bị XGSPON ONT</v>
          </cell>
          <cell r="G62" t="str">
            <v>KHCN</v>
          </cell>
          <cell r="I62" t="str">
            <v>CNTD</v>
          </cell>
          <cell r="AC62">
            <v>1030000</v>
          </cell>
          <cell r="AD62">
            <v>42198549</v>
          </cell>
          <cell r="AE62">
            <v>8402359</v>
          </cell>
          <cell r="AF62">
            <v>8157810</v>
          </cell>
          <cell r="AG62">
            <v>0</v>
          </cell>
          <cell r="AH62">
            <v>0</v>
          </cell>
          <cell r="AI62">
            <v>0</v>
          </cell>
          <cell r="AJ62">
            <v>0</v>
          </cell>
          <cell r="AK62">
            <v>186323</v>
          </cell>
          <cell r="AL62">
            <v>407583</v>
          </cell>
          <cell r="AM62">
            <v>34936</v>
          </cell>
          <cell r="AN62">
            <v>69871</v>
          </cell>
          <cell r="AO62">
            <v>23290</v>
          </cell>
          <cell r="AP62">
            <v>23290</v>
          </cell>
        </row>
        <row r="63">
          <cell r="D63" t="str">
            <v>Nghiên cứu, thiết kế và chế tạo thiết bị XGSPON ONT</v>
          </cell>
          <cell r="G63" t="str">
            <v>KHCN</v>
          </cell>
          <cell r="I63" t="str">
            <v>CNTD</v>
          </cell>
          <cell r="AC63">
            <v>930000</v>
          </cell>
          <cell r="AD63">
            <v>17275656</v>
          </cell>
          <cell r="AE63">
            <v>2536626</v>
          </cell>
          <cell r="AF63">
            <v>2399860</v>
          </cell>
          <cell r="AG63">
            <v>0</v>
          </cell>
          <cell r="AH63">
            <v>0</v>
          </cell>
          <cell r="AI63">
            <v>0</v>
          </cell>
          <cell r="AJ63">
            <v>0</v>
          </cell>
          <cell r="AK63">
            <v>104203</v>
          </cell>
          <cell r="AL63">
            <v>227944</v>
          </cell>
          <cell r="AM63">
            <v>19538</v>
          </cell>
          <cell r="AN63">
            <v>39076</v>
          </cell>
          <cell r="AO63">
            <v>13025</v>
          </cell>
          <cell r="AP63">
            <v>13025</v>
          </cell>
        </row>
        <row r="64">
          <cell r="D64" t="str">
            <v>Nghiên cứu, thiết kế và chế tạo thiết bị XGSPON ONT</v>
          </cell>
          <cell r="G64" t="str">
            <v>KHCN</v>
          </cell>
          <cell r="I64" t="str">
            <v>CNTD</v>
          </cell>
          <cell r="AC64">
            <v>1130000</v>
          </cell>
          <cell r="AD64">
            <v>58351388</v>
          </cell>
          <cell r="AE64">
            <v>23606840</v>
          </cell>
          <cell r="AF64">
            <v>23038488</v>
          </cell>
          <cell r="AG64">
            <v>0</v>
          </cell>
          <cell r="AH64">
            <v>0</v>
          </cell>
          <cell r="AI64">
            <v>0</v>
          </cell>
          <cell r="AJ64">
            <v>0</v>
          </cell>
          <cell r="AK64">
            <v>433030</v>
          </cell>
          <cell r="AL64">
            <v>947252</v>
          </cell>
          <cell r="AM64">
            <v>81193</v>
          </cell>
          <cell r="AN64">
            <v>162386</v>
          </cell>
          <cell r="AO64">
            <v>54129</v>
          </cell>
          <cell r="AP64">
            <v>54129</v>
          </cell>
        </row>
        <row r="65">
          <cell r="D65" t="str">
            <v>Nghiên cứu, thiết kế và chế tạo thiết bị XGSPON ONT</v>
          </cell>
          <cell r="G65" t="str">
            <v>KHCN</v>
          </cell>
          <cell r="I65" t="str">
            <v>CNTD</v>
          </cell>
          <cell r="AC65">
            <v>930000</v>
          </cell>
          <cell r="AD65">
            <v>17994124</v>
          </cell>
          <cell r="AE65">
            <v>9920100</v>
          </cell>
          <cell r="AF65">
            <v>9380053</v>
          </cell>
          <cell r="AG65">
            <v>0</v>
          </cell>
          <cell r="AH65">
            <v>0</v>
          </cell>
          <cell r="AI65">
            <v>0</v>
          </cell>
          <cell r="AJ65">
            <v>0</v>
          </cell>
          <cell r="AK65">
            <v>411464</v>
          </cell>
          <cell r="AL65">
            <v>900078</v>
          </cell>
          <cell r="AM65">
            <v>77150</v>
          </cell>
          <cell r="AN65">
            <v>154299</v>
          </cell>
          <cell r="AO65">
            <v>51433</v>
          </cell>
          <cell r="AP65">
            <v>51433</v>
          </cell>
        </row>
        <row r="66">
          <cell r="D66" t="str">
            <v>Nghiên cứu, thiết kế và chế tạo thiết bị XGSPON ONT</v>
          </cell>
          <cell r="G66" t="str">
            <v>KHCN</v>
          </cell>
          <cell r="I66" t="str">
            <v>CNTD</v>
          </cell>
          <cell r="AC66">
            <v>930000</v>
          </cell>
          <cell r="AD66">
            <v>17994124</v>
          </cell>
          <cell r="AE66">
            <v>3306700</v>
          </cell>
          <cell r="AF66">
            <v>3126684</v>
          </cell>
          <cell r="AG66">
            <v>0</v>
          </cell>
          <cell r="AH66">
            <v>0</v>
          </cell>
          <cell r="AI66">
            <v>0</v>
          </cell>
          <cell r="AJ66">
            <v>0</v>
          </cell>
          <cell r="AK66">
            <v>137155</v>
          </cell>
          <cell r="AL66">
            <v>300026</v>
          </cell>
          <cell r="AM66">
            <v>25717</v>
          </cell>
          <cell r="AN66">
            <v>51433</v>
          </cell>
          <cell r="AO66">
            <v>17144</v>
          </cell>
          <cell r="AP66">
            <v>17144</v>
          </cell>
        </row>
        <row r="67">
          <cell r="D67" t="str">
            <v>Nghiên cứu, thiết kế và chế tạo thiết bị XGSPON ONT</v>
          </cell>
          <cell r="G67" t="str">
            <v>KHCN</v>
          </cell>
          <cell r="I67" t="str">
            <v>CNTD</v>
          </cell>
          <cell r="AC67">
            <v>1030000</v>
          </cell>
          <cell r="AD67">
            <v>38246120</v>
          </cell>
          <cell r="AE67">
            <v>15142017</v>
          </cell>
          <cell r="AF67">
            <v>14677825</v>
          </cell>
          <cell r="AG67">
            <v>0</v>
          </cell>
          <cell r="AH67">
            <v>0</v>
          </cell>
          <cell r="AI67">
            <v>0</v>
          </cell>
          <cell r="AJ67">
            <v>0</v>
          </cell>
          <cell r="AK67">
            <v>353670</v>
          </cell>
          <cell r="AL67">
            <v>773652</v>
          </cell>
          <cell r="AM67">
            <v>66313</v>
          </cell>
          <cell r="AN67">
            <v>132626</v>
          </cell>
          <cell r="AO67">
            <v>44209</v>
          </cell>
          <cell r="AP67">
            <v>44209</v>
          </cell>
        </row>
        <row r="68">
          <cell r="D68" t="str">
            <v>Nghiên cứu, thiết kế và chế tạo thiết bị XGSPON ONT</v>
          </cell>
          <cell r="G68" t="str">
            <v>KHCN</v>
          </cell>
          <cell r="I68" t="str">
            <v>CNTD</v>
          </cell>
          <cell r="AC68">
            <v>1147000</v>
          </cell>
          <cell r="AD68">
            <v>35301182</v>
          </cell>
          <cell r="AE68">
            <v>6905370</v>
          </cell>
          <cell r="AF68">
            <v>6673274</v>
          </cell>
          <cell r="AG68">
            <v>0</v>
          </cell>
          <cell r="AH68">
            <v>0</v>
          </cell>
          <cell r="AI68">
            <v>0</v>
          </cell>
          <cell r="AJ68">
            <v>0</v>
          </cell>
          <cell r="AK68">
            <v>176835</v>
          </cell>
          <cell r="AL68">
            <v>386826</v>
          </cell>
          <cell r="AM68">
            <v>33157</v>
          </cell>
          <cell r="AN68">
            <v>66313</v>
          </cell>
          <cell r="AO68">
            <v>22104</v>
          </cell>
          <cell r="AP68">
            <v>22104</v>
          </cell>
        </row>
        <row r="69">
          <cell r="D69" t="str">
            <v>Nghiên cứu, thiết kế và chế tạo thiết bị XGSPON ONT</v>
          </cell>
          <cell r="G69" t="str">
            <v>KHCN</v>
          </cell>
          <cell r="I69" t="str">
            <v>CNTD</v>
          </cell>
          <cell r="AC69">
            <v>930000</v>
          </cell>
          <cell r="AD69">
            <v>23445745</v>
          </cell>
          <cell r="AE69">
            <v>9787269</v>
          </cell>
          <cell r="AF69">
            <v>9348892</v>
          </cell>
          <cell r="AG69">
            <v>0</v>
          </cell>
          <cell r="AH69">
            <v>0</v>
          </cell>
          <cell r="AI69">
            <v>0</v>
          </cell>
          <cell r="AJ69">
            <v>0</v>
          </cell>
          <cell r="AK69">
            <v>334002</v>
          </cell>
          <cell r="AL69">
            <v>730630</v>
          </cell>
          <cell r="AM69">
            <v>62625</v>
          </cell>
          <cell r="AN69">
            <v>125251</v>
          </cell>
          <cell r="AO69">
            <v>41750</v>
          </cell>
          <cell r="AP69">
            <v>41750</v>
          </cell>
        </row>
        <row r="70">
          <cell r="D70" t="str">
            <v>Nghiên cứu, thiết kế và chế tạo thiết bị XGSPON ONT</v>
          </cell>
          <cell r="G70" t="str">
            <v>KHCN</v>
          </cell>
          <cell r="I70" t="str">
            <v>CNTD</v>
          </cell>
          <cell r="AC70">
            <v>930000</v>
          </cell>
          <cell r="AD70">
            <v>19201199</v>
          </cell>
          <cell r="AE70">
            <v>8565858</v>
          </cell>
          <cell r="AF70">
            <v>8133821</v>
          </cell>
          <cell r="AG70">
            <v>0</v>
          </cell>
          <cell r="AH70">
            <v>0</v>
          </cell>
          <cell r="AI70">
            <v>0</v>
          </cell>
          <cell r="AJ70">
            <v>0</v>
          </cell>
          <cell r="AK70">
            <v>329171</v>
          </cell>
          <cell r="AL70">
            <v>720063</v>
          </cell>
          <cell r="AM70">
            <v>61720</v>
          </cell>
          <cell r="AN70">
            <v>123439</v>
          </cell>
          <cell r="AO70">
            <v>41146</v>
          </cell>
          <cell r="AP70">
            <v>41146</v>
          </cell>
        </row>
        <row r="71">
          <cell r="D71" t="str">
            <v>Nghiên cứu, thiết kế và chế tạo thiết bị XGSPON ONT</v>
          </cell>
          <cell r="G71" t="str">
            <v>KHCN</v>
          </cell>
          <cell r="I71" t="str">
            <v>CNTD</v>
          </cell>
          <cell r="AC71">
            <v>1715000</v>
          </cell>
          <cell r="AD71">
            <v>44786970</v>
          </cell>
          <cell r="AE71">
            <v>5289688</v>
          </cell>
          <cell r="AF71">
            <v>5142959</v>
          </cell>
          <cell r="AG71">
            <v>0</v>
          </cell>
          <cell r="AH71">
            <v>0</v>
          </cell>
          <cell r="AI71">
            <v>0</v>
          </cell>
          <cell r="AJ71">
            <v>0</v>
          </cell>
          <cell r="AK71">
            <v>111794</v>
          </cell>
          <cell r="AL71">
            <v>244550</v>
          </cell>
          <cell r="AM71">
            <v>20961</v>
          </cell>
          <cell r="AN71">
            <v>41923</v>
          </cell>
          <cell r="AO71">
            <v>13974</v>
          </cell>
          <cell r="AP71">
            <v>13974</v>
          </cell>
        </row>
        <row r="72">
          <cell r="D72" t="str">
            <v>Nghiên cứu, thiết kế và chế tạo thiết bị XGSPON ONT</v>
          </cell>
          <cell r="G72" t="str">
            <v>KHCN</v>
          </cell>
          <cell r="I72" t="str">
            <v>KTCN</v>
          </cell>
          <cell r="AC72">
            <v>930000</v>
          </cell>
          <cell r="AD72">
            <v>21693266</v>
          </cell>
          <cell r="AE72">
            <v>12271770</v>
          </cell>
          <cell r="AF72">
            <v>11704551</v>
          </cell>
          <cell r="AG72">
            <v>0</v>
          </cell>
          <cell r="AH72">
            <v>0</v>
          </cell>
          <cell r="AI72">
            <v>0</v>
          </cell>
          <cell r="AJ72">
            <v>0</v>
          </cell>
          <cell r="AK72">
            <v>432167</v>
          </cell>
          <cell r="AL72">
            <v>945365</v>
          </cell>
          <cell r="AM72">
            <v>81031</v>
          </cell>
          <cell r="AN72">
            <v>162063</v>
          </cell>
          <cell r="AO72">
            <v>54021</v>
          </cell>
          <cell r="AP72">
            <v>54021</v>
          </cell>
        </row>
        <row r="73">
          <cell r="D73" t="str">
            <v>Nghiên cứu, thiết kế và chế tạo thiết bị XGSPON ONT</v>
          </cell>
          <cell r="G73" t="str">
            <v>KHCN</v>
          </cell>
          <cell r="I73" t="str">
            <v>KTCN</v>
          </cell>
          <cell r="AC73">
            <v>930000</v>
          </cell>
          <cell r="AD73">
            <v>29328464</v>
          </cell>
          <cell r="AE73">
            <v>11358932</v>
          </cell>
          <cell r="AF73">
            <v>10917385</v>
          </cell>
          <cell r="AG73">
            <v>0</v>
          </cell>
          <cell r="AH73">
            <v>0</v>
          </cell>
          <cell r="AI73">
            <v>0</v>
          </cell>
          <cell r="AJ73">
            <v>0</v>
          </cell>
          <cell r="AK73">
            <v>336417</v>
          </cell>
          <cell r="AL73">
            <v>735913</v>
          </cell>
          <cell r="AM73">
            <v>63078</v>
          </cell>
          <cell r="AN73">
            <v>126157</v>
          </cell>
          <cell r="AO73">
            <v>42052</v>
          </cell>
          <cell r="AP73">
            <v>42052</v>
          </cell>
        </row>
        <row r="74">
          <cell r="D74" t="str">
            <v>Nghiên cứu phát triển nền tảng quản lý chức năng mạng ảo hóa NFV-MANO 2.0</v>
          </cell>
          <cell r="G74" t="str">
            <v>KHCN</v>
          </cell>
          <cell r="I74" t="str">
            <v>NTTT</v>
          </cell>
          <cell r="AC74">
            <v>1230000</v>
          </cell>
          <cell r="AD74">
            <v>86664849</v>
          </cell>
          <cell r="AE74">
            <v>14399951</v>
          </cell>
          <cell r="AF74">
            <v>14211937</v>
          </cell>
          <cell r="AG74">
            <v>0</v>
          </cell>
          <cell r="AH74">
            <v>0</v>
          </cell>
          <cell r="AI74">
            <v>0</v>
          </cell>
          <cell r="AJ74">
            <v>0</v>
          </cell>
          <cell r="AK74">
            <v>188014</v>
          </cell>
          <cell r="AL74">
            <v>411281</v>
          </cell>
          <cell r="AM74">
            <v>0</v>
          </cell>
          <cell r="AN74">
            <v>0</v>
          </cell>
          <cell r="AO74">
            <v>0</v>
          </cell>
          <cell r="AP74">
            <v>0</v>
          </cell>
        </row>
        <row r="75">
          <cell r="D75" t="str">
            <v>Nghiên cứu phát triển nền tảng quản lý chức năng mạng ảo hóa NFV-MANO 2.0</v>
          </cell>
          <cell r="G75" t="str">
            <v>KHCN</v>
          </cell>
          <cell r="I75" t="str">
            <v>NTTT</v>
          </cell>
          <cell r="AC75">
            <v>1230000</v>
          </cell>
          <cell r="AD75">
            <v>53721686</v>
          </cell>
          <cell r="AE75">
            <v>8644505</v>
          </cell>
          <cell r="AF75">
            <v>8428033</v>
          </cell>
          <cell r="AG75">
            <v>0</v>
          </cell>
          <cell r="AH75">
            <v>0</v>
          </cell>
          <cell r="AI75">
            <v>0</v>
          </cell>
          <cell r="AJ75">
            <v>0</v>
          </cell>
          <cell r="AK75">
            <v>164931</v>
          </cell>
          <cell r="AL75">
            <v>360786</v>
          </cell>
          <cell r="AM75">
            <v>30925</v>
          </cell>
          <cell r="AN75">
            <v>61849</v>
          </cell>
          <cell r="AO75">
            <v>20616</v>
          </cell>
          <cell r="AP75">
            <v>20616</v>
          </cell>
        </row>
        <row r="76">
          <cell r="D76" t="str">
            <v>Nghiên cứu phát triển nền tảng quản lý chức năng mạng ảo hóa NFV-MANO 2.0</v>
          </cell>
          <cell r="G76" t="str">
            <v>KHCN</v>
          </cell>
          <cell r="I76" t="str">
            <v>NTTT</v>
          </cell>
          <cell r="AC76">
            <v>1030000</v>
          </cell>
          <cell r="AD76">
            <v>48384347</v>
          </cell>
          <cell r="AE76">
            <v>7775380</v>
          </cell>
          <cell r="AF76">
            <v>7569777</v>
          </cell>
          <cell r="AG76">
            <v>0</v>
          </cell>
          <cell r="AH76">
            <v>0</v>
          </cell>
          <cell r="AI76">
            <v>0</v>
          </cell>
          <cell r="AJ76">
            <v>0</v>
          </cell>
          <cell r="AK76">
            <v>156650</v>
          </cell>
          <cell r="AL76">
            <v>342671</v>
          </cell>
          <cell r="AM76">
            <v>29372</v>
          </cell>
          <cell r="AN76">
            <v>58744</v>
          </cell>
          <cell r="AO76">
            <v>19581</v>
          </cell>
          <cell r="AP76">
            <v>19581</v>
          </cell>
        </row>
        <row r="77">
          <cell r="D77" t="str">
            <v>Nghiên cứu phát triển nền tảng quản lý chức năng mạng ảo hóa NFV-MANO 2.0</v>
          </cell>
          <cell r="G77" t="str">
            <v>KHCN</v>
          </cell>
          <cell r="I77" t="str">
            <v>NTTT</v>
          </cell>
          <cell r="AC77">
            <v>1130000</v>
          </cell>
          <cell r="AD77">
            <v>29625266</v>
          </cell>
          <cell r="AE77">
            <v>4560408</v>
          </cell>
          <cell r="AF77">
            <v>4383789</v>
          </cell>
          <cell r="AG77">
            <v>0</v>
          </cell>
          <cell r="AH77">
            <v>0</v>
          </cell>
          <cell r="AI77">
            <v>0</v>
          </cell>
          <cell r="AJ77">
            <v>0</v>
          </cell>
          <cell r="AK77">
            <v>134567</v>
          </cell>
          <cell r="AL77">
            <v>294365</v>
          </cell>
          <cell r="AM77">
            <v>25231</v>
          </cell>
          <cell r="AN77">
            <v>50463</v>
          </cell>
          <cell r="AO77">
            <v>16821</v>
          </cell>
          <cell r="AP77">
            <v>16821</v>
          </cell>
        </row>
        <row r="78">
          <cell r="D78" t="str">
            <v>Nghiên cứu phát triển nền tảng quản lý chức năng mạng ảo hóa NFV-MANO 2.0</v>
          </cell>
          <cell r="G78" t="str">
            <v>KHCN</v>
          </cell>
          <cell r="I78" t="str">
            <v>NTTT</v>
          </cell>
          <cell r="AC78">
            <v>930000</v>
          </cell>
          <cell r="AD78">
            <v>32663758</v>
          </cell>
          <cell r="AE78">
            <v>5123624</v>
          </cell>
          <cell r="AF78">
            <v>4947005</v>
          </cell>
          <cell r="AG78">
            <v>0</v>
          </cell>
          <cell r="AH78">
            <v>0</v>
          </cell>
          <cell r="AI78">
            <v>0</v>
          </cell>
          <cell r="AJ78">
            <v>0</v>
          </cell>
          <cell r="AK78">
            <v>134567</v>
          </cell>
          <cell r="AL78">
            <v>294365</v>
          </cell>
          <cell r="AM78">
            <v>25231</v>
          </cell>
          <cell r="AN78">
            <v>50463</v>
          </cell>
          <cell r="AO78">
            <v>16821</v>
          </cell>
          <cell r="AP78">
            <v>16821</v>
          </cell>
        </row>
        <row r="79">
          <cell r="D79" t="str">
            <v>Nghiên cứu phát triển nền tảng quản lý chức năng mạng ảo hóa NFV-MANO 2.0</v>
          </cell>
          <cell r="G79" t="str">
            <v>KHCN</v>
          </cell>
          <cell r="I79" t="str">
            <v>NTTT</v>
          </cell>
          <cell r="AC79">
            <v>1030000</v>
          </cell>
          <cell r="AD79">
            <v>29252005</v>
          </cell>
          <cell r="AE79">
            <v>4512884</v>
          </cell>
          <cell r="AF79">
            <v>4336265</v>
          </cell>
          <cell r="AG79">
            <v>0</v>
          </cell>
          <cell r="AH79">
            <v>0</v>
          </cell>
          <cell r="AI79">
            <v>0</v>
          </cell>
          <cell r="AJ79">
            <v>0</v>
          </cell>
          <cell r="AK79">
            <v>134567</v>
          </cell>
          <cell r="AL79">
            <v>294365</v>
          </cell>
          <cell r="AM79">
            <v>25231</v>
          </cell>
          <cell r="AN79">
            <v>50463</v>
          </cell>
          <cell r="AO79">
            <v>16821</v>
          </cell>
          <cell r="AP79">
            <v>16821</v>
          </cell>
        </row>
        <row r="80">
          <cell r="D80" t="str">
            <v>Nghiên cứu phát triển nền tảng quản lý chức năng mạng ảo hóa NFV-MANO 2.0</v>
          </cell>
          <cell r="G80" t="str">
            <v>KHCN</v>
          </cell>
          <cell r="I80" t="str">
            <v>NTTT</v>
          </cell>
          <cell r="AC80">
            <v>930000</v>
          </cell>
          <cell r="AD80">
            <v>21248732</v>
          </cell>
          <cell r="AE80">
            <v>3195162</v>
          </cell>
          <cell r="AF80">
            <v>3043903</v>
          </cell>
          <cell r="AG80">
            <v>0</v>
          </cell>
          <cell r="AH80">
            <v>0</v>
          </cell>
          <cell r="AI80">
            <v>0</v>
          </cell>
          <cell r="AJ80">
            <v>0</v>
          </cell>
          <cell r="AK80">
            <v>115245</v>
          </cell>
          <cell r="AL80">
            <v>252097</v>
          </cell>
          <cell r="AM80">
            <v>21608</v>
          </cell>
          <cell r="AN80">
            <v>43217</v>
          </cell>
          <cell r="AO80">
            <v>14406</v>
          </cell>
          <cell r="AP80">
            <v>14406</v>
          </cell>
        </row>
        <row r="81">
          <cell r="D81" t="str">
            <v>Nghiên cứu phát triển nền tảng quản lý chức năng mạng ảo hóa NFV-MANO 2.0</v>
          </cell>
          <cell r="G81" t="str">
            <v>KHCN</v>
          </cell>
          <cell r="I81" t="str">
            <v>NTTT</v>
          </cell>
          <cell r="AC81">
            <v>930000</v>
          </cell>
          <cell r="AD81">
            <v>16972936</v>
          </cell>
          <cell r="AE81">
            <v>2483979</v>
          </cell>
          <cell r="AF81">
            <v>2347213</v>
          </cell>
          <cell r="AG81">
            <v>0</v>
          </cell>
          <cell r="AH81">
            <v>0</v>
          </cell>
          <cell r="AI81">
            <v>0</v>
          </cell>
          <cell r="AJ81">
            <v>0</v>
          </cell>
          <cell r="AK81">
            <v>104203</v>
          </cell>
          <cell r="AL81">
            <v>227944</v>
          </cell>
          <cell r="AM81">
            <v>19538</v>
          </cell>
          <cell r="AN81">
            <v>39076</v>
          </cell>
          <cell r="AO81">
            <v>13025</v>
          </cell>
          <cell r="AP81">
            <v>13025</v>
          </cell>
        </row>
        <row r="82">
          <cell r="D82" t="str">
            <v>Nghiên cứu phát triển nền tảng quản lý chức năng mạng ảo hóa NFV-MANO 2.0</v>
          </cell>
          <cell r="G82" t="str">
            <v>KHCN</v>
          </cell>
          <cell r="I82" t="str">
            <v>NTTT</v>
          </cell>
          <cell r="AC82">
            <v>930000</v>
          </cell>
          <cell r="AD82">
            <v>21941016</v>
          </cell>
          <cell r="AE82">
            <v>3297315</v>
          </cell>
          <cell r="AF82">
            <v>3137905</v>
          </cell>
          <cell r="AG82">
            <v>0</v>
          </cell>
          <cell r="AH82">
            <v>0</v>
          </cell>
          <cell r="AI82">
            <v>0</v>
          </cell>
          <cell r="AJ82">
            <v>0</v>
          </cell>
          <cell r="AK82">
            <v>121455</v>
          </cell>
          <cell r="AL82">
            <v>265683</v>
          </cell>
          <cell r="AM82">
            <v>22773</v>
          </cell>
          <cell r="AN82">
            <v>45546</v>
          </cell>
          <cell r="AO82">
            <v>15182</v>
          </cell>
          <cell r="AP82">
            <v>15182</v>
          </cell>
        </row>
        <row r="83">
          <cell r="D83" t="str">
            <v>Nghiên cứu phát triển nền tảng quản lý chức năng mạng ảo hóa NFV-MANO 2.0</v>
          </cell>
          <cell r="G83" t="str">
            <v>KHCN</v>
          </cell>
          <cell r="I83" t="str">
            <v>NTTT</v>
          </cell>
          <cell r="AC83">
            <v>930000</v>
          </cell>
          <cell r="AD83">
            <v>15612499</v>
          </cell>
          <cell r="AE83">
            <v>2263598</v>
          </cell>
          <cell r="AF83">
            <v>2134078</v>
          </cell>
          <cell r="AG83">
            <v>0</v>
          </cell>
          <cell r="AH83">
            <v>0</v>
          </cell>
          <cell r="AI83">
            <v>0</v>
          </cell>
          <cell r="AJ83">
            <v>0</v>
          </cell>
          <cell r="AK83">
            <v>98682</v>
          </cell>
          <cell r="AL83">
            <v>215868</v>
          </cell>
          <cell r="AM83">
            <v>18503</v>
          </cell>
          <cell r="AN83">
            <v>37006</v>
          </cell>
          <cell r="AO83">
            <v>12335</v>
          </cell>
          <cell r="AP83">
            <v>12335</v>
          </cell>
        </row>
        <row r="84">
          <cell r="D84" t="str">
            <v>Nghiên cứu phát triển nền tảng quản lý chức năng mạng ảo hóa NFV-MANO 2.0</v>
          </cell>
          <cell r="G84" t="str">
            <v>KHCN</v>
          </cell>
          <cell r="I84" t="str">
            <v>NTTT</v>
          </cell>
          <cell r="AC84">
            <v>1030000</v>
          </cell>
          <cell r="AD84">
            <v>16923296</v>
          </cell>
          <cell r="AE84">
            <v>3686932</v>
          </cell>
          <cell r="AF84">
            <v>3481782</v>
          </cell>
          <cell r="AG84">
            <v>0</v>
          </cell>
          <cell r="AH84">
            <v>0</v>
          </cell>
          <cell r="AI84">
            <v>0</v>
          </cell>
          <cell r="AJ84">
            <v>0</v>
          </cell>
          <cell r="AK84">
            <v>156305</v>
          </cell>
          <cell r="AL84">
            <v>341917</v>
          </cell>
          <cell r="AM84">
            <v>29307</v>
          </cell>
          <cell r="AN84">
            <v>58614</v>
          </cell>
          <cell r="AO84">
            <v>19538</v>
          </cell>
          <cell r="AP84">
            <v>19538</v>
          </cell>
        </row>
        <row r="85">
          <cell r="D85" t="str">
            <v>Nghiên cứu phát triển nền tảng quản lý chức năng mạng ảo hóa NFV-MANO 2.0</v>
          </cell>
          <cell r="G85" t="str">
            <v>KHCN</v>
          </cell>
          <cell r="I85" t="str">
            <v>NTTT</v>
          </cell>
          <cell r="AC85">
            <v>930000</v>
          </cell>
          <cell r="AD85">
            <v>34054984</v>
          </cell>
          <cell r="AE85">
            <v>8048365</v>
          </cell>
          <cell r="AF85">
            <v>7783437</v>
          </cell>
          <cell r="AG85">
            <v>0</v>
          </cell>
          <cell r="AH85">
            <v>0</v>
          </cell>
          <cell r="AI85">
            <v>0</v>
          </cell>
          <cell r="AJ85">
            <v>0</v>
          </cell>
          <cell r="AK85">
            <v>201850</v>
          </cell>
          <cell r="AL85">
            <v>441548</v>
          </cell>
          <cell r="AM85">
            <v>37847</v>
          </cell>
          <cell r="AN85">
            <v>75694</v>
          </cell>
          <cell r="AO85">
            <v>25231</v>
          </cell>
          <cell r="AP85">
            <v>25231</v>
          </cell>
        </row>
        <row r="86">
          <cell r="D86" t="str">
            <v>Nghiên cứu phát triển nền tảng quản lý chức năng mạng ảo hóa NFV-MANO 2.0</v>
          </cell>
          <cell r="G86" t="str">
            <v>KHCN</v>
          </cell>
          <cell r="I86" t="str">
            <v>NTTT</v>
          </cell>
          <cell r="AC86">
            <v>930000</v>
          </cell>
          <cell r="AD86">
            <v>31541385</v>
          </cell>
          <cell r="AE86">
            <v>7423050</v>
          </cell>
          <cell r="AF86">
            <v>7171708</v>
          </cell>
          <cell r="AG86">
            <v>0</v>
          </cell>
          <cell r="AH86">
            <v>0</v>
          </cell>
          <cell r="AI86">
            <v>0</v>
          </cell>
          <cell r="AJ86">
            <v>0</v>
          </cell>
          <cell r="AK86">
            <v>191499</v>
          </cell>
          <cell r="AL86">
            <v>418904</v>
          </cell>
          <cell r="AM86">
            <v>35906</v>
          </cell>
          <cell r="AN86">
            <v>71812</v>
          </cell>
          <cell r="AO86">
            <v>23937</v>
          </cell>
          <cell r="AP86">
            <v>23937</v>
          </cell>
        </row>
        <row r="87">
          <cell r="D87" t="str">
            <v>Nghiên cứu phát triển nền tảng quản lý chức năng mạng ảo hóa NFV-MANO 2.0</v>
          </cell>
          <cell r="G87" t="str">
            <v>KHCN</v>
          </cell>
          <cell r="I87" t="str">
            <v>NTTT</v>
          </cell>
          <cell r="AC87">
            <v>1047000</v>
          </cell>
          <cell r="AD87">
            <v>20848958</v>
          </cell>
          <cell r="AE87">
            <v>4657932</v>
          </cell>
          <cell r="AF87">
            <v>4431044</v>
          </cell>
          <cell r="AG87">
            <v>0</v>
          </cell>
          <cell r="AH87">
            <v>0</v>
          </cell>
          <cell r="AI87">
            <v>0</v>
          </cell>
          <cell r="AJ87">
            <v>0</v>
          </cell>
          <cell r="AK87">
            <v>172867</v>
          </cell>
          <cell r="AL87">
            <v>378146</v>
          </cell>
          <cell r="AM87">
            <v>32413</v>
          </cell>
          <cell r="AN87">
            <v>64825</v>
          </cell>
          <cell r="AO87">
            <v>21608</v>
          </cell>
          <cell r="AP87">
            <v>21608</v>
          </cell>
        </row>
        <row r="88">
          <cell r="D88" t="str">
            <v>Nghiên cứu phát triển nền tảng quản lý chức năng mạng ảo hóa NFV-MANO 2.0</v>
          </cell>
          <cell r="G88" t="str">
            <v>KHCN</v>
          </cell>
          <cell r="I88" t="str">
            <v>NTTT</v>
          </cell>
          <cell r="AC88">
            <v>1030000</v>
          </cell>
          <cell r="AD88">
            <v>29802087</v>
          </cell>
          <cell r="AE88">
            <v>6912826</v>
          </cell>
          <cell r="AF88">
            <v>6647898</v>
          </cell>
          <cell r="AG88">
            <v>0</v>
          </cell>
          <cell r="AH88">
            <v>0</v>
          </cell>
          <cell r="AI88">
            <v>0</v>
          </cell>
          <cell r="AJ88">
            <v>0</v>
          </cell>
          <cell r="AK88">
            <v>201850</v>
          </cell>
          <cell r="AL88">
            <v>441548</v>
          </cell>
          <cell r="AM88">
            <v>37847</v>
          </cell>
          <cell r="AN88">
            <v>75694</v>
          </cell>
          <cell r="AO88">
            <v>25231</v>
          </cell>
          <cell r="AP88">
            <v>25231</v>
          </cell>
        </row>
        <row r="89">
          <cell r="D89" t="str">
            <v>Nghiên cứu phát triển nền tảng quản lý chức năng mạng ảo hóa NFV-MANO 2.0</v>
          </cell>
          <cell r="G89" t="str">
            <v>KHCN</v>
          </cell>
          <cell r="I89" t="str">
            <v>NTTT</v>
          </cell>
          <cell r="AC89">
            <v>1047000</v>
          </cell>
          <cell r="AD89">
            <v>21419512</v>
          </cell>
          <cell r="AE89">
            <v>4806772</v>
          </cell>
          <cell r="AF89">
            <v>4579884</v>
          </cell>
          <cell r="AG89">
            <v>0</v>
          </cell>
          <cell r="AH89">
            <v>0</v>
          </cell>
          <cell r="AI89">
            <v>0</v>
          </cell>
          <cell r="AJ89">
            <v>0</v>
          </cell>
          <cell r="AK89">
            <v>172867</v>
          </cell>
          <cell r="AL89">
            <v>378146</v>
          </cell>
          <cell r="AM89">
            <v>32413</v>
          </cell>
          <cell r="AN89">
            <v>64825</v>
          </cell>
          <cell r="AO89">
            <v>21608</v>
          </cell>
          <cell r="AP89">
            <v>21608</v>
          </cell>
        </row>
        <row r="90">
          <cell r="D90" t="str">
            <v>Nghiên cứu phát triển nền tảng quản lý chức năng mạng ảo hóa NFV-MANO 2.0</v>
          </cell>
          <cell r="G90" t="str">
            <v>KHCN</v>
          </cell>
          <cell r="I90" t="str">
            <v>NTTT</v>
          </cell>
          <cell r="AC90">
            <v>1230000</v>
          </cell>
          <cell r="AD90">
            <v>66264990</v>
          </cell>
          <cell r="AE90">
            <v>16162906</v>
          </cell>
          <cell r="AF90">
            <v>15804234</v>
          </cell>
          <cell r="AG90">
            <v>0</v>
          </cell>
          <cell r="AH90">
            <v>0</v>
          </cell>
          <cell r="AI90">
            <v>0</v>
          </cell>
          <cell r="AJ90">
            <v>0</v>
          </cell>
          <cell r="AK90">
            <v>273274</v>
          </cell>
          <cell r="AL90">
            <v>597788</v>
          </cell>
          <cell r="AM90">
            <v>51239</v>
          </cell>
          <cell r="AN90">
            <v>102478</v>
          </cell>
          <cell r="AO90">
            <v>34159</v>
          </cell>
          <cell r="AP90">
            <v>34159</v>
          </cell>
        </row>
        <row r="91">
          <cell r="D91" t="str">
            <v>Nghiên cứu phát triển nền tảng quản lý chức năng mạng ảo hóa NFV-MANO 2.0</v>
          </cell>
          <cell r="G91" t="str">
            <v>KHCN</v>
          </cell>
          <cell r="I91" t="str">
            <v>NTTT</v>
          </cell>
          <cell r="AC91">
            <v>1130000</v>
          </cell>
          <cell r="AD91">
            <v>57030630</v>
          </cell>
          <cell r="AE91">
            <v>14102056</v>
          </cell>
          <cell r="AF91">
            <v>13899086</v>
          </cell>
          <cell r="AG91">
            <v>0</v>
          </cell>
          <cell r="AH91">
            <v>0</v>
          </cell>
          <cell r="AI91">
            <v>0</v>
          </cell>
          <cell r="AJ91">
            <v>0</v>
          </cell>
          <cell r="AK91">
            <v>170922</v>
          </cell>
          <cell r="AL91">
            <v>373891</v>
          </cell>
          <cell r="AM91">
            <v>32048</v>
          </cell>
          <cell r="AN91">
            <v>64096</v>
          </cell>
          <cell r="AO91">
            <v>0</v>
          </cell>
          <cell r="AP91">
            <v>0</v>
          </cell>
        </row>
        <row r="92">
          <cell r="D92" t="str">
            <v>Nghiên cứu phát triển nền tảng quản lý chức năng mạng ảo hóa NFV-MANO 2.0</v>
          </cell>
          <cell r="G92" t="str">
            <v>KHCN</v>
          </cell>
          <cell r="I92" t="str">
            <v>NTTT</v>
          </cell>
          <cell r="AC92">
            <v>1030000</v>
          </cell>
          <cell r="AD92">
            <v>51528103</v>
          </cell>
          <cell r="AE92">
            <v>12446692</v>
          </cell>
          <cell r="AF92">
            <v>12121984</v>
          </cell>
          <cell r="AG92">
            <v>0</v>
          </cell>
          <cell r="AH92">
            <v>0</v>
          </cell>
          <cell r="AI92">
            <v>0</v>
          </cell>
          <cell r="AJ92">
            <v>0</v>
          </cell>
          <cell r="AK92">
            <v>247396</v>
          </cell>
          <cell r="AL92">
            <v>541179</v>
          </cell>
          <cell r="AM92">
            <v>46387</v>
          </cell>
          <cell r="AN92">
            <v>92774</v>
          </cell>
          <cell r="AO92">
            <v>30925</v>
          </cell>
          <cell r="AP92">
            <v>30925</v>
          </cell>
        </row>
        <row r="93">
          <cell r="D93" t="str">
            <v>Nghiên cứu phát triển nền tảng quản lý chức năng mạng ảo hóa NFV-MANO 2.0</v>
          </cell>
          <cell r="G93" t="str">
            <v>KHCN</v>
          </cell>
          <cell r="I93" t="str">
            <v>NTTT</v>
          </cell>
          <cell r="AC93">
            <v>1030000</v>
          </cell>
          <cell r="AD93">
            <v>39937856</v>
          </cell>
          <cell r="AE93">
            <v>9493085</v>
          </cell>
          <cell r="AF93">
            <v>9199625</v>
          </cell>
          <cell r="AG93">
            <v>0</v>
          </cell>
          <cell r="AH93">
            <v>0</v>
          </cell>
          <cell r="AI93">
            <v>0</v>
          </cell>
          <cell r="AJ93">
            <v>0</v>
          </cell>
          <cell r="AK93">
            <v>223588</v>
          </cell>
          <cell r="AL93">
            <v>489099</v>
          </cell>
          <cell r="AM93">
            <v>41923</v>
          </cell>
          <cell r="AN93">
            <v>83846</v>
          </cell>
          <cell r="AO93">
            <v>27949</v>
          </cell>
          <cell r="AP93">
            <v>27949</v>
          </cell>
        </row>
        <row r="94">
          <cell r="D94" t="str">
            <v>Nghiên cứu phát triển nền tảng quản lý chức năng mạng ảo hóa NFV-MANO 2.0</v>
          </cell>
          <cell r="G94" t="str">
            <v>KHCN</v>
          </cell>
          <cell r="I94" t="str">
            <v>NTTT</v>
          </cell>
          <cell r="AC94">
            <v>930000</v>
          </cell>
          <cell r="AD94">
            <v>22147776</v>
          </cell>
          <cell r="AE94">
            <v>5027276</v>
          </cell>
          <cell r="AF94">
            <v>4800388</v>
          </cell>
          <cell r="AG94">
            <v>0</v>
          </cell>
          <cell r="AH94">
            <v>0</v>
          </cell>
          <cell r="AI94">
            <v>0</v>
          </cell>
          <cell r="AJ94">
            <v>0</v>
          </cell>
          <cell r="AK94">
            <v>172867</v>
          </cell>
          <cell r="AL94">
            <v>378146</v>
          </cell>
          <cell r="AM94">
            <v>32413</v>
          </cell>
          <cell r="AN94">
            <v>64825</v>
          </cell>
          <cell r="AO94">
            <v>21608</v>
          </cell>
          <cell r="AP94">
            <v>21608</v>
          </cell>
        </row>
        <row r="95">
          <cell r="D95" t="str">
            <v>Nghiên cứu phát triển nền tảng quản lý chức năng mạng ảo hóa NFV-MANO 2.0</v>
          </cell>
          <cell r="G95" t="str">
            <v>KHCN</v>
          </cell>
          <cell r="I95" t="str">
            <v>NTTT</v>
          </cell>
          <cell r="AC95">
            <v>930000</v>
          </cell>
          <cell r="AD95">
            <v>18480024</v>
          </cell>
          <cell r="AE95">
            <v>4094797</v>
          </cell>
          <cell r="AF95">
            <v>3878778</v>
          </cell>
          <cell r="AG95">
            <v>0</v>
          </cell>
          <cell r="AH95">
            <v>0</v>
          </cell>
          <cell r="AI95">
            <v>0</v>
          </cell>
          <cell r="AJ95">
            <v>0</v>
          </cell>
          <cell r="AK95">
            <v>164586</v>
          </cell>
          <cell r="AL95">
            <v>360031</v>
          </cell>
          <cell r="AM95">
            <v>30860</v>
          </cell>
          <cell r="AN95">
            <v>61720</v>
          </cell>
          <cell r="AO95">
            <v>20573</v>
          </cell>
          <cell r="AP95">
            <v>20573</v>
          </cell>
        </row>
        <row r="96">
          <cell r="D96" t="str">
            <v>Nghiên cứu phát triển nền tảng quản lý chức năng mạng ảo hóa NFV-MANO 2.0</v>
          </cell>
          <cell r="G96" t="str">
            <v>KHCN</v>
          </cell>
          <cell r="I96" t="str">
            <v>NTTT</v>
          </cell>
          <cell r="AC96">
            <v>930000</v>
          </cell>
          <cell r="AD96">
            <v>24947552</v>
          </cell>
          <cell r="AE96">
            <v>5757652</v>
          </cell>
          <cell r="AF96">
            <v>5530764</v>
          </cell>
          <cell r="AG96">
            <v>0</v>
          </cell>
          <cell r="AH96">
            <v>0</v>
          </cell>
          <cell r="AI96">
            <v>0</v>
          </cell>
          <cell r="AJ96">
            <v>0</v>
          </cell>
          <cell r="AK96">
            <v>172867</v>
          </cell>
          <cell r="AL96">
            <v>378146</v>
          </cell>
          <cell r="AM96">
            <v>32413</v>
          </cell>
          <cell r="AN96">
            <v>64825</v>
          </cell>
          <cell r="AO96">
            <v>21608</v>
          </cell>
          <cell r="AP96">
            <v>21608</v>
          </cell>
        </row>
        <row r="97">
          <cell r="D97" t="str">
            <v>Nghiên cứu phát triển nền tảng quản lý chức năng mạng ảo hóa NFV-MANO 2.0</v>
          </cell>
          <cell r="G97" t="str">
            <v>KHCN</v>
          </cell>
          <cell r="I97" t="str">
            <v>NTTT</v>
          </cell>
          <cell r="AC97">
            <v>1430000</v>
          </cell>
          <cell r="AD97">
            <v>47830763</v>
          </cell>
          <cell r="AE97">
            <v>11414309</v>
          </cell>
          <cell r="AF97">
            <v>11105904</v>
          </cell>
          <cell r="AG97">
            <v>0</v>
          </cell>
          <cell r="AH97">
            <v>0</v>
          </cell>
          <cell r="AI97">
            <v>0</v>
          </cell>
          <cell r="AJ97">
            <v>0</v>
          </cell>
          <cell r="AK97">
            <v>234975</v>
          </cell>
          <cell r="AL97">
            <v>514007</v>
          </cell>
          <cell r="AM97">
            <v>44058</v>
          </cell>
          <cell r="AN97">
            <v>88115</v>
          </cell>
          <cell r="AO97">
            <v>29372</v>
          </cell>
          <cell r="AP97">
            <v>29372</v>
          </cell>
        </row>
        <row r="98">
          <cell r="D98" t="str">
            <v>Nghiên cứu phát triển nền tảng quản lý chức năng mạng ảo hóa NFV-MANO 2.0</v>
          </cell>
          <cell r="G98" t="str">
            <v>KHCN</v>
          </cell>
          <cell r="I98" t="str">
            <v>NTTT</v>
          </cell>
          <cell r="AC98">
            <v>1598000</v>
          </cell>
          <cell r="AD98">
            <v>36878007</v>
          </cell>
          <cell r="AE98">
            <v>8610544</v>
          </cell>
          <cell r="AF98">
            <v>8345616</v>
          </cell>
          <cell r="AG98">
            <v>0</v>
          </cell>
          <cell r="AH98">
            <v>0</v>
          </cell>
          <cell r="AI98">
            <v>0</v>
          </cell>
          <cell r="AJ98">
            <v>0</v>
          </cell>
          <cell r="AK98">
            <v>201850</v>
          </cell>
          <cell r="AL98">
            <v>441548</v>
          </cell>
          <cell r="AM98">
            <v>37847</v>
          </cell>
          <cell r="AN98">
            <v>75694</v>
          </cell>
          <cell r="AO98">
            <v>25231</v>
          </cell>
          <cell r="AP98">
            <v>25231</v>
          </cell>
        </row>
        <row r="99">
          <cell r="D99" t="str">
            <v>Nghiên cứu phát triển nền tảng quản lý chức năng mạng ảo hóa NFV-MANO 2.0</v>
          </cell>
          <cell r="G99" t="str">
            <v>KHCN</v>
          </cell>
          <cell r="I99" t="str">
            <v>NTTT</v>
          </cell>
          <cell r="AC99">
            <v>1230000</v>
          </cell>
          <cell r="AD99">
            <v>68796503</v>
          </cell>
          <cell r="AE99">
            <v>16823301</v>
          </cell>
          <cell r="AF99">
            <v>16464629</v>
          </cell>
          <cell r="AG99">
            <v>0</v>
          </cell>
          <cell r="AH99">
            <v>0</v>
          </cell>
          <cell r="AI99">
            <v>0</v>
          </cell>
          <cell r="AJ99">
            <v>0</v>
          </cell>
          <cell r="AK99">
            <v>273274</v>
          </cell>
          <cell r="AL99">
            <v>597788</v>
          </cell>
          <cell r="AM99">
            <v>51239</v>
          </cell>
          <cell r="AN99">
            <v>102478</v>
          </cell>
          <cell r="AO99">
            <v>34159</v>
          </cell>
          <cell r="AP99">
            <v>34159</v>
          </cell>
        </row>
        <row r="100">
          <cell r="D100" t="str">
            <v>Nghiên cứu phát triển nền tảng quản lý chức năng mạng ảo hóa NFV-MANO 2.0</v>
          </cell>
          <cell r="G100" t="str">
            <v>KHCN</v>
          </cell>
          <cell r="I100" t="str">
            <v>NTTT</v>
          </cell>
          <cell r="AC100">
            <v>1130000</v>
          </cell>
          <cell r="AD100">
            <v>66005022</v>
          </cell>
          <cell r="AE100">
            <v>8176276</v>
          </cell>
          <cell r="AF100">
            <v>8055654</v>
          </cell>
          <cell r="AG100">
            <v>0</v>
          </cell>
          <cell r="AH100">
            <v>0</v>
          </cell>
          <cell r="AI100">
            <v>0</v>
          </cell>
          <cell r="AJ100">
            <v>0</v>
          </cell>
          <cell r="AK100">
            <v>101576</v>
          </cell>
          <cell r="AL100">
            <v>222198</v>
          </cell>
          <cell r="AM100">
            <v>19046</v>
          </cell>
          <cell r="AN100">
            <v>38091</v>
          </cell>
          <cell r="AO100">
            <v>0</v>
          </cell>
          <cell r="AP100">
            <v>0</v>
          </cell>
        </row>
        <row r="101">
          <cell r="D101" t="str">
            <v>Nghiên cứu phát triển nền tảng quản lý chức năng mạng ảo hóa NFV-MANO 2.0</v>
          </cell>
          <cell r="G101" t="str">
            <v>KHCN</v>
          </cell>
          <cell r="I101" t="str">
            <v>NTTT</v>
          </cell>
          <cell r="AC101">
            <v>1130000</v>
          </cell>
          <cell r="AD101">
            <v>49368599</v>
          </cell>
          <cell r="AE101">
            <v>7929163</v>
          </cell>
          <cell r="AF101">
            <v>7723560</v>
          </cell>
          <cell r="AG101">
            <v>0</v>
          </cell>
          <cell r="AH101">
            <v>0</v>
          </cell>
          <cell r="AI101">
            <v>0</v>
          </cell>
          <cell r="AJ101">
            <v>0</v>
          </cell>
          <cell r="AK101">
            <v>156650</v>
          </cell>
          <cell r="AL101">
            <v>342671</v>
          </cell>
          <cell r="AM101">
            <v>29372</v>
          </cell>
          <cell r="AN101">
            <v>58744</v>
          </cell>
          <cell r="AO101">
            <v>19581</v>
          </cell>
          <cell r="AP101">
            <v>19581</v>
          </cell>
        </row>
        <row r="102">
          <cell r="D102" t="str">
            <v>Nghiên cứu phát triển nền tảng quản lý chức năng mạng ảo hóa NFV-MANO 2.0</v>
          </cell>
          <cell r="G102" t="str">
            <v>KHCN</v>
          </cell>
          <cell r="I102" t="str">
            <v>NTTT</v>
          </cell>
          <cell r="AC102">
            <v>1030000</v>
          </cell>
          <cell r="AD102">
            <v>48384347</v>
          </cell>
          <cell r="AE102">
            <v>7775380</v>
          </cell>
          <cell r="AF102">
            <v>7569777</v>
          </cell>
          <cell r="AG102">
            <v>0</v>
          </cell>
          <cell r="AH102">
            <v>0</v>
          </cell>
          <cell r="AI102">
            <v>0</v>
          </cell>
          <cell r="AJ102">
            <v>0</v>
          </cell>
          <cell r="AK102">
            <v>156650</v>
          </cell>
          <cell r="AL102">
            <v>342671</v>
          </cell>
          <cell r="AM102">
            <v>29372</v>
          </cell>
          <cell r="AN102">
            <v>58744</v>
          </cell>
          <cell r="AO102">
            <v>19581</v>
          </cell>
          <cell r="AP102">
            <v>19581</v>
          </cell>
        </row>
        <row r="103">
          <cell r="D103" t="str">
            <v>Nghiên cứu phát triển nền tảng quản lý chức năng mạng ảo hóa NFV-MANO 2.0</v>
          </cell>
          <cell r="G103" t="str">
            <v>KHCN</v>
          </cell>
          <cell r="I103" t="str">
            <v>NTTT</v>
          </cell>
          <cell r="AC103">
            <v>1130000</v>
          </cell>
          <cell r="AD103">
            <v>38035265</v>
          </cell>
          <cell r="AE103">
            <v>6002745</v>
          </cell>
          <cell r="AF103">
            <v>5817069</v>
          </cell>
          <cell r="AG103">
            <v>0</v>
          </cell>
          <cell r="AH103">
            <v>0</v>
          </cell>
          <cell r="AI103">
            <v>0</v>
          </cell>
          <cell r="AJ103">
            <v>0</v>
          </cell>
          <cell r="AK103">
            <v>141468</v>
          </cell>
          <cell r="AL103">
            <v>309461</v>
          </cell>
          <cell r="AM103">
            <v>26525</v>
          </cell>
          <cell r="AN103">
            <v>53050</v>
          </cell>
          <cell r="AO103">
            <v>17683</v>
          </cell>
          <cell r="AP103">
            <v>17683</v>
          </cell>
        </row>
        <row r="104">
          <cell r="D104" t="str">
            <v>Nghiên cứu phát triển nền tảng quản lý chức năng mạng ảo hóa NFV-MANO 2.0</v>
          </cell>
          <cell r="G104" t="str">
            <v>KHCN</v>
          </cell>
          <cell r="I104" t="str">
            <v>NTTT</v>
          </cell>
          <cell r="AC104">
            <v>1130000</v>
          </cell>
          <cell r="AD104">
            <v>48484347</v>
          </cell>
          <cell r="AE104">
            <v>7775380</v>
          </cell>
          <cell r="AF104">
            <v>7569777</v>
          </cell>
          <cell r="AG104">
            <v>0</v>
          </cell>
          <cell r="AH104">
            <v>0</v>
          </cell>
          <cell r="AI104">
            <v>0</v>
          </cell>
          <cell r="AJ104">
            <v>0</v>
          </cell>
          <cell r="AK104">
            <v>156650</v>
          </cell>
          <cell r="AL104">
            <v>342671</v>
          </cell>
          <cell r="AM104">
            <v>29372</v>
          </cell>
          <cell r="AN104">
            <v>58744</v>
          </cell>
          <cell r="AO104">
            <v>19581</v>
          </cell>
          <cell r="AP104">
            <v>19581</v>
          </cell>
        </row>
        <row r="105">
          <cell r="D105" t="str">
            <v>Nghiên cứu phát triển nền tảng quản lý chức năng mạng ảo hóa NFV-MANO 2.0</v>
          </cell>
          <cell r="G105" t="str">
            <v>KHCN</v>
          </cell>
          <cell r="I105" t="str">
            <v>NTTT</v>
          </cell>
          <cell r="AC105">
            <v>1147000</v>
          </cell>
          <cell r="AD105">
            <v>24870483</v>
          </cell>
          <cell r="AE105">
            <v>3750804</v>
          </cell>
          <cell r="AF105">
            <v>3583243</v>
          </cell>
          <cell r="AG105">
            <v>0</v>
          </cell>
          <cell r="AH105">
            <v>0</v>
          </cell>
          <cell r="AI105">
            <v>0</v>
          </cell>
          <cell r="AJ105">
            <v>0</v>
          </cell>
          <cell r="AK105">
            <v>127666</v>
          </cell>
          <cell r="AL105">
            <v>279270</v>
          </cell>
          <cell r="AM105">
            <v>23937</v>
          </cell>
          <cell r="AN105">
            <v>47875</v>
          </cell>
          <cell r="AO105">
            <v>15958</v>
          </cell>
          <cell r="AP105">
            <v>15958</v>
          </cell>
        </row>
        <row r="106">
          <cell r="D106" t="str">
            <v>Nghiên cứu phát triển nền tảng quản lý chức năng mạng ảo hóa NFV-MANO 2.0</v>
          </cell>
          <cell r="G106" t="str">
            <v>KHCN</v>
          </cell>
          <cell r="I106" t="str">
            <v>NTTT</v>
          </cell>
          <cell r="AC106">
            <v>930000</v>
          </cell>
          <cell r="AD106">
            <v>25919769</v>
          </cell>
          <cell r="AE106">
            <v>4007516</v>
          </cell>
          <cell r="AF106">
            <v>3856257</v>
          </cell>
          <cell r="AG106">
            <v>0</v>
          </cell>
          <cell r="AH106">
            <v>0</v>
          </cell>
          <cell r="AI106">
            <v>0</v>
          </cell>
          <cell r="AJ106">
            <v>0</v>
          </cell>
          <cell r="AK106">
            <v>115245</v>
          </cell>
          <cell r="AL106">
            <v>252097</v>
          </cell>
          <cell r="AM106">
            <v>21608</v>
          </cell>
          <cell r="AN106">
            <v>43217</v>
          </cell>
          <cell r="AO106">
            <v>14406</v>
          </cell>
          <cell r="AP106">
            <v>14406</v>
          </cell>
        </row>
        <row r="107">
          <cell r="D107" t="str">
            <v>Nghiên cứu phát triển nền tảng quản lý chức năng mạng ảo hóa NFV-MANO 2.0</v>
          </cell>
          <cell r="G107" t="str">
            <v>KHCN</v>
          </cell>
          <cell r="I107" t="str">
            <v>NTTT</v>
          </cell>
          <cell r="AC107">
            <v>930000</v>
          </cell>
          <cell r="AD107">
            <v>23662039</v>
          </cell>
          <cell r="AE107">
            <v>3596623</v>
          </cell>
          <cell r="AF107">
            <v>3437213</v>
          </cell>
          <cell r="AG107">
            <v>0</v>
          </cell>
          <cell r="AH107">
            <v>0</v>
          </cell>
          <cell r="AI107">
            <v>0</v>
          </cell>
          <cell r="AJ107">
            <v>0</v>
          </cell>
          <cell r="AK107">
            <v>121455</v>
          </cell>
          <cell r="AL107">
            <v>265683</v>
          </cell>
          <cell r="AM107">
            <v>22773</v>
          </cell>
          <cell r="AN107">
            <v>45546</v>
          </cell>
          <cell r="AO107">
            <v>15182</v>
          </cell>
          <cell r="AP107">
            <v>15182</v>
          </cell>
        </row>
        <row r="108">
          <cell r="D108" t="str">
            <v>Nghiên cứu phát triển nền tảng quản lý chức năng mạng ảo hóa NFV-MANO 2.0</v>
          </cell>
          <cell r="G108" t="str">
            <v>KHCN</v>
          </cell>
          <cell r="I108" t="str">
            <v>NTTT</v>
          </cell>
          <cell r="AC108">
            <v>1047000</v>
          </cell>
          <cell r="AD108">
            <v>25662037</v>
          </cell>
          <cell r="AE108">
            <v>3942345</v>
          </cell>
          <cell r="AF108">
            <v>3791086</v>
          </cell>
          <cell r="AG108">
            <v>0</v>
          </cell>
          <cell r="AH108">
            <v>0</v>
          </cell>
          <cell r="AI108">
            <v>0</v>
          </cell>
          <cell r="AJ108">
            <v>0</v>
          </cell>
          <cell r="AK108">
            <v>115245</v>
          </cell>
          <cell r="AL108">
            <v>252097</v>
          </cell>
          <cell r="AM108">
            <v>21608</v>
          </cell>
          <cell r="AN108">
            <v>43217</v>
          </cell>
          <cell r="AO108">
            <v>14406</v>
          </cell>
          <cell r="AP108">
            <v>14406</v>
          </cell>
        </row>
        <row r="109">
          <cell r="D109" t="str">
            <v>Nghiên cứu phát triển nền tảng quản lý chức năng mạng ảo hóa NFV-MANO 2.0</v>
          </cell>
          <cell r="G109" t="str">
            <v>KHCN</v>
          </cell>
          <cell r="I109" t="str">
            <v>NTTT</v>
          </cell>
          <cell r="AC109">
            <v>1247000</v>
          </cell>
          <cell r="AD109">
            <v>51337531</v>
          </cell>
          <cell r="AE109">
            <v>8226913</v>
          </cell>
          <cell r="AF109">
            <v>8010441</v>
          </cell>
          <cell r="AG109">
            <v>0</v>
          </cell>
          <cell r="AH109">
            <v>0</v>
          </cell>
          <cell r="AI109">
            <v>0</v>
          </cell>
          <cell r="AJ109">
            <v>0</v>
          </cell>
          <cell r="AK109">
            <v>164931</v>
          </cell>
          <cell r="AL109">
            <v>360786</v>
          </cell>
          <cell r="AM109">
            <v>30925</v>
          </cell>
          <cell r="AN109">
            <v>61849</v>
          </cell>
          <cell r="AO109">
            <v>20616</v>
          </cell>
          <cell r="AP109">
            <v>20616</v>
          </cell>
        </row>
        <row r="110">
          <cell r="D110" t="str">
            <v>Nghiên cứu phát triển nền tảng quản lý chức năng mạng ảo hóa NFV-MANO 2.0</v>
          </cell>
          <cell r="G110" t="str">
            <v>KHCN</v>
          </cell>
          <cell r="I110" t="str">
            <v>NTTT</v>
          </cell>
          <cell r="AC110">
            <v>1147000</v>
          </cell>
          <cell r="AD110">
            <v>44315549</v>
          </cell>
          <cell r="AE110">
            <v>7069714</v>
          </cell>
          <cell r="AF110">
            <v>6874074</v>
          </cell>
          <cell r="AG110">
            <v>0</v>
          </cell>
          <cell r="AH110">
            <v>0</v>
          </cell>
          <cell r="AI110">
            <v>0</v>
          </cell>
          <cell r="AJ110">
            <v>0</v>
          </cell>
          <cell r="AK110">
            <v>149059</v>
          </cell>
          <cell r="AL110">
            <v>326066</v>
          </cell>
          <cell r="AM110">
            <v>27949</v>
          </cell>
          <cell r="AN110">
            <v>55897</v>
          </cell>
          <cell r="AO110">
            <v>18632</v>
          </cell>
          <cell r="AP110">
            <v>18632</v>
          </cell>
        </row>
        <row r="111">
          <cell r="D111" t="str">
            <v>Nghiên cứu phát triển nền tảng quản lý chức năng mạng ảo hóa NFV-MANO 2.0</v>
          </cell>
          <cell r="G111" t="str">
            <v>KHCN</v>
          </cell>
          <cell r="I111" t="str">
            <v>NTTT</v>
          </cell>
          <cell r="AC111">
            <v>1247000</v>
          </cell>
          <cell r="AD111">
            <v>31822365</v>
          </cell>
          <cell r="AE111">
            <v>4922164</v>
          </cell>
          <cell r="AF111">
            <v>4745545</v>
          </cell>
          <cell r="AG111">
            <v>0</v>
          </cell>
          <cell r="AH111">
            <v>0</v>
          </cell>
          <cell r="AI111">
            <v>0</v>
          </cell>
          <cell r="AJ111">
            <v>0</v>
          </cell>
          <cell r="AK111">
            <v>134567</v>
          </cell>
          <cell r="AL111">
            <v>294365</v>
          </cell>
          <cell r="AM111">
            <v>25231</v>
          </cell>
          <cell r="AN111">
            <v>50463</v>
          </cell>
          <cell r="AO111">
            <v>16821</v>
          </cell>
          <cell r="AP111">
            <v>16821</v>
          </cell>
        </row>
        <row r="112">
          <cell r="D112" t="str">
            <v>Nghiên cứu phát triển nền tảng quản lý chức năng mạng ảo hóa NFV-MANO 2.0</v>
          </cell>
          <cell r="G112" t="str">
            <v>KHCN</v>
          </cell>
          <cell r="I112" t="str">
            <v>NTTT</v>
          </cell>
          <cell r="AC112">
            <v>7637000</v>
          </cell>
          <cell r="AD112">
            <v>36588806</v>
          </cell>
          <cell r="AE112">
            <v>4639806</v>
          </cell>
          <cell r="AF112">
            <v>4463187</v>
          </cell>
          <cell r="AG112">
            <v>0</v>
          </cell>
          <cell r="AH112">
            <v>0</v>
          </cell>
          <cell r="AI112">
            <v>0</v>
          </cell>
          <cell r="AJ112">
            <v>0</v>
          </cell>
          <cell r="AK112">
            <v>134567</v>
          </cell>
          <cell r="AL112">
            <v>294365</v>
          </cell>
          <cell r="AM112">
            <v>25231</v>
          </cell>
          <cell r="AN112">
            <v>50463</v>
          </cell>
          <cell r="AO112">
            <v>16821</v>
          </cell>
          <cell r="AP112">
            <v>16821</v>
          </cell>
        </row>
        <row r="113">
          <cell r="D113" t="str">
            <v>Nghiên cứu phát triển nền tảng quản lý chức năng mạng ảo hóa NFV-MANO 2.0</v>
          </cell>
          <cell r="G113" t="str">
            <v>KHCN</v>
          </cell>
          <cell r="I113" t="str">
            <v>NTTT</v>
          </cell>
          <cell r="AC113">
            <v>1147000</v>
          </cell>
          <cell r="AD113">
            <v>26938268</v>
          </cell>
          <cell r="AE113">
            <v>4128663</v>
          </cell>
          <cell r="AF113">
            <v>3969253</v>
          </cell>
          <cell r="AG113">
            <v>0</v>
          </cell>
          <cell r="AH113">
            <v>0</v>
          </cell>
          <cell r="AI113">
            <v>0</v>
          </cell>
          <cell r="AJ113">
            <v>0</v>
          </cell>
          <cell r="AK113">
            <v>121455</v>
          </cell>
          <cell r="AL113">
            <v>265683</v>
          </cell>
          <cell r="AM113">
            <v>22773</v>
          </cell>
          <cell r="AN113">
            <v>45546</v>
          </cell>
          <cell r="AO113">
            <v>15182</v>
          </cell>
          <cell r="AP113">
            <v>15182</v>
          </cell>
        </row>
        <row r="114">
          <cell r="D114" t="str">
            <v>Nghiên cứu phát triển nền tảng quản lý chức năng mạng ảo hóa NFV-MANO 2.0</v>
          </cell>
          <cell r="G114" t="str">
            <v>KHCN</v>
          </cell>
          <cell r="I114" t="str">
            <v>NTTT</v>
          </cell>
          <cell r="AC114">
            <v>1147000</v>
          </cell>
          <cell r="AD114">
            <v>25391428</v>
          </cell>
          <cell r="AE114">
            <v>3841403</v>
          </cell>
          <cell r="AF114">
            <v>3673842</v>
          </cell>
          <cell r="AG114">
            <v>0</v>
          </cell>
          <cell r="AH114">
            <v>0</v>
          </cell>
          <cell r="AI114">
            <v>0</v>
          </cell>
          <cell r="AJ114">
            <v>0</v>
          </cell>
          <cell r="AK114">
            <v>127666</v>
          </cell>
          <cell r="AL114">
            <v>279270</v>
          </cell>
          <cell r="AM114">
            <v>23937</v>
          </cell>
          <cell r="AN114">
            <v>47875</v>
          </cell>
          <cell r="AO114">
            <v>15958</v>
          </cell>
          <cell r="AP114">
            <v>15958</v>
          </cell>
        </row>
        <row r="115">
          <cell r="D115" t="str">
            <v>Nghiên cứu phát triển nền tảng quản lý chức năng mạng ảo hóa NFV-MANO 2.0</v>
          </cell>
          <cell r="G115" t="str">
            <v>KHCN</v>
          </cell>
          <cell r="I115" t="str">
            <v>NTTT</v>
          </cell>
          <cell r="AC115">
            <v>1047000</v>
          </cell>
          <cell r="AD115">
            <v>17196662</v>
          </cell>
          <cell r="AE115">
            <v>2502540</v>
          </cell>
          <cell r="AF115">
            <v>2365774</v>
          </cell>
          <cell r="AG115">
            <v>0</v>
          </cell>
          <cell r="AH115">
            <v>0</v>
          </cell>
          <cell r="AI115">
            <v>0</v>
          </cell>
          <cell r="AJ115">
            <v>0</v>
          </cell>
          <cell r="AK115">
            <v>104203</v>
          </cell>
          <cell r="AL115">
            <v>227944</v>
          </cell>
          <cell r="AM115">
            <v>19538</v>
          </cell>
          <cell r="AN115">
            <v>39076</v>
          </cell>
          <cell r="AO115">
            <v>13025</v>
          </cell>
          <cell r="AP115">
            <v>13025</v>
          </cell>
        </row>
        <row r="116">
          <cell r="D116" t="str">
            <v>Nghiên cứu phát triển nền tảng quản lý chức năng mạng ảo hóa NFV-MANO 2.0</v>
          </cell>
          <cell r="G116" t="str">
            <v>KHCN</v>
          </cell>
          <cell r="I116" t="str">
            <v>NTTT</v>
          </cell>
          <cell r="AC116">
            <v>1147000</v>
          </cell>
          <cell r="AD116">
            <v>17147160</v>
          </cell>
          <cell r="AE116">
            <v>2476540</v>
          </cell>
          <cell r="AF116">
            <v>2339774</v>
          </cell>
          <cell r="AG116">
            <v>0</v>
          </cell>
          <cell r="AH116">
            <v>0</v>
          </cell>
          <cell r="AI116">
            <v>0</v>
          </cell>
          <cell r="AJ116">
            <v>0</v>
          </cell>
          <cell r="AK116">
            <v>104203</v>
          </cell>
          <cell r="AL116">
            <v>227944</v>
          </cell>
          <cell r="AM116">
            <v>19538</v>
          </cell>
          <cell r="AN116">
            <v>39076</v>
          </cell>
          <cell r="AO116">
            <v>13025</v>
          </cell>
          <cell r="AP116">
            <v>13025</v>
          </cell>
        </row>
        <row r="117">
          <cell r="D117" t="str">
            <v>Nghiên cứu phát triển nền tảng quản lý chức năng mạng ảo hóa NFV-MANO 2.0</v>
          </cell>
          <cell r="G117" t="str">
            <v>KHCN</v>
          </cell>
          <cell r="I117" t="str">
            <v>NTTT</v>
          </cell>
          <cell r="AC117">
            <v>1498000</v>
          </cell>
          <cell r="AD117">
            <v>22315584</v>
          </cell>
          <cell r="AE117">
            <v>3281919</v>
          </cell>
          <cell r="AF117">
            <v>3130660</v>
          </cell>
          <cell r="AG117">
            <v>0</v>
          </cell>
          <cell r="AH117">
            <v>0</v>
          </cell>
          <cell r="AI117">
            <v>0</v>
          </cell>
          <cell r="AJ117">
            <v>0</v>
          </cell>
          <cell r="AK117">
            <v>115245</v>
          </cell>
          <cell r="AL117">
            <v>252097</v>
          </cell>
          <cell r="AM117">
            <v>21608</v>
          </cell>
          <cell r="AN117">
            <v>43217</v>
          </cell>
          <cell r="AO117">
            <v>14406</v>
          </cell>
          <cell r="AP117">
            <v>14406</v>
          </cell>
        </row>
        <row r="118">
          <cell r="D118" t="str">
            <v>Nghiên cứu phát triển nền tảng quản lý chức năng mạng ảo hóa NFV-MANO 2.0</v>
          </cell>
          <cell r="G118" t="str">
            <v>KHCN</v>
          </cell>
          <cell r="I118" t="str">
            <v>NTTT</v>
          </cell>
          <cell r="AC118">
            <v>1047000</v>
          </cell>
          <cell r="AD118">
            <v>17196662</v>
          </cell>
          <cell r="AE118">
            <v>2502540</v>
          </cell>
          <cell r="AF118">
            <v>2365774</v>
          </cell>
          <cell r="AG118">
            <v>0</v>
          </cell>
          <cell r="AH118">
            <v>0</v>
          </cell>
          <cell r="AI118">
            <v>0</v>
          </cell>
          <cell r="AJ118">
            <v>0</v>
          </cell>
          <cell r="AK118">
            <v>104203</v>
          </cell>
          <cell r="AL118">
            <v>227944</v>
          </cell>
          <cell r="AM118">
            <v>19538</v>
          </cell>
          <cell r="AN118">
            <v>39076</v>
          </cell>
          <cell r="AO118">
            <v>13025</v>
          </cell>
          <cell r="AP118">
            <v>13025</v>
          </cell>
        </row>
        <row r="119">
          <cell r="D119" t="str">
            <v>Nghiên cứu phát triển nền tảng quản lý chức năng mạng ảo hóa NFV-MANO 2.0</v>
          </cell>
          <cell r="G119" t="str">
            <v>KHCN</v>
          </cell>
          <cell r="I119" t="str">
            <v>NTTT</v>
          </cell>
          <cell r="AC119">
            <v>1047000</v>
          </cell>
          <cell r="AD119">
            <v>15498314</v>
          </cell>
          <cell r="AE119">
            <v>2223392</v>
          </cell>
          <cell r="AF119">
            <v>2093872</v>
          </cell>
          <cell r="AG119">
            <v>0</v>
          </cell>
          <cell r="AH119">
            <v>0</v>
          </cell>
          <cell r="AI119">
            <v>0</v>
          </cell>
          <cell r="AJ119">
            <v>0</v>
          </cell>
          <cell r="AK119">
            <v>98682</v>
          </cell>
          <cell r="AL119">
            <v>215868</v>
          </cell>
          <cell r="AM119">
            <v>18503</v>
          </cell>
          <cell r="AN119">
            <v>37006</v>
          </cell>
          <cell r="AO119">
            <v>12335</v>
          </cell>
          <cell r="AP119">
            <v>12335</v>
          </cell>
        </row>
        <row r="120">
          <cell r="D120" t="str">
            <v>Nghiên cứu phát triển nền tảng quản lý chức năng mạng ảo hóa NFV-MANO 2.0</v>
          </cell>
          <cell r="G120" t="str">
            <v>KHCN</v>
          </cell>
          <cell r="I120" t="str">
            <v>NTTT</v>
          </cell>
          <cell r="AC120">
            <v>1247000</v>
          </cell>
          <cell r="AD120">
            <v>39415549</v>
          </cell>
          <cell r="AE120">
            <v>6200148</v>
          </cell>
          <cell r="AF120">
            <v>6004508</v>
          </cell>
          <cell r="AG120">
            <v>0</v>
          </cell>
          <cell r="AH120">
            <v>0</v>
          </cell>
          <cell r="AI120">
            <v>0</v>
          </cell>
          <cell r="AJ120">
            <v>0</v>
          </cell>
          <cell r="AK120">
            <v>149059</v>
          </cell>
          <cell r="AL120">
            <v>326066</v>
          </cell>
          <cell r="AM120">
            <v>27949</v>
          </cell>
          <cell r="AN120">
            <v>55897</v>
          </cell>
          <cell r="AO120">
            <v>18632</v>
          </cell>
          <cell r="AP120">
            <v>18632</v>
          </cell>
        </row>
        <row r="121">
          <cell r="D121" t="str">
            <v>Nghiên cứu phát triển nền tảng quản lý chức năng mạng ảo hóa NFV-MANO 2.0</v>
          </cell>
          <cell r="G121" t="str">
            <v>KHCN</v>
          </cell>
          <cell r="I121" t="str">
            <v>NTTT</v>
          </cell>
          <cell r="AC121">
            <v>1147000</v>
          </cell>
          <cell r="AD121">
            <v>26714444</v>
          </cell>
          <cell r="AE121">
            <v>4107981</v>
          </cell>
          <cell r="AF121">
            <v>3956722</v>
          </cell>
          <cell r="AG121">
            <v>0</v>
          </cell>
          <cell r="AH121">
            <v>0</v>
          </cell>
          <cell r="AI121">
            <v>0</v>
          </cell>
          <cell r="AJ121">
            <v>0</v>
          </cell>
          <cell r="AK121">
            <v>115245</v>
          </cell>
          <cell r="AL121">
            <v>252097</v>
          </cell>
          <cell r="AM121">
            <v>21608</v>
          </cell>
          <cell r="AN121">
            <v>43217</v>
          </cell>
          <cell r="AO121">
            <v>14406</v>
          </cell>
          <cell r="AP121">
            <v>14406</v>
          </cell>
        </row>
        <row r="122">
          <cell r="D122" t="str">
            <v>Nghiên cứu phát triển nền tảng quản lý chức năng mạng ảo hóa NFV-MANO 2.0</v>
          </cell>
          <cell r="G122" t="str">
            <v>KHCN</v>
          </cell>
          <cell r="I122" t="str">
            <v>NTTT</v>
          </cell>
          <cell r="AC122">
            <v>1047000</v>
          </cell>
          <cell r="AD122">
            <v>24318199</v>
          </cell>
          <cell r="AE122">
            <v>3724851</v>
          </cell>
          <cell r="AF122">
            <v>3580839</v>
          </cell>
          <cell r="AG122">
            <v>0</v>
          </cell>
          <cell r="AH122">
            <v>0</v>
          </cell>
          <cell r="AI122">
            <v>0</v>
          </cell>
          <cell r="AJ122">
            <v>0</v>
          </cell>
          <cell r="AK122">
            <v>109724</v>
          </cell>
          <cell r="AL122">
            <v>240021</v>
          </cell>
          <cell r="AM122">
            <v>20573</v>
          </cell>
          <cell r="AN122">
            <v>41146</v>
          </cell>
          <cell r="AO122">
            <v>13715</v>
          </cell>
          <cell r="AP122">
            <v>13715</v>
          </cell>
        </row>
        <row r="123">
          <cell r="D123" t="str">
            <v>Nghiên cứu phát triển nền tảng quản lý chức năng mạng ảo hóa NFV-MANO 2.0</v>
          </cell>
          <cell r="G123" t="str">
            <v>KHCN</v>
          </cell>
          <cell r="I123" t="str">
            <v>NTTT</v>
          </cell>
          <cell r="AC123">
            <v>1147000</v>
          </cell>
          <cell r="AD123">
            <v>18697024</v>
          </cell>
          <cell r="AE123">
            <v>2729864</v>
          </cell>
          <cell r="AF123">
            <v>2585852</v>
          </cell>
          <cell r="AG123">
            <v>0</v>
          </cell>
          <cell r="AH123">
            <v>0</v>
          </cell>
          <cell r="AI123">
            <v>0</v>
          </cell>
          <cell r="AJ123">
            <v>0</v>
          </cell>
          <cell r="AK123">
            <v>109724</v>
          </cell>
          <cell r="AL123">
            <v>240021</v>
          </cell>
          <cell r="AM123">
            <v>20573</v>
          </cell>
          <cell r="AN123">
            <v>41146</v>
          </cell>
          <cell r="AO123">
            <v>13715</v>
          </cell>
          <cell r="AP123">
            <v>13715</v>
          </cell>
        </row>
        <row r="124">
          <cell r="D124" t="str">
            <v>Nghiên cứu phát triển nền tảng quản lý chức năng mạng ảo hóa NFV-MANO 2.0</v>
          </cell>
          <cell r="G124" t="str">
            <v>KHCN</v>
          </cell>
          <cell r="I124" t="str">
            <v>NTTT</v>
          </cell>
          <cell r="AC124">
            <v>1047000</v>
          </cell>
          <cell r="AD124">
            <v>21810266</v>
          </cell>
          <cell r="AE124">
            <v>3272472</v>
          </cell>
          <cell r="AF124">
            <v>3121213</v>
          </cell>
          <cell r="AG124">
            <v>0</v>
          </cell>
          <cell r="AH124">
            <v>0</v>
          </cell>
          <cell r="AI124">
            <v>0</v>
          </cell>
          <cell r="AJ124">
            <v>0</v>
          </cell>
          <cell r="AK124">
            <v>115245</v>
          </cell>
          <cell r="AL124">
            <v>252097</v>
          </cell>
          <cell r="AM124">
            <v>21608</v>
          </cell>
          <cell r="AN124">
            <v>43217</v>
          </cell>
          <cell r="AO124">
            <v>14406</v>
          </cell>
          <cell r="AP124">
            <v>14406</v>
          </cell>
        </row>
        <row r="125">
          <cell r="D125" t="str">
            <v>Nghiên cứu phát triển nền tảng quản lý chức năng mạng ảo hóa NFV-MANO 2.0</v>
          </cell>
          <cell r="G125" t="str">
            <v>KHCN</v>
          </cell>
          <cell r="I125" t="str">
            <v>NTTT</v>
          </cell>
          <cell r="AC125">
            <v>1047000</v>
          </cell>
          <cell r="AD125">
            <v>17903152</v>
          </cell>
          <cell r="AE125">
            <v>2625408</v>
          </cell>
          <cell r="AF125">
            <v>2488642</v>
          </cell>
          <cell r="AG125">
            <v>0</v>
          </cell>
          <cell r="AH125">
            <v>0</v>
          </cell>
          <cell r="AI125">
            <v>0</v>
          </cell>
          <cell r="AJ125">
            <v>0</v>
          </cell>
          <cell r="AK125">
            <v>104203</v>
          </cell>
          <cell r="AL125">
            <v>227944</v>
          </cell>
          <cell r="AM125">
            <v>19538</v>
          </cell>
          <cell r="AN125">
            <v>39076</v>
          </cell>
          <cell r="AO125">
            <v>13025</v>
          </cell>
          <cell r="AP125">
            <v>13025</v>
          </cell>
        </row>
        <row r="126">
          <cell r="D126" t="str">
            <v>PAKD Dịch vụ HTKT cho các Hệ thống đã kinh doanh tại các thị trường năm 2024 (VTNet_Sản phẩm OCS/OCS DR)</v>
          </cell>
          <cell r="G126" t="str">
            <v>SXKD</v>
          </cell>
          <cell r="I126" t="str">
            <v>NTTT</v>
          </cell>
          <cell r="AC126">
            <v>2432000</v>
          </cell>
          <cell r="AD126">
            <v>121074018</v>
          </cell>
          <cell r="AE126">
            <v>5031279</v>
          </cell>
          <cell r="AF126">
            <v>4979148</v>
          </cell>
          <cell r="AG126">
            <v>0</v>
          </cell>
          <cell r="AH126">
            <v>0</v>
          </cell>
          <cell r="AI126">
            <v>0</v>
          </cell>
          <cell r="AJ126">
            <v>0</v>
          </cell>
          <cell r="AK126">
            <v>52131</v>
          </cell>
          <cell r="AL126">
            <v>114037</v>
          </cell>
          <cell r="AM126">
            <v>0</v>
          </cell>
          <cell r="AN126">
            <v>0</v>
          </cell>
          <cell r="AO126">
            <v>0</v>
          </cell>
          <cell r="AP126">
            <v>0</v>
          </cell>
        </row>
        <row r="127">
          <cell r="D127" t="str">
            <v>PAKD Dịch vụ HTKT cho các Hệ thống đã kinh doanh tại các thị trường năm 2024 (VTNet_Sản phẩm OCS/OCS DR)</v>
          </cell>
          <cell r="G127" t="str">
            <v>SXKD</v>
          </cell>
          <cell r="I127" t="str">
            <v>NTTT</v>
          </cell>
          <cell r="AC127">
            <v>1230000</v>
          </cell>
          <cell r="AD127">
            <v>86664849</v>
          </cell>
          <cell r="AE127">
            <v>14399951</v>
          </cell>
          <cell r="AF127">
            <v>14211937</v>
          </cell>
          <cell r="AG127">
            <v>0</v>
          </cell>
          <cell r="AH127">
            <v>0</v>
          </cell>
          <cell r="AI127">
            <v>0</v>
          </cell>
          <cell r="AJ127">
            <v>0</v>
          </cell>
          <cell r="AK127">
            <v>188014</v>
          </cell>
          <cell r="AL127">
            <v>411281</v>
          </cell>
          <cell r="AM127">
            <v>0</v>
          </cell>
          <cell r="AN127">
            <v>0</v>
          </cell>
          <cell r="AO127">
            <v>0</v>
          </cell>
          <cell r="AP127">
            <v>0</v>
          </cell>
        </row>
        <row r="128">
          <cell r="D128" t="str">
            <v>PAKD Dịch vụ HTKT cho các Hệ thống đã kinh doanh tại các thị trường năm 2024 (VTNet_Sản phẩm OCS/OCS DR)</v>
          </cell>
          <cell r="G128" t="str">
            <v>SXKD</v>
          </cell>
          <cell r="I128" t="str">
            <v>NTTT</v>
          </cell>
          <cell r="AC128">
            <v>1230000</v>
          </cell>
          <cell r="AD128">
            <v>53721686</v>
          </cell>
          <cell r="AE128">
            <v>8644505</v>
          </cell>
          <cell r="AF128">
            <v>8428033</v>
          </cell>
          <cell r="AG128">
            <v>0</v>
          </cell>
          <cell r="AH128">
            <v>0</v>
          </cell>
          <cell r="AI128">
            <v>0</v>
          </cell>
          <cell r="AJ128">
            <v>0</v>
          </cell>
          <cell r="AK128">
            <v>164931</v>
          </cell>
          <cell r="AL128">
            <v>360786</v>
          </cell>
          <cell r="AM128">
            <v>30925</v>
          </cell>
          <cell r="AN128">
            <v>61849</v>
          </cell>
          <cell r="AO128">
            <v>20616</v>
          </cell>
          <cell r="AP128">
            <v>20616</v>
          </cell>
        </row>
        <row r="129">
          <cell r="D129" t="str">
            <v>PAKD Dịch vụ HTKT cho các Hệ thống đã kinh doanh tại các thị trường năm 2024 (VTNet_Sản phẩm OCS/OCS DR)</v>
          </cell>
          <cell r="G129" t="str">
            <v>SXKD</v>
          </cell>
          <cell r="I129" t="str">
            <v>NTTT</v>
          </cell>
          <cell r="AC129">
            <v>1030000</v>
          </cell>
          <cell r="AD129">
            <v>48384347</v>
          </cell>
          <cell r="AE129">
            <v>7775380</v>
          </cell>
          <cell r="AF129">
            <v>7569777</v>
          </cell>
          <cell r="AG129">
            <v>0</v>
          </cell>
          <cell r="AH129">
            <v>0</v>
          </cell>
          <cell r="AI129">
            <v>0</v>
          </cell>
          <cell r="AJ129">
            <v>0</v>
          </cell>
          <cell r="AK129">
            <v>156650</v>
          </cell>
          <cell r="AL129">
            <v>342671</v>
          </cell>
          <cell r="AM129">
            <v>29372</v>
          </cell>
          <cell r="AN129">
            <v>58744</v>
          </cell>
          <cell r="AO129">
            <v>19581</v>
          </cell>
          <cell r="AP129">
            <v>19581</v>
          </cell>
        </row>
        <row r="130">
          <cell r="D130" t="str">
            <v>PAKD Dịch vụ HTKT cho các Hệ thống đã kinh doanh tại các thị trường năm 2024 (VTNet_Sản phẩm OCS/OCS DR)</v>
          </cell>
          <cell r="G130" t="str">
            <v>SXKD</v>
          </cell>
          <cell r="I130" t="str">
            <v>NTTT</v>
          </cell>
          <cell r="AC130">
            <v>1130000</v>
          </cell>
          <cell r="AD130">
            <v>29625266</v>
          </cell>
          <cell r="AE130">
            <v>4560408</v>
          </cell>
          <cell r="AF130">
            <v>4383789</v>
          </cell>
          <cell r="AG130">
            <v>0</v>
          </cell>
          <cell r="AH130">
            <v>0</v>
          </cell>
          <cell r="AI130">
            <v>0</v>
          </cell>
          <cell r="AJ130">
            <v>0</v>
          </cell>
          <cell r="AK130">
            <v>134567</v>
          </cell>
          <cell r="AL130">
            <v>294365</v>
          </cell>
          <cell r="AM130">
            <v>25231</v>
          </cell>
          <cell r="AN130">
            <v>50463</v>
          </cell>
          <cell r="AO130">
            <v>16821</v>
          </cell>
          <cell r="AP130">
            <v>16821</v>
          </cell>
        </row>
        <row r="131">
          <cell r="D131" t="str">
            <v>PAKD Dịch vụ HTKT cho các Hệ thống đã kinh doanh tại các thị trường năm 2024 (VTNet_Sản phẩm OCS/OCS DR)</v>
          </cell>
          <cell r="G131" t="str">
            <v>SXKD</v>
          </cell>
          <cell r="I131" t="str">
            <v>NTTT</v>
          </cell>
          <cell r="AC131">
            <v>930000</v>
          </cell>
          <cell r="AD131">
            <v>32663758</v>
          </cell>
          <cell r="AE131">
            <v>5123624</v>
          </cell>
          <cell r="AF131">
            <v>4947005</v>
          </cell>
          <cell r="AG131">
            <v>0</v>
          </cell>
          <cell r="AH131">
            <v>0</v>
          </cell>
          <cell r="AI131">
            <v>0</v>
          </cell>
          <cell r="AJ131">
            <v>0</v>
          </cell>
          <cell r="AK131">
            <v>134567</v>
          </cell>
          <cell r="AL131">
            <v>294365</v>
          </cell>
          <cell r="AM131">
            <v>25231</v>
          </cell>
          <cell r="AN131">
            <v>50463</v>
          </cell>
          <cell r="AO131">
            <v>16821</v>
          </cell>
          <cell r="AP131">
            <v>16821</v>
          </cell>
        </row>
        <row r="132">
          <cell r="D132" t="str">
            <v>PAKD Dịch vụ HTKT cho các Hệ thống đã kinh doanh tại các thị trường năm 2024 (VTNet_Sản phẩm OCS/OCS DR)</v>
          </cell>
          <cell r="G132" t="str">
            <v>SXKD</v>
          </cell>
          <cell r="I132" t="str">
            <v>NTTT</v>
          </cell>
          <cell r="AC132">
            <v>1030000</v>
          </cell>
          <cell r="AD132">
            <v>29252005</v>
          </cell>
          <cell r="AE132">
            <v>4512884</v>
          </cell>
          <cell r="AF132">
            <v>4336265</v>
          </cell>
          <cell r="AG132">
            <v>0</v>
          </cell>
          <cell r="AH132">
            <v>0</v>
          </cell>
          <cell r="AI132">
            <v>0</v>
          </cell>
          <cell r="AJ132">
            <v>0</v>
          </cell>
          <cell r="AK132">
            <v>134567</v>
          </cell>
          <cell r="AL132">
            <v>294365</v>
          </cell>
          <cell r="AM132">
            <v>25231</v>
          </cell>
          <cell r="AN132">
            <v>50463</v>
          </cell>
          <cell r="AO132">
            <v>16821</v>
          </cell>
          <cell r="AP132">
            <v>16821</v>
          </cell>
        </row>
        <row r="133">
          <cell r="D133" t="str">
            <v>PAKD Dịch vụ HTKT cho các Hệ thống đã kinh doanh tại các thị trường năm 2024 (VTNet_Sản phẩm OCS/OCS DR)</v>
          </cell>
          <cell r="G133" t="str">
            <v>SXKD</v>
          </cell>
          <cell r="I133" t="str">
            <v>NTTT</v>
          </cell>
          <cell r="AC133">
            <v>930000</v>
          </cell>
          <cell r="AD133">
            <v>21248732</v>
          </cell>
          <cell r="AE133">
            <v>3993952</v>
          </cell>
          <cell r="AF133">
            <v>3804879</v>
          </cell>
          <cell r="AG133">
            <v>0</v>
          </cell>
          <cell r="AH133">
            <v>0</v>
          </cell>
          <cell r="AI133">
            <v>0</v>
          </cell>
          <cell r="AJ133">
            <v>0</v>
          </cell>
          <cell r="AK133">
            <v>144056</v>
          </cell>
          <cell r="AL133">
            <v>315122</v>
          </cell>
          <cell r="AM133">
            <v>27010</v>
          </cell>
          <cell r="AN133">
            <v>54021</v>
          </cell>
          <cell r="AO133">
            <v>18007</v>
          </cell>
          <cell r="AP133">
            <v>18007</v>
          </cell>
        </row>
        <row r="134">
          <cell r="D134" t="str">
            <v>PAKD Dịch vụ HTKT cho các Hệ thống đã kinh doanh tại các thị trường năm 2024 (VTNet_Sản phẩm OCS/OCS DR)</v>
          </cell>
          <cell r="G134" t="str">
            <v>SXKD</v>
          </cell>
          <cell r="I134" t="str">
            <v>NTTT</v>
          </cell>
          <cell r="AC134">
            <v>930000</v>
          </cell>
          <cell r="AD134">
            <v>16972936</v>
          </cell>
          <cell r="AE134">
            <v>3104974</v>
          </cell>
          <cell r="AF134">
            <v>2934015</v>
          </cell>
          <cell r="AG134">
            <v>0</v>
          </cell>
          <cell r="AH134">
            <v>0</v>
          </cell>
          <cell r="AI134">
            <v>0</v>
          </cell>
          <cell r="AJ134">
            <v>0</v>
          </cell>
          <cell r="AK134">
            <v>130254</v>
          </cell>
          <cell r="AL134">
            <v>284930</v>
          </cell>
          <cell r="AM134">
            <v>24423</v>
          </cell>
          <cell r="AN134">
            <v>48845</v>
          </cell>
          <cell r="AO134">
            <v>16282</v>
          </cell>
          <cell r="AP134">
            <v>16282</v>
          </cell>
        </row>
        <row r="135">
          <cell r="D135" t="str">
            <v>PAKD Dịch vụ HTKT cho các Hệ thống đã kinh doanh tại các thị trường năm 2024 (VTNet_Sản phẩm OCS/OCS DR)</v>
          </cell>
          <cell r="G135" t="str">
            <v>SXKD</v>
          </cell>
          <cell r="I135" t="str">
            <v>NTTT</v>
          </cell>
          <cell r="AC135">
            <v>930000</v>
          </cell>
          <cell r="AD135">
            <v>21941016</v>
          </cell>
          <cell r="AE135">
            <v>4121643</v>
          </cell>
          <cell r="AF135">
            <v>3922381</v>
          </cell>
          <cell r="AG135">
            <v>0</v>
          </cell>
          <cell r="AH135">
            <v>0</v>
          </cell>
          <cell r="AI135">
            <v>0</v>
          </cell>
          <cell r="AJ135">
            <v>0</v>
          </cell>
          <cell r="AK135">
            <v>151819</v>
          </cell>
          <cell r="AL135">
            <v>332104</v>
          </cell>
          <cell r="AM135">
            <v>28466</v>
          </cell>
          <cell r="AN135">
            <v>56932</v>
          </cell>
          <cell r="AO135">
            <v>18977</v>
          </cell>
          <cell r="AP135">
            <v>18977</v>
          </cell>
        </row>
        <row r="136">
          <cell r="D136" t="str">
            <v>PAKD Dịch vụ HTKT cho các Hệ thống đã kinh doanh tại các thị trường năm 2024 (VTNet_Sản phẩm OCS/OCS DR)</v>
          </cell>
          <cell r="G136" t="str">
            <v>SXKD</v>
          </cell>
          <cell r="I136" t="str">
            <v>NTTT</v>
          </cell>
          <cell r="AC136">
            <v>930000</v>
          </cell>
          <cell r="AD136">
            <v>15612499</v>
          </cell>
          <cell r="AE136">
            <v>2829498</v>
          </cell>
          <cell r="AF136">
            <v>2667597</v>
          </cell>
          <cell r="AG136">
            <v>0</v>
          </cell>
          <cell r="AH136">
            <v>0</v>
          </cell>
          <cell r="AI136">
            <v>0</v>
          </cell>
          <cell r="AJ136">
            <v>0</v>
          </cell>
          <cell r="AK136">
            <v>123353</v>
          </cell>
          <cell r="AL136">
            <v>269835</v>
          </cell>
          <cell r="AM136">
            <v>23129</v>
          </cell>
          <cell r="AN136">
            <v>46257</v>
          </cell>
          <cell r="AO136">
            <v>15419</v>
          </cell>
          <cell r="AP136">
            <v>15419</v>
          </cell>
        </row>
        <row r="137">
          <cell r="D137" t="str">
            <v>PAKD Dịch vụ HTKT cho các Hệ thống đã kinh doanh tại các thị trường năm 2024 (VTNet_Sản phẩm OCS/OCS DR)</v>
          </cell>
          <cell r="G137" t="str">
            <v>SXKD</v>
          </cell>
          <cell r="I137" t="str">
            <v>NTTT</v>
          </cell>
          <cell r="AC137">
            <v>1130000</v>
          </cell>
          <cell r="AD137">
            <v>66005022</v>
          </cell>
          <cell r="AE137">
            <v>2725425</v>
          </cell>
          <cell r="AF137">
            <v>2685217</v>
          </cell>
          <cell r="AG137">
            <v>0</v>
          </cell>
          <cell r="AH137">
            <v>0</v>
          </cell>
          <cell r="AI137">
            <v>0</v>
          </cell>
          <cell r="AJ137">
            <v>0</v>
          </cell>
          <cell r="AK137">
            <v>33859</v>
          </cell>
          <cell r="AL137">
            <v>74066</v>
          </cell>
          <cell r="AM137">
            <v>6349</v>
          </cell>
          <cell r="AN137">
            <v>12697</v>
          </cell>
          <cell r="AO137">
            <v>0</v>
          </cell>
          <cell r="AP137">
            <v>0</v>
          </cell>
        </row>
        <row r="138">
          <cell r="D138" t="str">
            <v>PAKD Dịch vụ HTKT cho các Hệ thống đã kinh doanh tại các thị trường năm 2024 (VTNet_Sản phẩm OCS/OCS DR)</v>
          </cell>
          <cell r="G138" t="str">
            <v>SXKD</v>
          </cell>
          <cell r="I138" t="str">
            <v>NTTT</v>
          </cell>
          <cell r="AC138">
            <v>1130000</v>
          </cell>
          <cell r="AD138">
            <v>49368599</v>
          </cell>
          <cell r="AE138">
            <v>7929163</v>
          </cell>
          <cell r="AF138">
            <v>7723560</v>
          </cell>
          <cell r="AG138">
            <v>0</v>
          </cell>
          <cell r="AH138">
            <v>0</v>
          </cell>
          <cell r="AI138">
            <v>0</v>
          </cell>
          <cell r="AJ138">
            <v>0</v>
          </cell>
          <cell r="AK138">
            <v>156650</v>
          </cell>
          <cell r="AL138">
            <v>342671</v>
          </cell>
          <cell r="AM138">
            <v>29372</v>
          </cell>
          <cell r="AN138">
            <v>58744</v>
          </cell>
          <cell r="AO138">
            <v>19581</v>
          </cell>
          <cell r="AP138">
            <v>19581</v>
          </cell>
        </row>
        <row r="139">
          <cell r="D139" t="str">
            <v>PAKD Dịch vụ HTKT cho các Hệ thống đã kinh doanh tại các thị trường năm 2024 (VTNet_Sản phẩm OCS/OCS DR)</v>
          </cell>
          <cell r="G139" t="str">
            <v>SXKD</v>
          </cell>
          <cell r="I139" t="str">
            <v>NTTT</v>
          </cell>
          <cell r="AC139">
            <v>1030000</v>
          </cell>
          <cell r="AD139">
            <v>48384347</v>
          </cell>
          <cell r="AE139">
            <v>7775380</v>
          </cell>
          <cell r="AF139">
            <v>7569777</v>
          </cell>
          <cell r="AG139">
            <v>0</v>
          </cell>
          <cell r="AH139">
            <v>0</v>
          </cell>
          <cell r="AI139">
            <v>0</v>
          </cell>
          <cell r="AJ139">
            <v>0</v>
          </cell>
          <cell r="AK139">
            <v>156650</v>
          </cell>
          <cell r="AL139">
            <v>342671</v>
          </cell>
          <cell r="AM139">
            <v>29372</v>
          </cell>
          <cell r="AN139">
            <v>58744</v>
          </cell>
          <cell r="AO139">
            <v>19581</v>
          </cell>
          <cell r="AP139">
            <v>19581</v>
          </cell>
        </row>
        <row r="140">
          <cell r="D140" t="str">
            <v>PAKD Dịch vụ HTKT cho các Hệ thống đã kinh doanh tại các thị trường năm 2024 (VTNet_Sản phẩm OCS/OCS DR)</v>
          </cell>
          <cell r="G140" t="str">
            <v>SXKD</v>
          </cell>
          <cell r="I140" t="str">
            <v>NTTT</v>
          </cell>
          <cell r="AC140">
            <v>1130000</v>
          </cell>
          <cell r="AD140">
            <v>38035265</v>
          </cell>
          <cell r="AE140">
            <v>6002745</v>
          </cell>
          <cell r="AF140">
            <v>5817069</v>
          </cell>
          <cell r="AG140">
            <v>0</v>
          </cell>
          <cell r="AH140">
            <v>0</v>
          </cell>
          <cell r="AI140">
            <v>0</v>
          </cell>
          <cell r="AJ140">
            <v>0</v>
          </cell>
          <cell r="AK140">
            <v>141468</v>
          </cell>
          <cell r="AL140">
            <v>309461</v>
          </cell>
          <cell r="AM140">
            <v>26525</v>
          </cell>
          <cell r="AN140">
            <v>53050</v>
          </cell>
          <cell r="AO140">
            <v>17683</v>
          </cell>
          <cell r="AP140">
            <v>17683</v>
          </cell>
        </row>
        <row r="141">
          <cell r="D141" t="str">
            <v>PAKD Dịch vụ HTKT cho các Hệ thống đã kinh doanh tại các thị trường năm 2024 (VTNet_Sản phẩm OCS/OCS DR)</v>
          </cell>
          <cell r="G141" t="str">
            <v>SXKD</v>
          </cell>
          <cell r="I141" t="str">
            <v>NTTT</v>
          </cell>
          <cell r="AC141">
            <v>1130000</v>
          </cell>
          <cell r="AD141">
            <v>48484347</v>
          </cell>
          <cell r="AE141">
            <v>7775380</v>
          </cell>
          <cell r="AF141">
            <v>7569777</v>
          </cell>
          <cell r="AG141">
            <v>0</v>
          </cell>
          <cell r="AH141">
            <v>0</v>
          </cell>
          <cell r="AI141">
            <v>0</v>
          </cell>
          <cell r="AJ141">
            <v>0</v>
          </cell>
          <cell r="AK141">
            <v>156650</v>
          </cell>
          <cell r="AL141">
            <v>342671</v>
          </cell>
          <cell r="AM141">
            <v>29372</v>
          </cell>
          <cell r="AN141">
            <v>58744</v>
          </cell>
          <cell r="AO141">
            <v>19581</v>
          </cell>
          <cell r="AP141">
            <v>19581</v>
          </cell>
        </row>
        <row r="142">
          <cell r="D142" t="str">
            <v>PAKD Dịch vụ HTKT cho các Hệ thống đã kinh doanh tại các thị trường năm 2024 (VTNet_Sản phẩm OCS/OCS DR)</v>
          </cell>
          <cell r="G142" t="str">
            <v>SXKD</v>
          </cell>
          <cell r="I142" t="str">
            <v>NTTT</v>
          </cell>
          <cell r="AC142">
            <v>1147000</v>
          </cell>
          <cell r="AD142">
            <v>24870483</v>
          </cell>
          <cell r="AE142">
            <v>3750804</v>
          </cell>
          <cell r="AF142">
            <v>3583243</v>
          </cell>
          <cell r="AG142">
            <v>0</v>
          </cell>
          <cell r="AH142">
            <v>0</v>
          </cell>
          <cell r="AI142">
            <v>0</v>
          </cell>
          <cell r="AJ142">
            <v>0</v>
          </cell>
          <cell r="AK142">
            <v>127666</v>
          </cell>
          <cell r="AL142">
            <v>279270</v>
          </cell>
          <cell r="AM142">
            <v>23937</v>
          </cell>
          <cell r="AN142">
            <v>47875</v>
          </cell>
          <cell r="AO142">
            <v>15958</v>
          </cell>
          <cell r="AP142">
            <v>15958</v>
          </cell>
        </row>
        <row r="143">
          <cell r="D143" t="str">
            <v>PAKD Dịch vụ HTKT cho các Hệ thống đã kinh doanh tại các thị trường năm 2024 (VTNet_Sản phẩm OCS/OCS DR)</v>
          </cell>
          <cell r="G143" t="str">
            <v>SXKD</v>
          </cell>
          <cell r="I143" t="str">
            <v>NTTT</v>
          </cell>
          <cell r="AC143">
            <v>930000</v>
          </cell>
          <cell r="AD143">
            <v>25919769</v>
          </cell>
          <cell r="AE143">
            <v>4007516</v>
          </cell>
          <cell r="AF143">
            <v>3856257</v>
          </cell>
          <cell r="AG143">
            <v>0</v>
          </cell>
          <cell r="AH143">
            <v>0</v>
          </cell>
          <cell r="AI143">
            <v>0</v>
          </cell>
          <cell r="AJ143">
            <v>0</v>
          </cell>
          <cell r="AK143">
            <v>115245</v>
          </cell>
          <cell r="AL143">
            <v>252097</v>
          </cell>
          <cell r="AM143">
            <v>21608</v>
          </cell>
          <cell r="AN143">
            <v>43217</v>
          </cell>
          <cell r="AO143">
            <v>14406</v>
          </cell>
          <cell r="AP143">
            <v>14406</v>
          </cell>
        </row>
        <row r="144">
          <cell r="D144" t="str">
            <v>PAKD Dịch vụ HTKT cho các Hệ thống đã kinh doanh tại các thị trường năm 2024 (VTNet_Sản phẩm OCS/OCS DR)</v>
          </cell>
          <cell r="G144" t="str">
            <v>SXKD</v>
          </cell>
          <cell r="I144" t="str">
            <v>NTTT</v>
          </cell>
          <cell r="AC144">
            <v>930000</v>
          </cell>
          <cell r="AD144">
            <v>23662039</v>
          </cell>
          <cell r="AE144">
            <v>3596623</v>
          </cell>
          <cell r="AF144">
            <v>3437213</v>
          </cell>
          <cell r="AG144">
            <v>0</v>
          </cell>
          <cell r="AH144">
            <v>0</v>
          </cell>
          <cell r="AI144">
            <v>0</v>
          </cell>
          <cell r="AJ144">
            <v>0</v>
          </cell>
          <cell r="AK144">
            <v>121455</v>
          </cell>
          <cell r="AL144">
            <v>265683</v>
          </cell>
          <cell r="AM144">
            <v>22773</v>
          </cell>
          <cell r="AN144">
            <v>45546</v>
          </cell>
          <cell r="AO144">
            <v>15182</v>
          </cell>
          <cell r="AP144">
            <v>15182</v>
          </cell>
        </row>
        <row r="145">
          <cell r="D145" t="str">
            <v>PAKD Dịch vụ HTKT cho các Hệ thống đã kinh doanh tại các thị trường năm 2024 (VTNet_Sản phẩm OCS/OCS DR)</v>
          </cell>
          <cell r="G145" t="str">
            <v>SXKD</v>
          </cell>
          <cell r="I145" t="str">
            <v>NTTT</v>
          </cell>
          <cell r="AC145">
            <v>1047000</v>
          </cell>
          <cell r="AD145">
            <v>25662037</v>
          </cell>
          <cell r="AE145">
            <v>3942345</v>
          </cell>
          <cell r="AF145">
            <v>3791086</v>
          </cell>
          <cell r="AG145">
            <v>0</v>
          </cell>
          <cell r="AH145">
            <v>0</v>
          </cell>
          <cell r="AI145">
            <v>0</v>
          </cell>
          <cell r="AJ145">
            <v>0</v>
          </cell>
          <cell r="AK145">
            <v>115245</v>
          </cell>
          <cell r="AL145">
            <v>252097</v>
          </cell>
          <cell r="AM145">
            <v>21608</v>
          </cell>
          <cell r="AN145">
            <v>43217</v>
          </cell>
          <cell r="AO145">
            <v>14406</v>
          </cell>
          <cell r="AP145">
            <v>14406</v>
          </cell>
        </row>
        <row r="146">
          <cell r="D146" t="str">
            <v>PAKD Dịch vụ HTKT cho các Hệ thống đã kinh doanh tại các thị trường năm 2024 (VTNet_Sản phẩm OCS/OCS DR)</v>
          </cell>
          <cell r="G146" t="str">
            <v>SXKD</v>
          </cell>
          <cell r="I146" t="str">
            <v>NTTT</v>
          </cell>
          <cell r="AC146">
            <v>1247000</v>
          </cell>
          <cell r="AD146">
            <v>51337531</v>
          </cell>
          <cell r="AE146">
            <v>8226913</v>
          </cell>
          <cell r="AF146">
            <v>8010441</v>
          </cell>
          <cell r="AG146">
            <v>0</v>
          </cell>
          <cell r="AH146">
            <v>0</v>
          </cell>
          <cell r="AI146">
            <v>0</v>
          </cell>
          <cell r="AJ146">
            <v>0</v>
          </cell>
          <cell r="AK146">
            <v>164931</v>
          </cell>
          <cell r="AL146">
            <v>360786</v>
          </cell>
          <cell r="AM146">
            <v>30925</v>
          </cell>
          <cell r="AN146">
            <v>61849</v>
          </cell>
          <cell r="AO146">
            <v>20616</v>
          </cell>
          <cell r="AP146">
            <v>20616</v>
          </cell>
        </row>
        <row r="147">
          <cell r="D147" t="str">
            <v>PAKD Dịch vụ HTKT cho các Hệ thống đã kinh doanh tại các thị trường năm 2024 (VTNet_Sản phẩm OCS/OCS DR)</v>
          </cell>
          <cell r="G147" t="str">
            <v>SXKD</v>
          </cell>
          <cell r="I147" t="str">
            <v>NTTT</v>
          </cell>
          <cell r="AC147">
            <v>1147000</v>
          </cell>
          <cell r="AD147">
            <v>44315549</v>
          </cell>
          <cell r="AE147">
            <v>7069714</v>
          </cell>
          <cell r="AF147">
            <v>6874074</v>
          </cell>
          <cell r="AG147">
            <v>0</v>
          </cell>
          <cell r="AH147">
            <v>0</v>
          </cell>
          <cell r="AI147">
            <v>0</v>
          </cell>
          <cell r="AJ147">
            <v>0</v>
          </cell>
          <cell r="AK147">
            <v>149059</v>
          </cell>
          <cell r="AL147">
            <v>326066</v>
          </cell>
          <cell r="AM147">
            <v>27949</v>
          </cell>
          <cell r="AN147">
            <v>55897</v>
          </cell>
          <cell r="AO147">
            <v>18632</v>
          </cell>
          <cell r="AP147">
            <v>18632</v>
          </cell>
        </row>
        <row r="148">
          <cell r="D148" t="str">
            <v>PAKD Dịch vụ HTKT cho các Hệ thống đã kinh doanh tại các thị trường năm 2024 (VTNet_Sản phẩm OCS/OCS DR)</v>
          </cell>
          <cell r="G148" t="str">
            <v>SXKD</v>
          </cell>
          <cell r="I148" t="str">
            <v>NTTT</v>
          </cell>
          <cell r="AC148">
            <v>1247000</v>
          </cell>
          <cell r="AD148">
            <v>31822365</v>
          </cell>
          <cell r="AE148">
            <v>4922164</v>
          </cell>
          <cell r="AF148">
            <v>4745545</v>
          </cell>
          <cell r="AG148">
            <v>0</v>
          </cell>
          <cell r="AH148">
            <v>0</v>
          </cell>
          <cell r="AI148">
            <v>0</v>
          </cell>
          <cell r="AJ148">
            <v>0</v>
          </cell>
          <cell r="AK148">
            <v>134567</v>
          </cell>
          <cell r="AL148">
            <v>294365</v>
          </cell>
          <cell r="AM148">
            <v>25231</v>
          </cell>
          <cell r="AN148">
            <v>50463</v>
          </cell>
          <cell r="AO148">
            <v>16821</v>
          </cell>
          <cell r="AP148">
            <v>16821</v>
          </cell>
        </row>
        <row r="149">
          <cell r="D149" t="str">
            <v>PAKD Dịch vụ HTKT cho các Hệ thống đã kinh doanh tại các thị trường năm 2024 (VTNet_Sản phẩm OCS/OCS DR)</v>
          </cell>
          <cell r="G149" t="str">
            <v>SXKD</v>
          </cell>
          <cell r="I149" t="str">
            <v>NTTT</v>
          </cell>
          <cell r="AC149">
            <v>7637000</v>
          </cell>
          <cell r="AD149">
            <v>36588806</v>
          </cell>
          <cell r="AE149">
            <v>4639806</v>
          </cell>
          <cell r="AF149">
            <v>4463187</v>
          </cell>
          <cell r="AG149">
            <v>0</v>
          </cell>
          <cell r="AH149">
            <v>0</v>
          </cell>
          <cell r="AI149">
            <v>0</v>
          </cell>
          <cell r="AJ149">
            <v>0</v>
          </cell>
          <cell r="AK149">
            <v>134567</v>
          </cell>
          <cell r="AL149">
            <v>294365</v>
          </cell>
          <cell r="AM149">
            <v>25231</v>
          </cell>
          <cell r="AN149">
            <v>50463</v>
          </cell>
          <cell r="AO149">
            <v>16821</v>
          </cell>
          <cell r="AP149">
            <v>16821</v>
          </cell>
        </row>
        <row r="150">
          <cell r="D150" t="str">
            <v>PAKD Dịch vụ HTKT cho các Hệ thống đã kinh doanh tại các thị trường năm 2024 (VTNet_Sản phẩm OCS/OCS DR)</v>
          </cell>
          <cell r="G150" t="str">
            <v>SXKD</v>
          </cell>
          <cell r="I150" t="str">
            <v>NTTT</v>
          </cell>
          <cell r="AC150">
            <v>1147000</v>
          </cell>
          <cell r="AD150">
            <v>26938268</v>
          </cell>
          <cell r="AE150">
            <v>4128663</v>
          </cell>
          <cell r="AF150">
            <v>3969253</v>
          </cell>
          <cell r="AG150">
            <v>0</v>
          </cell>
          <cell r="AH150">
            <v>0</v>
          </cell>
          <cell r="AI150">
            <v>0</v>
          </cell>
          <cell r="AJ150">
            <v>0</v>
          </cell>
          <cell r="AK150">
            <v>121455</v>
          </cell>
          <cell r="AL150">
            <v>265683</v>
          </cell>
          <cell r="AM150">
            <v>22773</v>
          </cell>
          <cell r="AN150">
            <v>45546</v>
          </cell>
          <cell r="AO150">
            <v>15182</v>
          </cell>
          <cell r="AP150">
            <v>15182</v>
          </cell>
        </row>
        <row r="151">
          <cell r="D151" t="str">
            <v>PAKD Dịch vụ HTKT cho các Hệ thống đã kinh doanh tại các thị trường năm 2024 (VTNet_Sản phẩm OCS/OCS DR)</v>
          </cell>
          <cell r="G151" t="str">
            <v>SXKD</v>
          </cell>
          <cell r="I151" t="str">
            <v>NTTT</v>
          </cell>
          <cell r="AC151">
            <v>1147000</v>
          </cell>
          <cell r="AD151">
            <v>25391428</v>
          </cell>
          <cell r="AE151">
            <v>3841403</v>
          </cell>
          <cell r="AF151">
            <v>3673842</v>
          </cell>
          <cell r="AG151">
            <v>0</v>
          </cell>
          <cell r="AH151">
            <v>0</v>
          </cell>
          <cell r="AI151">
            <v>0</v>
          </cell>
          <cell r="AJ151">
            <v>0</v>
          </cell>
          <cell r="AK151">
            <v>127666</v>
          </cell>
          <cell r="AL151">
            <v>279270</v>
          </cell>
          <cell r="AM151">
            <v>23937</v>
          </cell>
          <cell r="AN151">
            <v>47875</v>
          </cell>
          <cell r="AO151">
            <v>15958</v>
          </cell>
          <cell r="AP151">
            <v>15958</v>
          </cell>
        </row>
        <row r="152">
          <cell r="D152" t="str">
            <v>PAKD Dịch vụ HTKT cho các Hệ thống đã kinh doanh tại các thị trường năm 2024 (VTNet_Sản phẩm OCS/OCS DR)</v>
          </cell>
          <cell r="G152" t="str">
            <v>SXKD</v>
          </cell>
          <cell r="I152" t="str">
            <v>NTTT</v>
          </cell>
          <cell r="AC152">
            <v>1047000</v>
          </cell>
          <cell r="AD152">
            <v>17196662</v>
          </cell>
          <cell r="AE152">
            <v>2502540</v>
          </cell>
          <cell r="AF152">
            <v>2365774</v>
          </cell>
          <cell r="AG152">
            <v>0</v>
          </cell>
          <cell r="AH152">
            <v>0</v>
          </cell>
          <cell r="AI152">
            <v>0</v>
          </cell>
          <cell r="AJ152">
            <v>0</v>
          </cell>
          <cell r="AK152">
            <v>104203</v>
          </cell>
          <cell r="AL152">
            <v>227944</v>
          </cell>
          <cell r="AM152">
            <v>19538</v>
          </cell>
          <cell r="AN152">
            <v>39076</v>
          </cell>
          <cell r="AO152">
            <v>13025</v>
          </cell>
          <cell r="AP152">
            <v>13025</v>
          </cell>
        </row>
        <row r="153">
          <cell r="D153" t="str">
            <v>PAKD Dịch vụ HTKT cho các Hệ thống đã kinh doanh tại các thị trường năm 2024 (VTNet_Sản phẩm OCS/OCS DR)</v>
          </cell>
          <cell r="G153" t="str">
            <v>SXKD</v>
          </cell>
          <cell r="I153" t="str">
            <v>NTTT</v>
          </cell>
          <cell r="AC153">
            <v>1147000</v>
          </cell>
          <cell r="AD153">
            <v>17147160</v>
          </cell>
          <cell r="AE153">
            <v>2476540</v>
          </cell>
          <cell r="AF153">
            <v>2339774</v>
          </cell>
          <cell r="AG153">
            <v>0</v>
          </cell>
          <cell r="AH153">
            <v>0</v>
          </cell>
          <cell r="AI153">
            <v>0</v>
          </cell>
          <cell r="AJ153">
            <v>0</v>
          </cell>
          <cell r="AK153">
            <v>104203</v>
          </cell>
          <cell r="AL153">
            <v>227944</v>
          </cell>
          <cell r="AM153">
            <v>19538</v>
          </cell>
          <cell r="AN153">
            <v>39076</v>
          </cell>
          <cell r="AO153">
            <v>13025</v>
          </cell>
          <cell r="AP153">
            <v>13025</v>
          </cell>
        </row>
        <row r="154">
          <cell r="D154" t="str">
            <v>PAKD Dịch vụ HTKT cho các Hệ thống đã kinh doanh tại các thị trường năm 2024 (VTNet_Sản phẩm OCS/OCS DR)</v>
          </cell>
          <cell r="G154" t="str">
            <v>SXKD</v>
          </cell>
          <cell r="I154" t="str">
            <v>NTTT</v>
          </cell>
          <cell r="AC154">
            <v>1498000</v>
          </cell>
          <cell r="AD154">
            <v>22315584</v>
          </cell>
          <cell r="AE154">
            <v>3281919</v>
          </cell>
          <cell r="AF154">
            <v>3130660</v>
          </cell>
          <cell r="AG154">
            <v>0</v>
          </cell>
          <cell r="AH154">
            <v>0</v>
          </cell>
          <cell r="AI154">
            <v>0</v>
          </cell>
          <cell r="AJ154">
            <v>0</v>
          </cell>
          <cell r="AK154">
            <v>115245</v>
          </cell>
          <cell r="AL154">
            <v>252097</v>
          </cell>
          <cell r="AM154">
            <v>21608</v>
          </cell>
          <cell r="AN154">
            <v>43217</v>
          </cell>
          <cell r="AO154">
            <v>14406</v>
          </cell>
          <cell r="AP154">
            <v>14406</v>
          </cell>
        </row>
        <row r="155">
          <cell r="D155" t="str">
            <v>PAKD Dịch vụ HTKT cho các Hệ thống đã kinh doanh tại các thị trường năm 2024 (VTNet_Sản phẩm OCS/OCS DR)</v>
          </cell>
          <cell r="G155" t="str">
            <v>SXKD</v>
          </cell>
          <cell r="I155" t="str">
            <v>NTTT</v>
          </cell>
          <cell r="AC155">
            <v>1047000</v>
          </cell>
          <cell r="AD155">
            <v>17196662</v>
          </cell>
          <cell r="AE155">
            <v>2502540</v>
          </cell>
          <cell r="AF155">
            <v>2365774</v>
          </cell>
          <cell r="AG155">
            <v>0</v>
          </cell>
          <cell r="AH155">
            <v>0</v>
          </cell>
          <cell r="AI155">
            <v>0</v>
          </cell>
          <cell r="AJ155">
            <v>0</v>
          </cell>
          <cell r="AK155">
            <v>104203</v>
          </cell>
          <cell r="AL155">
            <v>227944</v>
          </cell>
          <cell r="AM155">
            <v>19538</v>
          </cell>
          <cell r="AN155">
            <v>39076</v>
          </cell>
          <cell r="AO155">
            <v>13025</v>
          </cell>
          <cell r="AP155">
            <v>13025</v>
          </cell>
        </row>
        <row r="156">
          <cell r="D156" t="str">
            <v>PAKD Dịch vụ HTKT cho các Hệ thống đã kinh doanh tại các thị trường năm 2024 (VTNet_Sản phẩm OCS/OCS DR)</v>
          </cell>
          <cell r="G156" t="str">
            <v>SXKD</v>
          </cell>
          <cell r="I156" t="str">
            <v>NTTT</v>
          </cell>
          <cell r="AC156">
            <v>1047000</v>
          </cell>
          <cell r="AD156">
            <v>15498314</v>
          </cell>
          <cell r="AE156">
            <v>2223392</v>
          </cell>
          <cell r="AF156">
            <v>2093872</v>
          </cell>
          <cell r="AG156">
            <v>0</v>
          </cell>
          <cell r="AH156">
            <v>0</v>
          </cell>
          <cell r="AI156">
            <v>0</v>
          </cell>
          <cell r="AJ156">
            <v>0</v>
          </cell>
          <cell r="AK156">
            <v>98682</v>
          </cell>
          <cell r="AL156">
            <v>215868</v>
          </cell>
          <cell r="AM156">
            <v>18503</v>
          </cell>
          <cell r="AN156">
            <v>37006</v>
          </cell>
          <cell r="AO156">
            <v>12335</v>
          </cell>
          <cell r="AP156">
            <v>12335</v>
          </cell>
        </row>
        <row r="157">
          <cell r="D157" t="str">
            <v>PAKD Dịch vụ HTKT cho các Hệ thống đã kinh doanh tại các thị trường năm 2024 (VTNet_Sản phẩm OCS/OCS DR)</v>
          </cell>
          <cell r="G157" t="str">
            <v>SXKD</v>
          </cell>
          <cell r="I157" t="str">
            <v>NTTT</v>
          </cell>
          <cell r="AC157">
            <v>1247000</v>
          </cell>
          <cell r="AD157">
            <v>39415549</v>
          </cell>
          <cell r="AE157">
            <v>6200148</v>
          </cell>
          <cell r="AF157">
            <v>6004508</v>
          </cell>
          <cell r="AG157">
            <v>0</v>
          </cell>
          <cell r="AH157">
            <v>0</v>
          </cell>
          <cell r="AI157">
            <v>0</v>
          </cell>
          <cell r="AJ157">
            <v>0</v>
          </cell>
          <cell r="AK157">
            <v>149059</v>
          </cell>
          <cell r="AL157">
            <v>326066</v>
          </cell>
          <cell r="AM157">
            <v>27949</v>
          </cell>
          <cell r="AN157">
            <v>55897</v>
          </cell>
          <cell r="AO157">
            <v>18632</v>
          </cell>
          <cell r="AP157">
            <v>18632</v>
          </cell>
        </row>
        <row r="158">
          <cell r="D158" t="str">
            <v>PAKD Dịch vụ HTKT cho các Hệ thống đã kinh doanh tại các thị trường năm 2024 (Mytel_Sản phẩm OCS/OCS DR)</v>
          </cell>
          <cell r="G158" t="str">
            <v>SXKD</v>
          </cell>
          <cell r="I158" t="str">
            <v>NTTT</v>
          </cell>
          <cell r="AC158">
            <v>2432000</v>
          </cell>
          <cell r="AD158">
            <v>121074018</v>
          </cell>
          <cell r="AE158">
            <v>5031279</v>
          </cell>
          <cell r="AF158">
            <v>4979148</v>
          </cell>
          <cell r="AG158">
            <v>0</v>
          </cell>
          <cell r="AH158">
            <v>0</v>
          </cell>
          <cell r="AI158">
            <v>0</v>
          </cell>
          <cell r="AJ158">
            <v>0</v>
          </cell>
          <cell r="AK158">
            <v>52131</v>
          </cell>
          <cell r="AL158">
            <v>114037</v>
          </cell>
          <cell r="AM158">
            <v>0</v>
          </cell>
          <cell r="AN158">
            <v>0</v>
          </cell>
          <cell r="AO158">
            <v>0</v>
          </cell>
          <cell r="AP158">
            <v>0</v>
          </cell>
        </row>
        <row r="159">
          <cell r="D159" t="str">
            <v>PAKD Dịch vụ HTKT cho các Hệ thống đã kinh doanh tại các thị trường năm 2024 (Mytel_Sản phẩm OCS/OCS DR)</v>
          </cell>
          <cell r="G159" t="str">
            <v>SXKD</v>
          </cell>
          <cell r="I159" t="str">
            <v>NTTT</v>
          </cell>
          <cell r="AC159">
            <v>1030000</v>
          </cell>
          <cell r="AD159">
            <v>16923296</v>
          </cell>
          <cell r="AE159">
            <v>1228977</v>
          </cell>
          <cell r="AF159">
            <v>1160593</v>
          </cell>
          <cell r="AG159">
            <v>0</v>
          </cell>
          <cell r="AH159">
            <v>0</v>
          </cell>
          <cell r="AI159">
            <v>0</v>
          </cell>
          <cell r="AJ159">
            <v>0</v>
          </cell>
          <cell r="AK159">
            <v>52102</v>
          </cell>
          <cell r="AL159">
            <v>113972</v>
          </cell>
          <cell r="AM159">
            <v>9769</v>
          </cell>
          <cell r="AN159">
            <v>19538</v>
          </cell>
          <cell r="AO159">
            <v>6513</v>
          </cell>
          <cell r="AP159">
            <v>6513</v>
          </cell>
        </row>
        <row r="160">
          <cell r="D160" t="str">
            <v>PAKD Dịch vụ HTKT cho các Hệ thống đã kinh doanh tại các thị trường năm 2024 (Mytel_Sản phẩm OCS/OCS DR)</v>
          </cell>
          <cell r="G160" t="str">
            <v>SXKD</v>
          </cell>
          <cell r="I160" t="str">
            <v>NTTT</v>
          </cell>
          <cell r="AC160">
            <v>930000</v>
          </cell>
          <cell r="AD160">
            <v>34054984</v>
          </cell>
          <cell r="AE160">
            <v>2682788</v>
          </cell>
          <cell r="AF160">
            <v>2594479</v>
          </cell>
          <cell r="AG160">
            <v>0</v>
          </cell>
          <cell r="AH160">
            <v>0</v>
          </cell>
          <cell r="AI160">
            <v>0</v>
          </cell>
          <cell r="AJ160">
            <v>0</v>
          </cell>
          <cell r="AK160">
            <v>67283</v>
          </cell>
          <cell r="AL160">
            <v>147183</v>
          </cell>
          <cell r="AM160">
            <v>12616</v>
          </cell>
          <cell r="AN160">
            <v>25231</v>
          </cell>
          <cell r="AO160">
            <v>8410</v>
          </cell>
          <cell r="AP160">
            <v>8410</v>
          </cell>
        </row>
        <row r="161">
          <cell r="D161" t="str">
            <v>PAKD Dịch vụ HTKT cho các Hệ thống đã kinh doanh tại các thị trường năm 2024 (Mytel_Sản phẩm OCS/OCS DR)</v>
          </cell>
          <cell r="G161" t="str">
            <v>SXKD</v>
          </cell>
          <cell r="I161" t="str">
            <v>NTTT</v>
          </cell>
          <cell r="AC161">
            <v>930000</v>
          </cell>
          <cell r="AD161">
            <v>31541385</v>
          </cell>
          <cell r="AE161">
            <v>2474350</v>
          </cell>
          <cell r="AF161">
            <v>2390569</v>
          </cell>
          <cell r="AG161">
            <v>0</v>
          </cell>
          <cell r="AH161">
            <v>0</v>
          </cell>
          <cell r="AI161">
            <v>0</v>
          </cell>
          <cell r="AJ161">
            <v>0</v>
          </cell>
          <cell r="AK161">
            <v>63833</v>
          </cell>
          <cell r="AL161">
            <v>139635</v>
          </cell>
          <cell r="AM161">
            <v>11969</v>
          </cell>
          <cell r="AN161">
            <v>23937</v>
          </cell>
          <cell r="AO161">
            <v>7979</v>
          </cell>
          <cell r="AP161">
            <v>7979</v>
          </cell>
        </row>
        <row r="162">
          <cell r="D162" t="str">
            <v>PAKD Dịch vụ HTKT cho các Hệ thống đã kinh doanh tại các thị trường năm 2024 (Mytel_Sản phẩm OCS/OCS DR)</v>
          </cell>
          <cell r="G162" t="str">
            <v>SXKD</v>
          </cell>
          <cell r="I162" t="str">
            <v>NTTT</v>
          </cell>
          <cell r="AC162">
            <v>1047000</v>
          </cell>
          <cell r="AD162">
            <v>20848958</v>
          </cell>
          <cell r="AE162">
            <v>1552644</v>
          </cell>
          <cell r="AF162">
            <v>1477015</v>
          </cell>
          <cell r="AG162">
            <v>0</v>
          </cell>
          <cell r="AH162">
            <v>0</v>
          </cell>
          <cell r="AI162">
            <v>0</v>
          </cell>
          <cell r="AJ162">
            <v>0</v>
          </cell>
          <cell r="AK162">
            <v>57622</v>
          </cell>
          <cell r="AL162">
            <v>126049</v>
          </cell>
          <cell r="AM162">
            <v>10804</v>
          </cell>
          <cell r="AN162">
            <v>21608</v>
          </cell>
          <cell r="AO162">
            <v>7203</v>
          </cell>
          <cell r="AP162">
            <v>7203</v>
          </cell>
        </row>
        <row r="163">
          <cell r="D163" t="str">
            <v>PAKD Dịch vụ HTKT cho các Hệ thống đã kinh doanh tại các thị trường năm 2024 (Mytel_Sản phẩm OCS/OCS DR)</v>
          </cell>
          <cell r="G163" t="str">
            <v>SXKD</v>
          </cell>
          <cell r="I163" t="str">
            <v>NTTT</v>
          </cell>
          <cell r="AC163">
            <v>1030000</v>
          </cell>
          <cell r="AD163">
            <v>29802087</v>
          </cell>
          <cell r="AE163">
            <v>2304275</v>
          </cell>
          <cell r="AF163">
            <v>2215966</v>
          </cell>
          <cell r="AG163">
            <v>0</v>
          </cell>
          <cell r="AH163">
            <v>0</v>
          </cell>
          <cell r="AI163">
            <v>0</v>
          </cell>
          <cell r="AJ163">
            <v>0</v>
          </cell>
          <cell r="AK163">
            <v>67283</v>
          </cell>
          <cell r="AL163">
            <v>147183</v>
          </cell>
          <cell r="AM163">
            <v>12616</v>
          </cell>
          <cell r="AN163">
            <v>25231</v>
          </cell>
          <cell r="AO163">
            <v>8410</v>
          </cell>
          <cell r="AP163">
            <v>8410</v>
          </cell>
        </row>
        <row r="164">
          <cell r="D164" t="str">
            <v>PAKD Dịch vụ HTKT cho các Hệ thống đã kinh doanh tại các thị trường năm 2024 (Mytel_Sản phẩm OCS/OCS DR)</v>
          </cell>
          <cell r="G164" t="str">
            <v>SXKD</v>
          </cell>
          <cell r="I164" t="str">
            <v>NTTT</v>
          </cell>
          <cell r="AC164">
            <v>1130000</v>
          </cell>
          <cell r="AD164">
            <v>66005022</v>
          </cell>
          <cell r="AE164">
            <v>2725425</v>
          </cell>
          <cell r="AF164">
            <v>2685217</v>
          </cell>
          <cell r="AG164">
            <v>0</v>
          </cell>
          <cell r="AH164">
            <v>0</v>
          </cell>
          <cell r="AI164">
            <v>0</v>
          </cell>
          <cell r="AJ164">
            <v>0</v>
          </cell>
          <cell r="AK164">
            <v>33859</v>
          </cell>
          <cell r="AL164">
            <v>74066</v>
          </cell>
          <cell r="AM164">
            <v>6349</v>
          </cell>
          <cell r="AN164">
            <v>12697</v>
          </cell>
          <cell r="AO164">
            <v>0</v>
          </cell>
          <cell r="AP164">
            <v>0</v>
          </cell>
        </row>
        <row r="165">
          <cell r="D165" t="str">
            <v>PAKD Dịch vụ HTKT cho các Hệ thống đã kinh doanh tại các thị trường năm 2024 (Mytel_Sản phẩm OCS/OCS DR)</v>
          </cell>
          <cell r="G165" t="str">
            <v>SXKD</v>
          </cell>
          <cell r="I165" t="str">
            <v>NTTT</v>
          </cell>
          <cell r="AC165">
            <v>1130000</v>
          </cell>
          <cell r="AD165">
            <v>49368599</v>
          </cell>
          <cell r="AE165">
            <v>3964581</v>
          </cell>
          <cell r="AF165">
            <v>3861779</v>
          </cell>
          <cell r="AG165">
            <v>0</v>
          </cell>
          <cell r="AH165">
            <v>0</v>
          </cell>
          <cell r="AI165">
            <v>0</v>
          </cell>
          <cell r="AJ165">
            <v>0</v>
          </cell>
          <cell r="AK165">
            <v>78325</v>
          </cell>
          <cell r="AL165">
            <v>171336</v>
          </cell>
          <cell r="AM165">
            <v>14686</v>
          </cell>
          <cell r="AN165">
            <v>29372</v>
          </cell>
          <cell r="AO165">
            <v>9791</v>
          </cell>
          <cell r="AP165">
            <v>9791</v>
          </cell>
        </row>
        <row r="166">
          <cell r="D166" t="str">
            <v>PAKD Dịch vụ HTKT cho các Hệ thống đã kinh doanh tại các thị trường năm 2024 (Mytel_Sản phẩm OCS/OCS DR)</v>
          </cell>
          <cell r="G166" t="str">
            <v>SXKD</v>
          </cell>
          <cell r="I166" t="str">
            <v>NTTT</v>
          </cell>
          <cell r="AC166">
            <v>1030000</v>
          </cell>
          <cell r="AD166">
            <v>48384347</v>
          </cell>
          <cell r="AE166">
            <v>3887690</v>
          </cell>
          <cell r="AF166">
            <v>3784888</v>
          </cell>
          <cell r="AG166">
            <v>0</v>
          </cell>
          <cell r="AH166">
            <v>0</v>
          </cell>
          <cell r="AI166">
            <v>0</v>
          </cell>
          <cell r="AJ166">
            <v>0</v>
          </cell>
          <cell r="AK166">
            <v>78325</v>
          </cell>
          <cell r="AL166">
            <v>171336</v>
          </cell>
          <cell r="AM166">
            <v>14686</v>
          </cell>
          <cell r="AN166">
            <v>29372</v>
          </cell>
          <cell r="AO166">
            <v>9791</v>
          </cell>
          <cell r="AP166">
            <v>9791</v>
          </cell>
        </row>
        <row r="167">
          <cell r="D167" t="str">
            <v>PAKD Dịch vụ HTKT cho các Hệ thống đã kinh doanh tại các thị trường năm 2024 (Mytel_Sản phẩm OCS/OCS DR)</v>
          </cell>
          <cell r="G167" t="str">
            <v>SXKD</v>
          </cell>
          <cell r="I167" t="str">
            <v>NTTT</v>
          </cell>
          <cell r="AC167">
            <v>1130000</v>
          </cell>
          <cell r="AD167">
            <v>38035265</v>
          </cell>
          <cell r="AE167">
            <v>3001373</v>
          </cell>
          <cell r="AF167">
            <v>2908534</v>
          </cell>
          <cell r="AG167">
            <v>0</v>
          </cell>
          <cell r="AH167">
            <v>0</v>
          </cell>
          <cell r="AI167">
            <v>0</v>
          </cell>
          <cell r="AJ167">
            <v>0</v>
          </cell>
          <cell r="AK167">
            <v>70734</v>
          </cell>
          <cell r="AL167">
            <v>154730</v>
          </cell>
          <cell r="AM167">
            <v>13263</v>
          </cell>
          <cell r="AN167">
            <v>26525</v>
          </cell>
          <cell r="AO167">
            <v>8842</v>
          </cell>
          <cell r="AP167">
            <v>8842</v>
          </cell>
        </row>
        <row r="168">
          <cell r="D168" t="str">
            <v>PAKD Dịch vụ HTKT cho các Hệ thống đã kinh doanh tại các thị trường năm 2024 (Mytel_Sản phẩm OCS/OCS DR)</v>
          </cell>
          <cell r="G168" t="str">
            <v>SXKD</v>
          </cell>
          <cell r="I168" t="str">
            <v>NTTT</v>
          </cell>
          <cell r="AC168">
            <v>1130000</v>
          </cell>
          <cell r="AD168">
            <v>48484347</v>
          </cell>
          <cell r="AE168">
            <v>3887690</v>
          </cell>
          <cell r="AF168">
            <v>3784888</v>
          </cell>
          <cell r="AG168">
            <v>0</v>
          </cell>
          <cell r="AH168">
            <v>0</v>
          </cell>
          <cell r="AI168">
            <v>0</v>
          </cell>
          <cell r="AJ168">
            <v>0</v>
          </cell>
          <cell r="AK168">
            <v>78325</v>
          </cell>
          <cell r="AL168">
            <v>171336</v>
          </cell>
          <cell r="AM168">
            <v>14686</v>
          </cell>
          <cell r="AN168">
            <v>29372</v>
          </cell>
          <cell r="AO168">
            <v>9791</v>
          </cell>
          <cell r="AP168">
            <v>9791</v>
          </cell>
        </row>
        <row r="169">
          <cell r="D169" t="str">
            <v>PAKD Dịch vụ HTKT cho các Hệ thống đã kinh doanh tại các thị trường năm 2024 (Mytel_Sản phẩm OCS/OCS DR)</v>
          </cell>
          <cell r="G169" t="str">
            <v>SXKD</v>
          </cell>
          <cell r="I169" t="str">
            <v>NTTT</v>
          </cell>
          <cell r="AC169">
            <v>1147000</v>
          </cell>
          <cell r="AD169">
            <v>44315549</v>
          </cell>
          <cell r="AE169">
            <v>5302285</v>
          </cell>
          <cell r="AF169">
            <v>5155556</v>
          </cell>
          <cell r="AG169">
            <v>0</v>
          </cell>
          <cell r="AH169">
            <v>0</v>
          </cell>
          <cell r="AI169">
            <v>0</v>
          </cell>
          <cell r="AJ169">
            <v>0</v>
          </cell>
          <cell r="AK169">
            <v>111794</v>
          </cell>
          <cell r="AL169">
            <v>244550</v>
          </cell>
          <cell r="AM169">
            <v>20961</v>
          </cell>
          <cell r="AN169">
            <v>41923</v>
          </cell>
          <cell r="AO169">
            <v>13974</v>
          </cell>
          <cell r="AP169">
            <v>13974</v>
          </cell>
        </row>
        <row r="170">
          <cell r="D170" t="str">
            <v>PAKD Dịch vụ HTKT cho các Hệ thống đã kinh doanh tại các thị trường năm 2024 (Mytel_Sản phẩm OCS/OCS DR)</v>
          </cell>
          <cell r="G170" t="str">
            <v>SXKD</v>
          </cell>
          <cell r="I170" t="str">
            <v>NTTT</v>
          </cell>
          <cell r="AC170">
            <v>1247000</v>
          </cell>
          <cell r="AD170">
            <v>31822365</v>
          </cell>
          <cell r="AE170">
            <v>3691623</v>
          </cell>
          <cell r="AF170">
            <v>3559159</v>
          </cell>
          <cell r="AG170">
            <v>0</v>
          </cell>
          <cell r="AH170">
            <v>0</v>
          </cell>
          <cell r="AI170">
            <v>0</v>
          </cell>
          <cell r="AJ170">
            <v>0</v>
          </cell>
          <cell r="AK170">
            <v>100925</v>
          </cell>
          <cell r="AL170">
            <v>220774</v>
          </cell>
          <cell r="AM170">
            <v>18923</v>
          </cell>
          <cell r="AN170">
            <v>37847</v>
          </cell>
          <cell r="AO170">
            <v>12616</v>
          </cell>
          <cell r="AP170">
            <v>12616</v>
          </cell>
        </row>
        <row r="171">
          <cell r="D171" t="str">
            <v>PAKD Dịch vụ HTKT cho các Hệ thống đã kinh doanh tại các thị trường năm 2024 (Mytel_Sản phẩm OCS/OCS DR)</v>
          </cell>
          <cell r="G171" t="str">
            <v>SXKD</v>
          </cell>
          <cell r="I171" t="str">
            <v>NTTT</v>
          </cell>
          <cell r="AC171">
            <v>7637000</v>
          </cell>
          <cell r="AD171">
            <v>36588806</v>
          </cell>
          <cell r="AE171">
            <v>3479855</v>
          </cell>
          <cell r="AF171">
            <v>3347391</v>
          </cell>
          <cell r="AG171">
            <v>0</v>
          </cell>
          <cell r="AH171">
            <v>0</v>
          </cell>
          <cell r="AI171">
            <v>0</v>
          </cell>
          <cell r="AJ171">
            <v>0</v>
          </cell>
          <cell r="AK171">
            <v>100925</v>
          </cell>
          <cell r="AL171">
            <v>220774</v>
          </cell>
          <cell r="AM171">
            <v>18923</v>
          </cell>
          <cell r="AN171">
            <v>37847</v>
          </cell>
          <cell r="AO171">
            <v>12616</v>
          </cell>
          <cell r="AP171">
            <v>12616</v>
          </cell>
        </row>
        <row r="172">
          <cell r="D172" t="str">
            <v>PAKD Dịch vụ HTKT cho các Hệ thống đã kinh doanh tại các thị trường năm 2024 (Mytel_Sản phẩm OCS/OCS DR)</v>
          </cell>
          <cell r="G172" t="str">
            <v>SXKD</v>
          </cell>
          <cell r="I172" t="str">
            <v>NTTT</v>
          </cell>
          <cell r="AC172">
            <v>1147000</v>
          </cell>
          <cell r="AD172">
            <v>26938268</v>
          </cell>
          <cell r="AE172">
            <v>3096497</v>
          </cell>
          <cell r="AF172">
            <v>2976940</v>
          </cell>
          <cell r="AG172">
            <v>0</v>
          </cell>
          <cell r="AH172">
            <v>0</v>
          </cell>
          <cell r="AI172">
            <v>0</v>
          </cell>
          <cell r="AJ172">
            <v>0</v>
          </cell>
          <cell r="AK172">
            <v>91091</v>
          </cell>
          <cell r="AL172">
            <v>199263</v>
          </cell>
          <cell r="AM172">
            <v>17080</v>
          </cell>
          <cell r="AN172">
            <v>34159</v>
          </cell>
          <cell r="AO172">
            <v>11386</v>
          </cell>
          <cell r="AP172">
            <v>11386</v>
          </cell>
        </row>
        <row r="173">
          <cell r="D173" t="str">
            <v>PAKD Dịch vụ HTKT cho các Hệ thống đã kinh doanh tại các thị trường năm 2024 (Mytel_Sản phẩm OCS/OCS DR)</v>
          </cell>
          <cell r="G173" t="str">
            <v>SXKD</v>
          </cell>
          <cell r="I173" t="str">
            <v>NTTT</v>
          </cell>
          <cell r="AC173">
            <v>1147000</v>
          </cell>
          <cell r="AD173">
            <v>25391428</v>
          </cell>
          <cell r="AE173">
            <v>2881052</v>
          </cell>
          <cell r="AF173">
            <v>2755380</v>
          </cell>
          <cell r="AG173">
            <v>0</v>
          </cell>
          <cell r="AH173">
            <v>0</v>
          </cell>
          <cell r="AI173">
            <v>0</v>
          </cell>
          <cell r="AJ173">
            <v>0</v>
          </cell>
          <cell r="AK173">
            <v>95750</v>
          </cell>
          <cell r="AL173">
            <v>209452</v>
          </cell>
          <cell r="AM173">
            <v>17953</v>
          </cell>
          <cell r="AN173">
            <v>35906</v>
          </cell>
          <cell r="AO173">
            <v>11969</v>
          </cell>
          <cell r="AP173">
            <v>11969</v>
          </cell>
        </row>
        <row r="174">
          <cell r="D174" t="str">
            <v>PAKD Dịch vụ HTKT cho các Hệ thống đã kinh doanh tại các thị trường năm 2024 (Bitel_Sản phẩm OCS)</v>
          </cell>
          <cell r="G174" t="str">
            <v>SXKD</v>
          </cell>
          <cell r="I174" t="str">
            <v>NTTT</v>
          </cell>
          <cell r="AC174">
            <v>2432000</v>
          </cell>
          <cell r="AD174">
            <v>121074018</v>
          </cell>
          <cell r="AE174">
            <v>5031279</v>
          </cell>
          <cell r="AF174">
            <v>4979148</v>
          </cell>
          <cell r="AG174">
            <v>0</v>
          </cell>
          <cell r="AH174">
            <v>0</v>
          </cell>
          <cell r="AI174">
            <v>0</v>
          </cell>
          <cell r="AJ174">
            <v>0</v>
          </cell>
          <cell r="AK174">
            <v>52131</v>
          </cell>
          <cell r="AL174">
            <v>114037</v>
          </cell>
          <cell r="AM174">
            <v>0</v>
          </cell>
          <cell r="AN174">
            <v>0</v>
          </cell>
          <cell r="AO174">
            <v>0</v>
          </cell>
          <cell r="AP174">
            <v>0</v>
          </cell>
        </row>
        <row r="175">
          <cell r="D175" t="str">
            <v>PAKD Dịch vụ HTKT cho các Hệ thống đã kinh doanh tại các thị trường năm 2024 (Bitel_Sản phẩm OCS)</v>
          </cell>
          <cell r="G175" t="str">
            <v>SXKD</v>
          </cell>
          <cell r="I175" t="str">
            <v>NTTT</v>
          </cell>
          <cell r="AC175">
            <v>1130000</v>
          </cell>
          <cell r="AD175">
            <v>66005022</v>
          </cell>
          <cell r="AE175">
            <v>2725425</v>
          </cell>
          <cell r="AF175">
            <v>2685217</v>
          </cell>
          <cell r="AG175">
            <v>0</v>
          </cell>
          <cell r="AH175">
            <v>0</v>
          </cell>
          <cell r="AI175">
            <v>0</v>
          </cell>
          <cell r="AJ175">
            <v>0</v>
          </cell>
          <cell r="AK175">
            <v>33859</v>
          </cell>
          <cell r="AL175">
            <v>74066</v>
          </cell>
          <cell r="AM175">
            <v>6349</v>
          </cell>
          <cell r="AN175">
            <v>12697</v>
          </cell>
          <cell r="AO175">
            <v>0</v>
          </cell>
          <cell r="AP175">
            <v>0</v>
          </cell>
        </row>
        <row r="176">
          <cell r="D176" t="str">
            <v>PAKD Dịch vụ HTKT cho các Hệ thống đã kinh doanh tại các thị trường năm 2024 (Bitel_Sản phẩm OCS)</v>
          </cell>
          <cell r="G176" t="str">
            <v>SXKD</v>
          </cell>
          <cell r="I176" t="str">
            <v>NTTT</v>
          </cell>
          <cell r="AC176">
            <v>1130000</v>
          </cell>
          <cell r="AD176">
            <v>49368599</v>
          </cell>
          <cell r="AE176">
            <v>1982291</v>
          </cell>
          <cell r="AF176">
            <v>1930891</v>
          </cell>
          <cell r="AG176">
            <v>0</v>
          </cell>
          <cell r="AH176">
            <v>0</v>
          </cell>
          <cell r="AI176">
            <v>0</v>
          </cell>
          <cell r="AJ176">
            <v>0</v>
          </cell>
          <cell r="AK176">
            <v>39162</v>
          </cell>
          <cell r="AL176">
            <v>85668</v>
          </cell>
          <cell r="AM176">
            <v>7343</v>
          </cell>
          <cell r="AN176">
            <v>14686</v>
          </cell>
          <cell r="AO176">
            <v>4895</v>
          </cell>
          <cell r="AP176">
            <v>4895</v>
          </cell>
        </row>
        <row r="177">
          <cell r="D177" t="str">
            <v>PAKD Dịch vụ HTKT cho các Hệ thống đã kinh doanh tại các thị trường năm 2024 (Bitel_Sản phẩm OCS)</v>
          </cell>
          <cell r="G177" t="str">
            <v>SXKD</v>
          </cell>
          <cell r="I177" t="str">
            <v>NTTT</v>
          </cell>
          <cell r="AC177">
            <v>1030000</v>
          </cell>
          <cell r="AD177">
            <v>48384347</v>
          </cell>
          <cell r="AE177">
            <v>1943845</v>
          </cell>
          <cell r="AF177">
            <v>1892445</v>
          </cell>
          <cell r="AG177">
            <v>0</v>
          </cell>
          <cell r="AH177">
            <v>0</v>
          </cell>
          <cell r="AI177">
            <v>0</v>
          </cell>
          <cell r="AJ177">
            <v>0</v>
          </cell>
          <cell r="AK177">
            <v>39162</v>
          </cell>
          <cell r="AL177">
            <v>85668</v>
          </cell>
          <cell r="AM177">
            <v>7343</v>
          </cell>
          <cell r="AN177">
            <v>14686</v>
          </cell>
          <cell r="AO177">
            <v>4895</v>
          </cell>
          <cell r="AP177">
            <v>4895</v>
          </cell>
        </row>
        <row r="178">
          <cell r="D178" t="str">
            <v>PAKD Dịch vụ HTKT cho các Hệ thống đã kinh doanh tại các thị trường năm 2024 (Bitel_Sản phẩm OCS)</v>
          </cell>
          <cell r="G178" t="str">
            <v>SXKD</v>
          </cell>
          <cell r="I178" t="str">
            <v>NTTT</v>
          </cell>
          <cell r="AC178">
            <v>1130000</v>
          </cell>
          <cell r="AD178">
            <v>38035265</v>
          </cell>
          <cell r="AE178">
            <v>1500686</v>
          </cell>
          <cell r="AF178">
            <v>1454267</v>
          </cell>
          <cell r="AG178">
            <v>0</v>
          </cell>
          <cell r="AH178">
            <v>0</v>
          </cell>
          <cell r="AI178">
            <v>0</v>
          </cell>
          <cell r="AJ178">
            <v>0</v>
          </cell>
          <cell r="AK178">
            <v>35367</v>
          </cell>
          <cell r="AL178">
            <v>77365</v>
          </cell>
          <cell r="AM178">
            <v>6631</v>
          </cell>
          <cell r="AN178">
            <v>13263</v>
          </cell>
          <cell r="AO178">
            <v>4421</v>
          </cell>
          <cell r="AP178">
            <v>4421</v>
          </cell>
        </row>
        <row r="179">
          <cell r="D179" t="str">
            <v>PAKD Dịch vụ HTKT cho các Hệ thống đã kinh doanh tại các thị trường năm 2024 (Bitel_Sản phẩm OCS)</v>
          </cell>
          <cell r="G179" t="str">
            <v>SXKD</v>
          </cell>
          <cell r="I179" t="str">
            <v>NTTT</v>
          </cell>
          <cell r="AC179">
            <v>1130000</v>
          </cell>
          <cell r="AD179">
            <v>48484347</v>
          </cell>
          <cell r="AE179">
            <v>1943845</v>
          </cell>
          <cell r="AF179">
            <v>1892445</v>
          </cell>
          <cell r="AG179">
            <v>0</v>
          </cell>
          <cell r="AH179">
            <v>0</v>
          </cell>
          <cell r="AI179">
            <v>0</v>
          </cell>
          <cell r="AJ179">
            <v>0</v>
          </cell>
          <cell r="AK179">
            <v>39162</v>
          </cell>
          <cell r="AL179">
            <v>85668</v>
          </cell>
          <cell r="AM179">
            <v>7343</v>
          </cell>
          <cell r="AN179">
            <v>14686</v>
          </cell>
          <cell r="AO179">
            <v>4895</v>
          </cell>
          <cell r="AP179">
            <v>4895</v>
          </cell>
        </row>
        <row r="180">
          <cell r="D180" t="str">
            <v>PAKD Dịch vụ HTKT cho các Hệ thống đã kinh doanh tại các thị trường năm 2024 (Bitel_Sản phẩm OCS)</v>
          </cell>
          <cell r="G180" t="str">
            <v>SXKD</v>
          </cell>
          <cell r="I180" t="str">
            <v>NTTT</v>
          </cell>
          <cell r="AC180">
            <v>1147000</v>
          </cell>
          <cell r="AD180">
            <v>44315549</v>
          </cell>
          <cell r="AE180">
            <v>1767428</v>
          </cell>
          <cell r="AF180">
            <v>1718518</v>
          </cell>
          <cell r="AG180">
            <v>0</v>
          </cell>
          <cell r="AH180">
            <v>0</v>
          </cell>
          <cell r="AI180">
            <v>0</v>
          </cell>
          <cell r="AJ180">
            <v>0</v>
          </cell>
          <cell r="AK180">
            <v>37265</v>
          </cell>
          <cell r="AL180">
            <v>81517</v>
          </cell>
          <cell r="AM180">
            <v>6987</v>
          </cell>
          <cell r="AN180">
            <v>13974</v>
          </cell>
          <cell r="AO180">
            <v>4658</v>
          </cell>
          <cell r="AP180">
            <v>4658</v>
          </cell>
        </row>
        <row r="181">
          <cell r="D181" t="str">
            <v>PAKD Dịch vụ HTKT cho các Hệ thống đã kinh doanh tại các thị trường năm 2024 (Bitel_Sản phẩm OCS)</v>
          </cell>
          <cell r="G181" t="str">
            <v>SXKD</v>
          </cell>
          <cell r="I181" t="str">
            <v>NTTT</v>
          </cell>
          <cell r="AC181">
            <v>1147000</v>
          </cell>
          <cell r="AD181">
            <v>26714444</v>
          </cell>
          <cell r="AE181">
            <v>3080986</v>
          </cell>
          <cell r="AF181">
            <v>2967543</v>
          </cell>
          <cell r="AG181">
            <v>0</v>
          </cell>
          <cell r="AH181">
            <v>0</v>
          </cell>
          <cell r="AI181">
            <v>0</v>
          </cell>
          <cell r="AJ181">
            <v>0</v>
          </cell>
          <cell r="AK181">
            <v>86433</v>
          </cell>
          <cell r="AL181">
            <v>189073</v>
          </cell>
          <cell r="AM181">
            <v>16206</v>
          </cell>
          <cell r="AN181">
            <v>32413</v>
          </cell>
          <cell r="AO181">
            <v>10804</v>
          </cell>
          <cell r="AP181">
            <v>10804</v>
          </cell>
        </row>
        <row r="182">
          <cell r="D182" t="str">
            <v>PAKD Dịch vụ HTKT cho các Hệ thống đã kinh doanh tại các thị trường năm 2024 (Bitel_Sản phẩm OCS)</v>
          </cell>
          <cell r="G182" t="str">
            <v>SXKD</v>
          </cell>
          <cell r="I182" t="str">
            <v>NTTT</v>
          </cell>
          <cell r="AC182">
            <v>1047000</v>
          </cell>
          <cell r="AD182">
            <v>24318199</v>
          </cell>
          <cell r="AE182">
            <v>2793638</v>
          </cell>
          <cell r="AF182">
            <v>2685628</v>
          </cell>
          <cell r="AG182">
            <v>0</v>
          </cell>
          <cell r="AH182">
            <v>0</v>
          </cell>
          <cell r="AI182">
            <v>0</v>
          </cell>
          <cell r="AJ182">
            <v>0</v>
          </cell>
          <cell r="AK182">
            <v>82293</v>
          </cell>
          <cell r="AL182">
            <v>180016</v>
          </cell>
          <cell r="AM182">
            <v>15430</v>
          </cell>
          <cell r="AN182">
            <v>30860</v>
          </cell>
          <cell r="AO182">
            <v>10287</v>
          </cell>
          <cell r="AP182">
            <v>10287</v>
          </cell>
        </row>
        <row r="183">
          <cell r="D183" t="str">
            <v>PAKD Dịch vụ HTKT cho các Hệ thống đã kinh doanh tại các thị trường năm 2024 (Bitel_Sản phẩm OCS)</v>
          </cell>
          <cell r="G183" t="str">
            <v>SXKD</v>
          </cell>
          <cell r="I183" t="str">
            <v>NTTT</v>
          </cell>
          <cell r="AC183">
            <v>1147000</v>
          </cell>
          <cell r="AD183">
            <v>18697024</v>
          </cell>
          <cell r="AE183">
            <v>2047398</v>
          </cell>
          <cell r="AF183">
            <v>1939388</v>
          </cell>
          <cell r="AG183">
            <v>0</v>
          </cell>
          <cell r="AH183">
            <v>0</v>
          </cell>
          <cell r="AI183">
            <v>0</v>
          </cell>
          <cell r="AJ183">
            <v>0</v>
          </cell>
          <cell r="AK183">
            <v>82293</v>
          </cell>
          <cell r="AL183">
            <v>180016</v>
          </cell>
          <cell r="AM183">
            <v>15430</v>
          </cell>
          <cell r="AN183">
            <v>30860</v>
          </cell>
          <cell r="AO183">
            <v>10287</v>
          </cell>
          <cell r="AP183">
            <v>10287</v>
          </cell>
        </row>
        <row r="184">
          <cell r="D184" t="str">
            <v>PAKD Dịch vụ HTKT cho các Hệ thống đã kinh doanh tại các thị trường năm 2024 (Metfone_Sản phẩm OCS)</v>
          </cell>
          <cell r="G184" t="str">
            <v>SXKD</v>
          </cell>
          <cell r="I184" t="str">
            <v>NTTT</v>
          </cell>
          <cell r="AC184">
            <v>2432000</v>
          </cell>
          <cell r="AD184">
            <v>121074018</v>
          </cell>
          <cell r="AE184">
            <v>5031279</v>
          </cell>
          <cell r="AF184">
            <v>4979148</v>
          </cell>
          <cell r="AG184">
            <v>0</v>
          </cell>
          <cell r="AH184">
            <v>0</v>
          </cell>
          <cell r="AI184">
            <v>0</v>
          </cell>
          <cell r="AJ184">
            <v>0</v>
          </cell>
          <cell r="AK184">
            <v>52131</v>
          </cell>
          <cell r="AL184">
            <v>114037</v>
          </cell>
          <cell r="AM184">
            <v>0</v>
          </cell>
          <cell r="AN184">
            <v>0</v>
          </cell>
          <cell r="AO184">
            <v>0</v>
          </cell>
          <cell r="AP184">
            <v>0</v>
          </cell>
        </row>
        <row r="185">
          <cell r="D185" t="str">
            <v>PAKD Dịch vụ HTKT cho các Hệ thống đã kinh doanh tại các thị trường năm 2024 (Metfone_Sản phẩm OCS)</v>
          </cell>
          <cell r="G185" t="str">
            <v>SXKD</v>
          </cell>
          <cell r="I185" t="str">
            <v>NTTT</v>
          </cell>
          <cell r="AC185">
            <v>1130000</v>
          </cell>
          <cell r="AD185">
            <v>29625266</v>
          </cell>
          <cell r="AE185">
            <v>1140102</v>
          </cell>
          <cell r="AF185">
            <v>1095947</v>
          </cell>
          <cell r="AG185">
            <v>0</v>
          </cell>
          <cell r="AH185">
            <v>0</v>
          </cell>
          <cell r="AI185">
            <v>0</v>
          </cell>
          <cell r="AJ185">
            <v>0</v>
          </cell>
          <cell r="AK185">
            <v>33642</v>
          </cell>
          <cell r="AL185">
            <v>73591</v>
          </cell>
          <cell r="AM185">
            <v>6308</v>
          </cell>
          <cell r="AN185">
            <v>12616</v>
          </cell>
          <cell r="AO185">
            <v>4205</v>
          </cell>
          <cell r="AP185">
            <v>4205</v>
          </cell>
        </row>
        <row r="186">
          <cell r="D186" t="str">
            <v>PAKD Dịch vụ HTKT cho các Hệ thống đã kinh doanh tại các thị trường năm 2024 (Metfone_Sản phẩm OCS)</v>
          </cell>
          <cell r="G186" t="str">
            <v>SXKD</v>
          </cell>
          <cell r="I186" t="str">
            <v>NTTT</v>
          </cell>
          <cell r="AC186">
            <v>930000</v>
          </cell>
          <cell r="AD186">
            <v>32663758</v>
          </cell>
          <cell r="AE186">
            <v>1280906</v>
          </cell>
          <cell r="AF186">
            <v>1236751</v>
          </cell>
          <cell r="AG186">
            <v>0</v>
          </cell>
          <cell r="AH186">
            <v>0</v>
          </cell>
          <cell r="AI186">
            <v>0</v>
          </cell>
          <cell r="AJ186">
            <v>0</v>
          </cell>
          <cell r="AK186">
            <v>33642</v>
          </cell>
          <cell r="AL186">
            <v>73591</v>
          </cell>
          <cell r="AM186">
            <v>6308</v>
          </cell>
          <cell r="AN186">
            <v>12616</v>
          </cell>
          <cell r="AO186">
            <v>4205</v>
          </cell>
          <cell r="AP186">
            <v>4205</v>
          </cell>
        </row>
        <row r="187">
          <cell r="D187" t="str">
            <v>PAKD Dịch vụ HTKT cho các Hệ thống đã kinh doanh tại các thị trường năm 2024 (Metfone_Sản phẩm OCS)</v>
          </cell>
          <cell r="G187" t="str">
            <v>SXKD</v>
          </cell>
          <cell r="I187" t="str">
            <v>NTTT</v>
          </cell>
          <cell r="AC187">
            <v>1030000</v>
          </cell>
          <cell r="AD187">
            <v>29252005</v>
          </cell>
          <cell r="AE187">
            <v>1128221</v>
          </cell>
          <cell r="AF187">
            <v>1084066</v>
          </cell>
          <cell r="AG187">
            <v>0</v>
          </cell>
          <cell r="AH187">
            <v>0</v>
          </cell>
          <cell r="AI187">
            <v>0</v>
          </cell>
          <cell r="AJ187">
            <v>0</v>
          </cell>
          <cell r="AK187">
            <v>33642</v>
          </cell>
          <cell r="AL187">
            <v>73591</v>
          </cell>
          <cell r="AM187">
            <v>6308</v>
          </cell>
          <cell r="AN187">
            <v>12616</v>
          </cell>
          <cell r="AO187">
            <v>4205</v>
          </cell>
          <cell r="AP187">
            <v>4205</v>
          </cell>
        </row>
        <row r="188">
          <cell r="D188" t="str">
            <v>PAKD Dịch vụ HTKT cho các Hệ thống đã kinh doanh tại các thị trường năm 2024 (Metfone_Sản phẩm OCS)</v>
          </cell>
          <cell r="G188" t="str">
            <v>SXKD</v>
          </cell>
          <cell r="I188" t="str">
            <v>NTTT</v>
          </cell>
          <cell r="AC188">
            <v>1130000</v>
          </cell>
          <cell r="AD188">
            <v>66005022</v>
          </cell>
          <cell r="AE188">
            <v>2725425</v>
          </cell>
          <cell r="AF188">
            <v>2685217</v>
          </cell>
          <cell r="AG188">
            <v>0</v>
          </cell>
          <cell r="AH188">
            <v>0</v>
          </cell>
          <cell r="AI188">
            <v>0</v>
          </cell>
          <cell r="AJ188">
            <v>0</v>
          </cell>
          <cell r="AK188">
            <v>33859</v>
          </cell>
          <cell r="AL188">
            <v>74066</v>
          </cell>
          <cell r="AM188">
            <v>6349</v>
          </cell>
          <cell r="AN188">
            <v>12697</v>
          </cell>
          <cell r="AO188">
            <v>0</v>
          </cell>
          <cell r="AP188">
            <v>0</v>
          </cell>
        </row>
        <row r="189">
          <cell r="D189" t="str">
            <v>PAKD Dịch vụ HTKT cho các Hệ thống đã kinh doanh tại các thị trường năm 2024 (Metfone_Sản phẩm OCS)</v>
          </cell>
          <cell r="G189" t="str">
            <v>SXKD</v>
          </cell>
          <cell r="I189" t="str">
            <v>NTTT</v>
          </cell>
          <cell r="AC189">
            <v>1147000</v>
          </cell>
          <cell r="AD189">
            <v>24870483</v>
          </cell>
          <cell r="AE189">
            <v>937701</v>
          </cell>
          <cell r="AF189">
            <v>895810</v>
          </cell>
          <cell r="AG189">
            <v>0</v>
          </cell>
          <cell r="AH189">
            <v>0</v>
          </cell>
          <cell r="AI189">
            <v>0</v>
          </cell>
          <cell r="AJ189">
            <v>0</v>
          </cell>
          <cell r="AK189">
            <v>31917</v>
          </cell>
          <cell r="AL189">
            <v>69817</v>
          </cell>
          <cell r="AM189">
            <v>5984</v>
          </cell>
          <cell r="AN189">
            <v>11969</v>
          </cell>
          <cell r="AO189">
            <v>3990</v>
          </cell>
          <cell r="AP189">
            <v>3990</v>
          </cell>
        </row>
        <row r="190">
          <cell r="D190" t="str">
            <v>PAKD Dịch vụ HTKT cho các Hệ thống đã kinh doanh tại các thị trường năm 2024 (Metfone_Sản phẩm OCS)</v>
          </cell>
          <cell r="G190" t="str">
            <v>SXKD</v>
          </cell>
          <cell r="I190" t="str">
            <v>NTTT</v>
          </cell>
          <cell r="AC190">
            <v>1247000</v>
          </cell>
          <cell r="AD190">
            <v>51337531</v>
          </cell>
          <cell r="AE190">
            <v>4113456</v>
          </cell>
          <cell r="AF190">
            <v>4005221</v>
          </cell>
          <cell r="AG190">
            <v>0</v>
          </cell>
          <cell r="AH190">
            <v>0</v>
          </cell>
          <cell r="AI190">
            <v>0</v>
          </cell>
          <cell r="AJ190">
            <v>0</v>
          </cell>
          <cell r="AK190">
            <v>82465</v>
          </cell>
          <cell r="AL190">
            <v>180393</v>
          </cell>
          <cell r="AM190">
            <v>15462</v>
          </cell>
          <cell r="AN190">
            <v>30925</v>
          </cell>
          <cell r="AO190">
            <v>10308</v>
          </cell>
          <cell r="AP190">
            <v>10308</v>
          </cell>
        </row>
        <row r="191">
          <cell r="D191" t="str">
            <v>PAKD Dịch vụ HTKT cho các Hệ thống đã kinh doanh tại các thị trường năm 2024 (Metfone_Sản phẩm OCS)</v>
          </cell>
          <cell r="G191" t="str">
            <v>SXKD</v>
          </cell>
          <cell r="I191" t="str">
            <v>NTTT</v>
          </cell>
          <cell r="AC191">
            <v>1047000</v>
          </cell>
          <cell r="AD191">
            <v>17196662</v>
          </cell>
          <cell r="AE191">
            <v>1251270</v>
          </cell>
          <cell r="AF191">
            <v>1182886</v>
          </cell>
          <cell r="AG191">
            <v>0</v>
          </cell>
          <cell r="AH191">
            <v>0</v>
          </cell>
          <cell r="AI191">
            <v>0</v>
          </cell>
          <cell r="AJ191">
            <v>0</v>
          </cell>
          <cell r="AK191">
            <v>52102</v>
          </cell>
          <cell r="AL191">
            <v>113972</v>
          </cell>
          <cell r="AM191">
            <v>9769</v>
          </cell>
          <cell r="AN191">
            <v>19538</v>
          </cell>
          <cell r="AO191">
            <v>6513</v>
          </cell>
          <cell r="AP191">
            <v>6513</v>
          </cell>
        </row>
        <row r="192">
          <cell r="D192" t="str">
            <v>PAKD Dịch vụ HTKT cho các Hệ thống đã kinh doanh tại các thị trường năm 2024 (Metfone_Sản phẩm OCS)</v>
          </cell>
          <cell r="G192" t="str">
            <v>SXKD</v>
          </cell>
          <cell r="I192" t="str">
            <v>NTTT</v>
          </cell>
          <cell r="AC192">
            <v>1147000</v>
          </cell>
          <cell r="AD192">
            <v>17147160</v>
          </cell>
          <cell r="AE192">
            <v>1238270</v>
          </cell>
          <cell r="AF192">
            <v>1169886</v>
          </cell>
          <cell r="AG192">
            <v>0</v>
          </cell>
          <cell r="AH192">
            <v>0</v>
          </cell>
          <cell r="AI192">
            <v>0</v>
          </cell>
          <cell r="AJ192">
            <v>0</v>
          </cell>
          <cell r="AK192">
            <v>52102</v>
          </cell>
          <cell r="AL192">
            <v>113972</v>
          </cell>
          <cell r="AM192">
            <v>9769</v>
          </cell>
          <cell r="AN192">
            <v>19538</v>
          </cell>
          <cell r="AO192">
            <v>6513</v>
          </cell>
          <cell r="AP192">
            <v>6513</v>
          </cell>
        </row>
        <row r="193">
          <cell r="D193" t="str">
            <v>PAKD Dịch vụ HTKT cho các Hệ thống đã kinh doanh tại các thị trường năm 2024 (VDTC_Sản phẩm OCS)</v>
          </cell>
          <cell r="G193" t="str">
            <v>SXKD</v>
          </cell>
          <cell r="I193" t="str">
            <v>NTTT</v>
          </cell>
          <cell r="AC193">
            <v>2432000</v>
          </cell>
          <cell r="AD193">
            <v>121074018</v>
          </cell>
          <cell r="AE193">
            <v>5031279</v>
          </cell>
          <cell r="AF193">
            <v>4979148</v>
          </cell>
          <cell r="AG193">
            <v>0</v>
          </cell>
          <cell r="AH193">
            <v>0</v>
          </cell>
          <cell r="AI193">
            <v>0</v>
          </cell>
          <cell r="AJ193">
            <v>0</v>
          </cell>
          <cell r="AK193">
            <v>52131</v>
          </cell>
          <cell r="AL193">
            <v>114037</v>
          </cell>
          <cell r="AM193">
            <v>0</v>
          </cell>
          <cell r="AN193">
            <v>0</v>
          </cell>
          <cell r="AO193">
            <v>0</v>
          </cell>
          <cell r="AP193">
            <v>0</v>
          </cell>
        </row>
        <row r="194">
          <cell r="D194" t="str">
            <v>PAKD Dịch vụ HTKT cho các Hệ thống đã kinh doanh tại các thị trường năm 2024 (VDTC_Sản phẩm OCS)</v>
          </cell>
          <cell r="G194" t="str">
            <v>SXKD</v>
          </cell>
          <cell r="I194" t="str">
            <v>NTTT</v>
          </cell>
          <cell r="AC194">
            <v>1230000</v>
          </cell>
          <cell r="AD194">
            <v>86664849</v>
          </cell>
          <cell r="AE194">
            <v>3599988</v>
          </cell>
          <cell r="AF194">
            <v>3552985</v>
          </cell>
          <cell r="AG194">
            <v>0</v>
          </cell>
          <cell r="AH194">
            <v>0</v>
          </cell>
          <cell r="AI194">
            <v>0</v>
          </cell>
          <cell r="AJ194">
            <v>0</v>
          </cell>
          <cell r="AK194">
            <v>47003</v>
          </cell>
          <cell r="AL194">
            <v>102820</v>
          </cell>
          <cell r="AM194">
            <v>0</v>
          </cell>
          <cell r="AN194">
            <v>0</v>
          </cell>
          <cell r="AO194">
            <v>0</v>
          </cell>
          <cell r="AP194">
            <v>0</v>
          </cell>
        </row>
        <row r="195">
          <cell r="D195" t="str">
            <v>PAKD Dịch vụ HTKT cho các Hệ thống đã kinh doanh tại các thị trường năm 2024 (VDTC_Sản phẩm OCS)</v>
          </cell>
          <cell r="G195" t="str">
            <v>SXKD</v>
          </cell>
          <cell r="I195" t="str">
            <v>NTTT</v>
          </cell>
          <cell r="AC195">
            <v>1230000</v>
          </cell>
          <cell r="AD195">
            <v>53721686</v>
          </cell>
          <cell r="AE195">
            <v>4322252</v>
          </cell>
          <cell r="AF195">
            <v>4214017</v>
          </cell>
          <cell r="AG195">
            <v>0</v>
          </cell>
          <cell r="AH195">
            <v>0</v>
          </cell>
          <cell r="AI195">
            <v>0</v>
          </cell>
          <cell r="AJ195">
            <v>0</v>
          </cell>
          <cell r="AK195">
            <v>82465</v>
          </cell>
          <cell r="AL195">
            <v>180393</v>
          </cell>
          <cell r="AM195">
            <v>15462</v>
          </cell>
          <cell r="AN195">
            <v>30925</v>
          </cell>
          <cell r="AO195">
            <v>10308</v>
          </cell>
          <cell r="AP195">
            <v>10308</v>
          </cell>
        </row>
        <row r="196">
          <cell r="D196" t="str">
            <v>PAKD Dịch vụ HTKT cho các Hệ thống đã kinh doanh tại các thị trường năm 2024 (VDTC_Sản phẩm OCS)</v>
          </cell>
          <cell r="G196" t="str">
            <v>SXKD</v>
          </cell>
          <cell r="I196" t="str">
            <v>NTTT</v>
          </cell>
          <cell r="AC196">
            <v>1030000</v>
          </cell>
          <cell r="AD196">
            <v>48384347</v>
          </cell>
          <cell r="AE196">
            <v>3887690</v>
          </cell>
          <cell r="AF196">
            <v>3784888</v>
          </cell>
          <cell r="AG196">
            <v>0</v>
          </cell>
          <cell r="AH196">
            <v>0</v>
          </cell>
          <cell r="AI196">
            <v>0</v>
          </cell>
          <cell r="AJ196">
            <v>0</v>
          </cell>
          <cell r="AK196">
            <v>78325</v>
          </cell>
          <cell r="AL196">
            <v>171336</v>
          </cell>
          <cell r="AM196">
            <v>14686</v>
          </cell>
          <cell r="AN196">
            <v>29372</v>
          </cell>
          <cell r="AO196">
            <v>9791</v>
          </cell>
          <cell r="AP196">
            <v>9791</v>
          </cell>
        </row>
        <row r="197">
          <cell r="D197" t="str">
            <v>PAKD Dịch vụ HTKT cho các Hệ thống đã kinh doanh tại các thị trường năm 2024 (VDTC_Sản phẩm OCS)</v>
          </cell>
          <cell r="G197" t="str">
            <v>SXKD</v>
          </cell>
          <cell r="I197" t="str">
            <v>NTTT</v>
          </cell>
          <cell r="AC197">
            <v>930000</v>
          </cell>
          <cell r="AD197">
            <v>21248732</v>
          </cell>
          <cell r="AE197">
            <v>1597581</v>
          </cell>
          <cell r="AF197">
            <v>1521952</v>
          </cell>
          <cell r="AG197">
            <v>0</v>
          </cell>
          <cell r="AH197">
            <v>0</v>
          </cell>
          <cell r="AI197">
            <v>0</v>
          </cell>
          <cell r="AJ197">
            <v>0</v>
          </cell>
          <cell r="AK197">
            <v>57622</v>
          </cell>
          <cell r="AL197">
            <v>126049</v>
          </cell>
          <cell r="AM197">
            <v>10804</v>
          </cell>
          <cell r="AN197">
            <v>21608</v>
          </cell>
          <cell r="AO197">
            <v>7203</v>
          </cell>
          <cell r="AP197">
            <v>7203</v>
          </cell>
        </row>
        <row r="198">
          <cell r="D198" t="str">
            <v>PAKD Dịch vụ HTKT cho các Hệ thống đã kinh doanh tại các thị trường năm 2024 (VDTC_Sản phẩm OCS)</v>
          </cell>
          <cell r="G198" t="str">
            <v>SXKD</v>
          </cell>
          <cell r="I198" t="str">
            <v>NTTT</v>
          </cell>
          <cell r="AC198">
            <v>930000</v>
          </cell>
          <cell r="AD198">
            <v>16972936</v>
          </cell>
          <cell r="AE198">
            <v>1241990</v>
          </cell>
          <cell r="AF198">
            <v>1173606</v>
          </cell>
          <cell r="AG198">
            <v>0</v>
          </cell>
          <cell r="AH198">
            <v>0</v>
          </cell>
          <cell r="AI198">
            <v>0</v>
          </cell>
          <cell r="AJ198">
            <v>0</v>
          </cell>
          <cell r="AK198">
            <v>52102</v>
          </cell>
          <cell r="AL198">
            <v>113972</v>
          </cell>
          <cell r="AM198">
            <v>9769</v>
          </cell>
          <cell r="AN198">
            <v>19538</v>
          </cell>
          <cell r="AO198">
            <v>6513</v>
          </cell>
          <cell r="AP198">
            <v>6513</v>
          </cell>
        </row>
        <row r="199">
          <cell r="D199" t="str">
            <v>PAKD Dịch vụ HTKT cho các Hệ thống đã kinh doanh tại các thị trường năm 2024 (VDTC_Sản phẩm OCS)</v>
          </cell>
          <cell r="G199" t="str">
            <v>SXKD</v>
          </cell>
          <cell r="I199" t="str">
            <v>NTTT</v>
          </cell>
          <cell r="AC199">
            <v>930000</v>
          </cell>
          <cell r="AD199">
            <v>21941016</v>
          </cell>
          <cell r="AE199">
            <v>1648657</v>
          </cell>
          <cell r="AF199">
            <v>1568952</v>
          </cell>
          <cell r="AG199">
            <v>0</v>
          </cell>
          <cell r="AH199">
            <v>0</v>
          </cell>
          <cell r="AI199">
            <v>0</v>
          </cell>
          <cell r="AJ199">
            <v>0</v>
          </cell>
          <cell r="AK199">
            <v>60728</v>
          </cell>
          <cell r="AL199">
            <v>132842</v>
          </cell>
          <cell r="AM199">
            <v>11386</v>
          </cell>
          <cell r="AN199">
            <v>22773</v>
          </cell>
          <cell r="AO199">
            <v>7591</v>
          </cell>
          <cell r="AP199">
            <v>7591</v>
          </cell>
        </row>
        <row r="200">
          <cell r="D200" t="str">
            <v>PAKD Dịch vụ HTKT cho các Hệ thống đã kinh doanh tại các thị trường năm 2024 (VDTC_Sản phẩm OCS)</v>
          </cell>
          <cell r="G200" t="str">
            <v>SXKD</v>
          </cell>
          <cell r="I200" t="str">
            <v>NTTT</v>
          </cell>
          <cell r="AC200">
            <v>930000</v>
          </cell>
          <cell r="AD200">
            <v>15612499</v>
          </cell>
          <cell r="AE200">
            <v>1131799</v>
          </cell>
          <cell r="AF200">
            <v>1067039</v>
          </cell>
          <cell r="AG200">
            <v>0</v>
          </cell>
          <cell r="AH200">
            <v>0</v>
          </cell>
          <cell r="AI200">
            <v>0</v>
          </cell>
          <cell r="AJ200">
            <v>0</v>
          </cell>
          <cell r="AK200">
            <v>49341</v>
          </cell>
          <cell r="AL200">
            <v>107934</v>
          </cell>
          <cell r="AM200">
            <v>9251</v>
          </cell>
          <cell r="AN200">
            <v>18503</v>
          </cell>
          <cell r="AO200">
            <v>6168</v>
          </cell>
          <cell r="AP200">
            <v>6168</v>
          </cell>
        </row>
        <row r="201">
          <cell r="D201" t="str">
            <v>PAKD Dịch vụ HTKT cho các Hệ thống đã kinh doanh tại các thị trường năm 2024 (VDTC_Sản phẩm OCS)</v>
          </cell>
          <cell r="G201" t="str">
            <v>SXKD</v>
          </cell>
          <cell r="I201" t="str">
            <v>NTTT</v>
          </cell>
          <cell r="AC201">
            <v>1130000</v>
          </cell>
          <cell r="AD201">
            <v>66005022</v>
          </cell>
          <cell r="AE201">
            <v>2725425</v>
          </cell>
          <cell r="AF201">
            <v>2685217</v>
          </cell>
          <cell r="AG201">
            <v>0</v>
          </cell>
          <cell r="AH201">
            <v>0</v>
          </cell>
          <cell r="AI201">
            <v>0</v>
          </cell>
          <cell r="AJ201">
            <v>0</v>
          </cell>
          <cell r="AK201">
            <v>33859</v>
          </cell>
          <cell r="AL201">
            <v>74066</v>
          </cell>
          <cell r="AM201">
            <v>6349</v>
          </cell>
          <cell r="AN201">
            <v>12697</v>
          </cell>
          <cell r="AO201">
            <v>0</v>
          </cell>
          <cell r="AP201">
            <v>0</v>
          </cell>
        </row>
        <row r="202">
          <cell r="D202" t="str">
            <v>PAKD Dịch vụ HTKT cho các Hệ thống đã kinh doanh tại các thị trường năm 2024 (VDTC_Sản phẩm OCS)</v>
          </cell>
          <cell r="G202" t="str">
            <v>SXKD</v>
          </cell>
          <cell r="I202" t="str">
            <v>NTTT</v>
          </cell>
          <cell r="AC202">
            <v>930000</v>
          </cell>
          <cell r="AD202">
            <v>23662039</v>
          </cell>
          <cell r="AE202">
            <v>1798312</v>
          </cell>
          <cell r="AF202">
            <v>1718607</v>
          </cell>
          <cell r="AG202">
            <v>0</v>
          </cell>
          <cell r="AH202">
            <v>0</v>
          </cell>
          <cell r="AI202">
            <v>0</v>
          </cell>
          <cell r="AJ202">
            <v>0</v>
          </cell>
          <cell r="AK202">
            <v>60728</v>
          </cell>
          <cell r="AL202">
            <v>132842</v>
          </cell>
          <cell r="AM202">
            <v>11386</v>
          </cell>
          <cell r="AN202">
            <v>22773</v>
          </cell>
          <cell r="AO202">
            <v>7591</v>
          </cell>
          <cell r="AP202">
            <v>7591</v>
          </cell>
        </row>
        <row r="203">
          <cell r="D203" t="str">
            <v>PAKD Dịch vụ HTKT cho các Hệ thống đã kinh doanh tại các thị trường năm 2024 (VDTC_Sản phẩm OCS)</v>
          </cell>
          <cell r="G203" t="str">
            <v>SXKD</v>
          </cell>
          <cell r="I203" t="str">
            <v>NTTT</v>
          </cell>
          <cell r="AC203">
            <v>1047000</v>
          </cell>
          <cell r="AD203">
            <v>25662037</v>
          </cell>
          <cell r="AE203">
            <v>1971173</v>
          </cell>
          <cell r="AF203">
            <v>1895544</v>
          </cell>
          <cell r="AG203">
            <v>0</v>
          </cell>
          <cell r="AH203">
            <v>0</v>
          </cell>
          <cell r="AI203">
            <v>0</v>
          </cell>
          <cell r="AJ203">
            <v>0</v>
          </cell>
          <cell r="AK203">
            <v>57622</v>
          </cell>
          <cell r="AL203">
            <v>126049</v>
          </cell>
          <cell r="AM203">
            <v>10804</v>
          </cell>
          <cell r="AN203">
            <v>21608</v>
          </cell>
          <cell r="AO203">
            <v>7203</v>
          </cell>
          <cell r="AP203">
            <v>7203</v>
          </cell>
        </row>
        <row r="204">
          <cell r="D204" t="str">
            <v>PAKD Dịch vụ HTKT cho các Hệ thống đã kinh doanh tại các thị trường năm 2024 (VDTC_Sản phẩm OCS)</v>
          </cell>
          <cell r="G204" t="str">
            <v>SXKD</v>
          </cell>
          <cell r="I204" t="str">
            <v>NTTT</v>
          </cell>
          <cell r="AC204">
            <v>1047000</v>
          </cell>
          <cell r="AD204">
            <v>21810266</v>
          </cell>
          <cell r="AE204">
            <v>2454354</v>
          </cell>
          <cell r="AF204">
            <v>2340911</v>
          </cell>
          <cell r="AG204">
            <v>0</v>
          </cell>
          <cell r="AH204">
            <v>0</v>
          </cell>
          <cell r="AI204">
            <v>0</v>
          </cell>
          <cell r="AJ204">
            <v>0</v>
          </cell>
          <cell r="AK204">
            <v>86433</v>
          </cell>
          <cell r="AL204">
            <v>189073</v>
          </cell>
          <cell r="AM204">
            <v>16206</v>
          </cell>
          <cell r="AN204">
            <v>32413</v>
          </cell>
          <cell r="AO204">
            <v>10804</v>
          </cell>
          <cell r="AP204">
            <v>10804</v>
          </cell>
        </row>
        <row r="205">
          <cell r="D205" t="str">
            <v>PAKD Dịch vụ HTKT cho các Hệ thống đã kinh doanh tại các thị trường năm 2024 (VDTC_Sản phẩm OCS)</v>
          </cell>
          <cell r="G205" t="str">
            <v>SXKD</v>
          </cell>
          <cell r="I205" t="str">
            <v>NTTT</v>
          </cell>
          <cell r="AC205">
            <v>1047000</v>
          </cell>
          <cell r="AD205">
            <v>17903152</v>
          </cell>
          <cell r="AE205">
            <v>1969056</v>
          </cell>
          <cell r="AF205">
            <v>1866481</v>
          </cell>
          <cell r="AG205">
            <v>0</v>
          </cell>
          <cell r="AH205">
            <v>0</v>
          </cell>
          <cell r="AI205">
            <v>0</v>
          </cell>
          <cell r="AJ205">
            <v>0</v>
          </cell>
          <cell r="AK205">
            <v>78152</v>
          </cell>
          <cell r="AL205">
            <v>170958</v>
          </cell>
          <cell r="AM205">
            <v>14654</v>
          </cell>
          <cell r="AN205">
            <v>29307</v>
          </cell>
          <cell r="AO205">
            <v>9769</v>
          </cell>
          <cell r="AP205">
            <v>9769</v>
          </cell>
        </row>
        <row r="206">
          <cell r="D206" t="str">
            <v>PA tự thực hiện OCS 100M</v>
          </cell>
          <cell r="G206" t="str">
            <v>Quản lý</v>
          </cell>
          <cell r="I206" t="str">
            <v>NTTT</v>
          </cell>
          <cell r="AC206">
            <v>2432000</v>
          </cell>
          <cell r="AD206">
            <v>121074018</v>
          </cell>
          <cell r="AE206">
            <v>90563021</v>
          </cell>
          <cell r="AF206">
            <v>89624660</v>
          </cell>
          <cell r="AG206">
            <v>0</v>
          </cell>
          <cell r="AH206">
            <v>0</v>
          </cell>
          <cell r="AI206">
            <v>0</v>
          </cell>
          <cell r="AJ206">
            <v>0</v>
          </cell>
          <cell r="AK206">
            <v>938361</v>
          </cell>
          <cell r="AL206">
            <v>2052663</v>
          </cell>
          <cell r="AM206">
            <v>0</v>
          </cell>
          <cell r="AN206">
            <v>0</v>
          </cell>
          <cell r="AO206">
            <v>0</v>
          </cell>
          <cell r="AP206">
            <v>0</v>
          </cell>
        </row>
        <row r="207">
          <cell r="D207" t="str">
            <v>PA tự thực hiện OCS 100M</v>
          </cell>
          <cell r="G207" t="str">
            <v>Quản lý</v>
          </cell>
          <cell r="I207" t="str">
            <v>NTTT</v>
          </cell>
          <cell r="AC207">
            <v>1230000</v>
          </cell>
          <cell r="AD207">
            <v>86664849</v>
          </cell>
          <cell r="AE207">
            <v>50399826</v>
          </cell>
          <cell r="AF207">
            <v>49741777</v>
          </cell>
          <cell r="AG207">
            <v>0</v>
          </cell>
          <cell r="AH207">
            <v>0</v>
          </cell>
          <cell r="AI207">
            <v>0</v>
          </cell>
          <cell r="AJ207">
            <v>0</v>
          </cell>
          <cell r="AK207">
            <v>658049</v>
          </cell>
          <cell r="AL207">
            <v>1439481</v>
          </cell>
          <cell r="AM207">
            <v>0</v>
          </cell>
          <cell r="AN207">
            <v>0</v>
          </cell>
          <cell r="AO207">
            <v>0</v>
          </cell>
          <cell r="AP207">
            <v>0</v>
          </cell>
        </row>
        <row r="208">
          <cell r="D208" t="str">
            <v>PA tự thực hiện OCS 100M</v>
          </cell>
          <cell r="G208" t="str">
            <v>Quản lý</v>
          </cell>
          <cell r="I208" t="str">
            <v>NTTT</v>
          </cell>
          <cell r="AC208">
            <v>1230000</v>
          </cell>
          <cell r="AD208">
            <v>53721686</v>
          </cell>
          <cell r="AE208">
            <v>28094640</v>
          </cell>
          <cell r="AF208">
            <v>27391107</v>
          </cell>
          <cell r="AG208">
            <v>0</v>
          </cell>
          <cell r="AH208">
            <v>0</v>
          </cell>
          <cell r="AI208">
            <v>0</v>
          </cell>
          <cell r="AJ208">
            <v>0</v>
          </cell>
          <cell r="AK208">
            <v>536025</v>
          </cell>
          <cell r="AL208">
            <v>1172555</v>
          </cell>
          <cell r="AM208">
            <v>100504</v>
          </cell>
          <cell r="AN208">
            <v>201009</v>
          </cell>
          <cell r="AO208">
            <v>67004</v>
          </cell>
          <cell r="AP208">
            <v>67004</v>
          </cell>
        </row>
        <row r="209">
          <cell r="D209" t="str">
            <v>PA tự thực hiện OCS 100M</v>
          </cell>
          <cell r="G209" t="str">
            <v>Quản lý</v>
          </cell>
          <cell r="I209" t="str">
            <v>NTTT</v>
          </cell>
          <cell r="AC209">
            <v>1030000</v>
          </cell>
          <cell r="AD209">
            <v>48384347</v>
          </cell>
          <cell r="AE209">
            <v>25269985</v>
          </cell>
          <cell r="AF209">
            <v>24601777</v>
          </cell>
          <cell r="AG209">
            <v>0</v>
          </cell>
          <cell r="AH209">
            <v>0</v>
          </cell>
          <cell r="AI209">
            <v>0</v>
          </cell>
          <cell r="AJ209">
            <v>0</v>
          </cell>
          <cell r="AK209">
            <v>509111</v>
          </cell>
          <cell r="AL209">
            <v>1113682</v>
          </cell>
          <cell r="AM209">
            <v>95458</v>
          </cell>
          <cell r="AN209">
            <v>190916</v>
          </cell>
          <cell r="AO209">
            <v>63639</v>
          </cell>
          <cell r="AP209">
            <v>63639</v>
          </cell>
        </row>
        <row r="210">
          <cell r="D210" t="str">
            <v>PA tự thực hiện OCS 100M</v>
          </cell>
          <cell r="G210" t="str">
            <v>Quản lý</v>
          </cell>
          <cell r="I210" t="str">
            <v>NTTT</v>
          </cell>
          <cell r="AC210">
            <v>363913</v>
          </cell>
          <cell r="AD210">
            <v>7257561</v>
          </cell>
          <cell r="AE210">
            <v>6893648</v>
          </cell>
          <cell r="AF210">
            <v>6893648</v>
          </cell>
          <cell r="AG210">
            <v>0</v>
          </cell>
          <cell r="AH210">
            <v>0</v>
          </cell>
          <cell r="AI210">
            <v>0</v>
          </cell>
          <cell r="AJ210">
            <v>0</v>
          </cell>
          <cell r="AK210">
            <v>0</v>
          </cell>
          <cell r="AL210">
            <v>0</v>
          </cell>
          <cell r="AM210">
            <v>0</v>
          </cell>
          <cell r="AN210">
            <v>0</v>
          </cell>
          <cell r="AO210">
            <v>0</v>
          </cell>
          <cell r="AP210">
            <v>0</v>
          </cell>
        </row>
        <row r="211">
          <cell r="D211" t="str">
            <v>PA tự thực hiện OCS 100M</v>
          </cell>
          <cell r="G211" t="str">
            <v>Quản lý</v>
          </cell>
          <cell r="I211" t="str">
            <v>NTTT</v>
          </cell>
          <cell r="AC211">
            <v>1130000</v>
          </cell>
          <cell r="AD211">
            <v>29625266</v>
          </cell>
          <cell r="AE211">
            <v>15961428</v>
          </cell>
          <cell r="AF211">
            <v>15343261</v>
          </cell>
          <cell r="AG211">
            <v>0</v>
          </cell>
          <cell r="AH211">
            <v>0</v>
          </cell>
          <cell r="AI211">
            <v>0</v>
          </cell>
          <cell r="AJ211">
            <v>0</v>
          </cell>
          <cell r="AK211">
            <v>470984</v>
          </cell>
          <cell r="AL211">
            <v>1030279</v>
          </cell>
          <cell r="AM211">
            <v>88310</v>
          </cell>
          <cell r="AN211">
            <v>176618</v>
          </cell>
          <cell r="AO211">
            <v>58873</v>
          </cell>
          <cell r="AP211">
            <v>58873</v>
          </cell>
        </row>
        <row r="212">
          <cell r="D212" t="str">
            <v>PA tự thực hiện OCS 100M</v>
          </cell>
          <cell r="G212" t="str">
            <v>Quản lý</v>
          </cell>
          <cell r="I212" t="str">
            <v>NTTT</v>
          </cell>
          <cell r="AC212">
            <v>930000</v>
          </cell>
          <cell r="AD212">
            <v>32663758</v>
          </cell>
          <cell r="AE212">
            <v>17932684</v>
          </cell>
          <cell r="AF212">
            <v>17314517</v>
          </cell>
          <cell r="AG212">
            <v>0</v>
          </cell>
          <cell r="AH212">
            <v>0</v>
          </cell>
          <cell r="AI212">
            <v>0</v>
          </cell>
          <cell r="AJ212">
            <v>0</v>
          </cell>
          <cell r="AK212">
            <v>470984</v>
          </cell>
          <cell r="AL212">
            <v>1030279</v>
          </cell>
          <cell r="AM212">
            <v>88310</v>
          </cell>
          <cell r="AN212">
            <v>176618</v>
          </cell>
          <cell r="AO212">
            <v>58873</v>
          </cell>
          <cell r="AP212">
            <v>58873</v>
          </cell>
        </row>
        <row r="213">
          <cell r="D213" t="str">
            <v>PA tự thực hiện OCS 100M</v>
          </cell>
          <cell r="G213" t="str">
            <v>Quản lý</v>
          </cell>
          <cell r="I213" t="str">
            <v>NTTT</v>
          </cell>
          <cell r="AC213">
            <v>1030000</v>
          </cell>
          <cell r="AD213">
            <v>29252005</v>
          </cell>
          <cell r="AE213">
            <v>15795096</v>
          </cell>
          <cell r="AF213">
            <v>15176929</v>
          </cell>
          <cell r="AG213">
            <v>0</v>
          </cell>
          <cell r="AH213">
            <v>0</v>
          </cell>
          <cell r="AI213">
            <v>0</v>
          </cell>
          <cell r="AJ213">
            <v>0</v>
          </cell>
          <cell r="AK213">
            <v>470984</v>
          </cell>
          <cell r="AL213">
            <v>1030279</v>
          </cell>
          <cell r="AM213">
            <v>88310</v>
          </cell>
          <cell r="AN213">
            <v>176618</v>
          </cell>
          <cell r="AO213">
            <v>58873</v>
          </cell>
          <cell r="AP213">
            <v>58873</v>
          </cell>
        </row>
        <row r="214">
          <cell r="D214" t="str">
            <v>PA tự thực hiện OCS 100M</v>
          </cell>
          <cell r="G214" t="str">
            <v>Quản lý</v>
          </cell>
          <cell r="I214" t="str">
            <v>NTTT</v>
          </cell>
          <cell r="AC214">
            <v>930000</v>
          </cell>
          <cell r="AD214">
            <v>21248732</v>
          </cell>
          <cell r="AE214">
            <v>9585485</v>
          </cell>
          <cell r="AF214">
            <v>9131710</v>
          </cell>
          <cell r="AG214">
            <v>0</v>
          </cell>
          <cell r="AH214">
            <v>0</v>
          </cell>
          <cell r="AI214">
            <v>0</v>
          </cell>
          <cell r="AJ214">
            <v>0</v>
          </cell>
          <cell r="AK214">
            <v>345733</v>
          </cell>
          <cell r="AL214">
            <v>756292</v>
          </cell>
          <cell r="AM214">
            <v>64826</v>
          </cell>
          <cell r="AN214">
            <v>129650</v>
          </cell>
          <cell r="AO214">
            <v>43216</v>
          </cell>
          <cell r="AP214">
            <v>43216</v>
          </cell>
        </row>
        <row r="215">
          <cell r="D215" t="str">
            <v>PA tự thực hiện OCS 100M</v>
          </cell>
          <cell r="G215" t="str">
            <v>Quản lý</v>
          </cell>
          <cell r="I215" t="str">
            <v>NTTT</v>
          </cell>
          <cell r="AC215">
            <v>930000</v>
          </cell>
          <cell r="AD215">
            <v>16972936</v>
          </cell>
          <cell r="AE215">
            <v>7451937</v>
          </cell>
          <cell r="AF215">
            <v>7041638</v>
          </cell>
          <cell r="AG215">
            <v>0</v>
          </cell>
          <cell r="AH215">
            <v>0</v>
          </cell>
          <cell r="AI215">
            <v>0</v>
          </cell>
          <cell r="AJ215">
            <v>0</v>
          </cell>
          <cell r="AK215">
            <v>312609</v>
          </cell>
          <cell r="AL215">
            <v>683834</v>
          </cell>
          <cell r="AM215">
            <v>58614</v>
          </cell>
          <cell r="AN215">
            <v>117229</v>
          </cell>
          <cell r="AO215">
            <v>39076</v>
          </cell>
          <cell r="AP215">
            <v>39076</v>
          </cell>
        </row>
        <row r="216">
          <cell r="D216" t="str">
            <v>PA tự thực hiện OCS 100M</v>
          </cell>
          <cell r="G216" t="str">
            <v>Quản lý</v>
          </cell>
          <cell r="I216" t="str">
            <v>NTTT</v>
          </cell>
          <cell r="AC216">
            <v>930000</v>
          </cell>
          <cell r="AD216">
            <v>21941016</v>
          </cell>
          <cell r="AE216">
            <v>9891945</v>
          </cell>
          <cell r="AF216">
            <v>9413714</v>
          </cell>
          <cell r="AG216">
            <v>0</v>
          </cell>
          <cell r="AH216">
            <v>0</v>
          </cell>
          <cell r="AI216">
            <v>0</v>
          </cell>
          <cell r="AJ216">
            <v>0</v>
          </cell>
          <cell r="AK216">
            <v>364366</v>
          </cell>
          <cell r="AL216">
            <v>797051</v>
          </cell>
          <cell r="AM216">
            <v>68319</v>
          </cell>
          <cell r="AN216">
            <v>136637</v>
          </cell>
          <cell r="AO216">
            <v>45546</v>
          </cell>
          <cell r="AP216">
            <v>45546</v>
          </cell>
        </row>
        <row r="217">
          <cell r="D217" t="str">
            <v>PA tự thực hiện OCS 100M</v>
          </cell>
          <cell r="G217" t="str">
            <v>Quản lý</v>
          </cell>
          <cell r="I217" t="str">
            <v>NTTT</v>
          </cell>
          <cell r="AC217">
            <v>930000</v>
          </cell>
          <cell r="AD217">
            <v>15612499</v>
          </cell>
          <cell r="AE217">
            <v>6790796</v>
          </cell>
          <cell r="AF217">
            <v>6402233</v>
          </cell>
          <cell r="AG217">
            <v>0</v>
          </cell>
          <cell r="AH217">
            <v>0</v>
          </cell>
          <cell r="AI217">
            <v>0</v>
          </cell>
          <cell r="AJ217">
            <v>0</v>
          </cell>
          <cell r="AK217">
            <v>296048</v>
          </cell>
          <cell r="AL217">
            <v>647603</v>
          </cell>
          <cell r="AM217">
            <v>55509</v>
          </cell>
          <cell r="AN217">
            <v>111018</v>
          </cell>
          <cell r="AO217">
            <v>37006</v>
          </cell>
          <cell r="AP217">
            <v>37006</v>
          </cell>
        </row>
        <row r="218">
          <cell r="D218" t="str">
            <v>PA tự thực hiện OCS 100M</v>
          </cell>
          <cell r="G218" t="str">
            <v>Quản lý</v>
          </cell>
          <cell r="I218" t="str">
            <v>NTTT</v>
          </cell>
          <cell r="AC218">
            <v>1030000</v>
          </cell>
          <cell r="AD218">
            <v>16923296</v>
          </cell>
          <cell r="AE218">
            <v>9217331</v>
          </cell>
          <cell r="AF218">
            <v>8704457</v>
          </cell>
          <cell r="AG218">
            <v>0</v>
          </cell>
          <cell r="AH218">
            <v>0</v>
          </cell>
          <cell r="AI218">
            <v>0</v>
          </cell>
          <cell r="AJ218">
            <v>0</v>
          </cell>
          <cell r="AK218">
            <v>390761</v>
          </cell>
          <cell r="AL218">
            <v>854791</v>
          </cell>
          <cell r="AM218">
            <v>73268</v>
          </cell>
          <cell r="AN218">
            <v>146536</v>
          </cell>
          <cell r="AO218">
            <v>48845</v>
          </cell>
          <cell r="AP218">
            <v>48845</v>
          </cell>
        </row>
        <row r="219">
          <cell r="D219" t="str">
            <v>PA tự thực hiện OCS 100M</v>
          </cell>
          <cell r="G219" t="str">
            <v>Quản lý</v>
          </cell>
          <cell r="I219" t="str">
            <v>NTTT</v>
          </cell>
          <cell r="AC219">
            <v>930000</v>
          </cell>
          <cell r="AD219">
            <v>34054984</v>
          </cell>
          <cell r="AE219">
            <v>20120911</v>
          </cell>
          <cell r="AF219">
            <v>19458588</v>
          </cell>
          <cell r="AG219">
            <v>0</v>
          </cell>
          <cell r="AH219">
            <v>0</v>
          </cell>
          <cell r="AI219">
            <v>0</v>
          </cell>
          <cell r="AJ219">
            <v>0</v>
          </cell>
          <cell r="AK219">
            <v>504627</v>
          </cell>
          <cell r="AL219">
            <v>1103869</v>
          </cell>
          <cell r="AM219">
            <v>94617</v>
          </cell>
          <cell r="AN219">
            <v>189235</v>
          </cell>
          <cell r="AO219">
            <v>63079</v>
          </cell>
          <cell r="AP219">
            <v>63079</v>
          </cell>
        </row>
        <row r="220">
          <cell r="D220" t="str">
            <v>PA tự thực hiện OCS 100M</v>
          </cell>
          <cell r="G220" t="str">
            <v>Quản lý</v>
          </cell>
          <cell r="I220" t="str">
            <v>NTTT</v>
          </cell>
          <cell r="AC220">
            <v>930000</v>
          </cell>
          <cell r="AD220">
            <v>31541385</v>
          </cell>
          <cell r="AE220">
            <v>18557625</v>
          </cell>
          <cell r="AF220">
            <v>17929268</v>
          </cell>
          <cell r="AG220">
            <v>0</v>
          </cell>
          <cell r="AH220">
            <v>0</v>
          </cell>
          <cell r="AI220">
            <v>0</v>
          </cell>
          <cell r="AJ220">
            <v>0</v>
          </cell>
          <cell r="AK220">
            <v>478748</v>
          </cell>
          <cell r="AL220">
            <v>1047261</v>
          </cell>
          <cell r="AM220">
            <v>89765</v>
          </cell>
          <cell r="AN220">
            <v>179531</v>
          </cell>
          <cell r="AO220">
            <v>59844</v>
          </cell>
          <cell r="AP220">
            <v>59844</v>
          </cell>
        </row>
        <row r="221">
          <cell r="D221" t="str">
            <v>PA tự thực hiện OCS 100M</v>
          </cell>
          <cell r="G221" t="str">
            <v>Quản lý</v>
          </cell>
          <cell r="I221" t="str">
            <v>NTTT</v>
          </cell>
          <cell r="AC221">
            <v>1047000</v>
          </cell>
          <cell r="AD221">
            <v>20848958</v>
          </cell>
          <cell r="AE221">
            <v>11644830</v>
          </cell>
          <cell r="AF221">
            <v>11077611</v>
          </cell>
          <cell r="AG221">
            <v>0</v>
          </cell>
          <cell r="AH221">
            <v>0</v>
          </cell>
          <cell r="AI221">
            <v>0</v>
          </cell>
          <cell r="AJ221">
            <v>0</v>
          </cell>
          <cell r="AK221">
            <v>432167</v>
          </cell>
          <cell r="AL221">
            <v>945365</v>
          </cell>
          <cell r="AM221">
            <v>81031</v>
          </cell>
          <cell r="AN221">
            <v>162063</v>
          </cell>
          <cell r="AO221">
            <v>54021</v>
          </cell>
          <cell r="AP221">
            <v>54021</v>
          </cell>
        </row>
        <row r="222">
          <cell r="D222" t="str">
            <v>PA tự thực hiện OCS 100M</v>
          </cell>
          <cell r="G222" t="str">
            <v>Quản lý</v>
          </cell>
          <cell r="I222" t="str">
            <v>NTTT</v>
          </cell>
          <cell r="AC222">
            <v>1030000</v>
          </cell>
          <cell r="AD222">
            <v>29802087</v>
          </cell>
          <cell r="AE222">
            <v>17282066</v>
          </cell>
          <cell r="AF222">
            <v>16619743</v>
          </cell>
          <cell r="AG222">
            <v>0</v>
          </cell>
          <cell r="AH222">
            <v>0</v>
          </cell>
          <cell r="AI222">
            <v>0</v>
          </cell>
          <cell r="AJ222">
            <v>0</v>
          </cell>
          <cell r="AK222">
            <v>504627</v>
          </cell>
          <cell r="AL222">
            <v>1103869</v>
          </cell>
          <cell r="AM222">
            <v>94617</v>
          </cell>
          <cell r="AN222">
            <v>189235</v>
          </cell>
          <cell r="AO222">
            <v>63079</v>
          </cell>
          <cell r="AP222">
            <v>63079</v>
          </cell>
        </row>
        <row r="223">
          <cell r="D223" t="str">
            <v>PA tự thực hiện OCS 100M</v>
          </cell>
          <cell r="G223" t="str">
            <v>Quản lý</v>
          </cell>
          <cell r="I223" t="str">
            <v>NTTT</v>
          </cell>
          <cell r="AC223">
            <v>1047000</v>
          </cell>
          <cell r="AD223">
            <v>21419512</v>
          </cell>
          <cell r="AE223">
            <v>13619188</v>
          </cell>
          <cell r="AF223">
            <v>12976340</v>
          </cell>
          <cell r="AG223">
            <v>0</v>
          </cell>
          <cell r="AH223">
            <v>0</v>
          </cell>
          <cell r="AI223">
            <v>0</v>
          </cell>
          <cell r="AJ223">
            <v>0</v>
          </cell>
          <cell r="AK223">
            <v>489789</v>
          </cell>
          <cell r="AL223">
            <v>1071414</v>
          </cell>
          <cell r="AM223">
            <v>91835</v>
          </cell>
          <cell r="AN223">
            <v>183671</v>
          </cell>
          <cell r="AO223">
            <v>61224</v>
          </cell>
          <cell r="AP223">
            <v>61224</v>
          </cell>
        </row>
        <row r="224">
          <cell r="D224" t="str">
            <v>PA tự thực hiện OCS 100M</v>
          </cell>
          <cell r="G224" t="str">
            <v>Quản lý</v>
          </cell>
          <cell r="I224" t="str">
            <v>NTTT</v>
          </cell>
          <cell r="AC224">
            <v>1230000</v>
          </cell>
          <cell r="AD224">
            <v>66264990</v>
          </cell>
          <cell r="AE224">
            <v>45794900</v>
          </cell>
          <cell r="AF224">
            <v>44778660</v>
          </cell>
          <cell r="AG224">
            <v>0</v>
          </cell>
          <cell r="AH224">
            <v>0</v>
          </cell>
          <cell r="AI224">
            <v>0</v>
          </cell>
          <cell r="AJ224">
            <v>0</v>
          </cell>
          <cell r="AK224">
            <v>774278</v>
          </cell>
          <cell r="AL224">
            <v>1693732</v>
          </cell>
          <cell r="AM224">
            <v>145177</v>
          </cell>
          <cell r="AN224">
            <v>290354</v>
          </cell>
          <cell r="AO224">
            <v>96785</v>
          </cell>
          <cell r="AP224">
            <v>96785</v>
          </cell>
        </row>
        <row r="225">
          <cell r="D225" t="str">
            <v>PA tự thực hiện OCS 100M</v>
          </cell>
          <cell r="G225" t="str">
            <v>Quản lý</v>
          </cell>
          <cell r="I225" t="str">
            <v>NTTT</v>
          </cell>
          <cell r="AC225">
            <v>1130000</v>
          </cell>
          <cell r="AD225">
            <v>57030630</v>
          </cell>
          <cell r="AE225">
            <v>39955824</v>
          </cell>
          <cell r="AF225">
            <v>39380744</v>
          </cell>
          <cell r="AG225">
            <v>0</v>
          </cell>
          <cell r="AH225">
            <v>0</v>
          </cell>
          <cell r="AI225">
            <v>0</v>
          </cell>
          <cell r="AJ225">
            <v>0</v>
          </cell>
          <cell r="AK225">
            <v>484278</v>
          </cell>
          <cell r="AL225">
            <v>1059359</v>
          </cell>
          <cell r="AM225">
            <v>90802</v>
          </cell>
          <cell r="AN225">
            <v>181604</v>
          </cell>
          <cell r="AO225">
            <v>0</v>
          </cell>
          <cell r="AP225">
            <v>0</v>
          </cell>
        </row>
        <row r="226">
          <cell r="D226" t="str">
            <v>PA tự thực hiện OCS 100M</v>
          </cell>
          <cell r="G226" t="str">
            <v>Quản lý</v>
          </cell>
          <cell r="I226" t="str">
            <v>NTTT</v>
          </cell>
          <cell r="AC226">
            <v>1030000</v>
          </cell>
          <cell r="AD226">
            <v>51528103</v>
          </cell>
          <cell r="AE226">
            <v>35265627</v>
          </cell>
          <cell r="AF226">
            <v>34345623</v>
          </cell>
          <cell r="AG226">
            <v>0</v>
          </cell>
          <cell r="AH226">
            <v>0</v>
          </cell>
          <cell r="AI226">
            <v>0</v>
          </cell>
          <cell r="AJ226">
            <v>0</v>
          </cell>
          <cell r="AK226">
            <v>700956</v>
          </cell>
          <cell r="AL226">
            <v>1533341</v>
          </cell>
          <cell r="AM226">
            <v>131429</v>
          </cell>
          <cell r="AN226">
            <v>262858</v>
          </cell>
          <cell r="AO226">
            <v>87619</v>
          </cell>
          <cell r="AP226">
            <v>87619</v>
          </cell>
        </row>
        <row r="227">
          <cell r="D227" t="str">
            <v>PA tự thực hiện OCS 100M</v>
          </cell>
          <cell r="G227" t="str">
            <v>Quản lý</v>
          </cell>
          <cell r="I227" t="str">
            <v>NTTT</v>
          </cell>
          <cell r="AC227">
            <v>1030000</v>
          </cell>
          <cell r="AD227">
            <v>39937856</v>
          </cell>
          <cell r="AE227">
            <v>26897075</v>
          </cell>
          <cell r="AF227">
            <v>26065607</v>
          </cell>
          <cell r="AG227">
            <v>0</v>
          </cell>
          <cell r="AH227">
            <v>0</v>
          </cell>
          <cell r="AI227">
            <v>0</v>
          </cell>
          <cell r="AJ227">
            <v>0</v>
          </cell>
          <cell r="AK227">
            <v>633500</v>
          </cell>
          <cell r="AL227">
            <v>1385781</v>
          </cell>
          <cell r="AM227">
            <v>118781</v>
          </cell>
          <cell r="AN227">
            <v>237562</v>
          </cell>
          <cell r="AO227">
            <v>79187</v>
          </cell>
          <cell r="AP227">
            <v>79187</v>
          </cell>
        </row>
        <row r="228">
          <cell r="D228" t="str">
            <v>PA tự thực hiện OCS 100M</v>
          </cell>
          <cell r="G228" t="str">
            <v>Quản lý</v>
          </cell>
          <cell r="I228" t="str">
            <v>NTTT</v>
          </cell>
          <cell r="AC228">
            <v>930000</v>
          </cell>
          <cell r="AD228">
            <v>22147776</v>
          </cell>
          <cell r="AE228">
            <v>14243948</v>
          </cell>
          <cell r="AF228">
            <v>13601100</v>
          </cell>
          <cell r="AG228">
            <v>0</v>
          </cell>
          <cell r="AH228">
            <v>0</v>
          </cell>
          <cell r="AI228">
            <v>0</v>
          </cell>
          <cell r="AJ228">
            <v>0</v>
          </cell>
          <cell r="AK228">
            <v>489789</v>
          </cell>
          <cell r="AL228">
            <v>1071414</v>
          </cell>
          <cell r="AM228">
            <v>91835</v>
          </cell>
          <cell r="AN228">
            <v>183671</v>
          </cell>
          <cell r="AO228">
            <v>61224</v>
          </cell>
          <cell r="AP228">
            <v>61224</v>
          </cell>
        </row>
        <row r="229">
          <cell r="D229" t="str">
            <v>PA tự thực hiện OCS 100M</v>
          </cell>
          <cell r="G229" t="str">
            <v>Quản lý</v>
          </cell>
          <cell r="I229" t="str">
            <v>NTTT</v>
          </cell>
          <cell r="AC229">
            <v>930000</v>
          </cell>
          <cell r="AD229">
            <v>18480024</v>
          </cell>
          <cell r="AE229">
            <v>11601923</v>
          </cell>
          <cell r="AF229">
            <v>10989870</v>
          </cell>
          <cell r="AG229">
            <v>0</v>
          </cell>
          <cell r="AH229">
            <v>0</v>
          </cell>
          <cell r="AI229">
            <v>0</v>
          </cell>
          <cell r="AJ229">
            <v>0</v>
          </cell>
          <cell r="AK229">
            <v>466326</v>
          </cell>
          <cell r="AL229">
            <v>1020089</v>
          </cell>
          <cell r="AM229">
            <v>87436</v>
          </cell>
          <cell r="AN229">
            <v>174872</v>
          </cell>
          <cell r="AO229">
            <v>58291</v>
          </cell>
          <cell r="AP229">
            <v>58291</v>
          </cell>
        </row>
        <row r="230">
          <cell r="D230" t="str">
            <v>PA tự thực hiện OCS 100M</v>
          </cell>
          <cell r="G230" t="str">
            <v>Quản lý</v>
          </cell>
          <cell r="I230" t="str">
            <v>NTTT</v>
          </cell>
          <cell r="AC230">
            <v>930000</v>
          </cell>
          <cell r="AD230">
            <v>24947552</v>
          </cell>
          <cell r="AE230">
            <v>16313348</v>
          </cell>
          <cell r="AF230">
            <v>15670500</v>
          </cell>
          <cell r="AG230">
            <v>0</v>
          </cell>
          <cell r="AH230">
            <v>0</v>
          </cell>
          <cell r="AI230">
            <v>0</v>
          </cell>
          <cell r="AJ230">
            <v>0</v>
          </cell>
          <cell r="AK230">
            <v>489789</v>
          </cell>
          <cell r="AL230">
            <v>1071414</v>
          </cell>
          <cell r="AM230">
            <v>91835</v>
          </cell>
          <cell r="AN230">
            <v>183671</v>
          </cell>
          <cell r="AO230">
            <v>61224</v>
          </cell>
          <cell r="AP230">
            <v>61224</v>
          </cell>
        </row>
        <row r="231">
          <cell r="D231" t="str">
            <v>PA tự thực hiện OCS 100M</v>
          </cell>
          <cell r="G231" t="str">
            <v>Quản lý</v>
          </cell>
          <cell r="I231" t="str">
            <v>NTTT</v>
          </cell>
          <cell r="AC231">
            <v>1430000</v>
          </cell>
          <cell r="AD231">
            <v>47830763</v>
          </cell>
          <cell r="AE231">
            <v>32340542</v>
          </cell>
          <cell r="AF231">
            <v>31466731</v>
          </cell>
          <cell r="AG231">
            <v>0</v>
          </cell>
          <cell r="AH231">
            <v>0</v>
          </cell>
          <cell r="AI231">
            <v>0</v>
          </cell>
          <cell r="AJ231">
            <v>0</v>
          </cell>
          <cell r="AK231">
            <v>665761</v>
          </cell>
          <cell r="AL231">
            <v>1456353</v>
          </cell>
          <cell r="AM231">
            <v>124830</v>
          </cell>
          <cell r="AN231">
            <v>249661</v>
          </cell>
          <cell r="AO231">
            <v>83220</v>
          </cell>
          <cell r="AP231">
            <v>83220</v>
          </cell>
        </row>
        <row r="232">
          <cell r="D232" t="str">
            <v>PA tự thực hiện OCS 100M</v>
          </cell>
          <cell r="G232" t="str">
            <v>Quản lý</v>
          </cell>
          <cell r="I232" t="str">
            <v>NTTT</v>
          </cell>
          <cell r="AC232">
            <v>1598000</v>
          </cell>
          <cell r="AD232">
            <v>36878007</v>
          </cell>
          <cell r="AE232">
            <v>24396543</v>
          </cell>
          <cell r="AF232">
            <v>23645911</v>
          </cell>
          <cell r="AG232">
            <v>0</v>
          </cell>
          <cell r="AH232">
            <v>0</v>
          </cell>
          <cell r="AI232">
            <v>0</v>
          </cell>
          <cell r="AJ232">
            <v>0</v>
          </cell>
          <cell r="AK232">
            <v>571910</v>
          </cell>
          <cell r="AL232">
            <v>1251052</v>
          </cell>
          <cell r="AM232">
            <v>107233</v>
          </cell>
          <cell r="AN232">
            <v>214466</v>
          </cell>
          <cell r="AO232">
            <v>71489</v>
          </cell>
          <cell r="AP232">
            <v>71489</v>
          </cell>
        </row>
        <row r="233">
          <cell r="D233" t="str">
            <v>PA tự thực hiện OCS 100M</v>
          </cell>
          <cell r="G233" t="str">
            <v>Quản lý</v>
          </cell>
          <cell r="I233" t="str">
            <v>NTTT</v>
          </cell>
          <cell r="AC233">
            <v>1230000</v>
          </cell>
          <cell r="AD233">
            <v>68796503</v>
          </cell>
          <cell r="AE233">
            <v>47666018</v>
          </cell>
          <cell r="AF233">
            <v>46649778</v>
          </cell>
          <cell r="AG233">
            <v>0</v>
          </cell>
          <cell r="AH233">
            <v>0</v>
          </cell>
          <cell r="AI233">
            <v>0</v>
          </cell>
          <cell r="AJ233">
            <v>0</v>
          </cell>
          <cell r="AK233">
            <v>774278</v>
          </cell>
          <cell r="AL233">
            <v>1693732</v>
          </cell>
          <cell r="AM233">
            <v>145177</v>
          </cell>
          <cell r="AN233">
            <v>290354</v>
          </cell>
          <cell r="AO233">
            <v>96785</v>
          </cell>
          <cell r="AP233">
            <v>96785</v>
          </cell>
        </row>
        <row r="234">
          <cell r="D234" t="str">
            <v>PA tự thực hiện OCS 100M</v>
          </cell>
          <cell r="G234" t="str">
            <v>Quản lý</v>
          </cell>
          <cell r="I234" t="str">
            <v>NTTT</v>
          </cell>
          <cell r="AC234">
            <v>1130000</v>
          </cell>
          <cell r="AD234">
            <v>66005022</v>
          </cell>
          <cell r="AE234">
            <v>40881381</v>
          </cell>
          <cell r="AF234">
            <v>40278275</v>
          </cell>
          <cell r="AG234">
            <v>0</v>
          </cell>
          <cell r="AH234">
            <v>0</v>
          </cell>
          <cell r="AI234">
            <v>0</v>
          </cell>
          <cell r="AJ234">
            <v>0</v>
          </cell>
          <cell r="AK234">
            <v>507881</v>
          </cell>
          <cell r="AL234">
            <v>1110992</v>
          </cell>
          <cell r="AM234">
            <v>95225</v>
          </cell>
          <cell r="AN234">
            <v>190456</v>
          </cell>
          <cell r="AO234">
            <v>0</v>
          </cell>
          <cell r="AP234">
            <v>0</v>
          </cell>
        </row>
        <row r="235">
          <cell r="D235" t="str">
            <v>PA tự thực hiện OCS 100M</v>
          </cell>
          <cell r="G235" t="str">
            <v>Quản lý</v>
          </cell>
          <cell r="I235" t="str">
            <v>NTTT</v>
          </cell>
          <cell r="AC235">
            <v>1130000</v>
          </cell>
          <cell r="AD235">
            <v>49368599</v>
          </cell>
          <cell r="AE235">
            <v>23787489</v>
          </cell>
          <cell r="AF235">
            <v>23170681</v>
          </cell>
          <cell r="AG235">
            <v>0</v>
          </cell>
          <cell r="AH235">
            <v>0</v>
          </cell>
          <cell r="AI235">
            <v>0</v>
          </cell>
          <cell r="AJ235">
            <v>0</v>
          </cell>
          <cell r="AK235">
            <v>469949</v>
          </cell>
          <cell r="AL235">
            <v>1028014</v>
          </cell>
          <cell r="AM235">
            <v>88115</v>
          </cell>
          <cell r="AN235">
            <v>176230</v>
          </cell>
          <cell r="AO235">
            <v>58744</v>
          </cell>
          <cell r="AP235">
            <v>58744</v>
          </cell>
        </row>
        <row r="236">
          <cell r="D236" t="str">
            <v>PA tự thực hiện OCS 100M</v>
          </cell>
          <cell r="G236" t="str">
            <v>Quản lý</v>
          </cell>
          <cell r="I236" t="str">
            <v>NTTT</v>
          </cell>
          <cell r="AC236">
            <v>1030000</v>
          </cell>
          <cell r="AD236">
            <v>48384347</v>
          </cell>
          <cell r="AE236">
            <v>23326140</v>
          </cell>
          <cell r="AF236">
            <v>22709332</v>
          </cell>
          <cell r="AG236">
            <v>0</v>
          </cell>
          <cell r="AH236">
            <v>0</v>
          </cell>
          <cell r="AI236">
            <v>0</v>
          </cell>
          <cell r="AJ236">
            <v>0</v>
          </cell>
          <cell r="AK236">
            <v>469949</v>
          </cell>
          <cell r="AL236">
            <v>1028014</v>
          </cell>
          <cell r="AM236">
            <v>88115</v>
          </cell>
          <cell r="AN236">
            <v>176230</v>
          </cell>
          <cell r="AO236">
            <v>58744</v>
          </cell>
          <cell r="AP236">
            <v>58744</v>
          </cell>
        </row>
        <row r="237">
          <cell r="D237" t="str">
            <v>PA tự thực hiện OCS 100M</v>
          </cell>
          <cell r="G237" t="str">
            <v>Quản lý</v>
          </cell>
          <cell r="I237" t="str">
            <v>NTTT</v>
          </cell>
          <cell r="AC237">
            <v>1130000</v>
          </cell>
          <cell r="AD237">
            <v>38035265</v>
          </cell>
          <cell r="AE237">
            <v>18008236</v>
          </cell>
          <cell r="AF237">
            <v>17451206</v>
          </cell>
          <cell r="AG237">
            <v>0</v>
          </cell>
          <cell r="AH237">
            <v>0</v>
          </cell>
          <cell r="AI237">
            <v>0</v>
          </cell>
          <cell r="AJ237">
            <v>0</v>
          </cell>
          <cell r="AK237">
            <v>424403</v>
          </cell>
          <cell r="AL237">
            <v>928383</v>
          </cell>
          <cell r="AM237">
            <v>79576</v>
          </cell>
          <cell r="AN237">
            <v>159152</v>
          </cell>
          <cell r="AO237">
            <v>53051</v>
          </cell>
          <cell r="AP237">
            <v>53051</v>
          </cell>
        </row>
        <row r="238">
          <cell r="D238" t="str">
            <v>PA tự thực hiện OCS 100M</v>
          </cell>
          <cell r="G238" t="str">
            <v>Quản lý</v>
          </cell>
          <cell r="I238" t="str">
            <v>NTTT</v>
          </cell>
          <cell r="AC238">
            <v>1130000</v>
          </cell>
          <cell r="AD238">
            <v>48484347</v>
          </cell>
          <cell r="AE238">
            <v>23326140</v>
          </cell>
          <cell r="AF238">
            <v>22709332</v>
          </cell>
          <cell r="AG238">
            <v>0</v>
          </cell>
          <cell r="AH238">
            <v>0</v>
          </cell>
          <cell r="AI238">
            <v>0</v>
          </cell>
          <cell r="AJ238">
            <v>0</v>
          </cell>
          <cell r="AK238">
            <v>469949</v>
          </cell>
          <cell r="AL238">
            <v>1028014</v>
          </cell>
          <cell r="AM238">
            <v>88115</v>
          </cell>
          <cell r="AN238">
            <v>176230</v>
          </cell>
          <cell r="AO238">
            <v>58744</v>
          </cell>
          <cell r="AP238">
            <v>58744</v>
          </cell>
        </row>
        <row r="239">
          <cell r="D239" t="str">
            <v>PA tự thực hiện OCS 100M</v>
          </cell>
          <cell r="G239" t="str">
            <v>Quản lý</v>
          </cell>
          <cell r="I239" t="str">
            <v>NTTT</v>
          </cell>
          <cell r="AC239">
            <v>1147000</v>
          </cell>
          <cell r="AD239">
            <v>24870483</v>
          </cell>
          <cell r="AE239">
            <v>13127814</v>
          </cell>
          <cell r="AF239">
            <v>12541347</v>
          </cell>
          <cell r="AG239">
            <v>0</v>
          </cell>
          <cell r="AH239">
            <v>0</v>
          </cell>
          <cell r="AI239">
            <v>0</v>
          </cell>
          <cell r="AJ239">
            <v>0</v>
          </cell>
          <cell r="AK239">
            <v>446831</v>
          </cell>
          <cell r="AL239">
            <v>977443</v>
          </cell>
          <cell r="AM239">
            <v>83782</v>
          </cell>
          <cell r="AN239">
            <v>167561</v>
          </cell>
          <cell r="AO239">
            <v>55854</v>
          </cell>
          <cell r="AP239">
            <v>55854</v>
          </cell>
        </row>
        <row r="240">
          <cell r="D240" t="str">
            <v>PA tự thực hiện OCS 100M</v>
          </cell>
          <cell r="G240" t="str">
            <v>Quản lý</v>
          </cell>
          <cell r="I240" t="str">
            <v>NTTT</v>
          </cell>
          <cell r="AC240">
            <v>930000</v>
          </cell>
          <cell r="AD240">
            <v>25919769</v>
          </cell>
          <cell r="AE240">
            <v>15028185</v>
          </cell>
          <cell r="AF240">
            <v>14460967</v>
          </cell>
          <cell r="AG240">
            <v>0</v>
          </cell>
          <cell r="AH240">
            <v>0</v>
          </cell>
          <cell r="AI240">
            <v>0</v>
          </cell>
          <cell r="AJ240">
            <v>0</v>
          </cell>
          <cell r="AK240">
            <v>432166</v>
          </cell>
          <cell r="AL240">
            <v>945366</v>
          </cell>
          <cell r="AM240">
            <v>81032</v>
          </cell>
          <cell r="AN240">
            <v>162062</v>
          </cell>
          <cell r="AO240">
            <v>54020</v>
          </cell>
          <cell r="AP240">
            <v>54020</v>
          </cell>
        </row>
        <row r="241">
          <cell r="D241" t="str">
            <v>PA tự thực hiện OCS 100M</v>
          </cell>
          <cell r="G241" t="str">
            <v>Quản lý</v>
          </cell>
          <cell r="I241" t="str">
            <v>NTTT</v>
          </cell>
          <cell r="AC241">
            <v>930000</v>
          </cell>
          <cell r="AD241">
            <v>23662039</v>
          </cell>
          <cell r="AE241">
            <v>11689025</v>
          </cell>
          <cell r="AF241">
            <v>11170942</v>
          </cell>
          <cell r="AG241">
            <v>0</v>
          </cell>
          <cell r="AH241">
            <v>0</v>
          </cell>
          <cell r="AI241">
            <v>0</v>
          </cell>
          <cell r="AJ241">
            <v>0</v>
          </cell>
          <cell r="AK241">
            <v>394730</v>
          </cell>
          <cell r="AL241">
            <v>863472</v>
          </cell>
          <cell r="AM241">
            <v>74012</v>
          </cell>
          <cell r="AN241">
            <v>148023</v>
          </cell>
          <cell r="AO241">
            <v>49341</v>
          </cell>
          <cell r="AP241">
            <v>49341</v>
          </cell>
        </row>
        <row r="242">
          <cell r="D242" t="str">
            <v>PA tự thực hiện OCS 100M</v>
          </cell>
          <cell r="G242" t="str">
            <v>Quản lý</v>
          </cell>
          <cell r="I242" t="str">
            <v>NTTT</v>
          </cell>
          <cell r="AC242">
            <v>1047000</v>
          </cell>
          <cell r="AD242">
            <v>25662037</v>
          </cell>
          <cell r="AE242">
            <v>12812622</v>
          </cell>
          <cell r="AF242">
            <v>12321033</v>
          </cell>
          <cell r="AG242">
            <v>0</v>
          </cell>
          <cell r="AH242">
            <v>0</v>
          </cell>
          <cell r="AI242">
            <v>0</v>
          </cell>
          <cell r="AJ242">
            <v>0</v>
          </cell>
          <cell r="AK242">
            <v>374544</v>
          </cell>
          <cell r="AL242">
            <v>819317</v>
          </cell>
          <cell r="AM242">
            <v>70228</v>
          </cell>
          <cell r="AN242">
            <v>140454</v>
          </cell>
          <cell r="AO242">
            <v>46817</v>
          </cell>
          <cell r="AP242">
            <v>46817</v>
          </cell>
        </row>
        <row r="243">
          <cell r="D243" t="str">
            <v>PA tự thực hiện OCS 100M</v>
          </cell>
          <cell r="G243" t="str">
            <v>Quản lý</v>
          </cell>
          <cell r="I243" t="str">
            <v>NTTT</v>
          </cell>
          <cell r="AC243">
            <v>1247000</v>
          </cell>
          <cell r="AD243">
            <v>51337531</v>
          </cell>
          <cell r="AE243">
            <v>26737465</v>
          </cell>
          <cell r="AF243">
            <v>26033932</v>
          </cell>
          <cell r="AG243">
            <v>0</v>
          </cell>
          <cell r="AH243">
            <v>0</v>
          </cell>
          <cell r="AI243">
            <v>0</v>
          </cell>
          <cell r="AJ243">
            <v>0</v>
          </cell>
          <cell r="AK243">
            <v>536025</v>
          </cell>
          <cell r="AL243">
            <v>1172555</v>
          </cell>
          <cell r="AM243">
            <v>100504</v>
          </cell>
          <cell r="AN243">
            <v>201009</v>
          </cell>
          <cell r="AO243">
            <v>67004</v>
          </cell>
          <cell r="AP243">
            <v>67004</v>
          </cell>
        </row>
        <row r="244">
          <cell r="D244" t="str">
            <v>PA tự thực hiện OCS 100M</v>
          </cell>
          <cell r="G244" t="str">
            <v>Quản lý</v>
          </cell>
          <cell r="I244" t="str">
            <v>NTTT</v>
          </cell>
          <cell r="AC244">
            <v>1147000</v>
          </cell>
          <cell r="AD244">
            <v>44315549</v>
          </cell>
          <cell r="AE244">
            <v>19441712</v>
          </cell>
          <cell r="AF244">
            <v>18903703</v>
          </cell>
          <cell r="AG244">
            <v>0</v>
          </cell>
          <cell r="AH244">
            <v>0</v>
          </cell>
          <cell r="AI244">
            <v>0</v>
          </cell>
          <cell r="AJ244">
            <v>0</v>
          </cell>
          <cell r="AK244">
            <v>409911</v>
          </cell>
          <cell r="AL244">
            <v>896681</v>
          </cell>
          <cell r="AM244">
            <v>76858</v>
          </cell>
          <cell r="AN244">
            <v>153717</v>
          </cell>
          <cell r="AO244">
            <v>51240</v>
          </cell>
          <cell r="AP244">
            <v>51240</v>
          </cell>
        </row>
        <row r="245">
          <cell r="D245" t="str">
            <v>PA tự thực hiện OCS 100M</v>
          </cell>
          <cell r="G245" t="str">
            <v>Quản lý</v>
          </cell>
          <cell r="I245" t="str">
            <v>NTTT</v>
          </cell>
          <cell r="AC245">
            <v>1247000</v>
          </cell>
          <cell r="AD245">
            <v>31822365</v>
          </cell>
          <cell r="AE245">
            <v>14766494</v>
          </cell>
          <cell r="AF245">
            <v>14236636</v>
          </cell>
          <cell r="AG245">
            <v>0</v>
          </cell>
          <cell r="AH245">
            <v>0</v>
          </cell>
          <cell r="AI245">
            <v>0</v>
          </cell>
          <cell r="AJ245">
            <v>0</v>
          </cell>
          <cell r="AK245">
            <v>403701</v>
          </cell>
          <cell r="AL245">
            <v>883096</v>
          </cell>
          <cell r="AM245">
            <v>75695</v>
          </cell>
          <cell r="AN245">
            <v>151387</v>
          </cell>
          <cell r="AO245">
            <v>50462</v>
          </cell>
          <cell r="AP245">
            <v>50462</v>
          </cell>
        </row>
        <row r="246">
          <cell r="D246" t="str">
            <v>PA tự thực hiện OCS 100M</v>
          </cell>
          <cell r="G246" t="str">
            <v>Quản lý</v>
          </cell>
          <cell r="I246" t="str">
            <v>NTTT</v>
          </cell>
          <cell r="AC246">
            <v>7637000</v>
          </cell>
          <cell r="AD246">
            <v>36588806</v>
          </cell>
          <cell r="AE246">
            <v>13919419</v>
          </cell>
          <cell r="AF246">
            <v>13389561</v>
          </cell>
          <cell r="AG246">
            <v>0</v>
          </cell>
          <cell r="AH246">
            <v>0</v>
          </cell>
          <cell r="AI246">
            <v>0</v>
          </cell>
          <cell r="AJ246">
            <v>0</v>
          </cell>
          <cell r="AK246">
            <v>403701</v>
          </cell>
          <cell r="AL246">
            <v>883096</v>
          </cell>
          <cell r="AM246">
            <v>75695</v>
          </cell>
          <cell r="AN246">
            <v>151387</v>
          </cell>
          <cell r="AO246">
            <v>50462</v>
          </cell>
          <cell r="AP246">
            <v>50462</v>
          </cell>
        </row>
        <row r="247">
          <cell r="D247" t="str">
            <v>PA tự thực hiện OCS 100M</v>
          </cell>
          <cell r="G247" t="str">
            <v>Quản lý</v>
          </cell>
          <cell r="I247" t="str">
            <v>NTTT</v>
          </cell>
          <cell r="AC247">
            <v>1147000</v>
          </cell>
          <cell r="AD247">
            <v>26938268</v>
          </cell>
          <cell r="AE247">
            <v>12385989</v>
          </cell>
          <cell r="AF247">
            <v>11907758</v>
          </cell>
          <cell r="AG247">
            <v>0</v>
          </cell>
          <cell r="AH247">
            <v>0</v>
          </cell>
          <cell r="AI247">
            <v>0</v>
          </cell>
          <cell r="AJ247">
            <v>0</v>
          </cell>
          <cell r="AK247">
            <v>364367</v>
          </cell>
          <cell r="AL247">
            <v>797051</v>
          </cell>
          <cell r="AM247">
            <v>68318</v>
          </cell>
          <cell r="AN247">
            <v>136637</v>
          </cell>
          <cell r="AO247">
            <v>45546</v>
          </cell>
          <cell r="AP247">
            <v>45546</v>
          </cell>
        </row>
        <row r="248">
          <cell r="D248" t="str">
            <v>PA tự thực hiện OCS 100M</v>
          </cell>
          <cell r="G248" t="str">
            <v>Quản lý</v>
          </cell>
          <cell r="I248" t="str">
            <v>NTTT</v>
          </cell>
          <cell r="AC248">
            <v>1147000</v>
          </cell>
          <cell r="AD248">
            <v>25391428</v>
          </cell>
          <cell r="AE248">
            <v>11524210</v>
          </cell>
          <cell r="AF248">
            <v>11021524</v>
          </cell>
          <cell r="AG248">
            <v>0</v>
          </cell>
          <cell r="AH248">
            <v>0</v>
          </cell>
          <cell r="AI248">
            <v>0</v>
          </cell>
          <cell r="AJ248">
            <v>0</v>
          </cell>
          <cell r="AK248">
            <v>382998</v>
          </cell>
          <cell r="AL248">
            <v>837808</v>
          </cell>
          <cell r="AM248">
            <v>71813</v>
          </cell>
          <cell r="AN248">
            <v>143624</v>
          </cell>
          <cell r="AO248">
            <v>47875</v>
          </cell>
          <cell r="AP248">
            <v>47875</v>
          </cell>
        </row>
        <row r="249">
          <cell r="D249" t="str">
            <v>PA tự thực hiện OCS 100M</v>
          </cell>
          <cell r="G249" t="str">
            <v>Quản lý</v>
          </cell>
          <cell r="I249" t="str">
            <v>NTTT</v>
          </cell>
          <cell r="AC249">
            <v>1047000</v>
          </cell>
          <cell r="AD249">
            <v>17196662</v>
          </cell>
          <cell r="AE249">
            <v>8133256</v>
          </cell>
          <cell r="AF249">
            <v>7688764</v>
          </cell>
          <cell r="AG249">
            <v>0</v>
          </cell>
          <cell r="AH249">
            <v>0</v>
          </cell>
          <cell r="AI249">
            <v>0</v>
          </cell>
          <cell r="AJ249">
            <v>0</v>
          </cell>
          <cell r="AK249">
            <v>338660</v>
          </cell>
          <cell r="AL249">
            <v>740820</v>
          </cell>
          <cell r="AM249">
            <v>63499</v>
          </cell>
          <cell r="AN249">
            <v>126998</v>
          </cell>
          <cell r="AO249">
            <v>42333</v>
          </cell>
          <cell r="AP249">
            <v>42333</v>
          </cell>
        </row>
        <row r="250">
          <cell r="D250" t="str">
            <v>PA tự thực hiện OCS 100M</v>
          </cell>
          <cell r="G250" t="str">
            <v>Quản lý</v>
          </cell>
          <cell r="I250" t="str">
            <v>NTTT</v>
          </cell>
          <cell r="AC250">
            <v>1147000</v>
          </cell>
          <cell r="AD250">
            <v>17147160</v>
          </cell>
          <cell r="AE250">
            <v>8048754</v>
          </cell>
          <cell r="AF250">
            <v>7604262</v>
          </cell>
          <cell r="AG250">
            <v>0</v>
          </cell>
          <cell r="AH250">
            <v>0</v>
          </cell>
          <cell r="AI250">
            <v>0</v>
          </cell>
          <cell r="AJ250">
            <v>0</v>
          </cell>
          <cell r="AK250">
            <v>338660</v>
          </cell>
          <cell r="AL250">
            <v>740820</v>
          </cell>
          <cell r="AM250">
            <v>63499</v>
          </cell>
          <cell r="AN250">
            <v>126998</v>
          </cell>
          <cell r="AO250">
            <v>42333</v>
          </cell>
          <cell r="AP250">
            <v>42333</v>
          </cell>
        </row>
        <row r="251">
          <cell r="D251" t="str">
            <v>PA tự thực hiện OCS 100M</v>
          </cell>
          <cell r="G251" t="str">
            <v>Quản lý</v>
          </cell>
          <cell r="I251" t="str">
            <v>NTTT</v>
          </cell>
          <cell r="AC251">
            <v>1498000</v>
          </cell>
          <cell r="AD251">
            <v>22315584</v>
          </cell>
          <cell r="AE251">
            <v>12307194</v>
          </cell>
          <cell r="AF251">
            <v>11739976</v>
          </cell>
          <cell r="AG251">
            <v>0</v>
          </cell>
          <cell r="AH251">
            <v>0</v>
          </cell>
          <cell r="AI251">
            <v>0</v>
          </cell>
          <cell r="AJ251">
            <v>0</v>
          </cell>
          <cell r="AK251">
            <v>432166</v>
          </cell>
          <cell r="AL251">
            <v>945366</v>
          </cell>
          <cell r="AM251">
            <v>81032</v>
          </cell>
          <cell r="AN251">
            <v>162062</v>
          </cell>
          <cell r="AO251">
            <v>54020</v>
          </cell>
          <cell r="AP251">
            <v>54020</v>
          </cell>
        </row>
        <row r="252">
          <cell r="D252" t="str">
            <v>PA tự thực hiện OCS 100M</v>
          </cell>
          <cell r="G252" t="str">
            <v>Quản lý</v>
          </cell>
          <cell r="I252" t="str">
            <v>NTTT</v>
          </cell>
          <cell r="AC252">
            <v>1047000</v>
          </cell>
          <cell r="AD252">
            <v>17196662</v>
          </cell>
          <cell r="AE252">
            <v>9384526</v>
          </cell>
          <cell r="AF252">
            <v>8871650</v>
          </cell>
          <cell r="AG252">
            <v>0</v>
          </cell>
          <cell r="AH252">
            <v>0</v>
          </cell>
          <cell r="AI252">
            <v>0</v>
          </cell>
          <cell r="AJ252">
            <v>0</v>
          </cell>
          <cell r="AK252">
            <v>390762</v>
          </cell>
          <cell r="AL252">
            <v>854792</v>
          </cell>
          <cell r="AM252">
            <v>73268</v>
          </cell>
          <cell r="AN252">
            <v>146536</v>
          </cell>
          <cell r="AO252">
            <v>48846</v>
          </cell>
          <cell r="AP252">
            <v>48846</v>
          </cell>
        </row>
        <row r="253">
          <cell r="D253" t="str">
            <v>PA tự thực hiện OCS 100M</v>
          </cell>
          <cell r="G253" t="str">
            <v>Quản lý</v>
          </cell>
          <cell r="I253" t="str">
            <v>NTTT</v>
          </cell>
          <cell r="AC253">
            <v>1047000</v>
          </cell>
          <cell r="AD253">
            <v>15498314</v>
          </cell>
          <cell r="AE253">
            <v>8337722</v>
          </cell>
          <cell r="AF253">
            <v>7852018</v>
          </cell>
          <cell r="AG253">
            <v>0</v>
          </cell>
          <cell r="AH253">
            <v>0</v>
          </cell>
          <cell r="AI253">
            <v>0</v>
          </cell>
          <cell r="AJ253">
            <v>0</v>
          </cell>
          <cell r="AK253">
            <v>370060</v>
          </cell>
          <cell r="AL253">
            <v>809504</v>
          </cell>
          <cell r="AM253">
            <v>69386</v>
          </cell>
          <cell r="AN253">
            <v>138772</v>
          </cell>
          <cell r="AO253">
            <v>46258</v>
          </cell>
          <cell r="AP253">
            <v>46258</v>
          </cell>
        </row>
        <row r="254">
          <cell r="D254" t="str">
            <v>PA tự thực hiện OCS 100M</v>
          </cell>
          <cell r="G254" t="str">
            <v>Quản lý</v>
          </cell>
          <cell r="I254" t="str">
            <v>NTTT</v>
          </cell>
          <cell r="AC254">
            <v>1247000</v>
          </cell>
          <cell r="AD254">
            <v>39415549</v>
          </cell>
          <cell r="AE254">
            <v>23250557</v>
          </cell>
          <cell r="AF254">
            <v>22516909</v>
          </cell>
          <cell r="AG254">
            <v>0</v>
          </cell>
          <cell r="AH254">
            <v>0</v>
          </cell>
          <cell r="AI254">
            <v>0</v>
          </cell>
          <cell r="AJ254">
            <v>0</v>
          </cell>
          <cell r="AK254">
            <v>558970</v>
          </cell>
          <cell r="AL254">
            <v>1222748</v>
          </cell>
          <cell r="AM254">
            <v>104806</v>
          </cell>
          <cell r="AN254">
            <v>209614</v>
          </cell>
          <cell r="AO254">
            <v>69872</v>
          </cell>
          <cell r="AP254">
            <v>69872</v>
          </cell>
        </row>
        <row r="255">
          <cell r="D255" t="str">
            <v>PA tự thực hiện OCS 100M</v>
          </cell>
          <cell r="G255" t="str">
            <v>Quản lý</v>
          </cell>
          <cell r="I255" t="str">
            <v>NTTT</v>
          </cell>
          <cell r="AC255">
            <v>1147000</v>
          </cell>
          <cell r="AD255">
            <v>26714444</v>
          </cell>
          <cell r="AE255">
            <v>16431925</v>
          </cell>
          <cell r="AF255">
            <v>15826891</v>
          </cell>
          <cell r="AG255">
            <v>0</v>
          </cell>
          <cell r="AH255">
            <v>0</v>
          </cell>
          <cell r="AI255">
            <v>0</v>
          </cell>
          <cell r="AJ255">
            <v>0</v>
          </cell>
          <cell r="AK255">
            <v>460978</v>
          </cell>
          <cell r="AL255">
            <v>1008390</v>
          </cell>
          <cell r="AM255">
            <v>86434</v>
          </cell>
          <cell r="AN255">
            <v>172866</v>
          </cell>
          <cell r="AO255">
            <v>57622</v>
          </cell>
          <cell r="AP255">
            <v>57622</v>
          </cell>
        </row>
        <row r="256">
          <cell r="D256" t="str">
            <v>PA tự thực hiện OCS 100M</v>
          </cell>
          <cell r="G256" t="str">
            <v>Quản lý</v>
          </cell>
          <cell r="I256" t="str">
            <v>NTTT</v>
          </cell>
          <cell r="AC256">
            <v>1047000</v>
          </cell>
          <cell r="AD256">
            <v>24318199</v>
          </cell>
          <cell r="AE256">
            <v>14899406</v>
          </cell>
          <cell r="AF256">
            <v>14323356</v>
          </cell>
          <cell r="AG256">
            <v>0</v>
          </cell>
          <cell r="AH256">
            <v>0</v>
          </cell>
          <cell r="AI256">
            <v>0</v>
          </cell>
          <cell r="AJ256">
            <v>0</v>
          </cell>
          <cell r="AK256">
            <v>438895</v>
          </cell>
          <cell r="AL256">
            <v>960083</v>
          </cell>
          <cell r="AM256">
            <v>82293</v>
          </cell>
          <cell r="AN256">
            <v>164586</v>
          </cell>
          <cell r="AO256">
            <v>54862</v>
          </cell>
          <cell r="AP256">
            <v>54862</v>
          </cell>
        </row>
        <row r="257">
          <cell r="D257" t="str">
            <v>PA tự thực hiện OCS 100M</v>
          </cell>
          <cell r="G257" t="str">
            <v>Quản lý</v>
          </cell>
          <cell r="I257" t="str">
            <v>NTTT</v>
          </cell>
          <cell r="AC257">
            <v>1147000</v>
          </cell>
          <cell r="AD257">
            <v>18697024</v>
          </cell>
          <cell r="AE257">
            <v>10919458</v>
          </cell>
          <cell r="AF257">
            <v>10343408</v>
          </cell>
          <cell r="AG257">
            <v>0</v>
          </cell>
          <cell r="AH257">
            <v>0</v>
          </cell>
          <cell r="AI257">
            <v>0</v>
          </cell>
          <cell r="AJ257">
            <v>0</v>
          </cell>
          <cell r="AK257">
            <v>438895</v>
          </cell>
          <cell r="AL257">
            <v>960083</v>
          </cell>
          <cell r="AM257">
            <v>82293</v>
          </cell>
          <cell r="AN257">
            <v>164586</v>
          </cell>
          <cell r="AO257">
            <v>54862</v>
          </cell>
          <cell r="AP257">
            <v>54862</v>
          </cell>
        </row>
        <row r="258">
          <cell r="D258" t="str">
            <v>PA tự thực hiện OCS 100M</v>
          </cell>
          <cell r="G258" t="str">
            <v>Quản lý</v>
          </cell>
          <cell r="I258" t="str">
            <v>NTTT</v>
          </cell>
          <cell r="AC258">
            <v>1047000</v>
          </cell>
          <cell r="AD258">
            <v>21810266</v>
          </cell>
          <cell r="AE258">
            <v>13089888</v>
          </cell>
          <cell r="AF258">
            <v>12484854</v>
          </cell>
          <cell r="AG258">
            <v>0</v>
          </cell>
          <cell r="AH258">
            <v>0</v>
          </cell>
          <cell r="AI258">
            <v>0</v>
          </cell>
          <cell r="AJ258">
            <v>0</v>
          </cell>
          <cell r="AK258">
            <v>460978</v>
          </cell>
          <cell r="AL258">
            <v>1008390</v>
          </cell>
          <cell r="AM258">
            <v>86434</v>
          </cell>
          <cell r="AN258">
            <v>172866</v>
          </cell>
          <cell r="AO258">
            <v>57622</v>
          </cell>
          <cell r="AP258">
            <v>57622</v>
          </cell>
        </row>
        <row r="259">
          <cell r="D259" t="str">
            <v>PA tự thực hiện OCS 100M</v>
          </cell>
          <cell r="G259" t="str">
            <v>Quản lý</v>
          </cell>
          <cell r="I259" t="str">
            <v>NTTT</v>
          </cell>
          <cell r="AC259">
            <v>1047000</v>
          </cell>
          <cell r="AD259">
            <v>17903152</v>
          </cell>
          <cell r="AE259">
            <v>10501632</v>
          </cell>
          <cell r="AF259">
            <v>9954565</v>
          </cell>
          <cell r="AG259">
            <v>0</v>
          </cell>
          <cell r="AH259">
            <v>0</v>
          </cell>
          <cell r="AI259">
            <v>0</v>
          </cell>
          <cell r="AJ259">
            <v>0</v>
          </cell>
          <cell r="AK259">
            <v>416813</v>
          </cell>
          <cell r="AL259">
            <v>911778</v>
          </cell>
          <cell r="AM259">
            <v>78152</v>
          </cell>
          <cell r="AN259">
            <v>156305</v>
          </cell>
          <cell r="AO259">
            <v>52102</v>
          </cell>
          <cell r="AP259">
            <v>52102</v>
          </cell>
        </row>
        <row r="260">
          <cell r="D260" t="str">
            <v>PAKD Dịch vụ HTKT cho các Hệ thống đã kinh doanh tại các thị trường năm 2024  (VTNet_Sản phẩm MSC)</v>
          </cell>
          <cell r="G260" t="str">
            <v>SXKD</v>
          </cell>
          <cell r="I260" t="str">
            <v>CNCM</v>
          </cell>
          <cell r="AC260">
            <v>1230000</v>
          </cell>
          <cell r="AD260">
            <v>60451388</v>
          </cell>
          <cell r="AE260">
            <v>7342922</v>
          </cell>
          <cell r="AF260">
            <v>7172416</v>
          </cell>
          <cell r="AG260">
            <v>0</v>
          </cell>
          <cell r="AH260">
            <v>0</v>
          </cell>
          <cell r="AI260">
            <v>0</v>
          </cell>
          <cell r="AJ260">
            <v>0</v>
          </cell>
          <cell r="AK260">
            <v>129909</v>
          </cell>
          <cell r="AL260">
            <v>284176</v>
          </cell>
          <cell r="AM260">
            <v>24358</v>
          </cell>
          <cell r="AN260">
            <v>48716</v>
          </cell>
          <cell r="AO260">
            <v>16239</v>
          </cell>
          <cell r="AP260">
            <v>16239</v>
          </cell>
        </row>
        <row r="261">
          <cell r="D261" t="str">
            <v>PAKD Dịch vụ HTKT cho các Hệ thống đã kinh doanh tại các thị trường năm 2024  (VTNet_Sản phẩm MSC)</v>
          </cell>
          <cell r="G261" t="str">
            <v>SXKD</v>
          </cell>
          <cell r="I261" t="str">
            <v>CNCM</v>
          </cell>
          <cell r="AC261">
            <v>1030000</v>
          </cell>
          <cell r="AD261">
            <v>49948602</v>
          </cell>
          <cell r="AE261">
            <v>6035568</v>
          </cell>
          <cell r="AF261">
            <v>5881366</v>
          </cell>
          <cell r="AG261">
            <v>0</v>
          </cell>
          <cell r="AH261">
            <v>0</v>
          </cell>
          <cell r="AI261">
            <v>0</v>
          </cell>
          <cell r="AJ261">
            <v>0</v>
          </cell>
          <cell r="AK261">
            <v>117487</v>
          </cell>
          <cell r="AL261">
            <v>257003</v>
          </cell>
          <cell r="AM261">
            <v>22029</v>
          </cell>
          <cell r="AN261">
            <v>44058</v>
          </cell>
          <cell r="AO261">
            <v>14686</v>
          </cell>
          <cell r="AP261">
            <v>14686</v>
          </cell>
        </row>
        <row r="262">
          <cell r="D262" t="str">
            <v>PAKD Dịch vụ HTKT cho các Hệ thống đã kinh doanh tại các thị trường năm 2024  (VTNet_Sản phẩm MSC)</v>
          </cell>
          <cell r="G262" t="str">
            <v>SXKD</v>
          </cell>
          <cell r="I262" t="str">
            <v>CNCM</v>
          </cell>
          <cell r="AC262">
            <v>1230000</v>
          </cell>
          <cell r="AD262">
            <v>52057890</v>
          </cell>
          <cell r="AE262">
            <v>6266362</v>
          </cell>
          <cell r="AF262">
            <v>6104009</v>
          </cell>
          <cell r="AG262">
            <v>0</v>
          </cell>
          <cell r="AH262">
            <v>0</v>
          </cell>
          <cell r="AI262">
            <v>0</v>
          </cell>
          <cell r="AJ262">
            <v>0</v>
          </cell>
          <cell r="AK262">
            <v>123698</v>
          </cell>
          <cell r="AL262">
            <v>270590</v>
          </cell>
          <cell r="AM262">
            <v>23193</v>
          </cell>
          <cell r="AN262">
            <v>46387</v>
          </cell>
          <cell r="AO262">
            <v>15462</v>
          </cell>
          <cell r="AP262">
            <v>15462</v>
          </cell>
        </row>
        <row r="263">
          <cell r="D263" t="str">
            <v>PAKD Dịch vụ HTKT cho các Hệ thống đã kinh doanh tại các thị trường năm 2024  (VTNet_Sản phẩm MSC)</v>
          </cell>
          <cell r="G263" t="str">
            <v>SXKD</v>
          </cell>
          <cell r="I263" t="str">
            <v>CNCM</v>
          </cell>
          <cell r="AC263">
            <v>1230000</v>
          </cell>
          <cell r="AD263">
            <v>46301970</v>
          </cell>
          <cell r="AE263">
            <v>5550557</v>
          </cell>
          <cell r="AF263">
            <v>5403828</v>
          </cell>
          <cell r="AG263">
            <v>0</v>
          </cell>
          <cell r="AH263">
            <v>0</v>
          </cell>
          <cell r="AI263">
            <v>0</v>
          </cell>
          <cell r="AJ263">
            <v>0</v>
          </cell>
          <cell r="AK263">
            <v>111794</v>
          </cell>
          <cell r="AL263">
            <v>244550</v>
          </cell>
          <cell r="AM263">
            <v>20961</v>
          </cell>
          <cell r="AN263">
            <v>41923</v>
          </cell>
          <cell r="AO263">
            <v>13974</v>
          </cell>
          <cell r="AP263">
            <v>13974</v>
          </cell>
        </row>
        <row r="264">
          <cell r="D264" t="str">
            <v>PAKD Dịch vụ HTKT cho các Hệ thống đã kinh doanh tại các thị trường năm 2024  (VTNet_Sản phẩm MSC)</v>
          </cell>
          <cell r="G264" t="str">
            <v>SXKD</v>
          </cell>
          <cell r="I264" t="str">
            <v>CNCM</v>
          </cell>
          <cell r="AC264">
            <v>1930000</v>
          </cell>
          <cell r="AD264">
            <v>63894966</v>
          </cell>
          <cell r="AE264">
            <v>7831040</v>
          </cell>
          <cell r="AF264">
            <v>7724916</v>
          </cell>
          <cell r="AG264">
            <v>0</v>
          </cell>
          <cell r="AH264">
            <v>0</v>
          </cell>
          <cell r="AI264">
            <v>0</v>
          </cell>
          <cell r="AJ264">
            <v>0</v>
          </cell>
          <cell r="AK264">
            <v>89368</v>
          </cell>
          <cell r="AL264">
            <v>195492</v>
          </cell>
          <cell r="AM264">
            <v>16756</v>
          </cell>
          <cell r="AN264">
            <v>33513</v>
          </cell>
          <cell r="AO264">
            <v>0</v>
          </cell>
          <cell r="AP264">
            <v>0</v>
          </cell>
        </row>
        <row r="265">
          <cell r="D265" t="str">
            <v>PAKD Dịch vụ HTKT cho các Hệ thống đã kinh doanh tại các thị trường năm 2024  (VTNet_Sản phẩm EPC)</v>
          </cell>
          <cell r="G265" t="str">
            <v>SXKD</v>
          </cell>
          <cell r="I265" t="str">
            <v>CNCM</v>
          </cell>
          <cell r="AC265">
            <v>1030000</v>
          </cell>
          <cell r="AD265">
            <v>30363740</v>
          </cell>
          <cell r="AE265">
            <v>1176557</v>
          </cell>
          <cell r="AF265">
            <v>1132402</v>
          </cell>
          <cell r="AG265">
            <v>0</v>
          </cell>
          <cell r="AH265">
            <v>0</v>
          </cell>
          <cell r="AI265">
            <v>0</v>
          </cell>
          <cell r="AJ265">
            <v>0</v>
          </cell>
          <cell r="AK265">
            <v>33642</v>
          </cell>
          <cell r="AL265">
            <v>73591</v>
          </cell>
          <cell r="AM265">
            <v>6308</v>
          </cell>
          <cell r="AN265">
            <v>12616</v>
          </cell>
          <cell r="AO265">
            <v>4205</v>
          </cell>
          <cell r="AP265">
            <v>4205</v>
          </cell>
        </row>
        <row r="266">
          <cell r="D266" t="str">
            <v>PAKD Dịch vụ HTKT cho các Hệ thống đã kinh doanh tại các thị trường năm 2024  (VTNet_Sản phẩm EPC)</v>
          </cell>
          <cell r="G266" t="str">
            <v>SXKD</v>
          </cell>
          <cell r="I266" t="str">
            <v>CNCM</v>
          </cell>
          <cell r="AC266">
            <v>1930000</v>
          </cell>
          <cell r="AD266">
            <v>63894966</v>
          </cell>
          <cell r="AE266">
            <v>2610347</v>
          </cell>
          <cell r="AF266">
            <v>2574973</v>
          </cell>
          <cell r="AG266">
            <v>0</v>
          </cell>
          <cell r="AH266">
            <v>0</v>
          </cell>
          <cell r="AI266">
            <v>0</v>
          </cell>
          <cell r="AJ266">
            <v>0</v>
          </cell>
          <cell r="AK266">
            <v>29789</v>
          </cell>
          <cell r="AL266">
            <v>65164</v>
          </cell>
          <cell r="AM266">
            <v>5585</v>
          </cell>
          <cell r="AN266">
            <v>11171</v>
          </cell>
          <cell r="AO266">
            <v>0</v>
          </cell>
          <cell r="AP266">
            <v>0</v>
          </cell>
        </row>
        <row r="267">
          <cell r="D267" t="str">
            <v>PAKD Dịch vụ HTKT cho các Hệ thống đã kinh doanh tại các thị trường năm 2024  (VTNet_Sản phẩm EPC)</v>
          </cell>
          <cell r="G267" t="str">
            <v>SXKD</v>
          </cell>
          <cell r="I267" t="str">
            <v>CNCM</v>
          </cell>
          <cell r="AC267">
            <v>1230000</v>
          </cell>
          <cell r="AD267">
            <v>41874328</v>
          </cell>
          <cell r="AE267">
            <v>1657680</v>
          </cell>
          <cell r="AF267">
            <v>1608770</v>
          </cell>
          <cell r="AG267">
            <v>0</v>
          </cell>
          <cell r="AH267">
            <v>0</v>
          </cell>
          <cell r="AI267">
            <v>0</v>
          </cell>
          <cell r="AJ267">
            <v>0</v>
          </cell>
          <cell r="AK267">
            <v>37265</v>
          </cell>
          <cell r="AL267">
            <v>81517</v>
          </cell>
          <cell r="AM267">
            <v>6987</v>
          </cell>
          <cell r="AN267">
            <v>13974</v>
          </cell>
          <cell r="AO267">
            <v>4658</v>
          </cell>
          <cell r="AP267">
            <v>4658</v>
          </cell>
        </row>
        <row r="268">
          <cell r="D268" t="str">
            <v>PAKD Dịch vụ HTKT cho các Hệ thống đã kinh doanh tại các thị trường năm 2024  (VTNet_Sản phẩm EPC)</v>
          </cell>
          <cell r="G268" t="str">
            <v>SXKD</v>
          </cell>
          <cell r="I268" t="str">
            <v>CNCM</v>
          </cell>
          <cell r="AC268">
            <v>1530000</v>
          </cell>
          <cell r="AD268">
            <v>56620531</v>
          </cell>
          <cell r="AE268">
            <v>2274119</v>
          </cell>
          <cell r="AF268">
            <v>2220001</v>
          </cell>
          <cell r="AG268">
            <v>0</v>
          </cell>
          <cell r="AH268">
            <v>0</v>
          </cell>
          <cell r="AI268">
            <v>0</v>
          </cell>
          <cell r="AJ268">
            <v>0</v>
          </cell>
          <cell r="AK268">
            <v>41233</v>
          </cell>
          <cell r="AL268">
            <v>90197</v>
          </cell>
          <cell r="AM268">
            <v>7731</v>
          </cell>
          <cell r="AN268">
            <v>15462</v>
          </cell>
          <cell r="AO268">
            <v>5154</v>
          </cell>
          <cell r="AP268">
            <v>5154</v>
          </cell>
        </row>
        <row r="269">
          <cell r="D269" t="str">
            <v>PAKD Dịch vụ HTKT cho các Hệ thống đã kinh doanh tại các thị trường năm 2024  (VTNet_Sản phẩm EPC)</v>
          </cell>
          <cell r="G269" t="str">
            <v>SXKD</v>
          </cell>
          <cell r="I269" t="str">
            <v>CNCM</v>
          </cell>
          <cell r="AC269">
            <v>1147000</v>
          </cell>
          <cell r="AD269">
            <v>25200834</v>
          </cell>
          <cell r="AE269">
            <v>956625</v>
          </cell>
          <cell r="AF269">
            <v>916773</v>
          </cell>
          <cell r="AG269">
            <v>0</v>
          </cell>
          <cell r="AH269">
            <v>0</v>
          </cell>
          <cell r="AI269">
            <v>0</v>
          </cell>
          <cell r="AJ269">
            <v>0</v>
          </cell>
          <cell r="AK269">
            <v>30364</v>
          </cell>
          <cell r="AL269">
            <v>66421</v>
          </cell>
          <cell r="AM269">
            <v>5693</v>
          </cell>
          <cell r="AN269">
            <v>11386</v>
          </cell>
          <cell r="AO269">
            <v>3795</v>
          </cell>
          <cell r="AP269">
            <v>3795</v>
          </cell>
        </row>
        <row r="270">
          <cell r="D270" t="str">
            <v>PAKD Dịch vụ HTKT cho các Hệ thống đã kinh doanh tại các thị trường năm 2024  (VTNet_Sản phẩm EPC)</v>
          </cell>
          <cell r="G270" t="str">
            <v>SXKD</v>
          </cell>
          <cell r="I270" t="str">
            <v>CNCM</v>
          </cell>
          <cell r="AC270">
            <v>1230000</v>
          </cell>
          <cell r="AD270">
            <v>25642420</v>
          </cell>
          <cell r="AE270">
            <v>967655</v>
          </cell>
          <cell r="AF270">
            <v>925764</v>
          </cell>
          <cell r="AG270">
            <v>0</v>
          </cell>
          <cell r="AH270">
            <v>0</v>
          </cell>
          <cell r="AI270">
            <v>0</v>
          </cell>
          <cell r="AJ270">
            <v>0</v>
          </cell>
          <cell r="AK270">
            <v>31917</v>
          </cell>
          <cell r="AL270">
            <v>69817</v>
          </cell>
          <cell r="AM270">
            <v>5984</v>
          </cell>
          <cell r="AN270">
            <v>11969</v>
          </cell>
          <cell r="AO270">
            <v>3990</v>
          </cell>
          <cell r="AP270">
            <v>3990</v>
          </cell>
        </row>
        <row r="271">
          <cell r="D271" t="str">
            <v>PAKD Dịch vụ HTKT cho các Hệ thống đã kinh doanh tại các thị trường năm 2024  (VTNet_Sản phẩm EPC)</v>
          </cell>
          <cell r="G271" t="str">
            <v>SXKD</v>
          </cell>
          <cell r="I271" t="str">
            <v>CNCM</v>
          </cell>
          <cell r="AC271">
            <v>1230000</v>
          </cell>
          <cell r="AD271">
            <v>62091356</v>
          </cell>
          <cell r="AE271">
            <v>2518943</v>
          </cell>
          <cell r="AF271">
            <v>2462108</v>
          </cell>
          <cell r="AG271">
            <v>0</v>
          </cell>
          <cell r="AH271">
            <v>0</v>
          </cell>
          <cell r="AI271">
            <v>0</v>
          </cell>
          <cell r="AJ271">
            <v>0</v>
          </cell>
          <cell r="AK271">
            <v>43303</v>
          </cell>
          <cell r="AL271">
            <v>94725</v>
          </cell>
          <cell r="AM271">
            <v>8119</v>
          </cell>
          <cell r="AN271">
            <v>16239</v>
          </cell>
          <cell r="AO271">
            <v>5413</v>
          </cell>
          <cell r="AP271">
            <v>5413</v>
          </cell>
        </row>
        <row r="272">
          <cell r="D272" t="str">
            <v>PAKD Dịch vụ HTKT cho các Hệ thống đã kinh doanh tại các thị trường năm 2024  (VTNet_Sản phẩm EPC)</v>
          </cell>
          <cell r="G272" t="str">
            <v>SXKD</v>
          </cell>
          <cell r="I272" t="str">
            <v>CNCM</v>
          </cell>
          <cell r="AC272">
            <v>1030000</v>
          </cell>
          <cell r="AD272">
            <v>29878795</v>
          </cell>
          <cell r="AE272">
            <v>1155473</v>
          </cell>
          <cell r="AF272">
            <v>1111318</v>
          </cell>
          <cell r="AG272">
            <v>0</v>
          </cell>
          <cell r="AH272">
            <v>0</v>
          </cell>
          <cell r="AI272">
            <v>0</v>
          </cell>
          <cell r="AJ272">
            <v>0</v>
          </cell>
          <cell r="AK272">
            <v>33642</v>
          </cell>
          <cell r="AL272">
            <v>73591</v>
          </cell>
          <cell r="AM272">
            <v>6308</v>
          </cell>
          <cell r="AN272">
            <v>12616</v>
          </cell>
          <cell r="AO272">
            <v>4205</v>
          </cell>
          <cell r="AP272">
            <v>4205</v>
          </cell>
        </row>
        <row r="273">
          <cell r="D273" t="str">
            <v>PAKD Dịch vụ HTKT cho các Hệ thống đã kinh doanh tại các thị trường năm 2024  (VTNet_Sản phẩm EPC)</v>
          </cell>
          <cell r="G273" t="str">
            <v>SXKD</v>
          </cell>
          <cell r="I273" t="str">
            <v>CNCM</v>
          </cell>
          <cell r="AC273">
            <v>1130000</v>
          </cell>
          <cell r="AD273">
            <v>47939160</v>
          </cell>
          <cell r="AE273">
            <v>1920141</v>
          </cell>
          <cell r="AF273">
            <v>1868741</v>
          </cell>
          <cell r="AG273">
            <v>0</v>
          </cell>
          <cell r="AH273">
            <v>0</v>
          </cell>
          <cell r="AI273">
            <v>0</v>
          </cell>
          <cell r="AJ273">
            <v>0</v>
          </cell>
          <cell r="AK273">
            <v>39162</v>
          </cell>
          <cell r="AL273">
            <v>85668</v>
          </cell>
          <cell r="AM273">
            <v>7343</v>
          </cell>
          <cell r="AN273">
            <v>14686</v>
          </cell>
          <cell r="AO273">
            <v>4895</v>
          </cell>
          <cell r="AP273">
            <v>4895</v>
          </cell>
        </row>
        <row r="274">
          <cell r="D274" t="str">
            <v>PAKD Dịch vụ HTKT cho các Hệ thống đã kinh doanh tại các thị trường năm 2024  (VTNet_Sản phẩm EPC)</v>
          </cell>
          <cell r="G274" t="str">
            <v>SXKD</v>
          </cell>
          <cell r="I274" t="str">
            <v>CNCM</v>
          </cell>
          <cell r="AC274">
            <v>1398000</v>
          </cell>
          <cell r="AD274">
            <v>35071768</v>
          </cell>
          <cell r="AE274">
            <v>1365254</v>
          </cell>
          <cell r="AF274">
            <v>1321099</v>
          </cell>
          <cell r="AG274">
            <v>0</v>
          </cell>
          <cell r="AH274">
            <v>0</v>
          </cell>
          <cell r="AI274">
            <v>0</v>
          </cell>
          <cell r="AJ274">
            <v>0</v>
          </cell>
          <cell r="AK274">
            <v>33642</v>
          </cell>
          <cell r="AL274">
            <v>73591</v>
          </cell>
          <cell r="AM274">
            <v>6308</v>
          </cell>
          <cell r="AN274">
            <v>12616</v>
          </cell>
          <cell r="AO274">
            <v>4205</v>
          </cell>
          <cell r="AP274">
            <v>4205</v>
          </cell>
        </row>
        <row r="275">
          <cell r="D275" t="str">
            <v>PAKD Dịch vụ HTKT cho các Hệ thống đã kinh doanh tại các thị trường năm 2024  (VTNet_Sản phẩm EPC)</v>
          </cell>
          <cell r="G275" t="str">
            <v>SXKD</v>
          </cell>
          <cell r="I275" t="str">
            <v>CNCM</v>
          </cell>
          <cell r="AC275">
            <v>1030000</v>
          </cell>
          <cell r="AD275">
            <v>39198549</v>
          </cell>
          <cell r="AE275">
            <v>1550037</v>
          </cell>
          <cell r="AF275">
            <v>1501127</v>
          </cell>
          <cell r="AG275">
            <v>0</v>
          </cell>
          <cell r="AH275">
            <v>0</v>
          </cell>
          <cell r="AI275">
            <v>0</v>
          </cell>
          <cell r="AJ275">
            <v>0</v>
          </cell>
          <cell r="AK275">
            <v>37265</v>
          </cell>
          <cell r="AL275">
            <v>81517</v>
          </cell>
          <cell r="AM275">
            <v>6987</v>
          </cell>
          <cell r="AN275">
            <v>13974</v>
          </cell>
          <cell r="AO275">
            <v>4658</v>
          </cell>
          <cell r="AP275">
            <v>4658</v>
          </cell>
        </row>
        <row r="276">
          <cell r="D276" t="str">
            <v>PAKD Dịch vụ HTKT cho các Hệ thống đã kinh doanh tại các thị trường năm 2024  (VTNet_Sản phẩm EPC)</v>
          </cell>
          <cell r="G276" t="str">
            <v>SXKD</v>
          </cell>
          <cell r="I276" t="str">
            <v>CNCM</v>
          </cell>
          <cell r="AC276">
            <v>1030000</v>
          </cell>
          <cell r="AD276">
            <v>30263490</v>
          </cell>
          <cell r="AE276">
            <v>1172199</v>
          </cell>
          <cell r="AF276">
            <v>1128044</v>
          </cell>
          <cell r="AG276">
            <v>0</v>
          </cell>
          <cell r="AH276">
            <v>0</v>
          </cell>
          <cell r="AI276">
            <v>0</v>
          </cell>
          <cell r="AJ276">
            <v>0</v>
          </cell>
          <cell r="AK276">
            <v>33642</v>
          </cell>
          <cell r="AL276">
            <v>73591</v>
          </cell>
          <cell r="AM276">
            <v>6308</v>
          </cell>
          <cell r="AN276">
            <v>12616</v>
          </cell>
          <cell r="AO276">
            <v>4205</v>
          </cell>
          <cell r="AP276">
            <v>4205</v>
          </cell>
        </row>
        <row r="277">
          <cell r="D277" t="str">
            <v>PAKD Dịch vụ HTKT cho các Hệ thống đã kinh doanh tại các thị trường năm 2024  (VTNet_Sản phẩm EPC)</v>
          </cell>
          <cell r="G277" t="str">
            <v>SXKD</v>
          </cell>
          <cell r="I277" t="str">
            <v>CNCM</v>
          </cell>
          <cell r="AC277">
            <v>1247000</v>
          </cell>
          <cell r="AD277">
            <v>46485599</v>
          </cell>
          <cell r="AE277">
            <v>1851856</v>
          </cell>
          <cell r="AF277">
            <v>1800456</v>
          </cell>
          <cell r="AG277">
            <v>0</v>
          </cell>
          <cell r="AH277">
            <v>0</v>
          </cell>
          <cell r="AI277">
            <v>0</v>
          </cell>
          <cell r="AJ277">
            <v>0</v>
          </cell>
          <cell r="AK277">
            <v>39162</v>
          </cell>
          <cell r="AL277">
            <v>85668</v>
          </cell>
          <cell r="AM277">
            <v>7343</v>
          </cell>
          <cell r="AN277">
            <v>14686</v>
          </cell>
          <cell r="AO277">
            <v>4895</v>
          </cell>
          <cell r="AP277">
            <v>4895</v>
          </cell>
        </row>
        <row r="278">
          <cell r="D278" t="str">
            <v>PAKD Dịch vụ HTKT cho các Hệ thống đã kinh doanh tại các thị trường năm 2024  (VTNet_Sản phẩm EPC)</v>
          </cell>
          <cell r="G278" t="str">
            <v>SXKD</v>
          </cell>
          <cell r="I278" t="str">
            <v>CNCM</v>
          </cell>
          <cell r="AC278">
            <v>1147000</v>
          </cell>
          <cell r="AD278">
            <v>23542633</v>
          </cell>
          <cell r="AE278">
            <v>884529</v>
          </cell>
          <cell r="AF278">
            <v>844677</v>
          </cell>
          <cell r="AG278">
            <v>0</v>
          </cell>
          <cell r="AH278">
            <v>0</v>
          </cell>
          <cell r="AI278">
            <v>0</v>
          </cell>
          <cell r="AJ278">
            <v>0</v>
          </cell>
          <cell r="AK278">
            <v>30364</v>
          </cell>
          <cell r="AL278">
            <v>66421</v>
          </cell>
          <cell r="AM278">
            <v>5693</v>
          </cell>
          <cell r="AN278">
            <v>11386</v>
          </cell>
          <cell r="AO278">
            <v>3795</v>
          </cell>
          <cell r="AP278">
            <v>3795</v>
          </cell>
        </row>
        <row r="279">
          <cell r="D279" t="str">
            <v>PAKD Dịch vụ HTKT cho các Hệ thống đã kinh doanh tại các thị trường năm 2024  (VTNet_Sản phẩm EPC)</v>
          </cell>
          <cell r="G279" t="str">
            <v>SXKD</v>
          </cell>
          <cell r="I279" t="str">
            <v>CNCM</v>
          </cell>
          <cell r="AC279">
            <v>1147000</v>
          </cell>
          <cell r="AD279">
            <v>23028994</v>
          </cell>
          <cell r="AE279">
            <v>862197</v>
          </cell>
          <cell r="AF279">
            <v>822345</v>
          </cell>
          <cell r="AG279">
            <v>0</v>
          </cell>
          <cell r="AH279">
            <v>0</v>
          </cell>
          <cell r="AI279">
            <v>0</v>
          </cell>
          <cell r="AJ279">
            <v>0</v>
          </cell>
          <cell r="AK279">
            <v>30364</v>
          </cell>
          <cell r="AL279">
            <v>66421</v>
          </cell>
          <cell r="AM279">
            <v>5693</v>
          </cell>
          <cell r="AN279">
            <v>11386</v>
          </cell>
          <cell r="AO279">
            <v>3795</v>
          </cell>
          <cell r="AP279">
            <v>3795</v>
          </cell>
        </row>
        <row r="280">
          <cell r="D280" t="str">
            <v>PAKD Dịch vụ HTKT cho các Hệ thống đã kinh doanh tại các thị trường năm 2024  (VTNet_Sản phẩm SMSC)</v>
          </cell>
          <cell r="G280" t="str">
            <v>SXKD</v>
          </cell>
          <cell r="I280" t="str">
            <v>ĐPT</v>
          </cell>
          <cell r="AC280">
            <v>930000</v>
          </cell>
          <cell r="AD280">
            <v>32408299</v>
          </cell>
          <cell r="AE280">
            <v>10158393</v>
          </cell>
          <cell r="AF280">
            <v>9805154</v>
          </cell>
          <cell r="AG280">
            <v>0</v>
          </cell>
          <cell r="AH280">
            <v>0</v>
          </cell>
          <cell r="AI280">
            <v>0</v>
          </cell>
          <cell r="AJ280">
            <v>0</v>
          </cell>
          <cell r="AK280">
            <v>269134</v>
          </cell>
          <cell r="AL280">
            <v>588730</v>
          </cell>
          <cell r="AM280">
            <v>50463</v>
          </cell>
          <cell r="AN280">
            <v>100925</v>
          </cell>
          <cell r="AO280">
            <v>33642</v>
          </cell>
          <cell r="AP280">
            <v>33642</v>
          </cell>
        </row>
        <row r="281">
          <cell r="D281" t="str">
            <v>PAKD Dịch vụ HTKT cho các Hệ thống đã kinh doanh tại các thị trường năm 2024  (VTNet_Sản phẩm SMSC)</v>
          </cell>
          <cell r="G281" t="str">
            <v>SXKD</v>
          </cell>
          <cell r="I281" t="str">
            <v>ĐPT</v>
          </cell>
          <cell r="AC281">
            <v>1430000</v>
          </cell>
          <cell r="AD281">
            <v>43858330</v>
          </cell>
          <cell r="AE281">
            <v>12146715</v>
          </cell>
          <cell r="AF281">
            <v>11804345</v>
          </cell>
          <cell r="AG281">
            <v>0</v>
          </cell>
          <cell r="AH281">
            <v>0</v>
          </cell>
          <cell r="AI281">
            <v>0</v>
          </cell>
          <cell r="AJ281">
            <v>0</v>
          </cell>
          <cell r="AK281">
            <v>260853</v>
          </cell>
          <cell r="AL281">
            <v>570616</v>
          </cell>
          <cell r="AM281">
            <v>48910</v>
          </cell>
          <cell r="AN281">
            <v>97820</v>
          </cell>
          <cell r="AO281">
            <v>32607</v>
          </cell>
          <cell r="AP281">
            <v>32607</v>
          </cell>
        </row>
        <row r="282">
          <cell r="D282" t="str">
            <v>PAKD Dịch vụ HTKT cho các Hệ thống đã kinh doanh tại các thị trường năm 2024  (VTNet_Sản phẩm SMSC)</v>
          </cell>
          <cell r="G282" t="str">
            <v>SXKD</v>
          </cell>
          <cell r="I282" t="str">
            <v>ĐPT</v>
          </cell>
          <cell r="AC282">
            <v>930000</v>
          </cell>
          <cell r="AD282">
            <v>15796808</v>
          </cell>
          <cell r="AE282">
            <v>2869565</v>
          </cell>
          <cell r="AF282">
            <v>2707664</v>
          </cell>
          <cell r="AG282">
            <v>0</v>
          </cell>
          <cell r="AH282">
            <v>0</v>
          </cell>
          <cell r="AI282">
            <v>0</v>
          </cell>
          <cell r="AJ282">
            <v>0</v>
          </cell>
          <cell r="AK282">
            <v>123353</v>
          </cell>
          <cell r="AL282">
            <v>269835</v>
          </cell>
          <cell r="AM282">
            <v>23129</v>
          </cell>
          <cell r="AN282">
            <v>46257</v>
          </cell>
          <cell r="AO282">
            <v>15419</v>
          </cell>
          <cell r="AP282">
            <v>15419</v>
          </cell>
        </row>
        <row r="283">
          <cell r="D283" t="str">
            <v>PAKD Dịch vụ HTKT cho các Hệ thống đã kinh doanh tại các thị trường năm 2024  (VTNet_Sản phẩm SMSC)</v>
          </cell>
          <cell r="G283" t="str">
            <v>SXKD</v>
          </cell>
          <cell r="I283" t="str">
            <v>ĐPT</v>
          </cell>
          <cell r="AC283">
            <v>1347000</v>
          </cell>
          <cell r="AD283">
            <v>54892495</v>
          </cell>
          <cell r="AE283">
            <v>22069440</v>
          </cell>
          <cell r="AF283">
            <v>21528261</v>
          </cell>
          <cell r="AG283">
            <v>0</v>
          </cell>
          <cell r="AH283">
            <v>0</v>
          </cell>
          <cell r="AI283">
            <v>0</v>
          </cell>
          <cell r="AJ283">
            <v>0</v>
          </cell>
          <cell r="AK283">
            <v>412327</v>
          </cell>
          <cell r="AL283">
            <v>901965</v>
          </cell>
          <cell r="AM283">
            <v>77311</v>
          </cell>
          <cell r="AN283">
            <v>154623</v>
          </cell>
          <cell r="AO283">
            <v>51541</v>
          </cell>
          <cell r="AP283">
            <v>51541</v>
          </cell>
        </row>
        <row r="284">
          <cell r="D284" t="str">
            <v>PAKD Dịch vụ HTKT cho các Hệ thống đã kinh doanh tại các thị trường năm 2024 (Natcom_Sản phẩm IMS/SMSC)</v>
          </cell>
          <cell r="G284" t="str">
            <v>SXKD</v>
          </cell>
          <cell r="I284" t="str">
            <v>ĐPT</v>
          </cell>
          <cell r="AC284">
            <v>930000</v>
          </cell>
          <cell r="AD284">
            <v>32408299</v>
          </cell>
          <cell r="AE284">
            <v>1269799</v>
          </cell>
          <cell r="AF284">
            <v>1225644</v>
          </cell>
          <cell r="AG284">
            <v>0</v>
          </cell>
          <cell r="AH284">
            <v>0</v>
          </cell>
          <cell r="AI284">
            <v>0</v>
          </cell>
          <cell r="AJ284">
            <v>0</v>
          </cell>
          <cell r="AK284">
            <v>33642</v>
          </cell>
          <cell r="AL284">
            <v>73591</v>
          </cell>
          <cell r="AM284">
            <v>6308</v>
          </cell>
          <cell r="AN284">
            <v>12616</v>
          </cell>
          <cell r="AO284">
            <v>4205</v>
          </cell>
          <cell r="AP284">
            <v>4205</v>
          </cell>
        </row>
        <row r="285">
          <cell r="D285" t="str">
            <v>PAKD Dịch vụ HTKT cho các Hệ thống đã kinh doanh tại các thị trường năm 2024 (Natcom_Sản phẩm IMS/SMSC)</v>
          </cell>
          <cell r="G285" t="str">
            <v>SXKD</v>
          </cell>
          <cell r="I285" t="str">
            <v>ĐPT</v>
          </cell>
          <cell r="AC285">
            <v>1430000</v>
          </cell>
          <cell r="AD285">
            <v>43858330</v>
          </cell>
          <cell r="AE285">
            <v>1735245</v>
          </cell>
          <cell r="AF285">
            <v>1686335</v>
          </cell>
          <cell r="AG285">
            <v>0</v>
          </cell>
          <cell r="AH285">
            <v>0</v>
          </cell>
          <cell r="AI285">
            <v>0</v>
          </cell>
          <cell r="AJ285">
            <v>0</v>
          </cell>
          <cell r="AK285">
            <v>37265</v>
          </cell>
          <cell r="AL285">
            <v>81517</v>
          </cell>
          <cell r="AM285">
            <v>6987</v>
          </cell>
          <cell r="AN285">
            <v>13974</v>
          </cell>
          <cell r="AO285">
            <v>4658</v>
          </cell>
          <cell r="AP285">
            <v>4658</v>
          </cell>
        </row>
        <row r="286">
          <cell r="D286" t="str">
            <v>PAKD Dịch vụ HTKT cho các Hệ thống đã kinh doanh tại các thị trường năm 2024 (Metfone_Sản phẩm SMSC)</v>
          </cell>
          <cell r="G286" t="str">
            <v>SXKD</v>
          </cell>
          <cell r="I286" t="str">
            <v>ĐPT</v>
          </cell>
          <cell r="AC286">
            <v>1430000</v>
          </cell>
          <cell r="AD286">
            <v>43858330</v>
          </cell>
          <cell r="AE286">
            <v>3470490</v>
          </cell>
          <cell r="AF286">
            <v>3372671</v>
          </cell>
          <cell r="AG286">
            <v>0</v>
          </cell>
          <cell r="AH286">
            <v>0</v>
          </cell>
          <cell r="AI286">
            <v>0</v>
          </cell>
          <cell r="AJ286">
            <v>0</v>
          </cell>
          <cell r="AK286">
            <v>74529</v>
          </cell>
          <cell r="AL286">
            <v>163033</v>
          </cell>
          <cell r="AM286">
            <v>13974</v>
          </cell>
          <cell r="AN286">
            <v>27949</v>
          </cell>
          <cell r="AO286">
            <v>9316</v>
          </cell>
          <cell r="AP286">
            <v>9316</v>
          </cell>
        </row>
        <row r="287">
          <cell r="D287" t="str">
            <v>PAKD Dịch vụ HTKT cho các Hệ thống đã kinh doanh tại các thị trường năm 2024 (Metfone_Sản phẩm SMSC)</v>
          </cell>
          <cell r="G287" t="str">
            <v>SXKD</v>
          </cell>
          <cell r="I287" t="str">
            <v>ĐPT</v>
          </cell>
          <cell r="AC287">
            <v>1030000</v>
          </cell>
          <cell r="AD287">
            <v>26464066</v>
          </cell>
          <cell r="AE287">
            <v>2024148</v>
          </cell>
          <cell r="AF287">
            <v>1940367</v>
          </cell>
          <cell r="AG287">
            <v>0</v>
          </cell>
          <cell r="AH287">
            <v>0</v>
          </cell>
          <cell r="AI287">
            <v>0</v>
          </cell>
          <cell r="AJ287">
            <v>0</v>
          </cell>
          <cell r="AK287">
            <v>63833</v>
          </cell>
          <cell r="AL287">
            <v>139635</v>
          </cell>
          <cell r="AM287">
            <v>11969</v>
          </cell>
          <cell r="AN287">
            <v>23937</v>
          </cell>
          <cell r="AO287">
            <v>7979</v>
          </cell>
          <cell r="AP287">
            <v>7979</v>
          </cell>
        </row>
        <row r="288">
          <cell r="D288" t="str">
            <v>PAKD Dịch vụ HTKT cho các Hệ thống đã kinh doanh tại các thị trường năm 2024 (Metfone_Sản phẩm SMSC)</v>
          </cell>
          <cell r="G288" t="str">
            <v>SXKD</v>
          </cell>
          <cell r="I288" t="str">
            <v>ĐPT</v>
          </cell>
          <cell r="AC288">
            <v>1047000</v>
          </cell>
          <cell r="AD288">
            <v>13970773</v>
          </cell>
          <cell r="AE288">
            <v>985961</v>
          </cell>
          <cell r="AF288">
            <v>924370</v>
          </cell>
          <cell r="AG288">
            <v>0</v>
          </cell>
          <cell r="AH288">
            <v>0</v>
          </cell>
          <cell r="AI288">
            <v>0</v>
          </cell>
          <cell r="AJ288">
            <v>0</v>
          </cell>
          <cell r="AK288">
            <v>46926</v>
          </cell>
          <cell r="AL288">
            <v>102650</v>
          </cell>
          <cell r="AM288">
            <v>8799</v>
          </cell>
          <cell r="AN288">
            <v>17597</v>
          </cell>
          <cell r="AO288">
            <v>5866</v>
          </cell>
          <cell r="AP288">
            <v>5866</v>
          </cell>
        </row>
        <row r="289">
          <cell r="D289" t="str">
            <v>PAKD Dịch vụ HTKT cho các Hệ thống đã kinh doanh tại các thị trường năm 2024  (Mytel_Sản phẩm SMSC)</v>
          </cell>
          <cell r="G289" t="str">
            <v>SXKD</v>
          </cell>
          <cell r="I289" t="str">
            <v>ĐPT</v>
          </cell>
          <cell r="AC289">
            <v>1430000</v>
          </cell>
          <cell r="AD289">
            <v>43858330</v>
          </cell>
          <cell r="AE289">
            <v>1735245</v>
          </cell>
          <cell r="AF289">
            <v>1686335</v>
          </cell>
          <cell r="AG289">
            <v>0</v>
          </cell>
          <cell r="AH289">
            <v>0</v>
          </cell>
          <cell r="AI289">
            <v>0</v>
          </cell>
          <cell r="AJ289">
            <v>0</v>
          </cell>
          <cell r="AK289">
            <v>37265</v>
          </cell>
          <cell r="AL289">
            <v>81517</v>
          </cell>
          <cell r="AM289">
            <v>6987</v>
          </cell>
          <cell r="AN289">
            <v>13974</v>
          </cell>
          <cell r="AO289">
            <v>4658</v>
          </cell>
          <cell r="AP289">
            <v>4658</v>
          </cell>
        </row>
        <row r="290">
          <cell r="D290" t="str">
            <v>PAKD Dịch vụ HTKT cho các Hệ thống đã kinh doanh tại các thị trường năm 2024  (Mytel_Sản phẩm SMSC)</v>
          </cell>
          <cell r="G290" t="str">
            <v>SXKD</v>
          </cell>
          <cell r="I290" t="str">
            <v>ĐPT</v>
          </cell>
          <cell r="AC290">
            <v>1030000</v>
          </cell>
          <cell r="AD290">
            <v>26464066</v>
          </cell>
          <cell r="AE290">
            <v>1012074</v>
          </cell>
          <cell r="AF290">
            <v>970183</v>
          </cell>
          <cell r="AG290">
            <v>0</v>
          </cell>
          <cell r="AH290">
            <v>0</v>
          </cell>
          <cell r="AI290">
            <v>0</v>
          </cell>
          <cell r="AJ290">
            <v>0</v>
          </cell>
          <cell r="AK290">
            <v>31917</v>
          </cell>
          <cell r="AL290">
            <v>69817</v>
          </cell>
          <cell r="AM290">
            <v>5984</v>
          </cell>
          <cell r="AN290">
            <v>11969</v>
          </cell>
          <cell r="AO290">
            <v>3990</v>
          </cell>
          <cell r="AP290">
            <v>3990</v>
          </cell>
        </row>
        <row r="291">
          <cell r="D291" t="str">
            <v>PAKD Dịch vụ HTKT cho các Hệ thống đã kinh doanh tại các thị trường năm 2024  (Mytel_Sản phẩm SMSC)</v>
          </cell>
          <cell r="G291" t="str">
            <v>SXKD</v>
          </cell>
          <cell r="I291" t="str">
            <v>ĐPT</v>
          </cell>
          <cell r="AC291">
            <v>930000</v>
          </cell>
          <cell r="AD291">
            <v>15796808</v>
          </cell>
          <cell r="AE291">
            <v>573913</v>
          </cell>
          <cell r="AF291">
            <v>541532</v>
          </cell>
          <cell r="AG291">
            <v>0</v>
          </cell>
          <cell r="AH291">
            <v>0</v>
          </cell>
          <cell r="AI291">
            <v>0</v>
          </cell>
          <cell r="AJ291">
            <v>0</v>
          </cell>
          <cell r="AK291">
            <v>24671</v>
          </cell>
          <cell r="AL291">
            <v>53967</v>
          </cell>
          <cell r="AM291">
            <v>4626</v>
          </cell>
          <cell r="AN291">
            <v>9251</v>
          </cell>
          <cell r="AO291">
            <v>3084</v>
          </cell>
          <cell r="AP291">
            <v>3084</v>
          </cell>
        </row>
        <row r="292">
          <cell r="D292" t="str">
            <v>PAKD Dịch vụ HTKT cho các Hệ thống đã kinh doanh tại các thị trường năm 2024  (VTNet_Sản phẩm IMS)</v>
          </cell>
          <cell r="G292" t="str">
            <v>SXKD</v>
          </cell>
          <cell r="I292" t="str">
            <v>ĐPT</v>
          </cell>
          <cell r="AC292">
            <v>1730000</v>
          </cell>
          <cell r="AD292">
            <v>106332214</v>
          </cell>
          <cell r="AE292">
            <v>17762249</v>
          </cell>
          <cell r="AF292">
            <v>17580930</v>
          </cell>
          <cell r="AG292">
            <v>0</v>
          </cell>
          <cell r="AH292">
            <v>0</v>
          </cell>
          <cell r="AI292">
            <v>0</v>
          </cell>
          <cell r="AJ292">
            <v>0</v>
          </cell>
          <cell r="AK292">
            <v>152690</v>
          </cell>
          <cell r="AL292">
            <v>334010</v>
          </cell>
          <cell r="AM292">
            <v>28629</v>
          </cell>
          <cell r="AN292">
            <v>57259</v>
          </cell>
          <cell r="AO292">
            <v>0</v>
          </cell>
          <cell r="AP292">
            <v>0</v>
          </cell>
        </row>
        <row r="293">
          <cell r="D293" t="str">
            <v>PAKD Dịch vụ HTKT cho các Hệ thống đã kinh doanh tại các thị trường năm 2024  (VTNet_Sản phẩm IMS)</v>
          </cell>
          <cell r="G293" t="str">
            <v>SXKD</v>
          </cell>
          <cell r="I293" t="str">
            <v>ĐPT</v>
          </cell>
          <cell r="AC293">
            <v>1030000</v>
          </cell>
          <cell r="AD293">
            <v>40709982</v>
          </cell>
          <cell r="AE293">
            <v>6463006</v>
          </cell>
          <cell r="AF293">
            <v>6267366</v>
          </cell>
          <cell r="AG293">
            <v>0</v>
          </cell>
          <cell r="AH293">
            <v>0</v>
          </cell>
          <cell r="AI293">
            <v>0</v>
          </cell>
          <cell r="AJ293">
            <v>0</v>
          </cell>
          <cell r="AK293">
            <v>149059</v>
          </cell>
          <cell r="AL293">
            <v>326066</v>
          </cell>
          <cell r="AM293">
            <v>27949</v>
          </cell>
          <cell r="AN293">
            <v>55897</v>
          </cell>
          <cell r="AO293">
            <v>18632</v>
          </cell>
          <cell r="AP293">
            <v>18632</v>
          </cell>
        </row>
        <row r="294">
          <cell r="D294" t="str">
            <v>PAKD Dịch vụ HTKT cho các Hệ thống đã kinh doanh tại các thị trường năm 2024  (VTNet_Sản phẩm IMS)</v>
          </cell>
          <cell r="G294" t="str">
            <v>SXKD</v>
          </cell>
          <cell r="I294" t="str">
            <v>ĐPT</v>
          </cell>
          <cell r="AC294">
            <v>1130000</v>
          </cell>
          <cell r="AD294">
            <v>36978771</v>
          </cell>
          <cell r="AE294">
            <v>5819007</v>
          </cell>
          <cell r="AF294">
            <v>5633331</v>
          </cell>
          <cell r="AG294">
            <v>0</v>
          </cell>
          <cell r="AH294">
            <v>0</v>
          </cell>
          <cell r="AI294">
            <v>0</v>
          </cell>
          <cell r="AJ294">
            <v>0</v>
          </cell>
          <cell r="AK294">
            <v>141468</v>
          </cell>
          <cell r="AL294">
            <v>309461</v>
          </cell>
          <cell r="AM294">
            <v>26525</v>
          </cell>
          <cell r="AN294">
            <v>53050</v>
          </cell>
          <cell r="AO294">
            <v>17683</v>
          </cell>
          <cell r="AP294">
            <v>17683</v>
          </cell>
        </row>
        <row r="295">
          <cell r="D295" t="str">
            <v>PAKD Dịch vụ HTKT cho các Hệ thống đã kinh doanh tại các thị trường năm 2024  (VTNet_Sản phẩm IMS)</v>
          </cell>
          <cell r="G295" t="str">
            <v>SXKD</v>
          </cell>
          <cell r="I295" t="str">
            <v>ĐPT</v>
          </cell>
          <cell r="AC295">
            <v>1030000</v>
          </cell>
          <cell r="AD295">
            <v>44198549</v>
          </cell>
          <cell r="AE295">
            <v>7069714</v>
          </cell>
          <cell r="AF295">
            <v>6874074</v>
          </cell>
          <cell r="AG295">
            <v>0</v>
          </cell>
          <cell r="AH295">
            <v>0</v>
          </cell>
          <cell r="AI295">
            <v>0</v>
          </cell>
          <cell r="AJ295">
            <v>0</v>
          </cell>
          <cell r="AK295">
            <v>149059</v>
          </cell>
          <cell r="AL295">
            <v>326066</v>
          </cell>
          <cell r="AM295">
            <v>27949</v>
          </cell>
          <cell r="AN295">
            <v>55897</v>
          </cell>
          <cell r="AO295">
            <v>18632</v>
          </cell>
          <cell r="AP295">
            <v>18632</v>
          </cell>
        </row>
        <row r="296">
          <cell r="D296" t="str">
            <v>PAKD Dịch vụ HTKT cho các Hệ thống đã kinh doanh tại các thị trường năm 2024  (VTNet_Sản phẩm IMS)</v>
          </cell>
          <cell r="G296" t="str">
            <v>SXKD</v>
          </cell>
          <cell r="I296" t="str">
            <v>ĐPT</v>
          </cell>
          <cell r="AC296">
            <v>930000</v>
          </cell>
          <cell r="AD296">
            <v>29527628</v>
          </cell>
          <cell r="AE296">
            <v>4578210</v>
          </cell>
          <cell r="AF296">
            <v>4401591</v>
          </cell>
          <cell r="AG296">
            <v>0</v>
          </cell>
          <cell r="AH296">
            <v>0</v>
          </cell>
          <cell r="AI296">
            <v>0</v>
          </cell>
          <cell r="AJ296">
            <v>0</v>
          </cell>
          <cell r="AK296">
            <v>134567</v>
          </cell>
          <cell r="AL296">
            <v>294365</v>
          </cell>
          <cell r="AM296">
            <v>25231</v>
          </cell>
          <cell r="AN296">
            <v>50463</v>
          </cell>
          <cell r="AO296">
            <v>16821</v>
          </cell>
          <cell r="AP296">
            <v>16821</v>
          </cell>
        </row>
        <row r="297">
          <cell r="D297" t="str">
            <v>PAKD Dịch vụ HTKT cho các Hệ thống đã kinh doanh tại các thị trường năm 2024  (VTNet_Sản phẩm IMS)</v>
          </cell>
          <cell r="G297" t="str">
            <v>SXKD</v>
          </cell>
          <cell r="I297" t="str">
            <v>ĐPT</v>
          </cell>
          <cell r="AC297">
            <v>1047000</v>
          </cell>
          <cell r="AD297">
            <v>28635964</v>
          </cell>
          <cell r="AE297">
            <v>4402790</v>
          </cell>
          <cell r="AF297">
            <v>4226171</v>
          </cell>
          <cell r="AG297">
            <v>0</v>
          </cell>
          <cell r="AH297">
            <v>0</v>
          </cell>
          <cell r="AI297">
            <v>0</v>
          </cell>
          <cell r="AJ297">
            <v>0</v>
          </cell>
          <cell r="AK297">
            <v>134567</v>
          </cell>
          <cell r="AL297">
            <v>294365</v>
          </cell>
          <cell r="AM297">
            <v>25231</v>
          </cell>
          <cell r="AN297">
            <v>50463</v>
          </cell>
          <cell r="AO297">
            <v>16821</v>
          </cell>
          <cell r="AP297">
            <v>16821</v>
          </cell>
        </row>
        <row r="298">
          <cell r="D298" t="str">
            <v>PAKD Dịch vụ HTKT cho các Hệ thống đã kinh doanh tại các thị trường năm 2024  (VTNet_Sản phẩm IMS)</v>
          </cell>
          <cell r="G298" t="str">
            <v>SXKD</v>
          </cell>
          <cell r="I298" t="str">
            <v>ĐPT</v>
          </cell>
          <cell r="AC298">
            <v>1030000</v>
          </cell>
          <cell r="AD298">
            <v>54176088</v>
          </cell>
          <cell r="AE298">
            <v>8758314</v>
          </cell>
          <cell r="AF298">
            <v>8541842</v>
          </cell>
          <cell r="AG298">
            <v>0</v>
          </cell>
          <cell r="AH298">
            <v>0</v>
          </cell>
          <cell r="AI298">
            <v>0</v>
          </cell>
          <cell r="AJ298">
            <v>0</v>
          </cell>
          <cell r="AK298">
            <v>164931</v>
          </cell>
          <cell r="AL298">
            <v>360786</v>
          </cell>
          <cell r="AM298">
            <v>30925</v>
          </cell>
          <cell r="AN298">
            <v>61849</v>
          </cell>
          <cell r="AO298">
            <v>20616</v>
          </cell>
          <cell r="AP298">
            <v>20616</v>
          </cell>
        </row>
        <row r="299">
          <cell r="D299" t="str">
            <v>PAKD Dịch vụ HTKT cho các Hệ thống đã kinh doanh tại các thị trường năm 2024  (VTNet_Sản phẩm IMS)</v>
          </cell>
          <cell r="G299" t="str">
            <v>SXKD</v>
          </cell>
          <cell r="I299" t="str">
            <v>ĐPT</v>
          </cell>
          <cell r="AC299">
            <v>1130000</v>
          </cell>
          <cell r="AD299">
            <v>61621686</v>
          </cell>
          <cell r="AE299">
            <v>10035809</v>
          </cell>
          <cell r="AF299">
            <v>9819337</v>
          </cell>
          <cell r="AG299">
            <v>0</v>
          </cell>
          <cell r="AH299">
            <v>0</v>
          </cell>
          <cell r="AI299">
            <v>0</v>
          </cell>
          <cell r="AJ299">
            <v>0</v>
          </cell>
          <cell r="AK299">
            <v>164931</v>
          </cell>
          <cell r="AL299">
            <v>360786</v>
          </cell>
          <cell r="AM299">
            <v>30925</v>
          </cell>
          <cell r="AN299">
            <v>61849</v>
          </cell>
          <cell r="AO299">
            <v>20616</v>
          </cell>
          <cell r="AP299">
            <v>20616</v>
          </cell>
        </row>
        <row r="300">
          <cell r="D300" t="str">
            <v>PAKD Dịch vụ HTKT cho các Hệ thống đã kinh doanh tại các thị trường năm 2024  (VTNet_Sản phẩm IMS)</v>
          </cell>
          <cell r="G300" t="str">
            <v>SXKD</v>
          </cell>
          <cell r="I300" t="str">
            <v>ĐPT</v>
          </cell>
          <cell r="AC300">
            <v>1130000</v>
          </cell>
          <cell r="AD300">
            <v>51368599</v>
          </cell>
          <cell r="AE300">
            <v>8276989</v>
          </cell>
          <cell r="AF300">
            <v>8071386</v>
          </cell>
          <cell r="AG300">
            <v>0</v>
          </cell>
          <cell r="AH300">
            <v>0</v>
          </cell>
          <cell r="AI300">
            <v>0</v>
          </cell>
          <cell r="AJ300">
            <v>0</v>
          </cell>
          <cell r="AK300">
            <v>156650</v>
          </cell>
          <cell r="AL300">
            <v>342671</v>
          </cell>
          <cell r="AM300">
            <v>29372</v>
          </cell>
          <cell r="AN300">
            <v>58744</v>
          </cell>
          <cell r="AO300">
            <v>19581</v>
          </cell>
          <cell r="AP300">
            <v>19581</v>
          </cell>
        </row>
        <row r="301">
          <cell r="D301" t="str">
            <v>PAKD Dịch vụ HTKT cho các Hệ thống đã kinh doanh tại các thị trường năm 2024  (VTNet_Sản phẩm IMS)</v>
          </cell>
          <cell r="G301" t="str">
            <v>SXKD</v>
          </cell>
          <cell r="I301" t="str">
            <v>ĐPT</v>
          </cell>
          <cell r="AC301">
            <v>1481000</v>
          </cell>
          <cell r="AD301">
            <v>24431114</v>
          </cell>
          <cell r="AE301">
            <v>3634549</v>
          </cell>
          <cell r="AF301">
            <v>3475139</v>
          </cell>
          <cell r="AG301">
            <v>0</v>
          </cell>
          <cell r="AH301">
            <v>0</v>
          </cell>
          <cell r="AI301">
            <v>0</v>
          </cell>
          <cell r="AJ301">
            <v>0</v>
          </cell>
          <cell r="AK301">
            <v>121455</v>
          </cell>
          <cell r="AL301">
            <v>265683</v>
          </cell>
          <cell r="AM301">
            <v>22773</v>
          </cell>
          <cell r="AN301">
            <v>45546</v>
          </cell>
          <cell r="AO301">
            <v>15182</v>
          </cell>
          <cell r="AP301">
            <v>15182</v>
          </cell>
        </row>
        <row r="302">
          <cell r="D302" t="str">
            <v>PAKD Dịch vụ HTKT cho các Hệ thống đã kinh doanh tại các thị trường năm 2024  (VTNet_Sản phẩm IMS)</v>
          </cell>
          <cell r="G302" t="str">
            <v>SXKD</v>
          </cell>
          <cell r="I302" t="str">
            <v>ĐPT</v>
          </cell>
          <cell r="AC302">
            <v>1047000</v>
          </cell>
          <cell r="AD302">
            <v>29171984</v>
          </cell>
          <cell r="AE302">
            <v>4496011</v>
          </cell>
          <cell r="AF302">
            <v>4319392</v>
          </cell>
          <cell r="AG302">
            <v>0</v>
          </cell>
          <cell r="AH302">
            <v>0</v>
          </cell>
          <cell r="AI302">
            <v>0</v>
          </cell>
          <cell r="AJ302">
            <v>0</v>
          </cell>
          <cell r="AK302">
            <v>134567</v>
          </cell>
          <cell r="AL302">
            <v>294365</v>
          </cell>
          <cell r="AM302">
            <v>25231</v>
          </cell>
          <cell r="AN302">
            <v>50463</v>
          </cell>
          <cell r="AO302">
            <v>16821</v>
          </cell>
          <cell r="AP302">
            <v>16821</v>
          </cell>
        </row>
        <row r="303">
          <cell r="D303" t="str">
            <v>PAKD Dịch vụ HTKT cho các Hệ thống đã kinh doanh tại các thị trường năm 2024  (VTNet_Sản phẩm IMS)</v>
          </cell>
          <cell r="G303" t="str">
            <v>SXKD</v>
          </cell>
          <cell r="I303" t="str">
            <v>ĐPT</v>
          </cell>
          <cell r="AC303">
            <v>1615000</v>
          </cell>
          <cell r="AD303">
            <v>30186668</v>
          </cell>
          <cell r="AE303">
            <v>4573695</v>
          </cell>
          <cell r="AF303">
            <v>4397076</v>
          </cell>
          <cell r="AG303">
            <v>0</v>
          </cell>
          <cell r="AH303">
            <v>0</v>
          </cell>
          <cell r="AI303">
            <v>0</v>
          </cell>
          <cell r="AJ303">
            <v>0</v>
          </cell>
          <cell r="AK303">
            <v>134567</v>
          </cell>
          <cell r="AL303">
            <v>294365</v>
          </cell>
          <cell r="AM303">
            <v>25231</v>
          </cell>
          <cell r="AN303">
            <v>50463</v>
          </cell>
          <cell r="AO303">
            <v>16821</v>
          </cell>
          <cell r="AP303">
            <v>16821</v>
          </cell>
        </row>
        <row r="304">
          <cell r="D304" t="str">
            <v>PAKD Dịch vụ HTKT cho các Hệ thống đã kinh doanh tại các thị trường năm 2024  (VTNet_Sản phẩm IMS)</v>
          </cell>
          <cell r="G304" t="str">
            <v>SXKD</v>
          </cell>
          <cell r="I304" t="str">
            <v>ĐPT</v>
          </cell>
          <cell r="AC304">
            <v>1030000</v>
          </cell>
          <cell r="AD304">
            <v>26464066</v>
          </cell>
          <cell r="AE304">
            <v>4048297</v>
          </cell>
          <cell r="AF304">
            <v>3880736</v>
          </cell>
          <cell r="AG304">
            <v>0</v>
          </cell>
          <cell r="AH304">
            <v>0</v>
          </cell>
          <cell r="AI304">
            <v>0</v>
          </cell>
          <cell r="AJ304">
            <v>0</v>
          </cell>
          <cell r="AK304">
            <v>127666</v>
          </cell>
          <cell r="AL304">
            <v>279270</v>
          </cell>
          <cell r="AM304">
            <v>23937</v>
          </cell>
          <cell r="AN304">
            <v>47875</v>
          </cell>
          <cell r="AO304">
            <v>15958</v>
          </cell>
          <cell r="AP304">
            <v>15958</v>
          </cell>
        </row>
        <row r="305">
          <cell r="D305" t="str">
            <v>PAKD Dịch vụ HTKT cho các Hệ thống đã kinh doanh tại các thị trường năm 2024  (VTNet_Sản phẩm IMS)</v>
          </cell>
          <cell r="G305" t="str">
            <v>SXKD</v>
          </cell>
          <cell r="I305" t="str">
            <v>ĐPT</v>
          </cell>
          <cell r="AC305">
            <v>1047000</v>
          </cell>
          <cell r="AD305">
            <v>13970773</v>
          </cell>
          <cell r="AE305">
            <v>1971923</v>
          </cell>
          <cell r="AF305">
            <v>1848743</v>
          </cell>
          <cell r="AG305">
            <v>0</v>
          </cell>
          <cell r="AH305">
            <v>0</v>
          </cell>
          <cell r="AI305">
            <v>0</v>
          </cell>
          <cell r="AJ305">
            <v>0</v>
          </cell>
          <cell r="AK305">
            <v>93852</v>
          </cell>
          <cell r="AL305">
            <v>205301</v>
          </cell>
          <cell r="AM305">
            <v>17597</v>
          </cell>
          <cell r="AN305">
            <v>35194</v>
          </cell>
          <cell r="AO305">
            <v>11731</v>
          </cell>
          <cell r="AP305">
            <v>11731</v>
          </cell>
        </row>
        <row r="306">
          <cell r="D306" t="str">
            <v>PAKD Dịch vụ HTKT cho các Hệ thống đã kinh doanh tại các thị trường năm 2024  (VTNet_Sản phẩm IMS)</v>
          </cell>
          <cell r="G306" t="str">
            <v>SXKD</v>
          </cell>
          <cell r="I306" t="str">
            <v>ĐPT</v>
          </cell>
          <cell r="AC306">
            <v>930000</v>
          </cell>
          <cell r="AD306">
            <v>15796808</v>
          </cell>
          <cell r="AE306">
            <v>2295652</v>
          </cell>
          <cell r="AF306">
            <v>2166132</v>
          </cell>
          <cell r="AG306">
            <v>0</v>
          </cell>
          <cell r="AH306">
            <v>0</v>
          </cell>
          <cell r="AI306">
            <v>0</v>
          </cell>
          <cell r="AJ306">
            <v>0</v>
          </cell>
          <cell r="AK306">
            <v>98682</v>
          </cell>
          <cell r="AL306">
            <v>215868</v>
          </cell>
          <cell r="AM306">
            <v>18503</v>
          </cell>
          <cell r="AN306">
            <v>37006</v>
          </cell>
          <cell r="AO306">
            <v>12335</v>
          </cell>
          <cell r="AP306">
            <v>12335</v>
          </cell>
        </row>
        <row r="307">
          <cell r="D307" t="str">
            <v>Dự án đầu tư phát triển nền tảng ngôi nhà thông minh (Smarthome Platform)</v>
          </cell>
          <cell r="G307" t="str">
            <v>Quản lý</v>
          </cell>
          <cell r="I307" t="str">
            <v>Camera</v>
          </cell>
          <cell r="AC307">
            <v>1730000</v>
          </cell>
          <cell r="AD307">
            <v>91943435</v>
          </cell>
          <cell r="AE307">
            <v>86349487</v>
          </cell>
          <cell r="AF307">
            <v>84764277</v>
          </cell>
          <cell r="AG307">
            <v>0</v>
          </cell>
          <cell r="AH307">
            <v>0</v>
          </cell>
          <cell r="AI307">
            <v>0</v>
          </cell>
          <cell r="AJ307">
            <v>0</v>
          </cell>
          <cell r="AK307">
            <v>1585210</v>
          </cell>
          <cell r="AL307">
            <v>3467646</v>
          </cell>
          <cell r="AM307">
            <v>0</v>
          </cell>
          <cell r="AN307">
            <v>0</v>
          </cell>
          <cell r="AO307">
            <v>0</v>
          </cell>
          <cell r="AP307">
            <v>0</v>
          </cell>
        </row>
        <row r="308">
          <cell r="D308" t="str">
            <v>Dự án đầu tư phát triển nền tảng ngôi nhà thông minh (Smarthome Platform)</v>
          </cell>
          <cell r="G308" t="str">
            <v>Quản lý</v>
          </cell>
          <cell r="I308" t="str">
            <v>Camera</v>
          </cell>
          <cell r="AC308">
            <v>1230000</v>
          </cell>
          <cell r="AD308">
            <v>83857778</v>
          </cell>
          <cell r="AE308">
            <v>80384888</v>
          </cell>
          <cell r="AF308">
            <v>79437890</v>
          </cell>
          <cell r="AG308">
            <v>0</v>
          </cell>
          <cell r="AH308">
            <v>0</v>
          </cell>
          <cell r="AI308">
            <v>0</v>
          </cell>
          <cell r="AJ308">
            <v>0</v>
          </cell>
          <cell r="AK308">
            <v>797472</v>
          </cell>
          <cell r="AL308">
            <v>1744470</v>
          </cell>
          <cell r="AM308">
            <v>149526</v>
          </cell>
          <cell r="AN308">
            <v>299052</v>
          </cell>
          <cell r="AO308">
            <v>0</v>
          </cell>
          <cell r="AP308">
            <v>0</v>
          </cell>
        </row>
        <row r="309">
          <cell r="D309" t="str">
            <v>Dự án đầu tư phát triển nền tảng ngôi nhà thông minh (Smarthome Platform)</v>
          </cell>
          <cell r="G309" t="str">
            <v>Quản lý</v>
          </cell>
          <cell r="I309" t="str">
            <v>Camera</v>
          </cell>
          <cell r="AC309">
            <v>1230000</v>
          </cell>
          <cell r="AD309">
            <v>84163226</v>
          </cell>
          <cell r="AE309">
            <v>79692858</v>
          </cell>
          <cell r="AF309">
            <v>78245034</v>
          </cell>
          <cell r="AG309">
            <v>0</v>
          </cell>
          <cell r="AH309">
            <v>0</v>
          </cell>
          <cell r="AI309">
            <v>0</v>
          </cell>
          <cell r="AJ309">
            <v>0</v>
          </cell>
          <cell r="AK309">
            <v>1103104</v>
          </cell>
          <cell r="AL309">
            <v>2413040</v>
          </cell>
          <cell r="AM309">
            <v>206832</v>
          </cell>
          <cell r="AN309">
            <v>413664</v>
          </cell>
          <cell r="AO309">
            <v>137888</v>
          </cell>
          <cell r="AP309">
            <v>137888</v>
          </cell>
        </row>
        <row r="310">
          <cell r="D310" t="str">
            <v>Dự án đầu tư phát triển nền tảng ngôi nhà thông minh (Smarthome Platform)</v>
          </cell>
          <cell r="G310" t="str">
            <v>Quản lý</v>
          </cell>
          <cell r="I310" t="str">
            <v>Camera</v>
          </cell>
          <cell r="AC310">
            <v>1030000</v>
          </cell>
          <cell r="AD310">
            <v>47770401</v>
          </cell>
          <cell r="AE310">
            <v>43954617</v>
          </cell>
          <cell r="AF310">
            <v>42709905</v>
          </cell>
          <cell r="AG310">
            <v>0</v>
          </cell>
          <cell r="AH310">
            <v>0</v>
          </cell>
          <cell r="AI310">
            <v>0</v>
          </cell>
          <cell r="AJ310">
            <v>0</v>
          </cell>
          <cell r="AK310">
            <v>948352</v>
          </cell>
          <cell r="AL310">
            <v>2074520</v>
          </cell>
          <cell r="AM310">
            <v>177816</v>
          </cell>
          <cell r="AN310">
            <v>355632</v>
          </cell>
          <cell r="AO310">
            <v>118544</v>
          </cell>
          <cell r="AP310">
            <v>118544</v>
          </cell>
        </row>
        <row r="311">
          <cell r="D311" t="str">
            <v>Dự án đầu tư phát triển nền tảng ngôi nhà thông minh (Smarthome Platform)</v>
          </cell>
          <cell r="G311" t="str">
            <v>Quản lý</v>
          </cell>
          <cell r="I311" t="str">
            <v>Camera</v>
          </cell>
          <cell r="AC311">
            <v>1030000</v>
          </cell>
          <cell r="AD311">
            <v>42733608</v>
          </cell>
          <cell r="AE311">
            <v>32370971</v>
          </cell>
          <cell r="AF311">
            <v>31441683</v>
          </cell>
          <cell r="AG311">
            <v>0</v>
          </cell>
          <cell r="AH311">
            <v>0</v>
          </cell>
          <cell r="AI311">
            <v>0</v>
          </cell>
          <cell r="AJ311">
            <v>0</v>
          </cell>
          <cell r="AK311">
            <v>708029</v>
          </cell>
          <cell r="AL311">
            <v>1548814</v>
          </cell>
          <cell r="AM311">
            <v>132755</v>
          </cell>
          <cell r="AN311">
            <v>265511</v>
          </cell>
          <cell r="AO311">
            <v>88504</v>
          </cell>
          <cell r="AP311">
            <v>88504</v>
          </cell>
        </row>
        <row r="312">
          <cell r="D312" t="str">
            <v>Dự án đầu tư phát triển nền tảng ngôi nhà thông minh (Smarthome Platform)</v>
          </cell>
          <cell r="G312" t="str">
            <v>Quản lý</v>
          </cell>
          <cell r="I312" t="str">
            <v>Camera</v>
          </cell>
          <cell r="AC312">
            <v>1030000</v>
          </cell>
          <cell r="AD312">
            <v>51120531</v>
          </cell>
          <cell r="AE312">
            <v>47304747</v>
          </cell>
          <cell r="AF312">
            <v>46060035</v>
          </cell>
          <cell r="AG312">
            <v>0</v>
          </cell>
          <cell r="AH312">
            <v>0</v>
          </cell>
          <cell r="AI312">
            <v>0</v>
          </cell>
          <cell r="AJ312">
            <v>0</v>
          </cell>
          <cell r="AK312">
            <v>948352</v>
          </cell>
          <cell r="AL312">
            <v>2074520</v>
          </cell>
          <cell r="AM312">
            <v>177816</v>
          </cell>
          <cell r="AN312">
            <v>355632</v>
          </cell>
          <cell r="AO312">
            <v>118544</v>
          </cell>
          <cell r="AP312">
            <v>118544</v>
          </cell>
        </row>
        <row r="313">
          <cell r="D313" t="str">
            <v>Dự án đầu tư phát triển nền tảng ngôi nhà thông minh (Smarthome Platform)</v>
          </cell>
          <cell r="G313" t="str">
            <v>Quản lý</v>
          </cell>
          <cell r="I313" t="str">
            <v>Camera</v>
          </cell>
          <cell r="AC313">
            <v>1030000</v>
          </cell>
          <cell r="AD313">
            <v>56120531</v>
          </cell>
          <cell r="AE313">
            <v>40934150</v>
          </cell>
          <cell r="AF313">
            <v>39960027</v>
          </cell>
          <cell r="AG313">
            <v>0</v>
          </cell>
          <cell r="AH313">
            <v>0</v>
          </cell>
          <cell r="AI313">
            <v>0</v>
          </cell>
          <cell r="AJ313">
            <v>0</v>
          </cell>
          <cell r="AK313">
            <v>742189</v>
          </cell>
          <cell r="AL313">
            <v>1623537</v>
          </cell>
          <cell r="AM313">
            <v>139160</v>
          </cell>
          <cell r="AN313">
            <v>278321</v>
          </cell>
          <cell r="AO313">
            <v>92774</v>
          </cell>
          <cell r="AP313">
            <v>92774</v>
          </cell>
        </row>
        <row r="314">
          <cell r="D314" t="str">
            <v>Dự án đầu tư phát triển nền tảng ngôi nhà thông minh (Smarthome Platform)</v>
          </cell>
          <cell r="G314" t="str">
            <v>Quản lý</v>
          </cell>
          <cell r="I314" t="str">
            <v>Camera</v>
          </cell>
          <cell r="AC314">
            <v>930000</v>
          </cell>
          <cell r="AD314">
            <v>17275656</v>
          </cell>
          <cell r="AE314">
            <v>12048974</v>
          </cell>
          <cell r="AF314">
            <v>11399332</v>
          </cell>
          <cell r="AG314">
            <v>0</v>
          </cell>
          <cell r="AH314">
            <v>0</v>
          </cell>
          <cell r="AI314">
            <v>0</v>
          </cell>
          <cell r="AJ314">
            <v>0</v>
          </cell>
          <cell r="AK314">
            <v>494965</v>
          </cell>
          <cell r="AL314">
            <v>1082736</v>
          </cell>
          <cell r="AM314">
            <v>92806</v>
          </cell>
          <cell r="AN314">
            <v>185612</v>
          </cell>
          <cell r="AO314">
            <v>61871</v>
          </cell>
          <cell r="AP314">
            <v>61871</v>
          </cell>
        </row>
        <row r="315">
          <cell r="D315" t="str">
            <v>Dự án đầu tư phát triển nền tảng ngôi nhà thông minh (Smarthome Platform)</v>
          </cell>
          <cell r="G315" t="str">
            <v>Quản lý</v>
          </cell>
          <cell r="I315" t="str">
            <v>Camera</v>
          </cell>
          <cell r="AC315">
            <v>1230000</v>
          </cell>
          <cell r="AD315">
            <v>70918607</v>
          </cell>
          <cell r="AE315">
            <v>66611423</v>
          </cell>
          <cell r="AF315">
            <v>65236511</v>
          </cell>
          <cell r="AG315">
            <v>0</v>
          </cell>
          <cell r="AH315">
            <v>0</v>
          </cell>
          <cell r="AI315">
            <v>0</v>
          </cell>
          <cell r="AJ315">
            <v>0</v>
          </cell>
          <cell r="AK315">
            <v>1047552</v>
          </cell>
          <cell r="AL315">
            <v>2291520</v>
          </cell>
          <cell r="AM315">
            <v>196416</v>
          </cell>
          <cell r="AN315">
            <v>392832</v>
          </cell>
          <cell r="AO315">
            <v>130944</v>
          </cell>
          <cell r="AP315">
            <v>130944</v>
          </cell>
        </row>
        <row r="316">
          <cell r="D316" t="str">
            <v>Dự án đầu tư phát triển nền tảng ngôi nhà thông minh (Smarthome Platform)</v>
          </cell>
          <cell r="G316" t="str">
            <v>Quản lý</v>
          </cell>
          <cell r="I316" t="str">
            <v>Camera</v>
          </cell>
          <cell r="AC316">
            <v>1030000</v>
          </cell>
          <cell r="AD316">
            <v>53702968</v>
          </cell>
          <cell r="AE316">
            <v>49887184</v>
          </cell>
          <cell r="AF316">
            <v>48642472</v>
          </cell>
          <cell r="AG316">
            <v>0</v>
          </cell>
          <cell r="AH316">
            <v>0</v>
          </cell>
          <cell r="AI316">
            <v>0</v>
          </cell>
          <cell r="AJ316">
            <v>0</v>
          </cell>
          <cell r="AK316">
            <v>948352</v>
          </cell>
          <cell r="AL316">
            <v>2074520</v>
          </cell>
          <cell r="AM316">
            <v>177816</v>
          </cell>
          <cell r="AN316">
            <v>355632</v>
          </cell>
          <cell r="AO316">
            <v>118544</v>
          </cell>
          <cell r="AP316">
            <v>118544</v>
          </cell>
        </row>
        <row r="317">
          <cell r="D317" t="str">
            <v>Dự án đầu tư phát triển nền tảng ngôi nhà thông minh (Smarthome Platform)</v>
          </cell>
          <cell r="G317" t="str">
            <v>Quản lý</v>
          </cell>
          <cell r="I317" t="str">
            <v>Camera</v>
          </cell>
          <cell r="AC317">
            <v>930000</v>
          </cell>
          <cell r="AD317">
            <v>17994124</v>
          </cell>
          <cell r="AE317">
            <v>15210820</v>
          </cell>
          <cell r="AF317">
            <v>14382748</v>
          </cell>
          <cell r="AG317">
            <v>0</v>
          </cell>
          <cell r="AH317">
            <v>0</v>
          </cell>
          <cell r="AI317">
            <v>0</v>
          </cell>
          <cell r="AJ317">
            <v>0</v>
          </cell>
          <cell r="AK317">
            <v>630912</v>
          </cell>
          <cell r="AL317">
            <v>1380120</v>
          </cell>
          <cell r="AM317">
            <v>118296</v>
          </cell>
          <cell r="AN317">
            <v>236592</v>
          </cell>
          <cell r="AO317">
            <v>78864</v>
          </cell>
          <cell r="AP317">
            <v>78864</v>
          </cell>
        </row>
        <row r="318">
          <cell r="D318" t="str">
            <v>Dự án đầu tư phát triển nền tảng ngôi nhà thông minh (Smarthome Platform)</v>
          </cell>
          <cell r="G318" t="str">
            <v>Quản lý</v>
          </cell>
          <cell r="I318" t="str">
            <v>Camera</v>
          </cell>
          <cell r="AC318">
            <v>1030000</v>
          </cell>
          <cell r="AD318">
            <v>22938825</v>
          </cell>
          <cell r="AE318">
            <v>19962273</v>
          </cell>
          <cell r="AF318">
            <v>19092537</v>
          </cell>
          <cell r="AG318">
            <v>0</v>
          </cell>
          <cell r="AH318">
            <v>0</v>
          </cell>
          <cell r="AI318">
            <v>0</v>
          </cell>
          <cell r="AJ318">
            <v>0</v>
          </cell>
          <cell r="AK318">
            <v>662656</v>
          </cell>
          <cell r="AL318">
            <v>1449560</v>
          </cell>
          <cell r="AM318">
            <v>124248</v>
          </cell>
          <cell r="AN318">
            <v>248496</v>
          </cell>
          <cell r="AO318">
            <v>82832</v>
          </cell>
          <cell r="AP318">
            <v>82832</v>
          </cell>
        </row>
        <row r="319">
          <cell r="D319" t="str">
            <v>Dự án đầu tư phát triển nền tảng ngôi nhà thông minh (Smarthome Platform)</v>
          </cell>
          <cell r="G319" t="str">
            <v>Quản lý</v>
          </cell>
          <cell r="I319" t="str">
            <v>Camera</v>
          </cell>
          <cell r="AC319">
            <v>930000</v>
          </cell>
          <cell r="AD319">
            <v>31712296</v>
          </cell>
          <cell r="AE319">
            <v>28509376</v>
          </cell>
          <cell r="AF319">
            <v>27493816</v>
          </cell>
          <cell r="AG319">
            <v>0</v>
          </cell>
          <cell r="AH319">
            <v>0</v>
          </cell>
          <cell r="AI319">
            <v>0</v>
          </cell>
          <cell r="AJ319">
            <v>0</v>
          </cell>
          <cell r="AK319">
            <v>773760</v>
          </cell>
          <cell r="AL319">
            <v>1692600</v>
          </cell>
          <cell r="AM319">
            <v>145080</v>
          </cell>
          <cell r="AN319">
            <v>290160</v>
          </cell>
          <cell r="AO319">
            <v>96720</v>
          </cell>
          <cell r="AP319">
            <v>96720</v>
          </cell>
        </row>
        <row r="320">
          <cell r="D320" t="str">
            <v>Dự án đầu tư phát triển nền tảng ngôi nhà thông minh (Smarthome Platform)</v>
          </cell>
          <cell r="G320" t="str">
            <v>Quản lý</v>
          </cell>
          <cell r="I320" t="str">
            <v>Camera</v>
          </cell>
          <cell r="AC320">
            <v>930000</v>
          </cell>
          <cell r="AD320">
            <v>23386676</v>
          </cell>
          <cell r="AE320">
            <v>20405220</v>
          </cell>
          <cell r="AF320">
            <v>19488612</v>
          </cell>
          <cell r="AG320">
            <v>0</v>
          </cell>
          <cell r="AH320">
            <v>0</v>
          </cell>
          <cell r="AI320">
            <v>0</v>
          </cell>
          <cell r="AJ320">
            <v>0</v>
          </cell>
          <cell r="AK320">
            <v>698368</v>
          </cell>
          <cell r="AL320">
            <v>1527680</v>
          </cell>
          <cell r="AM320">
            <v>130944</v>
          </cell>
          <cell r="AN320">
            <v>261888</v>
          </cell>
          <cell r="AO320">
            <v>87296</v>
          </cell>
          <cell r="AP320">
            <v>87296</v>
          </cell>
        </row>
        <row r="321">
          <cell r="D321" t="str">
            <v>Dự án đầu tư phát triển nền tảng ngôi nhà thông minh (Smarthome Platform)</v>
          </cell>
          <cell r="G321" t="str">
            <v>Quản lý</v>
          </cell>
          <cell r="I321" t="str">
            <v>Camera</v>
          </cell>
          <cell r="AC321">
            <v>930000</v>
          </cell>
          <cell r="AD321">
            <v>17584396</v>
          </cell>
          <cell r="AE321">
            <v>14894340</v>
          </cell>
          <cell r="AF321">
            <v>14107932</v>
          </cell>
          <cell r="AG321">
            <v>0</v>
          </cell>
          <cell r="AH321">
            <v>0</v>
          </cell>
          <cell r="AI321">
            <v>0</v>
          </cell>
          <cell r="AJ321">
            <v>0</v>
          </cell>
          <cell r="AK321">
            <v>599168</v>
          </cell>
          <cell r="AL321">
            <v>1310680</v>
          </cell>
          <cell r="AM321">
            <v>112344</v>
          </cell>
          <cell r="AN321">
            <v>224688</v>
          </cell>
          <cell r="AO321">
            <v>74896</v>
          </cell>
          <cell r="AP321">
            <v>74896</v>
          </cell>
        </row>
        <row r="322">
          <cell r="D322" t="str">
            <v>Dự án đầu tư phát triển nền tảng ngôi nhà thông minh (Smarthome Platform)</v>
          </cell>
          <cell r="G322" t="str">
            <v>Quản lý</v>
          </cell>
          <cell r="I322" t="str">
            <v>IOT</v>
          </cell>
          <cell r="AC322">
            <v>1730000</v>
          </cell>
          <cell r="AD322">
            <v>82741288</v>
          </cell>
          <cell r="AE322">
            <v>20534543</v>
          </cell>
          <cell r="AF322">
            <v>20281701</v>
          </cell>
          <cell r="AG322">
            <v>0</v>
          </cell>
          <cell r="AH322">
            <v>0</v>
          </cell>
          <cell r="AI322">
            <v>0</v>
          </cell>
          <cell r="AJ322">
            <v>0</v>
          </cell>
          <cell r="AK322">
            <v>212920</v>
          </cell>
          <cell r="AL322">
            <v>465762</v>
          </cell>
          <cell r="AM322">
            <v>39922</v>
          </cell>
          <cell r="AN322">
            <v>79845</v>
          </cell>
          <cell r="AO322">
            <v>0</v>
          </cell>
          <cell r="AP322">
            <v>0</v>
          </cell>
        </row>
        <row r="323">
          <cell r="D323" t="str">
            <v>Dự án đầu tư phát triển nền tảng ngôi nhà thông minh (Smarthome Platform)</v>
          </cell>
          <cell r="G323" t="str">
            <v>Quản lý</v>
          </cell>
          <cell r="I323" t="str">
            <v>IOT</v>
          </cell>
          <cell r="AC323">
            <v>1230000</v>
          </cell>
          <cell r="AD323">
            <v>41469209</v>
          </cell>
          <cell r="AE323">
            <v>9842494</v>
          </cell>
          <cell r="AF323">
            <v>9573903</v>
          </cell>
          <cell r="AG323">
            <v>0</v>
          </cell>
          <cell r="AH323">
            <v>0</v>
          </cell>
          <cell r="AI323">
            <v>0</v>
          </cell>
          <cell r="AJ323">
            <v>0</v>
          </cell>
          <cell r="AK323">
            <v>268591</v>
          </cell>
          <cell r="AL323">
            <v>587543</v>
          </cell>
          <cell r="AM323">
            <v>0</v>
          </cell>
          <cell r="AN323">
            <v>0</v>
          </cell>
          <cell r="AO323">
            <v>0</v>
          </cell>
          <cell r="AP323">
            <v>0</v>
          </cell>
        </row>
        <row r="324">
          <cell r="D324" t="str">
            <v>Dự án đầu tư phát triển nền tảng ngôi nhà thông minh (Smarthome Platform)</v>
          </cell>
          <cell r="G324" t="str">
            <v>Quản lý</v>
          </cell>
          <cell r="I324" t="str">
            <v>IOT</v>
          </cell>
          <cell r="AC324">
            <v>1030000</v>
          </cell>
          <cell r="AD324">
            <v>37733608</v>
          </cell>
          <cell r="AE324">
            <v>8918064</v>
          </cell>
          <cell r="AF324">
            <v>8624604</v>
          </cell>
          <cell r="AG324">
            <v>0</v>
          </cell>
          <cell r="AH324">
            <v>0</v>
          </cell>
          <cell r="AI324">
            <v>0</v>
          </cell>
          <cell r="AJ324">
            <v>0</v>
          </cell>
          <cell r="AK324">
            <v>223588</v>
          </cell>
          <cell r="AL324">
            <v>489099</v>
          </cell>
          <cell r="AM324">
            <v>41923</v>
          </cell>
          <cell r="AN324">
            <v>83846</v>
          </cell>
          <cell r="AO324">
            <v>27949</v>
          </cell>
          <cell r="AP324">
            <v>27949</v>
          </cell>
        </row>
        <row r="325">
          <cell r="D325" t="str">
            <v>Dự án đầu tư phát triển nền tảng ngôi nhà thông minh (Smarthome Platform)</v>
          </cell>
          <cell r="G325" t="str">
            <v>Quản lý</v>
          </cell>
          <cell r="I325" t="str">
            <v>Camera</v>
          </cell>
          <cell r="AC325">
            <v>1130000</v>
          </cell>
          <cell r="AD325">
            <v>71164990</v>
          </cell>
          <cell r="AE325">
            <v>66957806</v>
          </cell>
          <cell r="AF325">
            <v>65582894</v>
          </cell>
          <cell r="AG325">
            <v>0</v>
          </cell>
          <cell r="AH325">
            <v>0</v>
          </cell>
          <cell r="AI325">
            <v>0</v>
          </cell>
          <cell r="AJ325">
            <v>0</v>
          </cell>
          <cell r="AK325">
            <v>1047552</v>
          </cell>
          <cell r="AL325">
            <v>2291520</v>
          </cell>
          <cell r="AM325">
            <v>196416</v>
          </cell>
          <cell r="AN325">
            <v>392832</v>
          </cell>
          <cell r="AO325">
            <v>130944</v>
          </cell>
          <cell r="AP325">
            <v>130944</v>
          </cell>
        </row>
        <row r="326">
          <cell r="D326" t="str">
            <v>Dự án đầu tư phát triển nền tảng ngôi nhà thông minh (Smarthome Platform)</v>
          </cell>
          <cell r="G326" t="str">
            <v>Quản lý</v>
          </cell>
          <cell r="I326" t="str">
            <v>Camera</v>
          </cell>
          <cell r="AC326">
            <v>930000</v>
          </cell>
          <cell r="AD326">
            <v>21743216</v>
          </cell>
          <cell r="AE326">
            <v>18761760</v>
          </cell>
          <cell r="AF326">
            <v>17845152</v>
          </cell>
          <cell r="AG326">
            <v>0</v>
          </cell>
          <cell r="AH326">
            <v>0</v>
          </cell>
          <cell r="AI326">
            <v>0</v>
          </cell>
          <cell r="AJ326">
            <v>0</v>
          </cell>
          <cell r="AK326">
            <v>698368</v>
          </cell>
          <cell r="AL326">
            <v>1527680</v>
          </cell>
          <cell r="AM326">
            <v>130944</v>
          </cell>
          <cell r="AN326">
            <v>261888</v>
          </cell>
          <cell r="AO326">
            <v>87296</v>
          </cell>
          <cell r="AP326">
            <v>87296</v>
          </cell>
        </row>
        <row r="327">
          <cell r="D327" t="str">
            <v>Dự án đầu tư phát triển nền tảng ngôi nhà thông minh (Smarthome Platform)</v>
          </cell>
          <cell r="G327" t="str">
            <v>Quản lý</v>
          </cell>
          <cell r="I327" t="str">
            <v>Camera</v>
          </cell>
          <cell r="AC327">
            <v>930000</v>
          </cell>
          <cell r="AD327">
            <v>27921887</v>
          </cell>
          <cell r="AE327">
            <v>24718967</v>
          </cell>
          <cell r="AF327">
            <v>23703407</v>
          </cell>
          <cell r="AG327">
            <v>0</v>
          </cell>
          <cell r="AH327">
            <v>0</v>
          </cell>
          <cell r="AI327">
            <v>0</v>
          </cell>
          <cell r="AJ327">
            <v>0</v>
          </cell>
          <cell r="AK327">
            <v>773760</v>
          </cell>
          <cell r="AL327">
            <v>1692600</v>
          </cell>
          <cell r="AM327">
            <v>145080</v>
          </cell>
          <cell r="AN327">
            <v>290160</v>
          </cell>
          <cell r="AO327">
            <v>96720</v>
          </cell>
          <cell r="AP327">
            <v>96720</v>
          </cell>
        </row>
        <row r="328">
          <cell r="D328" t="str">
            <v>Dự án đầu tư phát triển nền tảng ngôi nhà thông minh (Smarthome Platform)</v>
          </cell>
          <cell r="G328" t="str">
            <v>Quản lý</v>
          </cell>
          <cell r="I328" t="str">
            <v>Camera</v>
          </cell>
          <cell r="AC328">
            <v>930000</v>
          </cell>
          <cell r="AD328">
            <v>22147776</v>
          </cell>
          <cell r="AE328">
            <v>19271224</v>
          </cell>
          <cell r="AF328">
            <v>18401488</v>
          </cell>
          <cell r="AG328">
            <v>0</v>
          </cell>
          <cell r="AH328">
            <v>0</v>
          </cell>
          <cell r="AI328">
            <v>0</v>
          </cell>
          <cell r="AJ328">
            <v>0</v>
          </cell>
          <cell r="AK328">
            <v>662656</v>
          </cell>
          <cell r="AL328">
            <v>1449560</v>
          </cell>
          <cell r="AM328">
            <v>124248</v>
          </cell>
          <cell r="AN328">
            <v>248496</v>
          </cell>
          <cell r="AO328">
            <v>82832</v>
          </cell>
          <cell r="AP328">
            <v>82832</v>
          </cell>
        </row>
        <row r="329">
          <cell r="D329" t="str">
            <v>Dự án đầu tư phát triển nền tảng ngôi nhà thông minh (Smarthome Platform)</v>
          </cell>
          <cell r="G329" t="str">
            <v>Quản lý</v>
          </cell>
          <cell r="I329" t="str">
            <v>Camera</v>
          </cell>
          <cell r="AC329">
            <v>1230000</v>
          </cell>
          <cell r="AD329">
            <v>56599755</v>
          </cell>
          <cell r="AE329">
            <v>52383271</v>
          </cell>
          <cell r="AF329">
            <v>51158047</v>
          </cell>
          <cell r="AG329">
            <v>0</v>
          </cell>
          <cell r="AH329">
            <v>0</v>
          </cell>
          <cell r="AI329">
            <v>0</v>
          </cell>
          <cell r="AJ329">
            <v>0</v>
          </cell>
          <cell r="AK329">
            <v>1225224</v>
          </cell>
          <cell r="AL329">
            <v>2680178</v>
          </cell>
          <cell r="AM329">
            <v>0</v>
          </cell>
          <cell r="AN329">
            <v>0</v>
          </cell>
          <cell r="AO329">
            <v>0</v>
          </cell>
          <cell r="AP329">
            <v>0</v>
          </cell>
        </row>
        <row r="330">
          <cell r="D330" t="str">
            <v>Dự án đầu tư phát triển nền tảng ngôi nhà thông minh (Smarthome Platform)</v>
          </cell>
          <cell r="G330" t="str">
            <v>Quản lý</v>
          </cell>
          <cell r="I330" t="str">
            <v>Camera</v>
          </cell>
          <cell r="AC330">
            <v>930000</v>
          </cell>
          <cell r="AD330">
            <v>17994124</v>
          </cell>
          <cell r="AE330">
            <v>15210820</v>
          </cell>
          <cell r="AF330">
            <v>14382748</v>
          </cell>
          <cell r="AG330">
            <v>0</v>
          </cell>
          <cell r="AH330">
            <v>0</v>
          </cell>
          <cell r="AI330">
            <v>0</v>
          </cell>
          <cell r="AJ330">
            <v>0</v>
          </cell>
          <cell r="AK330">
            <v>630912</v>
          </cell>
          <cell r="AL330">
            <v>1380120</v>
          </cell>
          <cell r="AM330">
            <v>118296</v>
          </cell>
          <cell r="AN330">
            <v>236592</v>
          </cell>
          <cell r="AO330">
            <v>78864</v>
          </cell>
          <cell r="AP330">
            <v>78864</v>
          </cell>
        </row>
        <row r="331">
          <cell r="D331" t="str">
            <v>Dự án đầu tư phát triển nền tảng ngôi nhà thông minh (Smarthome Platform)</v>
          </cell>
          <cell r="G331" t="str">
            <v>Quản lý</v>
          </cell>
          <cell r="I331" t="str">
            <v>Camera</v>
          </cell>
          <cell r="AC331">
            <v>1047000</v>
          </cell>
          <cell r="AD331">
            <v>21560092</v>
          </cell>
          <cell r="AE331">
            <v>10494131</v>
          </cell>
          <cell r="AF331">
            <v>10002541</v>
          </cell>
          <cell r="AG331">
            <v>0</v>
          </cell>
          <cell r="AH331">
            <v>0</v>
          </cell>
          <cell r="AI331">
            <v>0</v>
          </cell>
          <cell r="AJ331">
            <v>0</v>
          </cell>
          <cell r="AK331">
            <v>374545</v>
          </cell>
          <cell r="AL331">
            <v>819317</v>
          </cell>
          <cell r="AM331">
            <v>70227</v>
          </cell>
          <cell r="AN331">
            <v>140454</v>
          </cell>
          <cell r="AO331">
            <v>46818</v>
          </cell>
          <cell r="AP331">
            <v>46818</v>
          </cell>
        </row>
        <row r="332">
          <cell r="D332" t="str">
            <v>Dự án đầu tư phát triển nền tảng ngôi nhà thông minh (Smarthome Platform)</v>
          </cell>
          <cell r="G332" t="str">
            <v>Quản lý</v>
          </cell>
          <cell r="I332" t="str">
            <v>Camera</v>
          </cell>
          <cell r="AC332">
            <v>930000</v>
          </cell>
          <cell r="AD332">
            <v>17584396</v>
          </cell>
          <cell r="AE332">
            <v>14894340</v>
          </cell>
          <cell r="AF332">
            <v>14107932</v>
          </cell>
          <cell r="AG332">
            <v>0</v>
          </cell>
          <cell r="AH332">
            <v>0</v>
          </cell>
          <cell r="AI332">
            <v>0</v>
          </cell>
          <cell r="AJ332">
            <v>0</v>
          </cell>
          <cell r="AK332">
            <v>599168</v>
          </cell>
          <cell r="AL332">
            <v>1310680</v>
          </cell>
          <cell r="AM332">
            <v>112344</v>
          </cell>
          <cell r="AN332">
            <v>224688</v>
          </cell>
          <cell r="AO332">
            <v>74896</v>
          </cell>
          <cell r="AP332">
            <v>74896</v>
          </cell>
        </row>
        <row r="333">
          <cell r="D333" t="str">
            <v>Dự án đầu tư phát triển nền tảng ngôi nhà thông minh (Smarthome Platform)</v>
          </cell>
          <cell r="G333" t="str">
            <v>Quản lý</v>
          </cell>
          <cell r="I333" t="str">
            <v>IOT</v>
          </cell>
          <cell r="AC333">
            <v>1147000</v>
          </cell>
          <cell r="AD333">
            <v>33995771</v>
          </cell>
          <cell r="AE333">
            <v>7945902</v>
          </cell>
          <cell r="AF333">
            <v>7667387</v>
          </cell>
          <cell r="AG333">
            <v>0</v>
          </cell>
          <cell r="AH333">
            <v>0</v>
          </cell>
          <cell r="AI333">
            <v>0</v>
          </cell>
          <cell r="AJ333">
            <v>0</v>
          </cell>
          <cell r="AK333">
            <v>212202</v>
          </cell>
          <cell r="AL333">
            <v>464191</v>
          </cell>
          <cell r="AM333">
            <v>39788</v>
          </cell>
          <cell r="AN333">
            <v>79576</v>
          </cell>
          <cell r="AO333">
            <v>26525</v>
          </cell>
          <cell r="AP333">
            <v>26525</v>
          </cell>
        </row>
        <row r="334">
          <cell r="D334" t="str">
            <v>Dự án đầu tư phát triển nền tảng ngôi nhà thông minh (Smarthome Platform)</v>
          </cell>
          <cell r="G334" t="str">
            <v>Quản lý</v>
          </cell>
          <cell r="I334" t="str">
            <v>KDDH</v>
          </cell>
          <cell r="AC334">
            <v>1047000</v>
          </cell>
          <cell r="AD334">
            <v>22674084</v>
          </cell>
          <cell r="AE334">
            <v>13690805</v>
          </cell>
          <cell r="AF334">
            <v>13085772</v>
          </cell>
          <cell r="AG334">
            <v>0</v>
          </cell>
          <cell r="AH334">
            <v>0</v>
          </cell>
          <cell r="AI334">
            <v>0</v>
          </cell>
          <cell r="AJ334">
            <v>0</v>
          </cell>
          <cell r="AK334">
            <v>460978</v>
          </cell>
          <cell r="AL334">
            <v>1008390</v>
          </cell>
          <cell r="AM334">
            <v>86433</v>
          </cell>
          <cell r="AN334">
            <v>172867</v>
          </cell>
          <cell r="AO334">
            <v>57622</v>
          </cell>
          <cell r="AP334">
            <v>57622</v>
          </cell>
        </row>
        <row r="335">
          <cell r="D335" t="str">
            <v>Dự án đầu tư phát triển nền tảng ngôi nhà thông minh (Smarthome Platform)</v>
          </cell>
          <cell r="G335" t="str">
            <v>Quản lý</v>
          </cell>
          <cell r="I335" t="str">
            <v>KDDH</v>
          </cell>
          <cell r="AC335">
            <v>930000</v>
          </cell>
          <cell r="AD335">
            <v>20679412</v>
          </cell>
          <cell r="AE335">
            <v>17802860</v>
          </cell>
          <cell r="AF335">
            <v>16933124</v>
          </cell>
          <cell r="AG335">
            <v>0</v>
          </cell>
          <cell r="AH335">
            <v>0</v>
          </cell>
          <cell r="AI335">
            <v>0</v>
          </cell>
          <cell r="AJ335">
            <v>0</v>
          </cell>
          <cell r="AK335">
            <v>662656</v>
          </cell>
          <cell r="AL335">
            <v>1449560</v>
          </cell>
          <cell r="AM335">
            <v>124248</v>
          </cell>
          <cell r="AN335">
            <v>248496</v>
          </cell>
          <cell r="AO335">
            <v>82832</v>
          </cell>
          <cell r="AP335">
            <v>82832</v>
          </cell>
        </row>
        <row r="336">
          <cell r="D336" t="str">
            <v>Dự án đầu tư phát triển nền tảng ngôi nhà thông minh (Smarthome Platform)</v>
          </cell>
          <cell r="G336" t="str">
            <v>Quản lý</v>
          </cell>
          <cell r="I336" t="str">
            <v>QLCL</v>
          </cell>
          <cell r="AC336">
            <v>1615000</v>
          </cell>
          <cell r="AD336">
            <v>34463771</v>
          </cell>
          <cell r="AE336">
            <v>11918853</v>
          </cell>
          <cell r="AF336">
            <v>11501080</v>
          </cell>
          <cell r="AG336">
            <v>0</v>
          </cell>
          <cell r="AH336">
            <v>0</v>
          </cell>
          <cell r="AI336">
            <v>0</v>
          </cell>
          <cell r="AJ336">
            <v>0</v>
          </cell>
          <cell r="AK336">
            <v>318303</v>
          </cell>
          <cell r="AL336">
            <v>696287</v>
          </cell>
          <cell r="AM336">
            <v>59682</v>
          </cell>
          <cell r="AN336">
            <v>119363</v>
          </cell>
          <cell r="AO336">
            <v>39788</v>
          </cell>
          <cell r="AP336">
            <v>39788</v>
          </cell>
        </row>
        <row r="337">
          <cell r="D337" t="str">
            <v>Dự án đầu tư phát triển nền tảng ngôi nhà thông minh (Smarthome Platform)</v>
          </cell>
          <cell r="G337" t="str">
            <v>Quản lý</v>
          </cell>
          <cell r="I337" t="str">
            <v>QLCL</v>
          </cell>
          <cell r="AC337">
            <v>1047000</v>
          </cell>
          <cell r="AD337">
            <v>22209921</v>
          </cell>
          <cell r="AE337">
            <v>14203403</v>
          </cell>
          <cell r="AF337">
            <v>13560555</v>
          </cell>
          <cell r="AG337">
            <v>0</v>
          </cell>
          <cell r="AH337">
            <v>0</v>
          </cell>
          <cell r="AI337">
            <v>0</v>
          </cell>
          <cell r="AJ337">
            <v>0</v>
          </cell>
          <cell r="AK337">
            <v>489789</v>
          </cell>
          <cell r="AL337">
            <v>1071414</v>
          </cell>
          <cell r="AM337">
            <v>91835</v>
          </cell>
          <cell r="AN337">
            <v>183671</v>
          </cell>
          <cell r="AO337">
            <v>61224</v>
          </cell>
          <cell r="AP337">
            <v>61224</v>
          </cell>
        </row>
        <row r="338">
          <cell r="D338" t="str">
            <v>Dự án đầu tư phát triển nền tảng ngôi nhà thông minh (Smarthome Platform)</v>
          </cell>
          <cell r="G338" t="str">
            <v>Quản lý</v>
          </cell>
          <cell r="I338" t="str">
            <v>Camera</v>
          </cell>
          <cell r="AC338">
            <v>1047000</v>
          </cell>
          <cell r="AD338">
            <v>16139864</v>
          </cell>
          <cell r="AE338">
            <v>7535935</v>
          </cell>
          <cell r="AF338">
            <v>7091443</v>
          </cell>
          <cell r="AG338">
            <v>0</v>
          </cell>
          <cell r="AH338">
            <v>0</v>
          </cell>
          <cell r="AI338">
            <v>0</v>
          </cell>
          <cell r="AJ338">
            <v>0</v>
          </cell>
          <cell r="AK338">
            <v>338660</v>
          </cell>
          <cell r="AL338">
            <v>740819</v>
          </cell>
          <cell r="AM338">
            <v>63499</v>
          </cell>
          <cell r="AN338">
            <v>126998</v>
          </cell>
          <cell r="AO338">
            <v>42333</v>
          </cell>
          <cell r="AP338">
            <v>42333</v>
          </cell>
        </row>
        <row r="339">
          <cell r="D339" t="str">
            <v>Dự án đầu tư phát triển nền tảng ngôi nhà thông minh (Smarthome Platform)</v>
          </cell>
          <cell r="G339" t="str">
            <v>Quản lý</v>
          </cell>
          <cell r="I339" t="str">
            <v>QLCL</v>
          </cell>
          <cell r="AC339">
            <v>1047000</v>
          </cell>
          <cell r="AD339">
            <v>24501912</v>
          </cell>
          <cell r="AE339">
            <v>9305850</v>
          </cell>
          <cell r="AF339">
            <v>8907325</v>
          </cell>
          <cell r="AG339">
            <v>0</v>
          </cell>
          <cell r="AH339">
            <v>0</v>
          </cell>
          <cell r="AI339">
            <v>0</v>
          </cell>
          <cell r="AJ339">
            <v>0</v>
          </cell>
          <cell r="AK339">
            <v>303638</v>
          </cell>
          <cell r="AL339">
            <v>664209</v>
          </cell>
          <cell r="AM339">
            <v>56932</v>
          </cell>
          <cell r="AN339">
            <v>113864</v>
          </cell>
          <cell r="AO339">
            <v>37955</v>
          </cell>
          <cell r="AP339">
            <v>37955</v>
          </cell>
        </row>
        <row r="340">
          <cell r="D340" t="str">
            <v>Dự án đầu tư phát triển nền tảng ngôi nhà thông minh (Smarthome Platform)</v>
          </cell>
          <cell r="G340" t="str">
            <v>Quản lý</v>
          </cell>
          <cell r="I340" t="str">
            <v>QLCL</v>
          </cell>
          <cell r="AC340">
            <v>1047000</v>
          </cell>
          <cell r="AD340">
            <v>22201034</v>
          </cell>
          <cell r="AE340">
            <v>9966562</v>
          </cell>
          <cell r="AF340">
            <v>9488331</v>
          </cell>
          <cell r="AG340">
            <v>0</v>
          </cell>
          <cell r="AH340">
            <v>0</v>
          </cell>
          <cell r="AI340">
            <v>0</v>
          </cell>
          <cell r="AJ340">
            <v>0</v>
          </cell>
          <cell r="AK340">
            <v>364366</v>
          </cell>
          <cell r="AL340">
            <v>797050</v>
          </cell>
          <cell r="AM340">
            <v>68319</v>
          </cell>
          <cell r="AN340">
            <v>136637</v>
          </cell>
          <cell r="AO340">
            <v>45546</v>
          </cell>
          <cell r="AP340">
            <v>45546</v>
          </cell>
        </row>
        <row r="341">
          <cell r="D341" t="str">
            <v>Dự án đầu tư phát triển nền tảng ngôi nhà thông minh (Smarthome Platform)</v>
          </cell>
          <cell r="G341" t="str">
            <v>Quản lý</v>
          </cell>
          <cell r="I341" t="str">
            <v>QLCL</v>
          </cell>
          <cell r="AC341">
            <v>1047000</v>
          </cell>
          <cell r="AD341">
            <v>13637636</v>
          </cell>
          <cell r="AE341">
            <v>11005420</v>
          </cell>
          <cell r="AF341">
            <v>10297132</v>
          </cell>
          <cell r="AG341">
            <v>0</v>
          </cell>
          <cell r="AH341">
            <v>0</v>
          </cell>
          <cell r="AI341">
            <v>0</v>
          </cell>
          <cell r="AJ341">
            <v>0</v>
          </cell>
          <cell r="AK341">
            <v>539648</v>
          </cell>
          <cell r="AL341">
            <v>1180480</v>
          </cell>
          <cell r="AM341">
            <v>101184</v>
          </cell>
          <cell r="AN341">
            <v>202368</v>
          </cell>
          <cell r="AO341">
            <v>67456</v>
          </cell>
          <cell r="AP341">
            <v>67456</v>
          </cell>
        </row>
        <row r="342">
          <cell r="D342" t="str">
            <v>Nghiên cứu phát triển nền tảng phần mềm Viettel Cloud Camera cho hộ gia đình</v>
          </cell>
          <cell r="G342" t="str">
            <v>KHCN</v>
          </cell>
          <cell r="I342" t="str">
            <v>Camera</v>
          </cell>
          <cell r="AC342">
            <v>1030000</v>
          </cell>
          <cell r="AD342">
            <v>56120531</v>
          </cell>
          <cell r="AE342">
            <v>20467075</v>
          </cell>
          <cell r="AF342">
            <v>19980014</v>
          </cell>
          <cell r="AG342">
            <v>0</v>
          </cell>
          <cell r="AH342">
            <v>0</v>
          </cell>
          <cell r="AI342">
            <v>0</v>
          </cell>
          <cell r="AJ342">
            <v>0</v>
          </cell>
          <cell r="AK342">
            <v>371094</v>
          </cell>
          <cell r="AL342">
            <v>811769</v>
          </cell>
          <cell r="AM342">
            <v>69580</v>
          </cell>
          <cell r="AN342">
            <v>139160</v>
          </cell>
          <cell r="AO342">
            <v>46387</v>
          </cell>
          <cell r="AP342">
            <v>46387</v>
          </cell>
        </row>
        <row r="343">
          <cell r="D343" t="str">
            <v>Nghiên cứu phát triển nền tảng phần mềm Viettel Cloud Camera cho hộ gia đình</v>
          </cell>
          <cell r="G343" t="str">
            <v>KHCN</v>
          </cell>
          <cell r="I343" t="str">
            <v>Camera</v>
          </cell>
          <cell r="AC343">
            <v>1047000</v>
          </cell>
          <cell r="AD343">
            <v>25759079</v>
          </cell>
          <cell r="AE343">
            <v>13729568</v>
          </cell>
          <cell r="AF343">
            <v>13143102</v>
          </cell>
          <cell r="AG343">
            <v>0</v>
          </cell>
          <cell r="AH343">
            <v>0</v>
          </cell>
          <cell r="AI343">
            <v>0</v>
          </cell>
          <cell r="AJ343">
            <v>0</v>
          </cell>
          <cell r="AK343">
            <v>446831</v>
          </cell>
          <cell r="AL343">
            <v>977443</v>
          </cell>
          <cell r="AM343">
            <v>83781</v>
          </cell>
          <cell r="AN343">
            <v>167562</v>
          </cell>
          <cell r="AO343">
            <v>55854</v>
          </cell>
          <cell r="AP343">
            <v>55854</v>
          </cell>
        </row>
        <row r="344">
          <cell r="D344" t="str">
            <v>Nghiên cứu phát triển nền tảng phần mềm Viettel Cloud Camera cho hộ gia đình</v>
          </cell>
          <cell r="G344" t="str">
            <v>KHCN</v>
          </cell>
          <cell r="I344" t="str">
            <v>Camera</v>
          </cell>
          <cell r="AC344">
            <v>1030000</v>
          </cell>
          <cell r="AD344">
            <v>42733608</v>
          </cell>
          <cell r="AE344">
            <v>6814941</v>
          </cell>
          <cell r="AF344">
            <v>6619301</v>
          </cell>
          <cell r="AG344">
            <v>0</v>
          </cell>
          <cell r="AH344">
            <v>0</v>
          </cell>
          <cell r="AI344">
            <v>0</v>
          </cell>
          <cell r="AJ344">
            <v>0</v>
          </cell>
          <cell r="AK344">
            <v>149059</v>
          </cell>
          <cell r="AL344">
            <v>326066</v>
          </cell>
          <cell r="AM344">
            <v>27949</v>
          </cell>
          <cell r="AN344">
            <v>55897</v>
          </cell>
          <cell r="AO344">
            <v>18632</v>
          </cell>
          <cell r="AP344">
            <v>18632</v>
          </cell>
        </row>
        <row r="345">
          <cell r="D345" t="str">
            <v>Nghiên cứu phát triển nền tảng phần mềm Viettel Cloud Camera cho hộ gia đình</v>
          </cell>
          <cell r="G345" t="str">
            <v>KHCN</v>
          </cell>
          <cell r="I345" t="str">
            <v>Camera</v>
          </cell>
          <cell r="AC345">
            <v>1230000</v>
          </cell>
          <cell r="AD345">
            <v>63252423</v>
          </cell>
          <cell r="AE345">
            <v>10224664</v>
          </cell>
          <cell r="AF345">
            <v>9994164</v>
          </cell>
          <cell r="AG345">
            <v>0</v>
          </cell>
          <cell r="AH345">
            <v>0</v>
          </cell>
          <cell r="AI345">
            <v>0</v>
          </cell>
          <cell r="AJ345">
            <v>0</v>
          </cell>
          <cell r="AK345">
            <v>230500</v>
          </cell>
          <cell r="AL345">
            <v>504219</v>
          </cell>
          <cell r="AM345">
            <v>0</v>
          </cell>
          <cell r="AN345">
            <v>0</v>
          </cell>
          <cell r="AO345">
            <v>0</v>
          </cell>
          <cell r="AP345">
            <v>0</v>
          </cell>
        </row>
        <row r="346">
          <cell r="D346" t="str">
            <v>Nghiên cứu phát triển nền tảng phần mềm Viettel Cloud Camera cho hộ gia đình</v>
          </cell>
          <cell r="G346" t="str">
            <v>KHCN</v>
          </cell>
          <cell r="I346" t="str">
            <v>Camera</v>
          </cell>
          <cell r="AC346">
            <v>930000</v>
          </cell>
          <cell r="AD346">
            <v>19029409</v>
          </cell>
          <cell r="AE346">
            <v>16246105</v>
          </cell>
          <cell r="AF346">
            <v>15418033</v>
          </cell>
          <cell r="AG346">
            <v>0</v>
          </cell>
          <cell r="AH346">
            <v>0</v>
          </cell>
          <cell r="AI346">
            <v>0</v>
          </cell>
          <cell r="AJ346">
            <v>0</v>
          </cell>
          <cell r="AK346">
            <v>630912</v>
          </cell>
          <cell r="AL346">
            <v>1380120</v>
          </cell>
          <cell r="AM346">
            <v>118296</v>
          </cell>
          <cell r="AN346">
            <v>236592</v>
          </cell>
          <cell r="AO346">
            <v>78864</v>
          </cell>
          <cell r="AP346">
            <v>78864</v>
          </cell>
        </row>
        <row r="347">
          <cell r="D347" t="str">
            <v>Nghiên cứu phát triển nền tảng phần mềm Viettel Cloud Camera cho hộ gia đình</v>
          </cell>
          <cell r="G347" t="str">
            <v>KHCN</v>
          </cell>
          <cell r="I347" t="str">
            <v>Camera</v>
          </cell>
          <cell r="AC347">
            <v>1030000</v>
          </cell>
          <cell r="AD347">
            <v>33878771</v>
          </cell>
          <cell r="AE347">
            <v>30459291</v>
          </cell>
          <cell r="AF347">
            <v>29391651</v>
          </cell>
          <cell r="AG347">
            <v>0</v>
          </cell>
          <cell r="AH347">
            <v>0</v>
          </cell>
          <cell r="AI347">
            <v>0</v>
          </cell>
          <cell r="AJ347">
            <v>0</v>
          </cell>
          <cell r="AK347">
            <v>813440</v>
          </cell>
          <cell r="AL347">
            <v>1779400</v>
          </cell>
          <cell r="AM347">
            <v>152520</v>
          </cell>
          <cell r="AN347">
            <v>305040</v>
          </cell>
          <cell r="AO347">
            <v>101680</v>
          </cell>
          <cell r="AP347">
            <v>101680</v>
          </cell>
        </row>
        <row r="348">
          <cell r="D348" t="str">
            <v>Nghiên cứu phát triển nền tảng phần mềm Viettel Cloud Camera cho hộ gia đình</v>
          </cell>
          <cell r="G348" t="str">
            <v>KHCN</v>
          </cell>
          <cell r="I348" t="str">
            <v>Camera</v>
          </cell>
          <cell r="AC348">
            <v>1030000</v>
          </cell>
          <cell r="AD348">
            <v>56120531</v>
          </cell>
          <cell r="AE348">
            <v>11370597</v>
          </cell>
          <cell r="AF348">
            <v>11100008</v>
          </cell>
          <cell r="AG348">
            <v>0</v>
          </cell>
          <cell r="AH348">
            <v>0</v>
          </cell>
          <cell r="AI348">
            <v>0</v>
          </cell>
          <cell r="AJ348">
            <v>0</v>
          </cell>
          <cell r="AK348">
            <v>206163</v>
          </cell>
          <cell r="AL348">
            <v>450983</v>
          </cell>
          <cell r="AM348">
            <v>38656</v>
          </cell>
          <cell r="AN348">
            <v>77311</v>
          </cell>
          <cell r="AO348">
            <v>25770</v>
          </cell>
          <cell r="AP348">
            <v>25770</v>
          </cell>
        </row>
        <row r="349">
          <cell r="D349" t="str">
            <v>Nghiên cứu phát triển nền tảng phần mềm Viettel Cloud Camera cho hộ gia đình</v>
          </cell>
          <cell r="G349" t="str">
            <v>KHCN</v>
          </cell>
          <cell r="I349" t="str">
            <v>Camera</v>
          </cell>
          <cell r="AC349">
            <v>930000</v>
          </cell>
          <cell r="AD349">
            <v>17275656</v>
          </cell>
          <cell r="AE349">
            <v>2536626</v>
          </cell>
          <cell r="AF349">
            <v>2399860</v>
          </cell>
          <cell r="AG349">
            <v>0</v>
          </cell>
          <cell r="AH349">
            <v>0</v>
          </cell>
          <cell r="AI349">
            <v>0</v>
          </cell>
          <cell r="AJ349">
            <v>0</v>
          </cell>
          <cell r="AK349">
            <v>104203</v>
          </cell>
          <cell r="AL349">
            <v>227944</v>
          </cell>
          <cell r="AM349">
            <v>19538</v>
          </cell>
          <cell r="AN349">
            <v>39076</v>
          </cell>
          <cell r="AO349">
            <v>13025</v>
          </cell>
          <cell r="AP349">
            <v>13025</v>
          </cell>
        </row>
        <row r="350">
          <cell r="D350" t="str">
            <v>Nghiên cứu phát triển nền tảng phần mềm Viettel Cloud Camera cho hộ gia đình</v>
          </cell>
          <cell r="G350" t="str">
            <v>KHCN</v>
          </cell>
          <cell r="I350" t="str">
            <v>Camera</v>
          </cell>
          <cell r="AC350">
            <v>1047000</v>
          </cell>
          <cell r="AD350">
            <v>16139864</v>
          </cell>
          <cell r="AE350">
            <v>5796873</v>
          </cell>
          <cell r="AF350">
            <v>5454957</v>
          </cell>
          <cell r="AG350">
            <v>0</v>
          </cell>
          <cell r="AH350">
            <v>0</v>
          </cell>
          <cell r="AI350">
            <v>0</v>
          </cell>
          <cell r="AJ350">
            <v>0</v>
          </cell>
          <cell r="AK350">
            <v>260508</v>
          </cell>
          <cell r="AL350">
            <v>569861</v>
          </cell>
          <cell r="AM350">
            <v>48845</v>
          </cell>
          <cell r="AN350">
            <v>97690</v>
          </cell>
          <cell r="AO350">
            <v>32563</v>
          </cell>
          <cell r="AP350">
            <v>32563</v>
          </cell>
        </row>
        <row r="351">
          <cell r="D351" t="str">
            <v>Nghiên cứu phát triển nền tảng phần mềm Viettel Cloud Camera cho hộ gia đình</v>
          </cell>
          <cell r="G351" t="str">
            <v>KHCN</v>
          </cell>
          <cell r="I351" t="str">
            <v>Camera</v>
          </cell>
          <cell r="AC351">
            <v>1047000</v>
          </cell>
          <cell r="AD351">
            <v>21560092</v>
          </cell>
          <cell r="AE351">
            <v>8072409</v>
          </cell>
          <cell r="AF351">
            <v>7694263</v>
          </cell>
          <cell r="AG351">
            <v>0</v>
          </cell>
          <cell r="AH351">
            <v>0</v>
          </cell>
          <cell r="AI351">
            <v>0</v>
          </cell>
          <cell r="AJ351">
            <v>0</v>
          </cell>
          <cell r="AK351">
            <v>288111</v>
          </cell>
          <cell r="AL351">
            <v>630243</v>
          </cell>
          <cell r="AM351">
            <v>54021</v>
          </cell>
          <cell r="AN351">
            <v>108042</v>
          </cell>
          <cell r="AO351">
            <v>36014</v>
          </cell>
          <cell r="AP351">
            <v>36014</v>
          </cell>
        </row>
        <row r="352">
          <cell r="D352" t="str">
            <v>PAKD cung cấp 16.000 máy tính để bàn chuyên dụng phục vụ nhiệm vụ Quân sự - Quốc phòng năm 2024-2025</v>
          </cell>
          <cell r="G352" t="str">
            <v>Bán hàng</v>
          </cell>
          <cell r="I352" t="str">
            <v>TTKD</v>
          </cell>
          <cell r="AC352">
            <v>1047000</v>
          </cell>
          <cell r="AD352">
            <v>16857285</v>
          </cell>
          <cell r="AE352">
            <v>2443518</v>
          </cell>
          <cell r="AF352">
            <v>2306752</v>
          </cell>
          <cell r="AG352">
            <v>0</v>
          </cell>
          <cell r="AH352">
            <v>0</v>
          </cell>
          <cell r="AI352">
            <v>0</v>
          </cell>
          <cell r="AJ352">
            <v>0</v>
          </cell>
          <cell r="AK352">
            <v>104203</v>
          </cell>
          <cell r="AL352">
            <v>227944</v>
          </cell>
          <cell r="AM352">
            <v>19538</v>
          </cell>
          <cell r="AN352">
            <v>39076</v>
          </cell>
          <cell r="AO352">
            <v>13025</v>
          </cell>
          <cell r="AP352">
            <v>13025</v>
          </cell>
        </row>
        <row r="353">
          <cell r="D353" t="str">
            <v>PAKD cung cấp 16.000 máy tính để bàn chuyên dụng phục vụ nhiệm vụ Quân sự - Quốc phòng năm 2024-2025</v>
          </cell>
          <cell r="G353" t="str">
            <v>Bán hàng</v>
          </cell>
          <cell r="I353" t="str">
            <v>TTKD</v>
          </cell>
          <cell r="AC353">
            <v>1030000</v>
          </cell>
          <cell r="AD353">
            <v>39198549</v>
          </cell>
          <cell r="AE353">
            <v>3100074</v>
          </cell>
          <cell r="AF353">
            <v>3002255</v>
          </cell>
          <cell r="AG353">
            <v>0</v>
          </cell>
          <cell r="AH353">
            <v>0</v>
          </cell>
          <cell r="AI353">
            <v>0</v>
          </cell>
          <cell r="AJ353">
            <v>0</v>
          </cell>
          <cell r="AK353">
            <v>74529</v>
          </cell>
          <cell r="AL353">
            <v>163033</v>
          </cell>
          <cell r="AM353">
            <v>13974</v>
          </cell>
          <cell r="AN353">
            <v>27949</v>
          </cell>
          <cell r="AO353">
            <v>9316</v>
          </cell>
          <cell r="AP353">
            <v>9316</v>
          </cell>
        </row>
        <row r="354">
          <cell r="D354" t="str">
            <v>Nghiên cứu nền tảng tự động hóa chỉ huy cấp chiến thuật VTC2-BMS</v>
          </cell>
          <cell r="G354" t="str">
            <v>KHCN</v>
          </cell>
          <cell r="I354" t="str">
            <v>CHĐK</v>
          </cell>
          <cell r="AC354">
            <v>1730000</v>
          </cell>
          <cell r="AD354">
            <v>114019854</v>
          </cell>
          <cell r="AE354">
            <v>33070153</v>
          </cell>
          <cell r="AF354">
            <v>32616812</v>
          </cell>
          <cell r="AG354">
            <v>0</v>
          </cell>
          <cell r="AH354">
            <v>0</v>
          </cell>
          <cell r="AI354">
            <v>0</v>
          </cell>
          <cell r="AJ354">
            <v>0</v>
          </cell>
          <cell r="AK354">
            <v>453341</v>
          </cell>
          <cell r="AL354">
            <v>991685</v>
          </cell>
          <cell r="AM354">
            <v>0</v>
          </cell>
          <cell r="AN354">
            <v>0</v>
          </cell>
          <cell r="AO354">
            <v>0</v>
          </cell>
          <cell r="AP354">
            <v>0</v>
          </cell>
        </row>
        <row r="355">
          <cell r="D355" t="str">
            <v>Nghiên cứu nền tảng tự động hóa chỉ huy cấp chiến thuật VTC2-BMS</v>
          </cell>
          <cell r="G355" t="str">
            <v>KHCN</v>
          </cell>
          <cell r="I355" t="str">
            <v>CHĐK</v>
          </cell>
          <cell r="AC355">
            <v>1230000</v>
          </cell>
          <cell r="AD355">
            <v>89045152</v>
          </cell>
          <cell r="AE355">
            <v>7340139</v>
          </cell>
          <cell r="AF355">
            <v>7207901</v>
          </cell>
          <cell r="AG355">
            <v>0</v>
          </cell>
          <cell r="AH355">
            <v>0</v>
          </cell>
          <cell r="AI355">
            <v>0</v>
          </cell>
          <cell r="AJ355">
            <v>0</v>
          </cell>
          <cell r="AK355">
            <v>100753</v>
          </cell>
          <cell r="AL355">
            <v>220397</v>
          </cell>
          <cell r="AM355">
            <v>18891</v>
          </cell>
          <cell r="AN355">
            <v>37782</v>
          </cell>
          <cell r="AO355">
            <v>12594</v>
          </cell>
          <cell r="AP355">
            <v>12594</v>
          </cell>
        </row>
        <row r="356">
          <cell r="D356" t="str">
            <v>Nghiên cứu nền tảng tự động hóa chỉ huy cấp chiến thuật VTC2-BMS</v>
          </cell>
          <cell r="G356" t="str">
            <v>KHCN</v>
          </cell>
          <cell r="I356" t="str">
            <v>CHĐK</v>
          </cell>
          <cell r="AC356">
            <v>1230000</v>
          </cell>
          <cell r="AD356">
            <v>99744191</v>
          </cell>
          <cell r="AE356">
            <v>33008798</v>
          </cell>
          <cell r="AF356">
            <v>32493103</v>
          </cell>
          <cell r="AG356">
            <v>0</v>
          </cell>
          <cell r="AH356">
            <v>0</v>
          </cell>
          <cell r="AI356">
            <v>0</v>
          </cell>
          <cell r="AJ356">
            <v>0</v>
          </cell>
          <cell r="AK356">
            <v>515695</v>
          </cell>
          <cell r="AL356">
            <v>1128083</v>
          </cell>
          <cell r="AM356">
            <v>0</v>
          </cell>
          <cell r="AN356">
            <v>0</v>
          </cell>
          <cell r="AO356">
            <v>0</v>
          </cell>
          <cell r="AP356">
            <v>0</v>
          </cell>
        </row>
        <row r="357">
          <cell r="D357" t="str">
            <v>Nghiên cứu nền tảng tự động hóa chỉ huy cấp chiến thuật VTC2-BMS</v>
          </cell>
          <cell r="G357" t="str">
            <v>KHCN</v>
          </cell>
          <cell r="I357" t="str">
            <v>CHĐK</v>
          </cell>
          <cell r="AC357">
            <v>1030000</v>
          </cell>
          <cell r="AD357">
            <v>41328832</v>
          </cell>
          <cell r="AE357">
            <v>13141265</v>
          </cell>
          <cell r="AF357">
            <v>12749985</v>
          </cell>
          <cell r="AG357">
            <v>0</v>
          </cell>
          <cell r="AH357">
            <v>0</v>
          </cell>
          <cell r="AI357">
            <v>0</v>
          </cell>
          <cell r="AJ357">
            <v>0</v>
          </cell>
          <cell r="AK357">
            <v>298118</v>
          </cell>
          <cell r="AL357">
            <v>652132</v>
          </cell>
          <cell r="AM357">
            <v>55897</v>
          </cell>
          <cell r="AN357">
            <v>111794</v>
          </cell>
          <cell r="AO357">
            <v>37265</v>
          </cell>
          <cell r="AP357">
            <v>37265</v>
          </cell>
        </row>
        <row r="358">
          <cell r="D358" t="str">
            <v>Nghiên cứu nền tảng tự động hóa chỉ huy cấp chiến thuật VTC2-BMS</v>
          </cell>
          <cell r="G358" t="str">
            <v>KHCN</v>
          </cell>
          <cell r="I358" t="str">
            <v>CHĐK</v>
          </cell>
          <cell r="AC358">
            <v>1047000</v>
          </cell>
          <cell r="AD358">
            <v>19891616</v>
          </cell>
          <cell r="AE358">
            <v>4432516</v>
          </cell>
          <cell r="AF358">
            <v>4216497</v>
          </cell>
          <cell r="AG358">
            <v>0</v>
          </cell>
          <cell r="AH358">
            <v>0</v>
          </cell>
          <cell r="AI358">
            <v>0</v>
          </cell>
          <cell r="AJ358">
            <v>0</v>
          </cell>
          <cell r="AK358">
            <v>164586</v>
          </cell>
          <cell r="AL358">
            <v>360031</v>
          </cell>
          <cell r="AM358">
            <v>30860</v>
          </cell>
          <cell r="AN358">
            <v>61720</v>
          </cell>
          <cell r="AO358">
            <v>20573</v>
          </cell>
          <cell r="AP358">
            <v>20573</v>
          </cell>
        </row>
        <row r="359">
          <cell r="D359" t="str">
            <v>Nghiên cứu nền tảng tự động hóa chỉ huy cấp chiến thuật VTC2-BMS</v>
          </cell>
          <cell r="G359" t="str">
            <v>KHCN</v>
          </cell>
          <cell r="I359" t="str">
            <v>CHĐK</v>
          </cell>
          <cell r="AC359">
            <v>1030000</v>
          </cell>
          <cell r="AD359">
            <v>50916586</v>
          </cell>
          <cell r="AE359">
            <v>12071137</v>
          </cell>
          <cell r="AF359">
            <v>11684366</v>
          </cell>
          <cell r="AG359">
            <v>0</v>
          </cell>
          <cell r="AH359">
            <v>0</v>
          </cell>
          <cell r="AI359">
            <v>0</v>
          </cell>
          <cell r="AJ359">
            <v>0</v>
          </cell>
          <cell r="AK359">
            <v>386771</v>
          </cell>
          <cell r="AL359">
            <v>846063</v>
          </cell>
          <cell r="AM359">
            <v>0</v>
          </cell>
          <cell r="AN359">
            <v>0</v>
          </cell>
          <cell r="AO359">
            <v>0</v>
          </cell>
          <cell r="AP359">
            <v>0</v>
          </cell>
        </row>
        <row r="360">
          <cell r="D360" t="str">
            <v>Nghiên cứu nền tảng tự động hóa chỉ huy cấp chiến thuật VTC2-BMS</v>
          </cell>
          <cell r="G360" t="str">
            <v>KHCN</v>
          </cell>
          <cell r="I360" t="str">
            <v>CHĐK</v>
          </cell>
          <cell r="AC360">
            <v>1130000</v>
          </cell>
          <cell r="AD360">
            <v>68931663</v>
          </cell>
          <cell r="AE360">
            <v>2852671</v>
          </cell>
          <cell r="AF360">
            <v>2812463</v>
          </cell>
          <cell r="AG360">
            <v>0</v>
          </cell>
          <cell r="AH360">
            <v>0</v>
          </cell>
          <cell r="AI360">
            <v>0</v>
          </cell>
          <cell r="AJ360">
            <v>0</v>
          </cell>
          <cell r="AK360">
            <v>33859</v>
          </cell>
          <cell r="AL360">
            <v>74066</v>
          </cell>
          <cell r="AM360">
            <v>6349</v>
          </cell>
          <cell r="AN360">
            <v>12697</v>
          </cell>
          <cell r="AO360">
            <v>0</v>
          </cell>
          <cell r="AP360">
            <v>0</v>
          </cell>
        </row>
        <row r="361">
          <cell r="D361" t="str">
            <v>Nghiên cứu nền tảng tự động hóa chỉ huy cấp chiến thuật VTC2-BMS</v>
          </cell>
          <cell r="G361" t="str">
            <v>KHCN</v>
          </cell>
          <cell r="I361" t="str">
            <v>CHĐK</v>
          </cell>
          <cell r="AC361">
            <v>1047000</v>
          </cell>
          <cell r="AD361">
            <v>35280490</v>
          </cell>
          <cell r="AE361">
            <v>8337540</v>
          </cell>
          <cell r="AF361">
            <v>8072612</v>
          </cell>
          <cell r="AG361">
            <v>0</v>
          </cell>
          <cell r="AH361">
            <v>0</v>
          </cell>
          <cell r="AI361">
            <v>0</v>
          </cell>
          <cell r="AJ361">
            <v>0</v>
          </cell>
          <cell r="AK361">
            <v>201850</v>
          </cell>
          <cell r="AL361">
            <v>441548</v>
          </cell>
          <cell r="AM361">
            <v>37847</v>
          </cell>
          <cell r="AN361">
            <v>75694</v>
          </cell>
          <cell r="AO361">
            <v>25231</v>
          </cell>
          <cell r="AP361">
            <v>25231</v>
          </cell>
        </row>
        <row r="362">
          <cell r="D362" t="str">
            <v>Nghiên cứu nền tảng tự động hóa chỉ huy cấp chiến thuật VTC2-BMS</v>
          </cell>
          <cell r="G362" t="str">
            <v>KHCN</v>
          </cell>
          <cell r="I362" t="str">
            <v>CHĐK</v>
          </cell>
          <cell r="AC362">
            <v>1147000</v>
          </cell>
          <cell r="AD362">
            <v>22789272</v>
          </cell>
          <cell r="AE362">
            <v>1712671</v>
          </cell>
          <cell r="AF362">
            <v>1637042</v>
          </cell>
          <cell r="AG362">
            <v>0</v>
          </cell>
          <cell r="AH362">
            <v>0</v>
          </cell>
          <cell r="AI362">
            <v>0</v>
          </cell>
          <cell r="AJ362">
            <v>0</v>
          </cell>
          <cell r="AK362">
            <v>57622</v>
          </cell>
          <cell r="AL362">
            <v>126049</v>
          </cell>
          <cell r="AM362">
            <v>10804</v>
          </cell>
          <cell r="AN362">
            <v>21608</v>
          </cell>
          <cell r="AO362">
            <v>7203</v>
          </cell>
          <cell r="AP362">
            <v>7203</v>
          </cell>
        </row>
        <row r="363">
          <cell r="D363" t="str">
            <v>Nghiên cứu nền tảng tự động hóa chỉ huy cấp chiến thuật VTC2-BMS</v>
          </cell>
          <cell r="G363" t="str">
            <v>KHCN</v>
          </cell>
          <cell r="I363" t="str">
            <v>CHĐK</v>
          </cell>
          <cell r="AC363">
            <v>1047000</v>
          </cell>
          <cell r="AD363">
            <v>15913808</v>
          </cell>
          <cell r="AE363">
            <v>2869565</v>
          </cell>
          <cell r="AF363">
            <v>2707664</v>
          </cell>
          <cell r="AG363">
            <v>0</v>
          </cell>
          <cell r="AH363">
            <v>0</v>
          </cell>
          <cell r="AI363">
            <v>0</v>
          </cell>
          <cell r="AJ363">
            <v>0</v>
          </cell>
          <cell r="AK363">
            <v>123353</v>
          </cell>
          <cell r="AL363">
            <v>269835</v>
          </cell>
          <cell r="AM363">
            <v>23129</v>
          </cell>
          <cell r="AN363">
            <v>46257</v>
          </cell>
          <cell r="AO363">
            <v>15419</v>
          </cell>
          <cell r="AP363">
            <v>15419</v>
          </cell>
        </row>
        <row r="364">
          <cell r="D364" t="str">
            <v>Nghiên cứu nền tảng tự động hóa chỉ huy cấp chiến thuật VTC2-BMS</v>
          </cell>
          <cell r="G364" t="str">
            <v>KHCN</v>
          </cell>
          <cell r="I364" t="str">
            <v>CHĐK</v>
          </cell>
          <cell r="AC364">
            <v>1398000</v>
          </cell>
          <cell r="AD364">
            <v>15032759</v>
          </cell>
          <cell r="AE364">
            <v>2480400</v>
          </cell>
          <cell r="AF364">
            <v>2281968</v>
          </cell>
          <cell r="AG364">
            <v>0</v>
          </cell>
          <cell r="AH364">
            <v>0</v>
          </cell>
          <cell r="AI364">
            <v>0</v>
          </cell>
          <cell r="AJ364">
            <v>0</v>
          </cell>
          <cell r="AK364">
            <v>198432</v>
          </cell>
          <cell r="AL364">
            <v>434070</v>
          </cell>
          <cell r="AM364">
            <v>0</v>
          </cell>
          <cell r="AN364">
            <v>0</v>
          </cell>
          <cell r="AO364">
            <v>0</v>
          </cell>
          <cell r="AP364">
            <v>0</v>
          </cell>
        </row>
        <row r="365">
          <cell r="D365" t="str">
            <v>Nghiên cứu nền tảng tự động hóa chỉ huy cấp chiến thuật VTC2-BMS</v>
          </cell>
          <cell r="G365" t="str">
            <v>KHCN</v>
          </cell>
          <cell r="I365" t="str">
            <v>CHĐK</v>
          </cell>
          <cell r="AC365">
            <v>1030000</v>
          </cell>
          <cell r="AD365">
            <v>41328832</v>
          </cell>
          <cell r="AE365">
            <v>3285316</v>
          </cell>
          <cell r="AF365">
            <v>3187497</v>
          </cell>
          <cell r="AG365">
            <v>0</v>
          </cell>
          <cell r="AH365">
            <v>0</v>
          </cell>
          <cell r="AI365">
            <v>0</v>
          </cell>
          <cell r="AJ365">
            <v>0</v>
          </cell>
          <cell r="AK365">
            <v>74529</v>
          </cell>
          <cell r="AL365">
            <v>163033</v>
          </cell>
          <cell r="AM365">
            <v>13974</v>
          </cell>
          <cell r="AN365">
            <v>27949</v>
          </cell>
          <cell r="AO365">
            <v>9316</v>
          </cell>
          <cell r="AP365">
            <v>9316</v>
          </cell>
        </row>
        <row r="366">
          <cell r="D366" t="str">
            <v>Nghiên cứu nền tảng tự động hóa chỉ huy cấp chiến thuật VTC2-BMS</v>
          </cell>
          <cell r="G366" t="str">
            <v>KHCN</v>
          </cell>
          <cell r="I366" t="str">
            <v>CHĐK</v>
          </cell>
          <cell r="AC366">
            <v>1030000</v>
          </cell>
          <cell r="AD366">
            <v>50823738</v>
          </cell>
          <cell r="AE366">
            <v>6149716</v>
          </cell>
          <cell r="AF366">
            <v>5995514</v>
          </cell>
          <cell r="AG366">
            <v>0</v>
          </cell>
          <cell r="AH366">
            <v>0</v>
          </cell>
          <cell r="AI366">
            <v>0</v>
          </cell>
          <cell r="AJ366">
            <v>0</v>
          </cell>
          <cell r="AK366">
            <v>117487</v>
          </cell>
          <cell r="AL366">
            <v>257003</v>
          </cell>
          <cell r="AM366">
            <v>22029</v>
          </cell>
          <cell r="AN366">
            <v>44058</v>
          </cell>
          <cell r="AO366">
            <v>14686</v>
          </cell>
          <cell r="AP366">
            <v>14686</v>
          </cell>
        </row>
        <row r="367">
          <cell r="D367" t="str">
            <v>Nghiên cứu nền tảng tự động hóa chỉ huy cấp chiến thuật VTC2-BMS</v>
          </cell>
          <cell r="G367" t="str">
            <v>KHCN</v>
          </cell>
          <cell r="I367" t="str">
            <v>CHĐK</v>
          </cell>
          <cell r="AC367">
            <v>930000</v>
          </cell>
          <cell r="AD367">
            <v>34252587</v>
          </cell>
          <cell r="AE367">
            <v>2699971</v>
          </cell>
          <cell r="AF367">
            <v>2611662</v>
          </cell>
          <cell r="AG367">
            <v>0</v>
          </cell>
          <cell r="AH367">
            <v>0</v>
          </cell>
          <cell r="AI367">
            <v>0</v>
          </cell>
          <cell r="AJ367">
            <v>0</v>
          </cell>
          <cell r="AK367">
            <v>67283</v>
          </cell>
          <cell r="AL367">
            <v>147183</v>
          </cell>
          <cell r="AM367">
            <v>12616</v>
          </cell>
          <cell r="AN367">
            <v>25231</v>
          </cell>
          <cell r="AO367">
            <v>8410</v>
          </cell>
          <cell r="AP367">
            <v>8410</v>
          </cell>
        </row>
        <row r="368">
          <cell r="D368" t="str">
            <v>Nghiên cứu nền tảng tự động hóa chỉ huy cấp chiến thuật VTC2-BMS</v>
          </cell>
          <cell r="G368" t="str">
            <v>KHCN</v>
          </cell>
          <cell r="I368" t="str">
            <v>CHĐK</v>
          </cell>
          <cell r="AC368">
            <v>930000</v>
          </cell>
          <cell r="AD368">
            <v>18480024</v>
          </cell>
          <cell r="AE368">
            <v>4094797</v>
          </cell>
          <cell r="AF368">
            <v>3878778</v>
          </cell>
          <cell r="AG368">
            <v>0</v>
          </cell>
          <cell r="AH368">
            <v>0</v>
          </cell>
          <cell r="AI368">
            <v>0</v>
          </cell>
          <cell r="AJ368">
            <v>0</v>
          </cell>
          <cell r="AK368">
            <v>164586</v>
          </cell>
          <cell r="AL368">
            <v>360031</v>
          </cell>
          <cell r="AM368">
            <v>30860</v>
          </cell>
          <cell r="AN368">
            <v>61720</v>
          </cell>
          <cell r="AO368">
            <v>20573</v>
          </cell>
          <cell r="AP368">
            <v>20573</v>
          </cell>
        </row>
        <row r="369">
          <cell r="D369" t="str">
            <v>Nghiên cứu nền tảng tự động hóa chỉ huy cấp chiến thuật VTC2-BMS</v>
          </cell>
          <cell r="G369" t="str">
            <v>KHCN</v>
          </cell>
          <cell r="I369" t="str">
            <v>CHĐK</v>
          </cell>
          <cell r="AC369">
            <v>1030000</v>
          </cell>
          <cell r="AD369">
            <v>51120531</v>
          </cell>
          <cell r="AE369">
            <v>8226913</v>
          </cell>
          <cell r="AF369">
            <v>8010441</v>
          </cell>
          <cell r="AG369">
            <v>0</v>
          </cell>
          <cell r="AH369">
            <v>0</v>
          </cell>
          <cell r="AI369">
            <v>0</v>
          </cell>
          <cell r="AJ369">
            <v>0</v>
          </cell>
          <cell r="AK369">
            <v>164931</v>
          </cell>
          <cell r="AL369">
            <v>360786</v>
          </cell>
          <cell r="AM369">
            <v>30925</v>
          </cell>
          <cell r="AN369">
            <v>61849</v>
          </cell>
          <cell r="AO369">
            <v>20616</v>
          </cell>
          <cell r="AP369">
            <v>20616</v>
          </cell>
        </row>
        <row r="370">
          <cell r="D370" t="str">
            <v>Nghiên cứu nền tảng tự động hóa chỉ huy cấp chiến thuật VTC2-BMS</v>
          </cell>
          <cell r="G370" t="str">
            <v>KHCN</v>
          </cell>
          <cell r="I370" t="str">
            <v>CHĐK</v>
          </cell>
          <cell r="AC370">
            <v>1147000</v>
          </cell>
          <cell r="AD370">
            <v>45103070</v>
          </cell>
          <cell r="AE370">
            <v>10810011</v>
          </cell>
          <cell r="AF370">
            <v>10516551</v>
          </cell>
          <cell r="AG370">
            <v>0</v>
          </cell>
          <cell r="AH370">
            <v>0</v>
          </cell>
          <cell r="AI370">
            <v>0</v>
          </cell>
          <cell r="AJ370">
            <v>0</v>
          </cell>
          <cell r="AK370">
            <v>223588</v>
          </cell>
          <cell r="AL370">
            <v>489099</v>
          </cell>
          <cell r="AM370">
            <v>41923</v>
          </cell>
          <cell r="AN370">
            <v>83846</v>
          </cell>
          <cell r="AO370">
            <v>27949</v>
          </cell>
          <cell r="AP370">
            <v>27949</v>
          </cell>
        </row>
        <row r="371">
          <cell r="D371" t="str">
            <v>Nghiên cứu nền tảng tự động hóa chỉ huy cấp chiến thuật VTC2-BMS</v>
          </cell>
          <cell r="G371" t="str">
            <v>KHCN</v>
          </cell>
          <cell r="I371" t="str">
            <v>CHĐK</v>
          </cell>
          <cell r="AC371">
            <v>1047000</v>
          </cell>
          <cell r="AD371">
            <v>22258396</v>
          </cell>
          <cell r="AE371">
            <v>4998245</v>
          </cell>
          <cell r="AF371">
            <v>4759130</v>
          </cell>
          <cell r="AG371">
            <v>0</v>
          </cell>
          <cell r="AH371">
            <v>0</v>
          </cell>
          <cell r="AI371">
            <v>0</v>
          </cell>
          <cell r="AJ371">
            <v>0</v>
          </cell>
          <cell r="AK371">
            <v>182183</v>
          </cell>
          <cell r="AL371">
            <v>398525</v>
          </cell>
          <cell r="AM371">
            <v>34159</v>
          </cell>
          <cell r="AN371">
            <v>68319</v>
          </cell>
          <cell r="AO371">
            <v>22773</v>
          </cell>
          <cell r="AP371">
            <v>22773</v>
          </cell>
        </row>
        <row r="372">
          <cell r="D372" t="str">
            <v>Nghiên cứu nền tảng tự động hóa chỉ huy cấp chiến thuật VTC2-BMS</v>
          </cell>
          <cell r="G372" t="str">
            <v>KHCN</v>
          </cell>
          <cell r="I372" t="str">
            <v>CHĐK</v>
          </cell>
          <cell r="AC372">
            <v>930000</v>
          </cell>
          <cell r="AD372">
            <v>14515216</v>
          </cell>
          <cell r="AE372">
            <v>3652174</v>
          </cell>
          <cell r="AF372">
            <v>3436608</v>
          </cell>
          <cell r="AG372">
            <v>0</v>
          </cell>
          <cell r="AH372">
            <v>0</v>
          </cell>
          <cell r="AI372">
            <v>0</v>
          </cell>
          <cell r="AJ372">
            <v>0</v>
          </cell>
          <cell r="AK372">
            <v>164241</v>
          </cell>
          <cell r="AL372">
            <v>359277</v>
          </cell>
          <cell r="AM372">
            <v>30795</v>
          </cell>
          <cell r="AN372">
            <v>61590</v>
          </cell>
          <cell r="AO372">
            <v>20530</v>
          </cell>
          <cell r="AP372">
            <v>20530</v>
          </cell>
        </row>
        <row r="373">
          <cell r="D373" t="str">
            <v>Nghiên cứu nền tảng tự động hóa chỉ huy cấp chiến thuật VTC2-BMS</v>
          </cell>
          <cell r="G373" t="str">
            <v>KHCN</v>
          </cell>
          <cell r="I373" t="str">
            <v>CHĐK</v>
          </cell>
          <cell r="AC373">
            <v>1130000</v>
          </cell>
          <cell r="AD373">
            <v>60891967</v>
          </cell>
          <cell r="AE373">
            <v>9884576</v>
          </cell>
          <cell r="AF373">
            <v>9657236</v>
          </cell>
          <cell r="AG373">
            <v>0</v>
          </cell>
          <cell r="AH373">
            <v>0</v>
          </cell>
          <cell r="AI373">
            <v>0</v>
          </cell>
          <cell r="AJ373">
            <v>0</v>
          </cell>
          <cell r="AK373">
            <v>173212</v>
          </cell>
          <cell r="AL373">
            <v>378901</v>
          </cell>
          <cell r="AM373">
            <v>32477</v>
          </cell>
          <cell r="AN373">
            <v>64954</v>
          </cell>
          <cell r="AO373">
            <v>21651</v>
          </cell>
          <cell r="AP373">
            <v>21651</v>
          </cell>
        </row>
        <row r="374">
          <cell r="D374" t="str">
            <v>Nghiên cứu nền tảng tự động hóa chỉ huy cấp chiến thuật VTC2-BMS</v>
          </cell>
          <cell r="G374" t="str">
            <v>KHCN</v>
          </cell>
          <cell r="I374" t="str">
            <v>CHĐK</v>
          </cell>
          <cell r="AC374">
            <v>930000</v>
          </cell>
          <cell r="AD374">
            <v>17994124</v>
          </cell>
          <cell r="AE374">
            <v>4629380</v>
          </cell>
          <cell r="AF374">
            <v>4377358</v>
          </cell>
          <cell r="AG374">
            <v>0</v>
          </cell>
          <cell r="AH374">
            <v>0</v>
          </cell>
          <cell r="AI374">
            <v>0</v>
          </cell>
          <cell r="AJ374">
            <v>0</v>
          </cell>
          <cell r="AK374">
            <v>192017</v>
          </cell>
          <cell r="AL374">
            <v>420037</v>
          </cell>
          <cell r="AM374">
            <v>36003</v>
          </cell>
          <cell r="AN374">
            <v>72006</v>
          </cell>
          <cell r="AO374">
            <v>24002</v>
          </cell>
          <cell r="AP374">
            <v>24002</v>
          </cell>
        </row>
        <row r="375">
          <cell r="D375" t="str">
            <v>Nghiên cứu nền tảng tự động hóa chỉ huy cấp chiến thuật VTC2-BMS</v>
          </cell>
          <cell r="G375" t="str">
            <v>KHCN</v>
          </cell>
          <cell r="I375" t="str">
            <v>CHĐK</v>
          </cell>
          <cell r="AC375">
            <v>930000</v>
          </cell>
          <cell r="AD375">
            <v>32921887</v>
          </cell>
          <cell r="AE375">
            <v>2584258</v>
          </cell>
          <cell r="AF375">
            <v>2495949</v>
          </cell>
          <cell r="AG375">
            <v>0</v>
          </cell>
          <cell r="AH375">
            <v>0</v>
          </cell>
          <cell r="AI375">
            <v>0</v>
          </cell>
          <cell r="AJ375">
            <v>0</v>
          </cell>
          <cell r="AK375">
            <v>67283</v>
          </cell>
          <cell r="AL375">
            <v>147183</v>
          </cell>
          <cell r="AM375">
            <v>12616</v>
          </cell>
          <cell r="AN375">
            <v>25231</v>
          </cell>
          <cell r="AO375">
            <v>8410</v>
          </cell>
          <cell r="AP375">
            <v>8410</v>
          </cell>
        </row>
        <row r="376">
          <cell r="D376" t="str">
            <v>Nghiên cứu nền tảng tự động hóa chỉ huy cấp chiến thuật VTC2-BMS</v>
          </cell>
          <cell r="G376" t="str">
            <v>KHCN</v>
          </cell>
          <cell r="I376" t="str">
            <v>CHĐK</v>
          </cell>
          <cell r="AC376">
            <v>930000</v>
          </cell>
          <cell r="AD376">
            <v>16490056</v>
          </cell>
          <cell r="AE376">
            <v>4200000</v>
          </cell>
          <cell r="AF376">
            <v>3960659</v>
          </cell>
          <cell r="AG376">
            <v>0</v>
          </cell>
          <cell r="AH376">
            <v>0</v>
          </cell>
          <cell r="AI376">
            <v>0</v>
          </cell>
          <cell r="AJ376">
            <v>0</v>
          </cell>
          <cell r="AK376">
            <v>182355</v>
          </cell>
          <cell r="AL376">
            <v>398903</v>
          </cell>
          <cell r="AM376">
            <v>34192</v>
          </cell>
          <cell r="AN376">
            <v>68383</v>
          </cell>
          <cell r="AO376">
            <v>22794</v>
          </cell>
          <cell r="AP376">
            <v>22794</v>
          </cell>
        </row>
        <row r="377">
          <cell r="D377" t="str">
            <v>Nghiên cứu nền tảng tự động hóa chỉ huy cấp chiến thuật VTC2-BMS</v>
          </cell>
          <cell r="G377" t="str">
            <v>KHCN</v>
          </cell>
          <cell r="I377" t="str">
            <v>CHĐK</v>
          </cell>
          <cell r="AC377">
            <v>930000</v>
          </cell>
          <cell r="AD377">
            <v>18623304</v>
          </cell>
          <cell r="AE377">
            <v>4132174</v>
          </cell>
          <cell r="AF377">
            <v>3916155</v>
          </cell>
          <cell r="AG377">
            <v>0</v>
          </cell>
          <cell r="AH377">
            <v>0</v>
          </cell>
          <cell r="AI377">
            <v>0</v>
          </cell>
          <cell r="AJ377">
            <v>0</v>
          </cell>
          <cell r="AK377">
            <v>164586</v>
          </cell>
          <cell r="AL377">
            <v>360031</v>
          </cell>
          <cell r="AM377">
            <v>30860</v>
          </cell>
          <cell r="AN377">
            <v>61720</v>
          </cell>
          <cell r="AO377">
            <v>20573</v>
          </cell>
          <cell r="AP377">
            <v>20573</v>
          </cell>
        </row>
        <row r="378">
          <cell r="D378" t="str">
            <v>Nghiên cứu nền tảng tự động hóa chỉ huy cấp chiến thuật VTC2-BMS</v>
          </cell>
          <cell r="G378" t="str">
            <v>KHCN</v>
          </cell>
          <cell r="I378" t="str">
            <v>CHĐK</v>
          </cell>
          <cell r="AC378">
            <v>930000</v>
          </cell>
          <cell r="AD378">
            <v>30873290</v>
          </cell>
          <cell r="AE378">
            <v>2406119</v>
          </cell>
          <cell r="AF378">
            <v>2317810</v>
          </cell>
          <cell r="AG378">
            <v>0</v>
          </cell>
          <cell r="AH378">
            <v>0</v>
          </cell>
          <cell r="AI378">
            <v>0</v>
          </cell>
          <cell r="AJ378">
            <v>0</v>
          </cell>
          <cell r="AK378">
            <v>67283</v>
          </cell>
          <cell r="AL378">
            <v>147183</v>
          </cell>
          <cell r="AM378">
            <v>12616</v>
          </cell>
          <cell r="AN378">
            <v>25231</v>
          </cell>
          <cell r="AO378">
            <v>8410</v>
          </cell>
          <cell r="AP378">
            <v>8410</v>
          </cell>
        </row>
        <row r="379">
          <cell r="D379" t="str">
            <v>Sản xuất 05 hệ thống trinh sát điện tử thông minh V-ELINT18 năm 2021 (Hệ thống trinh sát điện tử thông minh V-ELINT18)</v>
          </cell>
          <cell r="G379" t="str">
            <v>Bán hàng</v>
          </cell>
          <cell r="I379" t="str">
            <v>TCĐT</v>
          </cell>
          <cell r="AC379">
            <v>1730000</v>
          </cell>
          <cell r="AD379">
            <v>115310259</v>
          </cell>
          <cell r="AE379">
            <v>81242387</v>
          </cell>
          <cell r="AF379">
            <v>80131314</v>
          </cell>
          <cell r="AG379">
            <v>0</v>
          </cell>
          <cell r="AH379">
            <v>0</v>
          </cell>
          <cell r="AI379">
            <v>0</v>
          </cell>
          <cell r="AJ379">
            <v>0</v>
          </cell>
          <cell r="AK379">
            <v>1111073</v>
          </cell>
          <cell r="AL379">
            <v>2430472</v>
          </cell>
          <cell r="AM379">
            <v>0</v>
          </cell>
          <cell r="AN379">
            <v>0</v>
          </cell>
          <cell r="AO379">
            <v>0</v>
          </cell>
          <cell r="AP379">
            <v>0</v>
          </cell>
        </row>
        <row r="380">
          <cell r="D380" t="str">
            <v>Sản xuất 05 hệ thống trinh sát điện tử thông minh V-ELINT18 năm 2021 (Hệ thống trinh sát điện tử thông minh V-ELINT18)</v>
          </cell>
          <cell r="G380" t="str">
            <v>Bán hàng</v>
          </cell>
          <cell r="I380" t="str">
            <v>TCĐT</v>
          </cell>
          <cell r="AC380">
            <v>1230000</v>
          </cell>
          <cell r="AD380">
            <v>71312350</v>
          </cell>
          <cell r="AE380">
            <v>55557066</v>
          </cell>
          <cell r="AF380">
            <v>54598276</v>
          </cell>
          <cell r="AG380">
            <v>0</v>
          </cell>
          <cell r="AH380">
            <v>0</v>
          </cell>
          <cell r="AI380">
            <v>0</v>
          </cell>
          <cell r="AJ380">
            <v>0</v>
          </cell>
          <cell r="AK380">
            <v>958790</v>
          </cell>
          <cell r="AL380">
            <v>2097352</v>
          </cell>
          <cell r="AM380">
            <v>0</v>
          </cell>
          <cell r="AN380">
            <v>0</v>
          </cell>
          <cell r="AO380">
            <v>0</v>
          </cell>
          <cell r="AP380">
            <v>0</v>
          </cell>
        </row>
        <row r="381">
          <cell r="D381" t="str">
            <v>Sản xuất 05 hệ thống trinh sát điện tử thông minh V-ELINT18 năm 2021 (Hệ thống trinh sát điện tử thông minh V-ELINT18)</v>
          </cell>
          <cell r="G381" t="str">
            <v>Bán hàng</v>
          </cell>
          <cell r="I381" t="str">
            <v>TCĐT</v>
          </cell>
          <cell r="AC381">
            <v>1030000</v>
          </cell>
          <cell r="AD381">
            <v>44182140</v>
          </cell>
          <cell r="AE381">
            <v>40634444</v>
          </cell>
          <cell r="AF381">
            <v>39509516</v>
          </cell>
          <cell r="AG381">
            <v>0</v>
          </cell>
          <cell r="AH381">
            <v>0</v>
          </cell>
          <cell r="AI381">
            <v>0</v>
          </cell>
          <cell r="AJ381">
            <v>0</v>
          </cell>
          <cell r="AK381">
            <v>857088</v>
          </cell>
          <cell r="AL381">
            <v>1874880</v>
          </cell>
          <cell r="AM381">
            <v>160704</v>
          </cell>
          <cell r="AN381">
            <v>321408</v>
          </cell>
          <cell r="AO381">
            <v>107136</v>
          </cell>
          <cell r="AP381">
            <v>107136</v>
          </cell>
        </row>
        <row r="382">
          <cell r="D382" t="str">
            <v>Sản xuất 05 hệ thống trinh sát điện tử thông minh V-ELINT18 năm 2021 (Hệ thống trinh sát điện tử thông minh V-ELINT18)</v>
          </cell>
          <cell r="G382" t="str">
            <v>Bán hàng</v>
          </cell>
          <cell r="I382" t="str">
            <v>TCĐT</v>
          </cell>
          <cell r="AC382">
            <v>930000</v>
          </cell>
          <cell r="AD382">
            <v>24323384</v>
          </cell>
          <cell r="AE382">
            <v>21341928</v>
          </cell>
          <cell r="AF382">
            <v>20425320</v>
          </cell>
          <cell r="AG382">
            <v>0</v>
          </cell>
          <cell r="AH382">
            <v>0</v>
          </cell>
          <cell r="AI382">
            <v>0</v>
          </cell>
          <cell r="AJ382">
            <v>0</v>
          </cell>
          <cell r="AK382">
            <v>698368</v>
          </cell>
          <cell r="AL382">
            <v>1527680</v>
          </cell>
          <cell r="AM382">
            <v>130944</v>
          </cell>
          <cell r="AN382">
            <v>261888</v>
          </cell>
          <cell r="AO382">
            <v>87296</v>
          </cell>
          <cell r="AP382">
            <v>87296</v>
          </cell>
        </row>
        <row r="383">
          <cell r="D383" t="str">
            <v>Sản xuất 05 hệ thống trinh sát điện tử thông minh V-ELINT18 năm 2021 (Hệ thống trinh sát điện tử thông minh V-ELINT18)</v>
          </cell>
          <cell r="G383" t="str">
            <v>Bán hàng</v>
          </cell>
          <cell r="I383" t="str">
            <v>TCĐT</v>
          </cell>
          <cell r="AC383">
            <v>930000</v>
          </cell>
          <cell r="AD383">
            <v>16972936</v>
          </cell>
          <cell r="AE383">
            <v>14282880</v>
          </cell>
          <cell r="AF383">
            <v>13496472</v>
          </cell>
          <cell r="AG383">
            <v>0</v>
          </cell>
          <cell r="AH383">
            <v>0</v>
          </cell>
          <cell r="AI383">
            <v>0</v>
          </cell>
          <cell r="AJ383">
            <v>0</v>
          </cell>
          <cell r="AK383">
            <v>599168</v>
          </cell>
          <cell r="AL383">
            <v>1310680</v>
          </cell>
          <cell r="AM383">
            <v>112344</v>
          </cell>
          <cell r="AN383">
            <v>224688</v>
          </cell>
          <cell r="AO383">
            <v>74896</v>
          </cell>
          <cell r="AP383">
            <v>74896</v>
          </cell>
        </row>
        <row r="384">
          <cell r="D384" t="str">
            <v>Sản xuất 05 hệ thống trinh sát điện tử thông minh V-ELINT18 năm 2021 (Hệ thống trinh sát điện tử thông minh V-ELINT18)</v>
          </cell>
          <cell r="G384" t="str">
            <v>Bán hàng</v>
          </cell>
          <cell r="I384" t="str">
            <v>TCĐT</v>
          </cell>
          <cell r="AC384">
            <v>930000</v>
          </cell>
          <cell r="AD384">
            <v>21693266</v>
          </cell>
          <cell r="AE384">
            <v>7363062</v>
          </cell>
          <cell r="AF384">
            <v>7022730</v>
          </cell>
          <cell r="AG384">
            <v>0</v>
          </cell>
          <cell r="AH384">
            <v>0</v>
          </cell>
          <cell r="AI384">
            <v>0</v>
          </cell>
          <cell r="AJ384">
            <v>0</v>
          </cell>
          <cell r="AK384">
            <v>259300</v>
          </cell>
          <cell r="AL384">
            <v>567219</v>
          </cell>
          <cell r="AM384">
            <v>48619</v>
          </cell>
          <cell r="AN384">
            <v>97238</v>
          </cell>
          <cell r="AO384">
            <v>32413</v>
          </cell>
          <cell r="AP384">
            <v>32413</v>
          </cell>
        </row>
        <row r="385">
          <cell r="D385" t="str">
            <v>Sản xuất 05 hệ thống trinh sát điện tử thông minh V-ELINT18 năm 2021 (Hệ thống trinh sát điện tử thông minh V-ELINT18)</v>
          </cell>
          <cell r="G385" t="str">
            <v>Bán hàng</v>
          </cell>
          <cell r="I385" t="str">
            <v>TCĐT</v>
          </cell>
          <cell r="AC385">
            <v>930000</v>
          </cell>
          <cell r="AD385">
            <v>22092921</v>
          </cell>
          <cell r="AE385">
            <v>19216369</v>
          </cell>
          <cell r="AF385">
            <v>18346633</v>
          </cell>
          <cell r="AG385">
            <v>0</v>
          </cell>
          <cell r="AH385">
            <v>0</v>
          </cell>
          <cell r="AI385">
            <v>0</v>
          </cell>
          <cell r="AJ385">
            <v>0</v>
          </cell>
          <cell r="AK385">
            <v>662656</v>
          </cell>
          <cell r="AL385">
            <v>1449560</v>
          </cell>
          <cell r="AM385">
            <v>124248</v>
          </cell>
          <cell r="AN385">
            <v>248496</v>
          </cell>
          <cell r="AO385">
            <v>82832</v>
          </cell>
          <cell r="AP385">
            <v>82832</v>
          </cell>
        </row>
        <row r="386">
          <cell r="D386" t="str">
            <v>Sản xuất 05 hệ thống trinh sát điện tử thông minh V-ELINT18 năm 2021 (Hệ thống trinh sát điện tử thông minh V-ELINT18)</v>
          </cell>
          <cell r="G386" t="str">
            <v>Bán hàng</v>
          </cell>
          <cell r="I386" t="str">
            <v>TCĐT</v>
          </cell>
          <cell r="AC386">
            <v>930000</v>
          </cell>
          <cell r="AD386">
            <v>25110104</v>
          </cell>
          <cell r="AE386">
            <v>22023744</v>
          </cell>
          <cell r="AF386">
            <v>21060264</v>
          </cell>
          <cell r="AG386">
            <v>0</v>
          </cell>
          <cell r="AH386">
            <v>0</v>
          </cell>
          <cell r="AI386">
            <v>0</v>
          </cell>
          <cell r="AJ386">
            <v>0</v>
          </cell>
          <cell r="AK386">
            <v>734080</v>
          </cell>
          <cell r="AL386">
            <v>1605800</v>
          </cell>
          <cell r="AM386">
            <v>137640</v>
          </cell>
          <cell r="AN386">
            <v>275280</v>
          </cell>
          <cell r="AO386">
            <v>91760</v>
          </cell>
          <cell r="AP386">
            <v>91760</v>
          </cell>
        </row>
        <row r="387">
          <cell r="D387" t="str">
            <v>Sản xuất 05 hệ thống trinh sát điện tử thông minh V-ELINT18 năm 2021 (Hệ thống trinh sát điện tử thông minh V-ELINT18)</v>
          </cell>
          <cell r="G387" t="str">
            <v>Bán hàng</v>
          </cell>
          <cell r="I387" t="str">
            <v>TCĐT</v>
          </cell>
          <cell r="AC387">
            <v>1030000</v>
          </cell>
          <cell r="AD387">
            <v>55004853</v>
          </cell>
          <cell r="AE387">
            <v>20030505</v>
          </cell>
          <cell r="AF387">
            <v>19543444</v>
          </cell>
          <cell r="AG387">
            <v>0</v>
          </cell>
          <cell r="AH387">
            <v>0</v>
          </cell>
          <cell r="AI387">
            <v>0</v>
          </cell>
          <cell r="AJ387">
            <v>0</v>
          </cell>
          <cell r="AK387">
            <v>371094</v>
          </cell>
          <cell r="AL387">
            <v>811769</v>
          </cell>
          <cell r="AM387">
            <v>69580</v>
          </cell>
          <cell r="AN387">
            <v>139160</v>
          </cell>
          <cell r="AO387">
            <v>46387</v>
          </cell>
          <cell r="AP387">
            <v>46387</v>
          </cell>
        </row>
        <row r="388">
          <cell r="D388" t="str">
            <v>Sản xuất 05 hệ thống trinh sát điện tử thông minh V-ELINT18 năm 2021 (Hệ thống trinh sát điện tử thông minh V-ELINT18)</v>
          </cell>
          <cell r="G388" t="str">
            <v>Bán hàng</v>
          </cell>
          <cell r="I388" t="str">
            <v>TCĐT</v>
          </cell>
          <cell r="AC388">
            <v>930000</v>
          </cell>
          <cell r="AD388">
            <v>25277800</v>
          </cell>
          <cell r="AE388">
            <v>8683607</v>
          </cell>
          <cell r="AF388">
            <v>8306593</v>
          </cell>
          <cell r="AG388">
            <v>0</v>
          </cell>
          <cell r="AH388">
            <v>0</v>
          </cell>
          <cell r="AI388">
            <v>0</v>
          </cell>
          <cell r="AJ388">
            <v>0</v>
          </cell>
          <cell r="AK388">
            <v>287249</v>
          </cell>
          <cell r="AL388">
            <v>628357</v>
          </cell>
          <cell r="AM388">
            <v>53859</v>
          </cell>
          <cell r="AN388">
            <v>107718</v>
          </cell>
          <cell r="AO388">
            <v>35906</v>
          </cell>
          <cell r="AP388">
            <v>35906</v>
          </cell>
        </row>
        <row r="389">
          <cell r="D389" t="str">
            <v>Sản xuất 05 hệ thống trinh sát điện tử thông minh V-ELINT18 năm 2021 (Hệ thống trinh sát điện tử thông minh V-ELINT18)</v>
          </cell>
          <cell r="G389" t="str">
            <v>Bán hàng</v>
          </cell>
          <cell r="I389" t="str">
            <v>TCĐT</v>
          </cell>
          <cell r="AC389">
            <v>1030000</v>
          </cell>
          <cell r="AD389">
            <v>33728406</v>
          </cell>
          <cell r="AE389">
            <v>30425486</v>
          </cell>
          <cell r="AF389">
            <v>29409926</v>
          </cell>
          <cell r="AG389">
            <v>0</v>
          </cell>
          <cell r="AH389">
            <v>0</v>
          </cell>
          <cell r="AI389">
            <v>0</v>
          </cell>
          <cell r="AJ389">
            <v>0</v>
          </cell>
          <cell r="AK389">
            <v>773760</v>
          </cell>
          <cell r="AL389">
            <v>1692600</v>
          </cell>
          <cell r="AM389">
            <v>145080</v>
          </cell>
          <cell r="AN389">
            <v>290160</v>
          </cell>
          <cell r="AO389">
            <v>96720</v>
          </cell>
          <cell r="AP389">
            <v>96720</v>
          </cell>
        </row>
        <row r="390">
          <cell r="D390" t="str">
            <v>Sản xuất 05 hệ thống trinh sát điện tử thông minh V-ELINT18 năm 2021 (Hệ thống trinh sát điện tử thông minh V-ELINT18)</v>
          </cell>
          <cell r="G390" t="str">
            <v>Bán hàng</v>
          </cell>
          <cell r="I390" t="str">
            <v>TCĐT</v>
          </cell>
          <cell r="AC390">
            <v>930000</v>
          </cell>
          <cell r="AD390">
            <v>19947552</v>
          </cell>
          <cell r="AE390">
            <v>5937739</v>
          </cell>
          <cell r="AF390">
            <v>5635222</v>
          </cell>
          <cell r="AG390">
            <v>0</v>
          </cell>
          <cell r="AH390">
            <v>0</v>
          </cell>
          <cell r="AI390">
            <v>0</v>
          </cell>
          <cell r="AJ390">
            <v>0</v>
          </cell>
          <cell r="AK390">
            <v>230489</v>
          </cell>
          <cell r="AL390">
            <v>504195</v>
          </cell>
          <cell r="AM390">
            <v>43217</v>
          </cell>
          <cell r="AN390">
            <v>86433</v>
          </cell>
          <cell r="AO390">
            <v>28811</v>
          </cell>
          <cell r="AP390">
            <v>28811</v>
          </cell>
        </row>
        <row r="391">
          <cell r="D391" t="str">
            <v>Sản xuất 05 hệ thống trinh sát điện tử thông minh V-ELINT18 năm 2021 (Hệ thống trinh sát điện tử thông minh V-ELINT18)</v>
          </cell>
          <cell r="G391" t="str">
            <v>Bán hàng</v>
          </cell>
          <cell r="I391" t="str">
            <v>TCĐT</v>
          </cell>
          <cell r="AC391">
            <v>930000</v>
          </cell>
          <cell r="AD391">
            <v>22141396</v>
          </cell>
          <cell r="AE391">
            <v>19159940</v>
          </cell>
          <cell r="AF391">
            <v>18243332</v>
          </cell>
          <cell r="AG391">
            <v>0</v>
          </cell>
          <cell r="AH391">
            <v>0</v>
          </cell>
          <cell r="AI391">
            <v>0</v>
          </cell>
          <cell r="AJ391">
            <v>0</v>
          </cell>
          <cell r="AK391">
            <v>698368</v>
          </cell>
          <cell r="AL391">
            <v>1527680</v>
          </cell>
          <cell r="AM391">
            <v>130944</v>
          </cell>
          <cell r="AN391">
            <v>261888</v>
          </cell>
          <cell r="AO391">
            <v>87296</v>
          </cell>
          <cell r="AP391">
            <v>87296</v>
          </cell>
        </row>
        <row r="392">
          <cell r="D392" t="str">
            <v>Sản xuất 05 hệ thống trinh sát điện tử thông minh V-ELINT18 năm 2021 (Hệ thống trinh sát điện tử thông minh V-ELINT18)</v>
          </cell>
          <cell r="G392" t="str">
            <v>Bán hàng</v>
          </cell>
          <cell r="I392" t="str">
            <v>TCĐT</v>
          </cell>
          <cell r="AC392">
            <v>930000</v>
          </cell>
          <cell r="AD392">
            <v>15246808</v>
          </cell>
          <cell r="AE392">
            <v>12650000</v>
          </cell>
          <cell r="AF392">
            <v>11905256</v>
          </cell>
          <cell r="AG392">
            <v>0</v>
          </cell>
          <cell r="AH392">
            <v>0</v>
          </cell>
          <cell r="AI392">
            <v>0</v>
          </cell>
          <cell r="AJ392">
            <v>0</v>
          </cell>
          <cell r="AK392">
            <v>567424</v>
          </cell>
          <cell r="AL392">
            <v>1241240</v>
          </cell>
          <cell r="AM392">
            <v>106392</v>
          </cell>
          <cell r="AN392">
            <v>212784</v>
          </cell>
          <cell r="AO392">
            <v>70928</v>
          </cell>
          <cell r="AP392">
            <v>70928</v>
          </cell>
        </row>
        <row r="393">
          <cell r="D393" t="str">
            <v>Sản xuất 05 hệ thống trinh sát điện tử thông minh V-ELINT18 năm 2021 (Hệ thống trinh sát điện tử thông minh V-ELINT18)</v>
          </cell>
          <cell r="G393" t="str">
            <v>Bán hàng</v>
          </cell>
          <cell r="I393" t="str">
            <v>TCĐT</v>
          </cell>
          <cell r="AC393">
            <v>930000</v>
          </cell>
          <cell r="AD393">
            <v>15246808</v>
          </cell>
          <cell r="AE393">
            <v>12650000</v>
          </cell>
          <cell r="AF393">
            <v>11905256</v>
          </cell>
          <cell r="AG393">
            <v>0</v>
          </cell>
          <cell r="AH393">
            <v>0</v>
          </cell>
          <cell r="AI393">
            <v>0</v>
          </cell>
          <cell r="AJ393">
            <v>0</v>
          </cell>
          <cell r="AK393">
            <v>567424</v>
          </cell>
          <cell r="AL393">
            <v>1241240</v>
          </cell>
          <cell r="AM393">
            <v>106392</v>
          </cell>
          <cell r="AN393">
            <v>212784</v>
          </cell>
          <cell r="AO393">
            <v>70928</v>
          </cell>
          <cell r="AP393">
            <v>70928</v>
          </cell>
        </row>
        <row r="394">
          <cell r="D394" t="str">
            <v>Sản xuất 05 hệ thống trinh sát điện tử thông minh V-ELINT18 năm 2021 (Hệ thống trinh sát điện tử thông minh V-ELINT18)</v>
          </cell>
          <cell r="G394" t="str">
            <v>Bán hàng</v>
          </cell>
          <cell r="I394" t="str">
            <v>TCĐT</v>
          </cell>
          <cell r="AC394">
            <v>1047000</v>
          </cell>
          <cell r="AD394">
            <v>23442633</v>
          </cell>
          <cell r="AE394">
            <v>9729824</v>
          </cell>
          <cell r="AF394">
            <v>9291447</v>
          </cell>
          <cell r="AG394">
            <v>0</v>
          </cell>
          <cell r="AH394">
            <v>0</v>
          </cell>
          <cell r="AI394">
            <v>0</v>
          </cell>
          <cell r="AJ394">
            <v>0</v>
          </cell>
          <cell r="AK394">
            <v>334002</v>
          </cell>
          <cell r="AL394">
            <v>730630</v>
          </cell>
          <cell r="AM394">
            <v>62625</v>
          </cell>
          <cell r="AN394">
            <v>125251</v>
          </cell>
          <cell r="AO394">
            <v>41750</v>
          </cell>
          <cell r="AP394">
            <v>41750</v>
          </cell>
        </row>
        <row r="395">
          <cell r="D395" t="str">
            <v>Sản xuất 06 tổ hợp trinh sát, gây nhiễu chống phương tiện bay không người lái cấp chiến thuật BV5 và bộ ZIP vật tư dự phòng năm 2024 (Tổ hợp BV5 chống UAV)</v>
          </cell>
          <cell r="G395" t="str">
            <v>SXKD</v>
          </cell>
          <cell r="I395" t="str">
            <v>TCĐT</v>
          </cell>
          <cell r="AC395">
            <v>1730000</v>
          </cell>
          <cell r="AD395">
            <v>115310259</v>
          </cell>
          <cell r="AE395">
            <v>9557928</v>
          </cell>
          <cell r="AF395">
            <v>9427214</v>
          </cell>
          <cell r="AG395">
            <v>0</v>
          </cell>
          <cell r="AH395">
            <v>0</v>
          </cell>
          <cell r="AI395">
            <v>0</v>
          </cell>
          <cell r="AJ395">
            <v>0</v>
          </cell>
          <cell r="AK395">
            <v>130714</v>
          </cell>
          <cell r="AL395">
            <v>285938</v>
          </cell>
          <cell r="AM395">
            <v>0</v>
          </cell>
          <cell r="AN395">
            <v>0</v>
          </cell>
          <cell r="AO395">
            <v>0</v>
          </cell>
          <cell r="AP395">
            <v>0</v>
          </cell>
        </row>
        <row r="396">
          <cell r="D396" t="str">
            <v>Sản xuất 06 tổ hợp trinh sát, gây nhiễu chống phương tiện bay không người lái cấp chiến thuật BV5 và bộ ZIP vật tư dự phòng năm 2024 (Tổ hợp BV5 chống UAV)</v>
          </cell>
          <cell r="G396" t="str">
            <v>SXKD</v>
          </cell>
          <cell r="I396" t="str">
            <v>TCĐT</v>
          </cell>
          <cell r="AC396">
            <v>1230000</v>
          </cell>
          <cell r="AD396">
            <v>71312350</v>
          </cell>
          <cell r="AE396">
            <v>11696224</v>
          </cell>
          <cell r="AF396">
            <v>11494374</v>
          </cell>
          <cell r="AG396">
            <v>0</v>
          </cell>
          <cell r="AH396">
            <v>0</v>
          </cell>
          <cell r="AI396">
            <v>0</v>
          </cell>
          <cell r="AJ396">
            <v>0</v>
          </cell>
          <cell r="AK396">
            <v>201850</v>
          </cell>
          <cell r="AL396">
            <v>441548</v>
          </cell>
          <cell r="AM396">
            <v>0</v>
          </cell>
          <cell r="AN396">
            <v>0</v>
          </cell>
          <cell r="AO396">
            <v>0</v>
          </cell>
          <cell r="AP396">
            <v>0</v>
          </cell>
        </row>
        <row r="397">
          <cell r="D397" t="str">
            <v>Sản xuất 06 tổ hợp trinh sát, gây nhiễu chống phương tiện bay không người lái cấp chiến thuật BV5 và bộ ZIP vật tư dự phòng năm 2024 (Tổ hợp BV5 chống UAV)</v>
          </cell>
          <cell r="G397" t="str">
            <v>SXKD</v>
          </cell>
          <cell r="I397" t="str">
            <v>TCĐT</v>
          </cell>
          <cell r="AC397">
            <v>1230000</v>
          </cell>
          <cell r="AD397">
            <v>71905448</v>
          </cell>
          <cell r="AE397">
            <v>26969558</v>
          </cell>
          <cell r="AF397">
            <v>26679891</v>
          </cell>
          <cell r="AG397">
            <v>0</v>
          </cell>
          <cell r="AH397">
            <v>0</v>
          </cell>
          <cell r="AI397">
            <v>0</v>
          </cell>
          <cell r="AJ397">
            <v>0</v>
          </cell>
          <cell r="AK397">
            <v>243930</v>
          </cell>
          <cell r="AL397">
            <v>533596</v>
          </cell>
          <cell r="AM397">
            <v>45737</v>
          </cell>
          <cell r="AN397">
            <v>91474</v>
          </cell>
          <cell r="AO397">
            <v>0</v>
          </cell>
          <cell r="AP397">
            <v>0</v>
          </cell>
        </row>
        <row r="398">
          <cell r="D398" t="str">
            <v>Sản xuất 06 tổ hợp trinh sát, gây nhiễu chống phương tiện bay không người lái cấp chiến thuật BV5 và bộ ZIP vật tư dự phòng năm 2024 (Tổ hợp BV5 chống UAV)</v>
          </cell>
          <cell r="G398" t="str">
            <v>SXKD</v>
          </cell>
          <cell r="I398" t="str">
            <v>TCĐT</v>
          </cell>
          <cell r="AC398">
            <v>1030000</v>
          </cell>
          <cell r="AD398">
            <v>36561534</v>
          </cell>
          <cell r="AE398">
            <v>12968630</v>
          </cell>
          <cell r="AF398">
            <v>12550857</v>
          </cell>
          <cell r="AG398">
            <v>0</v>
          </cell>
          <cell r="AH398">
            <v>0</v>
          </cell>
          <cell r="AI398">
            <v>0</v>
          </cell>
          <cell r="AJ398">
            <v>0</v>
          </cell>
          <cell r="AK398">
            <v>318303</v>
          </cell>
          <cell r="AL398">
            <v>696287</v>
          </cell>
          <cell r="AM398">
            <v>59682</v>
          </cell>
          <cell r="AN398">
            <v>119363</v>
          </cell>
          <cell r="AO398">
            <v>39788</v>
          </cell>
          <cell r="AP398">
            <v>39788</v>
          </cell>
        </row>
        <row r="399">
          <cell r="D399" t="str">
            <v>Sản xuất 06 tổ hợp trinh sát, gây nhiễu chống phương tiện bay không người lái cấp chiến thuật BV5 và bộ ZIP vật tư dự phòng năm 2024 (Tổ hợp BV5 chống UAV)</v>
          </cell>
          <cell r="G399" t="str">
            <v>SXKD</v>
          </cell>
          <cell r="I399" t="str">
            <v>TCĐT</v>
          </cell>
          <cell r="AC399">
            <v>930000</v>
          </cell>
          <cell r="AD399">
            <v>22399878</v>
          </cell>
          <cell r="AE399">
            <v>7598513</v>
          </cell>
          <cell r="AF399">
            <v>7239841</v>
          </cell>
          <cell r="AG399">
            <v>0</v>
          </cell>
          <cell r="AH399">
            <v>0</v>
          </cell>
          <cell r="AI399">
            <v>0</v>
          </cell>
          <cell r="AJ399">
            <v>0</v>
          </cell>
          <cell r="AK399">
            <v>273274</v>
          </cell>
          <cell r="AL399">
            <v>597788</v>
          </cell>
          <cell r="AM399">
            <v>51239</v>
          </cell>
          <cell r="AN399">
            <v>102478</v>
          </cell>
          <cell r="AO399">
            <v>34159</v>
          </cell>
          <cell r="AP399">
            <v>34159</v>
          </cell>
        </row>
        <row r="400">
          <cell r="D400" t="str">
            <v>Sản xuất 06 tổ hợp trinh sát, gây nhiễu chống phương tiện bay không người lái cấp chiến thuật BV5 và bộ ZIP vật tư dự phòng năm 2024 (Tổ hợp BV5 chống UAV)</v>
          </cell>
          <cell r="G400" t="str">
            <v>SXKD</v>
          </cell>
          <cell r="I400" t="str">
            <v>TCĐT</v>
          </cell>
          <cell r="AC400">
            <v>930000</v>
          </cell>
          <cell r="AD400">
            <v>20085068</v>
          </cell>
          <cell r="AE400">
            <v>6770255</v>
          </cell>
          <cell r="AF400">
            <v>6446226</v>
          </cell>
          <cell r="AG400">
            <v>0</v>
          </cell>
          <cell r="AH400">
            <v>0</v>
          </cell>
          <cell r="AI400">
            <v>0</v>
          </cell>
          <cell r="AJ400">
            <v>0</v>
          </cell>
          <cell r="AK400">
            <v>246879</v>
          </cell>
          <cell r="AL400">
            <v>540047</v>
          </cell>
          <cell r="AM400">
            <v>46290</v>
          </cell>
          <cell r="AN400">
            <v>92579</v>
          </cell>
          <cell r="AO400">
            <v>30860</v>
          </cell>
          <cell r="AP400">
            <v>30860</v>
          </cell>
        </row>
        <row r="401">
          <cell r="D401" t="str">
            <v>Sản xuất 06 tổ hợp trinh sát, gây nhiễu chống phương tiện bay không người lái cấp chiến thuật BV5 và bộ ZIP vật tư dự phòng năm 2024 (Tổ hợp BV5 chống UAV)</v>
          </cell>
          <cell r="G401" t="str">
            <v>SXKD</v>
          </cell>
          <cell r="I401" t="str">
            <v>TCĐT</v>
          </cell>
          <cell r="AC401">
            <v>930000</v>
          </cell>
          <cell r="AD401">
            <v>18154084</v>
          </cell>
          <cell r="AE401">
            <v>6014653</v>
          </cell>
          <cell r="AF401">
            <v>5690624</v>
          </cell>
          <cell r="AG401">
            <v>0</v>
          </cell>
          <cell r="AH401">
            <v>0</v>
          </cell>
          <cell r="AI401">
            <v>0</v>
          </cell>
          <cell r="AJ401">
            <v>0</v>
          </cell>
          <cell r="AK401">
            <v>246879</v>
          </cell>
          <cell r="AL401">
            <v>540047</v>
          </cell>
          <cell r="AM401">
            <v>46290</v>
          </cell>
          <cell r="AN401">
            <v>92579</v>
          </cell>
          <cell r="AO401">
            <v>30860</v>
          </cell>
          <cell r="AP401">
            <v>30860</v>
          </cell>
        </row>
        <row r="402">
          <cell r="D402" t="str">
            <v>Sản xuất 06 tổ hợp trinh sát, gây nhiễu chống phương tiện bay không người lái cấp chiến thuật BV5 và bộ ZIP vật tư dự phòng năm 2024 (Tổ hợp BV5 chống UAV)</v>
          </cell>
          <cell r="G402" t="str">
            <v>SXKD</v>
          </cell>
          <cell r="I402" t="str">
            <v>TCĐT</v>
          </cell>
          <cell r="AC402">
            <v>1030000</v>
          </cell>
          <cell r="AD402">
            <v>31017383</v>
          </cell>
          <cell r="AE402">
            <v>10844790</v>
          </cell>
          <cell r="AF402">
            <v>10447397</v>
          </cell>
          <cell r="AG402">
            <v>0</v>
          </cell>
          <cell r="AH402">
            <v>0</v>
          </cell>
          <cell r="AI402">
            <v>0</v>
          </cell>
          <cell r="AJ402">
            <v>0</v>
          </cell>
          <cell r="AK402">
            <v>302776</v>
          </cell>
          <cell r="AL402">
            <v>662322</v>
          </cell>
          <cell r="AM402">
            <v>56770</v>
          </cell>
          <cell r="AN402">
            <v>113541</v>
          </cell>
          <cell r="AO402">
            <v>37847</v>
          </cell>
          <cell r="AP402">
            <v>37847</v>
          </cell>
        </row>
        <row r="403">
          <cell r="D403" t="str">
            <v>Sản xuất 06 tổ hợp trinh sát, gây nhiễu chống phương tiện bay không người lái cấp chiến thuật BV5 và bộ ZIP vật tư dự phòng năm 2024 (Tổ hợp BV5 chống UAV)</v>
          </cell>
          <cell r="G403" t="str">
            <v>SXKD</v>
          </cell>
          <cell r="I403" t="str">
            <v>TCĐT</v>
          </cell>
          <cell r="AC403">
            <v>1030000</v>
          </cell>
          <cell r="AD403">
            <v>61076714</v>
          </cell>
          <cell r="AE403">
            <v>22292425</v>
          </cell>
          <cell r="AF403">
            <v>21754416</v>
          </cell>
          <cell r="AG403">
            <v>0</v>
          </cell>
          <cell r="AH403">
            <v>0</v>
          </cell>
          <cell r="AI403">
            <v>0</v>
          </cell>
          <cell r="AJ403">
            <v>0</v>
          </cell>
          <cell r="AK403">
            <v>409912</v>
          </cell>
          <cell r="AL403">
            <v>896682</v>
          </cell>
          <cell r="AM403">
            <v>76858</v>
          </cell>
          <cell r="AN403">
            <v>153717</v>
          </cell>
          <cell r="AO403">
            <v>51239</v>
          </cell>
          <cell r="AP403">
            <v>51239</v>
          </cell>
        </row>
        <row r="404">
          <cell r="D404" t="str">
            <v>Sản xuất 06 tổ hợp trinh sát, gây nhiễu chống phương tiện bay không người lái cấp chiến thuật BV5 và bộ ZIP vật tư dự phòng năm 2024 (Tổ hợp BV5 chống UAV)</v>
          </cell>
          <cell r="G404" t="str">
            <v>SXKD</v>
          </cell>
          <cell r="I404" t="str">
            <v>TCĐT</v>
          </cell>
          <cell r="AC404">
            <v>1130000</v>
          </cell>
          <cell r="AD404">
            <v>68466999</v>
          </cell>
          <cell r="AE404">
            <v>25145145</v>
          </cell>
          <cell r="AF404">
            <v>24607136</v>
          </cell>
          <cell r="AG404">
            <v>0</v>
          </cell>
          <cell r="AH404">
            <v>0</v>
          </cell>
          <cell r="AI404">
            <v>0</v>
          </cell>
          <cell r="AJ404">
            <v>0</v>
          </cell>
          <cell r="AK404">
            <v>409912</v>
          </cell>
          <cell r="AL404">
            <v>896682</v>
          </cell>
          <cell r="AM404">
            <v>76858</v>
          </cell>
          <cell r="AN404">
            <v>153717</v>
          </cell>
          <cell r="AO404">
            <v>51239</v>
          </cell>
          <cell r="AP404">
            <v>51239</v>
          </cell>
        </row>
        <row r="405">
          <cell r="D405" t="str">
            <v>Sản xuất 06 tổ hợp trinh sát, gây nhiễu chống phương tiện bay không người lái cấp chiến thuật BV5 và bộ ZIP vật tư dự phòng năm 2024 (Tổ hợp BV5 chống UAV)</v>
          </cell>
          <cell r="G405" t="str">
            <v>SXKD</v>
          </cell>
          <cell r="I405" t="str">
            <v>TCĐT</v>
          </cell>
          <cell r="AC405">
            <v>930000</v>
          </cell>
          <cell r="AD405">
            <v>27361356</v>
          </cell>
          <cell r="AE405">
            <v>9498911</v>
          </cell>
          <cell r="AF405">
            <v>9121897</v>
          </cell>
          <cell r="AG405">
            <v>0</v>
          </cell>
          <cell r="AH405">
            <v>0</v>
          </cell>
          <cell r="AI405">
            <v>0</v>
          </cell>
          <cell r="AJ405">
            <v>0</v>
          </cell>
          <cell r="AK405">
            <v>287249</v>
          </cell>
          <cell r="AL405">
            <v>628357</v>
          </cell>
          <cell r="AM405">
            <v>53859</v>
          </cell>
          <cell r="AN405">
            <v>107718</v>
          </cell>
          <cell r="AO405">
            <v>35906</v>
          </cell>
          <cell r="AP405">
            <v>35906</v>
          </cell>
        </row>
        <row r="406">
          <cell r="D406" t="str">
            <v>Sản xuất 06 tổ hợp trinh sát, gây nhiễu chống phương tiện bay không người lái cấp chiến thuật BV5 và bộ ZIP vật tư dự phòng năm 2024 (Tổ hợp BV5 chống UAV)</v>
          </cell>
          <cell r="G406" t="str">
            <v>SXKD</v>
          </cell>
          <cell r="I406" t="str">
            <v>TCĐT</v>
          </cell>
          <cell r="AC406">
            <v>1030000</v>
          </cell>
          <cell r="AD406">
            <v>32627144</v>
          </cell>
          <cell r="AE406">
            <v>11429086</v>
          </cell>
          <cell r="AF406">
            <v>11011313</v>
          </cell>
          <cell r="AG406">
            <v>0</v>
          </cell>
          <cell r="AH406">
            <v>0</v>
          </cell>
          <cell r="AI406">
            <v>0</v>
          </cell>
          <cell r="AJ406">
            <v>0</v>
          </cell>
          <cell r="AK406">
            <v>318303</v>
          </cell>
          <cell r="AL406">
            <v>696287</v>
          </cell>
          <cell r="AM406">
            <v>59682</v>
          </cell>
          <cell r="AN406">
            <v>119363</v>
          </cell>
          <cell r="AO406">
            <v>39788</v>
          </cell>
          <cell r="AP406">
            <v>39788</v>
          </cell>
        </row>
        <row r="407">
          <cell r="D407" t="str">
            <v>Sản xuất 06 tổ hợp trinh sát, gây nhiễu chống phương tiện bay không người lái cấp chiến thuật BV5 và bộ ZIP vật tư dự phòng năm 2024 (Tổ hợp BV5 chống UAV)</v>
          </cell>
          <cell r="G407" t="str">
            <v>SXKD</v>
          </cell>
          <cell r="I407" t="str">
            <v>TCĐT</v>
          </cell>
          <cell r="AC407">
            <v>930000</v>
          </cell>
          <cell r="AD407">
            <v>17994124</v>
          </cell>
          <cell r="AE407">
            <v>5952060</v>
          </cell>
          <cell r="AF407">
            <v>5628031</v>
          </cell>
          <cell r="AG407">
            <v>0</v>
          </cell>
          <cell r="AH407">
            <v>0</v>
          </cell>
          <cell r="AI407">
            <v>0</v>
          </cell>
          <cell r="AJ407">
            <v>0</v>
          </cell>
          <cell r="AK407">
            <v>246879</v>
          </cell>
          <cell r="AL407">
            <v>540047</v>
          </cell>
          <cell r="AM407">
            <v>46290</v>
          </cell>
          <cell r="AN407">
            <v>92579</v>
          </cell>
          <cell r="AO407">
            <v>30860</v>
          </cell>
          <cell r="AP407">
            <v>30860</v>
          </cell>
        </row>
        <row r="408">
          <cell r="D408" t="str">
            <v>Sản xuất 06 tổ hợp trinh sát, gây nhiễu chống phương tiện bay không người lái cấp chiến thuật BV5 và bộ ZIP vật tư dự phòng năm 2024 (Tổ hợp BV5 chống UAV)</v>
          </cell>
          <cell r="G408" t="str">
            <v>SXKD</v>
          </cell>
          <cell r="I408" t="str">
            <v>TCĐT</v>
          </cell>
          <cell r="AC408">
            <v>930000</v>
          </cell>
          <cell r="AD408">
            <v>25577407</v>
          </cell>
          <cell r="AE408">
            <v>8800844</v>
          </cell>
          <cell r="AF408">
            <v>8423830</v>
          </cell>
          <cell r="AG408">
            <v>0</v>
          </cell>
          <cell r="AH408">
            <v>0</v>
          </cell>
          <cell r="AI408">
            <v>0</v>
          </cell>
          <cell r="AJ408">
            <v>0</v>
          </cell>
          <cell r="AK408">
            <v>287249</v>
          </cell>
          <cell r="AL408">
            <v>628357</v>
          </cell>
          <cell r="AM408">
            <v>53859</v>
          </cell>
          <cell r="AN408">
            <v>107718</v>
          </cell>
          <cell r="AO408">
            <v>35906</v>
          </cell>
          <cell r="AP408">
            <v>35906</v>
          </cell>
        </row>
        <row r="409">
          <cell r="D409" t="str">
            <v>Sản xuất 06 tổ hợp trinh sát, gây nhiễu chống phương tiện bay không người lái cấp chiến thuật BV5 và bộ ZIP vật tư dự phòng năm 2024 (Tổ hợp BV5 chống UAV)</v>
          </cell>
          <cell r="G409" t="str">
            <v>SXKD</v>
          </cell>
          <cell r="I409" t="str">
            <v>TCĐT</v>
          </cell>
          <cell r="AC409">
            <v>1030000</v>
          </cell>
          <cell r="AD409">
            <v>56120531</v>
          </cell>
          <cell r="AE409">
            <v>20467075</v>
          </cell>
          <cell r="AF409">
            <v>19980014</v>
          </cell>
          <cell r="AG409">
            <v>0</v>
          </cell>
          <cell r="AH409">
            <v>0</v>
          </cell>
          <cell r="AI409">
            <v>0</v>
          </cell>
          <cell r="AJ409">
            <v>0</v>
          </cell>
          <cell r="AK409">
            <v>371094</v>
          </cell>
          <cell r="AL409">
            <v>811769</v>
          </cell>
          <cell r="AM409">
            <v>69580</v>
          </cell>
          <cell r="AN409">
            <v>139160</v>
          </cell>
          <cell r="AO409">
            <v>46387</v>
          </cell>
          <cell r="AP409">
            <v>46387</v>
          </cell>
        </row>
        <row r="410">
          <cell r="D410" t="str">
            <v>Sản xuất 06 tổ hợp trinh sát, gây nhiễu chống phương tiện bay không người lái cấp chiến thuật BV5 và bộ ZIP vật tư dự phòng năm 2024 (Tổ hợp BV5 chống UAV)</v>
          </cell>
          <cell r="G410" t="str">
            <v>SXKD</v>
          </cell>
          <cell r="I410" t="str">
            <v>TCĐT</v>
          </cell>
          <cell r="AC410">
            <v>1030000</v>
          </cell>
          <cell r="AD410">
            <v>26513222</v>
          </cell>
          <cell r="AE410">
            <v>9168952</v>
          </cell>
          <cell r="AF410">
            <v>8810280</v>
          </cell>
          <cell r="AG410">
            <v>0</v>
          </cell>
          <cell r="AH410">
            <v>0</v>
          </cell>
          <cell r="AI410">
            <v>0</v>
          </cell>
          <cell r="AJ410">
            <v>0</v>
          </cell>
          <cell r="AK410">
            <v>273274</v>
          </cell>
          <cell r="AL410">
            <v>597788</v>
          </cell>
          <cell r="AM410">
            <v>51239</v>
          </cell>
          <cell r="AN410">
            <v>102478</v>
          </cell>
          <cell r="AO410">
            <v>34159</v>
          </cell>
          <cell r="AP410">
            <v>34159</v>
          </cell>
        </row>
        <row r="411">
          <cell r="D411" t="str">
            <v>Sản xuất 06 tổ hợp trinh sát, gây nhiễu chống phương tiện bay không người lái cấp chiến thuật BV5 và bộ ZIP vật tư dự phòng năm 2024 (Tổ hợp BV5 chống UAV)</v>
          </cell>
          <cell r="G411" t="str">
            <v>SXKD</v>
          </cell>
          <cell r="I411" t="str">
            <v>TCĐT</v>
          </cell>
          <cell r="AC411">
            <v>930000</v>
          </cell>
          <cell r="AD411">
            <v>22390398</v>
          </cell>
          <cell r="AE411">
            <v>7635853</v>
          </cell>
          <cell r="AF411">
            <v>7295521</v>
          </cell>
          <cell r="AG411">
            <v>0</v>
          </cell>
          <cell r="AH411">
            <v>0</v>
          </cell>
          <cell r="AI411">
            <v>0</v>
          </cell>
          <cell r="AJ411">
            <v>0</v>
          </cell>
          <cell r="AK411">
            <v>259300</v>
          </cell>
          <cell r="AL411">
            <v>567219</v>
          </cell>
          <cell r="AM411">
            <v>48619</v>
          </cell>
          <cell r="AN411">
            <v>97238</v>
          </cell>
          <cell r="AO411">
            <v>32413</v>
          </cell>
          <cell r="AP411">
            <v>32413</v>
          </cell>
        </row>
        <row r="412">
          <cell r="D412" t="str">
            <v>Sản xuất 06 tổ hợp trinh sát, gây nhiễu chống phương tiện bay không người lái cấp chiến thuật BV5 và bộ ZIP vật tư dự phòng năm 2024 (Tổ hợp BV5 chống UAV)</v>
          </cell>
          <cell r="G412" t="str">
            <v>SXKD</v>
          </cell>
          <cell r="I412" t="str">
            <v>TCĐT</v>
          </cell>
          <cell r="AC412">
            <v>1030000</v>
          </cell>
          <cell r="AD412">
            <v>32807298</v>
          </cell>
          <cell r="AE412">
            <v>11191872</v>
          </cell>
          <cell r="AF412">
            <v>10682037</v>
          </cell>
          <cell r="AG412">
            <v>0</v>
          </cell>
          <cell r="AH412">
            <v>0</v>
          </cell>
          <cell r="AI412">
            <v>0</v>
          </cell>
          <cell r="AJ412">
            <v>0</v>
          </cell>
          <cell r="AK412">
            <v>509835</v>
          </cell>
          <cell r="AL412">
            <v>1115264</v>
          </cell>
          <cell r="AM412">
            <v>0</v>
          </cell>
          <cell r="AN412">
            <v>0</v>
          </cell>
          <cell r="AO412">
            <v>0</v>
          </cell>
          <cell r="AP412">
            <v>0</v>
          </cell>
        </row>
        <row r="413">
          <cell r="D413" t="str">
            <v>Sản xuất 06 tổ hợp trinh sát, gây nhiễu chống phương tiện bay không người lái cấp chiến thuật BV5 và bộ ZIP vật tư dự phòng năm 2024 (Tổ hợp BV5 chống UAV)</v>
          </cell>
          <cell r="G413" t="str">
            <v>SXKD</v>
          </cell>
          <cell r="I413" t="str">
            <v>TCĐT</v>
          </cell>
          <cell r="AC413">
            <v>1030000</v>
          </cell>
          <cell r="AD413">
            <v>30442164</v>
          </cell>
          <cell r="AE413">
            <v>10619704</v>
          </cell>
          <cell r="AF413">
            <v>10222311</v>
          </cell>
          <cell r="AG413">
            <v>0</v>
          </cell>
          <cell r="AH413">
            <v>0</v>
          </cell>
          <cell r="AI413">
            <v>0</v>
          </cell>
          <cell r="AJ413">
            <v>0</v>
          </cell>
          <cell r="AK413">
            <v>302776</v>
          </cell>
          <cell r="AL413">
            <v>662322</v>
          </cell>
          <cell r="AM413">
            <v>56770</v>
          </cell>
          <cell r="AN413">
            <v>113541</v>
          </cell>
          <cell r="AO413">
            <v>37847</v>
          </cell>
          <cell r="AP413">
            <v>37847</v>
          </cell>
        </row>
        <row r="414">
          <cell r="D414" t="str">
            <v>Sản xuất 06 tổ hợp trinh sát, gây nhiễu chống phương tiện bay không người lái cấp chiến thuật BV5 và bộ ZIP vật tư dự phòng năm 2024 (Tổ hợp BV5 chống UAV)</v>
          </cell>
          <cell r="G414" t="str">
            <v>SXKD</v>
          </cell>
          <cell r="I414" t="str">
            <v>TCĐT</v>
          </cell>
          <cell r="AC414">
            <v>930000</v>
          </cell>
          <cell r="AD414">
            <v>35163490</v>
          </cell>
          <cell r="AE414">
            <v>12506310</v>
          </cell>
          <cell r="AF414">
            <v>12108917</v>
          </cell>
          <cell r="AG414">
            <v>0</v>
          </cell>
          <cell r="AH414">
            <v>0</v>
          </cell>
          <cell r="AI414">
            <v>0</v>
          </cell>
          <cell r="AJ414">
            <v>0</v>
          </cell>
          <cell r="AK414">
            <v>302776</v>
          </cell>
          <cell r="AL414">
            <v>662322</v>
          </cell>
          <cell r="AM414">
            <v>56770</v>
          </cell>
          <cell r="AN414">
            <v>113541</v>
          </cell>
          <cell r="AO414">
            <v>37847</v>
          </cell>
          <cell r="AP414">
            <v>37847</v>
          </cell>
        </row>
        <row r="415">
          <cell r="D415" t="str">
            <v>Sản xuất 06 tổ hợp trinh sát, gây nhiễu chống phương tiện bay không người lái cấp chiến thuật BV5 và bộ ZIP vật tư dự phòng năm 2024 (Tổ hợp BV5 chống UAV)</v>
          </cell>
          <cell r="G415" t="str">
            <v>SXKD</v>
          </cell>
          <cell r="I415" t="str">
            <v>TCĐT</v>
          </cell>
          <cell r="AC415">
            <v>930000</v>
          </cell>
          <cell r="AD415">
            <v>29346431</v>
          </cell>
          <cell r="AE415">
            <v>10378536</v>
          </cell>
          <cell r="AF415">
            <v>10065696</v>
          </cell>
          <cell r="AG415">
            <v>0</v>
          </cell>
          <cell r="AH415">
            <v>0</v>
          </cell>
          <cell r="AI415">
            <v>0</v>
          </cell>
          <cell r="AJ415">
            <v>0</v>
          </cell>
          <cell r="AK415">
            <v>263444</v>
          </cell>
          <cell r="AL415">
            <v>576284</v>
          </cell>
          <cell r="AM415">
            <v>49396</v>
          </cell>
          <cell r="AN415">
            <v>98791</v>
          </cell>
          <cell r="AO415">
            <v>0</v>
          </cell>
          <cell r="AP415">
            <v>0</v>
          </cell>
        </row>
        <row r="416">
          <cell r="D416" t="str">
            <v>Sản xuất 06 tổ hợp trinh sát, gây nhiễu chống phương tiện bay không người lái cấp chiến thuật BV5 và bộ ZIP vật tư dự phòng năm 2024 (Tổ hợp BV5 chống UAV)</v>
          </cell>
          <cell r="G416" t="str">
            <v>SXKD</v>
          </cell>
          <cell r="I416" t="str">
            <v>TCĐT</v>
          </cell>
          <cell r="AC416">
            <v>1230000</v>
          </cell>
          <cell r="AD416">
            <v>50908144</v>
          </cell>
          <cell r="AE416">
            <v>18349184</v>
          </cell>
          <cell r="AF416">
            <v>17862123</v>
          </cell>
          <cell r="AG416">
            <v>0</v>
          </cell>
          <cell r="AH416">
            <v>0</v>
          </cell>
          <cell r="AI416">
            <v>0</v>
          </cell>
          <cell r="AJ416">
            <v>0</v>
          </cell>
          <cell r="AK416">
            <v>371094</v>
          </cell>
          <cell r="AL416">
            <v>811769</v>
          </cell>
          <cell r="AM416">
            <v>69580</v>
          </cell>
          <cell r="AN416">
            <v>139160</v>
          </cell>
          <cell r="AO416">
            <v>46387</v>
          </cell>
          <cell r="AP416">
            <v>46387</v>
          </cell>
        </row>
        <row r="417">
          <cell r="D417" t="str">
            <v>Sản xuất 06 tổ hợp trinh sát, gây nhiễu chống phương tiện bay không người lái cấp chiến thuật BV5 và bộ ZIP vật tư dự phòng năm 2024 (Tổ hợp BV5 chống UAV)</v>
          </cell>
          <cell r="G417" t="str">
            <v>SXKD</v>
          </cell>
          <cell r="I417" t="str">
            <v>TCĐT</v>
          </cell>
          <cell r="AC417">
            <v>1030000</v>
          </cell>
          <cell r="AD417">
            <v>31017383</v>
          </cell>
          <cell r="AE417">
            <v>10844790</v>
          </cell>
          <cell r="AF417">
            <v>10447397</v>
          </cell>
          <cell r="AG417">
            <v>0</v>
          </cell>
          <cell r="AH417">
            <v>0</v>
          </cell>
          <cell r="AI417">
            <v>0</v>
          </cell>
          <cell r="AJ417">
            <v>0</v>
          </cell>
          <cell r="AK417">
            <v>302776</v>
          </cell>
          <cell r="AL417">
            <v>662322</v>
          </cell>
          <cell r="AM417">
            <v>56770</v>
          </cell>
          <cell r="AN417">
            <v>113541</v>
          </cell>
          <cell r="AO417">
            <v>37847</v>
          </cell>
          <cell r="AP417">
            <v>37847</v>
          </cell>
        </row>
        <row r="418">
          <cell r="D418" t="str">
            <v>Sản xuất 06 tổ hợp trinh sát, gây nhiễu chống phương tiện bay không người lái cấp chiến thuật BV5 và bộ ZIP vật tư dự phòng năm 2024 (Tổ hợp BV5 chống UAV)</v>
          </cell>
          <cell r="G418" t="str">
            <v>SXKD</v>
          </cell>
          <cell r="I418" t="str">
            <v>TCĐT</v>
          </cell>
          <cell r="AC418">
            <v>1130000</v>
          </cell>
          <cell r="AD418">
            <v>65385496</v>
          </cell>
          <cell r="AE418">
            <v>23939339</v>
          </cell>
          <cell r="AF418">
            <v>23401330</v>
          </cell>
          <cell r="AG418">
            <v>0</v>
          </cell>
          <cell r="AH418">
            <v>0</v>
          </cell>
          <cell r="AI418">
            <v>0</v>
          </cell>
          <cell r="AJ418">
            <v>0</v>
          </cell>
          <cell r="AK418">
            <v>409912</v>
          </cell>
          <cell r="AL418">
            <v>896682</v>
          </cell>
          <cell r="AM418">
            <v>76858</v>
          </cell>
          <cell r="AN418">
            <v>153717</v>
          </cell>
          <cell r="AO418">
            <v>51239</v>
          </cell>
          <cell r="AP418">
            <v>51239</v>
          </cell>
        </row>
        <row r="419">
          <cell r="D419" t="str">
            <v>Sản xuất 06 tổ hợp trinh sát, gây nhiễu chống phương tiện bay không người lái cấp chiến thuật BV5 và bộ ZIP vật tư dự phòng năm 2024 (Tổ hợp BV5 chống UAV)</v>
          </cell>
          <cell r="G419" t="str">
            <v>SXKD</v>
          </cell>
          <cell r="I419" t="str">
            <v>TCĐT</v>
          </cell>
          <cell r="AC419">
            <v>1030000</v>
          </cell>
          <cell r="AD419">
            <v>51857890</v>
          </cell>
          <cell r="AE419">
            <v>18799085</v>
          </cell>
          <cell r="AF419">
            <v>18312024</v>
          </cell>
          <cell r="AG419">
            <v>0</v>
          </cell>
          <cell r="AH419">
            <v>0</v>
          </cell>
          <cell r="AI419">
            <v>0</v>
          </cell>
          <cell r="AJ419">
            <v>0</v>
          </cell>
          <cell r="AK419">
            <v>371094</v>
          </cell>
          <cell r="AL419">
            <v>811769</v>
          </cell>
          <cell r="AM419">
            <v>69580</v>
          </cell>
          <cell r="AN419">
            <v>139160</v>
          </cell>
          <cell r="AO419">
            <v>46387</v>
          </cell>
          <cell r="AP419">
            <v>46387</v>
          </cell>
        </row>
        <row r="420">
          <cell r="D420" t="str">
            <v>Sản xuất 06 tổ hợp trinh sát, gây nhiễu chống phương tiện bay không người lái cấp chiến thuật BV5 và bộ ZIP vật tư dự phòng năm 2024 (Tổ hợp BV5 chống UAV)</v>
          </cell>
          <cell r="G420" t="str">
            <v>SXKD</v>
          </cell>
          <cell r="I420" t="str">
            <v>TCĐT</v>
          </cell>
          <cell r="AC420">
            <v>1030000</v>
          </cell>
          <cell r="AD420">
            <v>32601668</v>
          </cell>
          <cell r="AE420">
            <v>11464727</v>
          </cell>
          <cell r="AF420">
            <v>11067334</v>
          </cell>
          <cell r="AG420">
            <v>0</v>
          </cell>
          <cell r="AH420">
            <v>0</v>
          </cell>
          <cell r="AI420">
            <v>0</v>
          </cell>
          <cell r="AJ420">
            <v>0</v>
          </cell>
          <cell r="AK420">
            <v>302776</v>
          </cell>
          <cell r="AL420">
            <v>662322</v>
          </cell>
          <cell r="AM420">
            <v>56770</v>
          </cell>
          <cell r="AN420">
            <v>113541</v>
          </cell>
          <cell r="AO420">
            <v>37847</v>
          </cell>
          <cell r="AP420">
            <v>37847</v>
          </cell>
        </row>
        <row r="421">
          <cell r="D421" t="str">
            <v>Sản xuất 06 tổ hợp trinh sát, gây nhiễu chống phương tiện bay không người lái cấp chiến thuật BV5 và bộ ZIP vật tư dự phòng năm 2024 (Tổ hợp BV5 chống UAV)</v>
          </cell>
          <cell r="G421" t="str">
            <v>SXKD</v>
          </cell>
          <cell r="I421" t="str">
            <v>TCĐT</v>
          </cell>
          <cell r="AC421">
            <v>930000</v>
          </cell>
          <cell r="AD421">
            <v>21110251</v>
          </cell>
          <cell r="AE421">
            <v>7134926</v>
          </cell>
          <cell r="AF421">
            <v>6794594</v>
          </cell>
          <cell r="AG421">
            <v>0</v>
          </cell>
          <cell r="AH421">
            <v>0</v>
          </cell>
          <cell r="AI421">
            <v>0</v>
          </cell>
          <cell r="AJ421">
            <v>0</v>
          </cell>
          <cell r="AK421">
            <v>259300</v>
          </cell>
          <cell r="AL421">
            <v>567219</v>
          </cell>
          <cell r="AM421">
            <v>48619</v>
          </cell>
          <cell r="AN421">
            <v>97238</v>
          </cell>
          <cell r="AO421">
            <v>32413</v>
          </cell>
          <cell r="AP421">
            <v>32413</v>
          </cell>
        </row>
        <row r="422">
          <cell r="D422" t="str">
            <v>Sản xuất 06 tổ hợp trinh sát, gây nhiễu chống phương tiện bay không người lái cấp chiến thuật BV5 và bộ ZIP vật tư dự phòng năm 2024 (Tổ hợp BV5 chống UAV)</v>
          </cell>
          <cell r="G422" t="str">
            <v>SXKD</v>
          </cell>
          <cell r="I422" t="str">
            <v>TCĐT</v>
          </cell>
          <cell r="AC422">
            <v>1030000</v>
          </cell>
          <cell r="AD422">
            <v>30046381</v>
          </cell>
          <cell r="AE422">
            <v>10510443</v>
          </cell>
          <cell r="AF422">
            <v>10133429</v>
          </cell>
          <cell r="AG422">
            <v>0</v>
          </cell>
          <cell r="AH422">
            <v>0</v>
          </cell>
          <cell r="AI422">
            <v>0</v>
          </cell>
          <cell r="AJ422">
            <v>0</v>
          </cell>
          <cell r="AK422">
            <v>287249</v>
          </cell>
          <cell r="AL422">
            <v>628357</v>
          </cell>
          <cell r="AM422">
            <v>53859</v>
          </cell>
          <cell r="AN422">
            <v>107718</v>
          </cell>
          <cell r="AO422">
            <v>35906</v>
          </cell>
          <cell r="AP422">
            <v>35906</v>
          </cell>
        </row>
        <row r="423">
          <cell r="D423" t="str">
            <v>Sản xuất 06 tổ hợp trinh sát, gây nhiễu chống phương tiện bay không người lái cấp chiến thuật BV5 và bộ ZIP vật tư dự phòng năm 2024 (Tổ hợp BV5 chống UAV)</v>
          </cell>
          <cell r="G423" t="str">
            <v>SXKD</v>
          </cell>
          <cell r="I423" t="str">
            <v>TCĐT</v>
          </cell>
          <cell r="AC423">
            <v>1230000</v>
          </cell>
          <cell r="AD423">
            <v>52181082</v>
          </cell>
          <cell r="AE423">
            <v>4188287</v>
          </cell>
          <cell r="AF423">
            <v>4080052</v>
          </cell>
          <cell r="AG423">
            <v>0</v>
          </cell>
          <cell r="AH423">
            <v>0</v>
          </cell>
          <cell r="AI423">
            <v>0</v>
          </cell>
          <cell r="AJ423">
            <v>0</v>
          </cell>
          <cell r="AK423">
            <v>82465</v>
          </cell>
          <cell r="AL423">
            <v>180393</v>
          </cell>
          <cell r="AM423">
            <v>15462</v>
          </cell>
          <cell r="AN423">
            <v>30925</v>
          </cell>
          <cell r="AO423">
            <v>10308</v>
          </cell>
          <cell r="AP423">
            <v>10308</v>
          </cell>
        </row>
        <row r="424">
          <cell r="D424" t="str">
            <v>Sản xuất 06 tổ hợp trinh sát, gây nhiễu chống phương tiện bay không người lái cấp chiến thuật BV5 và bộ ZIP vật tư dự phòng năm 2024 (Tổ hợp BV5 chống UAV)</v>
          </cell>
          <cell r="G424" t="str">
            <v>SXKD</v>
          </cell>
          <cell r="I424" t="str">
            <v>TCĐT</v>
          </cell>
          <cell r="AC424">
            <v>1030000</v>
          </cell>
          <cell r="AD424">
            <v>28722040</v>
          </cell>
          <cell r="AE424">
            <v>10033272</v>
          </cell>
          <cell r="AF424">
            <v>9674600</v>
          </cell>
          <cell r="AG424">
            <v>0</v>
          </cell>
          <cell r="AH424">
            <v>0</v>
          </cell>
          <cell r="AI424">
            <v>0</v>
          </cell>
          <cell r="AJ424">
            <v>0</v>
          </cell>
          <cell r="AK424">
            <v>273274</v>
          </cell>
          <cell r="AL424">
            <v>597788</v>
          </cell>
          <cell r="AM424">
            <v>51239</v>
          </cell>
          <cell r="AN424">
            <v>102478</v>
          </cell>
          <cell r="AO424">
            <v>34159</v>
          </cell>
          <cell r="AP424">
            <v>34159</v>
          </cell>
        </row>
        <row r="425">
          <cell r="D425" t="str">
            <v>Sản xuất 06 tổ hợp trinh sát, gây nhiễu chống phương tiện bay không người lái cấp chiến thuật BV5 và bộ ZIP vật tư dự phòng năm 2024 (Tổ hợp BV5 chống UAV)</v>
          </cell>
          <cell r="G425" t="str">
            <v>SXKD</v>
          </cell>
          <cell r="I425" t="str">
            <v>TCĐT</v>
          </cell>
          <cell r="AC425">
            <v>930000</v>
          </cell>
          <cell r="AD425">
            <v>21056952</v>
          </cell>
          <cell r="AE425">
            <v>3161809</v>
          </cell>
          <cell r="AF425">
            <v>3010550</v>
          </cell>
          <cell r="AG425">
            <v>0</v>
          </cell>
          <cell r="AH425">
            <v>0</v>
          </cell>
          <cell r="AI425">
            <v>0</v>
          </cell>
          <cell r="AJ425">
            <v>0</v>
          </cell>
          <cell r="AK425">
            <v>115245</v>
          </cell>
          <cell r="AL425">
            <v>252097</v>
          </cell>
          <cell r="AM425">
            <v>21608</v>
          </cell>
          <cell r="AN425">
            <v>43217</v>
          </cell>
          <cell r="AO425">
            <v>14406</v>
          </cell>
          <cell r="AP425">
            <v>14406</v>
          </cell>
        </row>
        <row r="426">
          <cell r="D426" t="str">
            <v>Sản xuất 06 tổ hợp trinh sát, gây nhiễu chống phương tiện bay không người lái cấp chiến thuật BV5 và bộ ZIP vật tư dự phòng năm 2024 (Tổ hợp BV5 chống UAV)</v>
          </cell>
          <cell r="G426" t="str">
            <v>SXKD</v>
          </cell>
          <cell r="I426" t="str">
            <v>TCĐT</v>
          </cell>
          <cell r="AC426">
            <v>1030000</v>
          </cell>
          <cell r="AD426">
            <v>48669627</v>
          </cell>
          <cell r="AE426">
            <v>17606236</v>
          </cell>
          <cell r="AF426">
            <v>17143629</v>
          </cell>
          <cell r="AG426">
            <v>0</v>
          </cell>
          <cell r="AH426">
            <v>0</v>
          </cell>
          <cell r="AI426">
            <v>0</v>
          </cell>
          <cell r="AJ426">
            <v>0</v>
          </cell>
          <cell r="AK426">
            <v>352462</v>
          </cell>
          <cell r="AL426">
            <v>771010</v>
          </cell>
          <cell r="AM426">
            <v>66087</v>
          </cell>
          <cell r="AN426">
            <v>132173</v>
          </cell>
          <cell r="AO426">
            <v>44058</v>
          </cell>
          <cell r="AP426">
            <v>44058</v>
          </cell>
        </row>
        <row r="427">
          <cell r="D427" t="str">
            <v>Sản xuất 06 tổ hợp trinh sát, gây nhiễu chống phương tiện bay không người lái cấp chiến thuật BV5 và bộ ZIP vật tư dự phòng năm 2024 (Tổ hợp BV5 chống UAV)</v>
          </cell>
          <cell r="G427" t="str">
            <v>SXKD</v>
          </cell>
          <cell r="I427" t="str">
            <v>TCĐT</v>
          </cell>
          <cell r="AC427">
            <v>930000</v>
          </cell>
          <cell r="AD427">
            <v>19904378</v>
          </cell>
          <cell r="AE427">
            <v>6699551</v>
          </cell>
          <cell r="AF427">
            <v>6375522</v>
          </cell>
          <cell r="AG427">
            <v>0</v>
          </cell>
          <cell r="AH427">
            <v>0</v>
          </cell>
          <cell r="AI427">
            <v>0</v>
          </cell>
          <cell r="AJ427">
            <v>0</v>
          </cell>
          <cell r="AK427">
            <v>246879</v>
          </cell>
          <cell r="AL427">
            <v>540047</v>
          </cell>
          <cell r="AM427">
            <v>46290</v>
          </cell>
          <cell r="AN427">
            <v>92579</v>
          </cell>
          <cell r="AO427">
            <v>30860</v>
          </cell>
          <cell r="AP427">
            <v>30860</v>
          </cell>
        </row>
        <row r="428">
          <cell r="D428" t="str">
            <v>Sản xuất 06 tổ hợp trinh sát, gây nhiễu chống phương tiện bay không người lái cấp chiến thuật BV5 và bộ ZIP vật tư dự phòng năm 2024 (Tổ hợp BV5 chống UAV)</v>
          </cell>
          <cell r="G428" t="str">
            <v>SXKD</v>
          </cell>
          <cell r="I428" t="str">
            <v>TCĐT</v>
          </cell>
          <cell r="AC428">
            <v>930000</v>
          </cell>
          <cell r="AD428">
            <v>12849836</v>
          </cell>
          <cell r="AE428">
            <v>4043982</v>
          </cell>
          <cell r="AF428">
            <v>3766825</v>
          </cell>
          <cell r="AG428">
            <v>0</v>
          </cell>
          <cell r="AH428">
            <v>0</v>
          </cell>
          <cell r="AI428">
            <v>0</v>
          </cell>
          <cell r="AJ428">
            <v>0</v>
          </cell>
          <cell r="AK428">
            <v>211167</v>
          </cell>
          <cell r="AL428">
            <v>461927</v>
          </cell>
          <cell r="AM428">
            <v>39594</v>
          </cell>
          <cell r="AN428">
            <v>79187</v>
          </cell>
          <cell r="AO428">
            <v>26396</v>
          </cell>
          <cell r="AP428">
            <v>26396</v>
          </cell>
        </row>
        <row r="429">
          <cell r="D429" t="str">
            <v>Sản xuất 06 tổ hợp trinh sát, gây nhiễu chống phương tiện bay không người lái cấp chiến thuật BV5 và bộ ZIP vật tư dự phòng năm 2024 (Tổ hợp BV5 chống UAV)</v>
          </cell>
          <cell r="G429" t="str">
            <v>SXKD</v>
          </cell>
          <cell r="I429" t="str">
            <v>TCĐT</v>
          </cell>
          <cell r="AC429">
            <v>1147000</v>
          </cell>
          <cell r="AD429">
            <v>29713100</v>
          </cell>
          <cell r="AE429">
            <v>10334246</v>
          </cell>
          <cell r="AF429">
            <v>9957232</v>
          </cell>
          <cell r="AG429">
            <v>0</v>
          </cell>
          <cell r="AH429">
            <v>0</v>
          </cell>
          <cell r="AI429">
            <v>0</v>
          </cell>
          <cell r="AJ429">
            <v>0</v>
          </cell>
          <cell r="AK429">
            <v>287249</v>
          </cell>
          <cell r="AL429">
            <v>628357</v>
          </cell>
          <cell r="AM429">
            <v>53859</v>
          </cell>
          <cell r="AN429">
            <v>107718</v>
          </cell>
          <cell r="AO429">
            <v>35906</v>
          </cell>
          <cell r="AP429">
            <v>35906</v>
          </cell>
        </row>
        <row r="430">
          <cell r="D430" t="str">
            <v>Sản xuất 06 tổ hợp trinh sát, gây nhiễu chống phương tiện bay không người lái cấp chiến thuật BV5 và bộ ZIP vật tư dự phòng năm 2024 (Tổ hợp BV5 chống UAV)</v>
          </cell>
          <cell r="G430" t="str">
            <v>SXKD</v>
          </cell>
          <cell r="I430" t="str">
            <v>TCĐT</v>
          </cell>
          <cell r="AC430">
            <v>930000</v>
          </cell>
          <cell r="AD430">
            <v>14015216</v>
          </cell>
          <cell r="AE430">
            <v>4500000</v>
          </cell>
          <cell r="AF430">
            <v>4222843</v>
          </cell>
          <cell r="AG430">
            <v>0</v>
          </cell>
          <cell r="AH430">
            <v>0</v>
          </cell>
          <cell r="AI430">
            <v>0</v>
          </cell>
          <cell r="AJ430">
            <v>0</v>
          </cell>
          <cell r="AK430">
            <v>211167</v>
          </cell>
          <cell r="AL430">
            <v>461927</v>
          </cell>
          <cell r="AM430">
            <v>39594</v>
          </cell>
          <cell r="AN430">
            <v>79187</v>
          </cell>
          <cell r="AO430">
            <v>26396</v>
          </cell>
          <cell r="AP430">
            <v>26396</v>
          </cell>
        </row>
        <row r="431">
          <cell r="D431" t="str">
            <v>Sản xuất 06 tổ hợp trinh sát, gây nhiễu chống phương tiện bay không người lái cấp chiến thuật BV5 và bộ ZIP vật tư dự phòng năm 2024 (Tổ hợp BV5 chống UAV)</v>
          </cell>
          <cell r="G431" t="str">
            <v>SXKD</v>
          </cell>
          <cell r="I431" t="str">
            <v>TCĐT</v>
          </cell>
          <cell r="AC431">
            <v>1047000</v>
          </cell>
          <cell r="AD431">
            <v>23442633</v>
          </cell>
          <cell r="AE431">
            <v>884529</v>
          </cell>
          <cell r="AF431">
            <v>844677</v>
          </cell>
          <cell r="AG431">
            <v>0</v>
          </cell>
          <cell r="AH431">
            <v>0</v>
          </cell>
          <cell r="AI431">
            <v>0</v>
          </cell>
          <cell r="AJ431">
            <v>0</v>
          </cell>
          <cell r="AK431">
            <v>30364</v>
          </cell>
          <cell r="AL431">
            <v>66421</v>
          </cell>
          <cell r="AM431">
            <v>5693</v>
          </cell>
          <cell r="AN431">
            <v>11386</v>
          </cell>
          <cell r="AO431">
            <v>3795</v>
          </cell>
          <cell r="AP431">
            <v>3795</v>
          </cell>
        </row>
        <row r="432">
          <cell r="D432" t="str">
            <v>Sản xuất 06 tổ hợp trinh sát, gây nhiễu chống phương tiện bay không người lái cấp chiến thuật BV5 và bộ ZIP vật tư dự phòng năm 2024 (ZIP BV5 chống UAV)</v>
          </cell>
          <cell r="G432" t="str">
            <v>SXKD</v>
          </cell>
          <cell r="I432" t="str">
            <v>TCĐT</v>
          </cell>
          <cell r="AC432">
            <v>1030000</v>
          </cell>
          <cell r="AD432">
            <v>56120531</v>
          </cell>
          <cell r="AE432">
            <v>20467075</v>
          </cell>
          <cell r="AF432">
            <v>19980014</v>
          </cell>
          <cell r="AG432">
            <v>0</v>
          </cell>
          <cell r="AH432">
            <v>0</v>
          </cell>
          <cell r="AI432">
            <v>0</v>
          </cell>
          <cell r="AJ432">
            <v>0</v>
          </cell>
          <cell r="AK432">
            <v>371094</v>
          </cell>
          <cell r="AL432">
            <v>811769</v>
          </cell>
          <cell r="AM432">
            <v>69580</v>
          </cell>
          <cell r="AN432">
            <v>139160</v>
          </cell>
          <cell r="AO432">
            <v>46387</v>
          </cell>
          <cell r="AP432">
            <v>46387</v>
          </cell>
        </row>
        <row r="433">
          <cell r="D433" t="str">
            <v>Sản xuất 06 tổ hợp trinh sát, gây nhiễu chống phương tiện bay không người lái cấp chiến thuật BV5 và bộ ZIP vật tư dự phòng năm 2024 (ZIP BV5 chống UAV)</v>
          </cell>
          <cell r="G433" t="str">
            <v>SXKD</v>
          </cell>
          <cell r="I433" t="str">
            <v>TCĐT</v>
          </cell>
          <cell r="AC433">
            <v>930000</v>
          </cell>
          <cell r="AD433">
            <v>12849836</v>
          </cell>
          <cell r="AE433">
            <v>4043982</v>
          </cell>
          <cell r="AF433">
            <v>3766825</v>
          </cell>
          <cell r="AG433">
            <v>0</v>
          </cell>
          <cell r="AH433">
            <v>0</v>
          </cell>
          <cell r="AI433">
            <v>0</v>
          </cell>
          <cell r="AJ433">
            <v>0</v>
          </cell>
          <cell r="AK433">
            <v>211167</v>
          </cell>
          <cell r="AL433">
            <v>461927</v>
          </cell>
          <cell r="AM433">
            <v>39594</v>
          </cell>
          <cell r="AN433">
            <v>79187</v>
          </cell>
          <cell r="AO433">
            <v>26396</v>
          </cell>
          <cell r="AP433">
            <v>26396</v>
          </cell>
        </row>
        <row r="434">
          <cell r="D434" t="str">
            <v>Sản xuất 06 tổ hợp trinh sát, gây nhiễu chống phương tiện bay không người lái cấp chiến thuật BV5 và bộ ZIP vật tư dự phòng năm 2024 (ZIP BV5 chống UAV)</v>
          </cell>
          <cell r="G434" t="str">
            <v>SXKD</v>
          </cell>
          <cell r="I434" t="str">
            <v>TCĐT</v>
          </cell>
          <cell r="AC434">
            <v>1147000</v>
          </cell>
          <cell r="AD434">
            <v>29713100</v>
          </cell>
          <cell r="AE434">
            <v>10334246</v>
          </cell>
          <cell r="AF434">
            <v>9957232</v>
          </cell>
          <cell r="AG434">
            <v>0</v>
          </cell>
          <cell r="AH434">
            <v>0</v>
          </cell>
          <cell r="AI434">
            <v>0</v>
          </cell>
          <cell r="AJ434">
            <v>0</v>
          </cell>
          <cell r="AK434">
            <v>287249</v>
          </cell>
          <cell r="AL434">
            <v>628357</v>
          </cell>
          <cell r="AM434">
            <v>53859</v>
          </cell>
          <cell r="AN434">
            <v>107718</v>
          </cell>
          <cell r="AO434">
            <v>35906</v>
          </cell>
          <cell r="AP434">
            <v>35906</v>
          </cell>
        </row>
        <row r="435">
          <cell r="D435" t="str">
            <v>Sản xuất 06 tổ hợp trinh sát, gây nhiễu chống phương tiện bay không người lái cấp chiến thuật BV5 và bộ ZIP vật tư dự phòng năm 2024 (ZIP BV5 chống UAV)</v>
          </cell>
          <cell r="G435" t="str">
            <v>SXKD</v>
          </cell>
          <cell r="I435" t="str">
            <v>TCĐT</v>
          </cell>
          <cell r="AC435">
            <v>930000</v>
          </cell>
          <cell r="AD435">
            <v>14015216</v>
          </cell>
          <cell r="AE435">
            <v>4500000</v>
          </cell>
          <cell r="AF435">
            <v>4222843</v>
          </cell>
          <cell r="AG435">
            <v>0</v>
          </cell>
          <cell r="AH435">
            <v>0</v>
          </cell>
          <cell r="AI435">
            <v>0</v>
          </cell>
          <cell r="AJ435">
            <v>0</v>
          </cell>
          <cell r="AK435">
            <v>211167</v>
          </cell>
          <cell r="AL435">
            <v>461927</v>
          </cell>
          <cell r="AM435">
            <v>39594</v>
          </cell>
          <cell r="AN435">
            <v>79187</v>
          </cell>
          <cell r="AO435">
            <v>26396</v>
          </cell>
          <cell r="AP435">
            <v>26396</v>
          </cell>
        </row>
        <row r="436">
          <cell r="D436" t="str">
            <v>Nghiên cứu công nghệ và chế tạo hệ thống trinh sát, chế áp phương tiện bay không người lái hạng nhẹ</v>
          </cell>
          <cell r="G436" t="str">
            <v>KHCN</v>
          </cell>
          <cell r="I436" t="str">
            <v>TCĐT</v>
          </cell>
          <cell r="AC436">
            <v>1730000</v>
          </cell>
          <cell r="AD436">
            <v>115310259</v>
          </cell>
          <cell r="AE436">
            <v>9557928</v>
          </cell>
          <cell r="AF436">
            <v>9427214</v>
          </cell>
          <cell r="AG436">
            <v>0</v>
          </cell>
          <cell r="AH436">
            <v>0</v>
          </cell>
          <cell r="AI436">
            <v>0</v>
          </cell>
          <cell r="AJ436">
            <v>0</v>
          </cell>
          <cell r="AK436">
            <v>130714</v>
          </cell>
          <cell r="AL436">
            <v>285938</v>
          </cell>
          <cell r="AM436">
            <v>0</v>
          </cell>
          <cell r="AN436">
            <v>0</v>
          </cell>
          <cell r="AO436">
            <v>0</v>
          </cell>
          <cell r="AP436">
            <v>0</v>
          </cell>
        </row>
        <row r="437">
          <cell r="D437" t="str">
            <v>Nghiên cứu công nghệ và chế tạo hệ thống trinh sát, chế áp phương tiện bay không người lái hạng nhẹ</v>
          </cell>
          <cell r="G437" t="str">
            <v>KHCN</v>
          </cell>
          <cell r="I437" t="str">
            <v>TCĐT</v>
          </cell>
          <cell r="AC437">
            <v>1230000</v>
          </cell>
          <cell r="AD437">
            <v>71905448</v>
          </cell>
          <cell r="AE437">
            <v>41952645</v>
          </cell>
          <cell r="AF437">
            <v>41502053</v>
          </cell>
          <cell r="AG437">
            <v>0</v>
          </cell>
          <cell r="AH437">
            <v>0</v>
          </cell>
          <cell r="AI437">
            <v>0</v>
          </cell>
          <cell r="AJ437">
            <v>0</v>
          </cell>
          <cell r="AK437">
            <v>379446</v>
          </cell>
          <cell r="AL437">
            <v>830039</v>
          </cell>
          <cell r="AM437">
            <v>71146</v>
          </cell>
          <cell r="AN437">
            <v>142292</v>
          </cell>
          <cell r="AO437">
            <v>0</v>
          </cell>
          <cell r="AP437">
            <v>0</v>
          </cell>
        </row>
        <row r="438">
          <cell r="D438" t="str">
            <v>Nghiên cứu công nghệ và chế tạo hệ thống trinh sát, chế áp phương tiện bay không người lái hạng nhẹ</v>
          </cell>
          <cell r="G438" t="str">
            <v>KHCN</v>
          </cell>
          <cell r="I438" t="str">
            <v>TCĐT</v>
          </cell>
          <cell r="AC438">
            <v>1030000</v>
          </cell>
          <cell r="AD438">
            <v>36561534</v>
          </cell>
          <cell r="AE438">
            <v>20173424</v>
          </cell>
          <cell r="AF438">
            <v>19523557</v>
          </cell>
          <cell r="AG438">
            <v>0</v>
          </cell>
          <cell r="AH438">
            <v>0</v>
          </cell>
          <cell r="AI438">
            <v>0</v>
          </cell>
          <cell r="AJ438">
            <v>0</v>
          </cell>
          <cell r="AK438">
            <v>495137</v>
          </cell>
          <cell r="AL438">
            <v>1083113</v>
          </cell>
          <cell r="AM438">
            <v>92838</v>
          </cell>
          <cell r="AN438">
            <v>185677</v>
          </cell>
          <cell r="AO438">
            <v>61892</v>
          </cell>
          <cell r="AP438">
            <v>61892</v>
          </cell>
        </row>
        <row r="439">
          <cell r="D439" t="str">
            <v>Nghiên cứu công nghệ và chế tạo hệ thống trinh sát, chế áp phương tiện bay không người lái hạng nhẹ</v>
          </cell>
          <cell r="G439" t="str">
            <v>KHCN</v>
          </cell>
          <cell r="I439" t="str">
            <v>TCĐT</v>
          </cell>
          <cell r="AC439">
            <v>930000</v>
          </cell>
          <cell r="AD439">
            <v>22399878</v>
          </cell>
          <cell r="AE439">
            <v>11819909</v>
          </cell>
          <cell r="AF439">
            <v>11261973</v>
          </cell>
          <cell r="AG439">
            <v>0</v>
          </cell>
          <cell r="AH439">
            <v>0</v>
          </cell>
          <cell r="AI439">
            <v>0</v>
          </cell>
          <cell r="AJ439">
            <v>0</v>
          </cell>
          <cell r="AK439">
            <v>425094</v>
          </cell>
          <cell r="AL439">
            <v>929892</v>
          </cell>
          <cell r="AM439">
            <v>79705</v>
          </cell>
          <cell r="AN439">
            <v>159410</v>
          </cell>
          <cell r="AO439">
            <v>53137</v>
          </cell>
          <cell r="AP439">
            <v>53137</v>
          </cell>
        </row>
        <row r="440">
          <cell r="D440" t="str">
            <v>Nghiên cứu công nghệ và chế tạo hệ thống trinh sát, chế áp phương tiện bay không người lái hạng nhẹ</v>
          </cell>
          <cell r="G440" t="str">
            <v>KHCN</v>
          </cell>
          <cell r="I440" t="str">
            <v>TCĐT</v>
          </cell>
          <cell r="AC440">
            <v>930000</v>
          </cell>
          <cell r="AD440">
            <v>20085068</v>
          </cell>
          <cell r="AE440">
            <v>10531509</v>
          </cell>
          <cell r="AF440">
            <v>10027466</v>
          </cell>
          <cell r="AG440">
            <v>0</v>
          </cell>
          <cell r="AH440">
            <v>0</v>
          </cell>
          <cell r="AI440">
            <v>0</v>
          </cell>
          <cell r="AJ440">
            <v>0</v>
          </cell>
          <cell r="AK440">
            <v>384033</v>
          </cell>
          <cell r="AL440">
            <v>840073</v>
          </cell>
          <cell r="AM440">
            <v>72006</v>
          </cell>
          <cell r="AN440">
            <v>144013</v>
          </cell>
          <cell r="AO440">
            <v>48004</v>
          </cell>
          <cell r="AP440">
            <v>48004</v>
          </cell>
        </row>
        <row r="441">
          <cell r="D441" t="str">
            <v>Nghiên cứu công nghệ và chế tạo hệ thống trinh sát, chế áp phương tiện bay không người lái hạng nhẹ</v>
          </cell>
          <cell r="G441" t="str">
            <v>KHCN</v>
          </cell>
          <cell r="I441" t="str">
            <v>TCĐT</v>
          </cell>
          <cell r="AC441">
            <v>930000</v>
          </cell>
          <cell r="AD441">
            <v>18154084</v>
          </cell>
          <cell r="AE441">
            <v>9356127</v>
          </cell>
          <cell r="AF441">
            <v>8852084</v>
          </cell>
          <cell r="AG441">
            <v>0</v>
          </cell>
          <cell r="AH441">
            <v>0</v>
          </cell>
          <cell r="AI441">
            <v>0</v>
          </cell>
          <cell r="AJ441">
            <v>0</v>
          </cell>
          <cell r="AK441">
            <v>384033</v>
          </cell>
          <cell r="AL441">
            <v>840073</v>
          </cell>
          <cell r="AM441">
            <v>72006</v>
          </cell>
          <cell r="AN441">
            <v>144013</v>
          </cell>
          <cell r="AO441">
            <v>48004</v>
          </cell>
          <cell r="AP441">
            <v>48004</v>
          </cell>
        </row>
        <row r="442">
          <cell r="D442" t="str">
            <v>Nghiên cứu công nghệ và chế tạo hệ thống trinh sát, chế áp phương tiện bay không người lái hạng nhẹ</v>
          </cell>
          <cell r="G442" t="str">
            <v>KHCN</v>
          </cell>
          <cell r="I442" t="str">
            <v>TCĐT</v>
          </cell>
          <cell r="AC442">
            <v>1030000</v>
          </cell>
          <cell r="AD442">
            <v>31017383</v>
          </cell>
          <cell r="AE442">
            <v>16869673</v>
          </cell>
          <cell r="AF442">
            <v>16251506</v>
          </cell>
          <cell r="AG442">
            <v>0</v>
          </cell>
          <cell r="AH442">
            <v>0</v>
          </cell>
          <cell r="AI442">
            <v>0</v>
          </cell>
          <cell r="AJ442">
            <v>0</v>
          </cell>
          <cell r="AK442">
            <v>470984</v>
          </cell>
          <cell r="AL442">
            <v>1030278</v>
          </cell>
          <cell r="AM442">
            <v>88310</v>
          </cell>
          <cell r="AN442">
            <v>176619</v>
          </cell>
          <cell r="AO442">
            <v>58873</v>
          </cell>
          <cell r="AP442">
            <v>58873</v>
          </cell>
        </row>
        <row r="443">
          <cell r="D443" t="str">
            <v>Nghiên cứu công nghệ và chế tạo hệ thống trinh sát, chế áp phương tiện bay không người lái hạng nhẹ</v>
          </cell>
          <cell r="G443" t="str">
            <v>KHCN</v>
          </cell>
          <cell r="I443" t="str">
            <v>TCĐT</v>
          </cell>
          <cell r="AC443">
            <v>1030000</v>
          </cell>
          <cell r="AD443">
            <v>61076714</v>
          </cell>
          <cell r="AE443">
            <v>34677105</v>
          </cell>
          <cell r="AF443">
            <v>33840202</v>
          </cell>
          <cell r="AG443">
            <v>0</v>
          </cell>
          <cell r="AH443">
            <v>0</v>
          </cell>
          <cell r="AI443">
            <v>0</v>
          </cell>
          <cell r="AJ443">
            <v>0</v>
          </cell>
          <cell r="AK443">
            <v>637640</v>
          </cell>
          <cell r="AL443">
            <v>1394838</v>
          </cell>
          <cell r="AM443">
            <v>119558</v>
          </cell>
          <cell r="AN443">
            <v>239115</v>
          </cell>
          <cell r="AO443">
            <v>79705</v>
          </cell>
          <cell r="AP443">
            <v>79705</v>
          </cell>
        </row>
        <row r="444">
          <cell r="D444" t="str">
            <v>Nghiên cứu công nghệ và chế tạo hệ thống trinh sát, chế áp phương tiện bay không người lái hạng nhẹ</v>
          </cell>
          <cell r="G444" t="str">
            <v>KHCN</v>
          </cell>
          <cell r="I444" t="str">
            <v>TCĐT</v>
          </cell>
          <cell r="AC444">
            <v>1130000</v>
          </cell>
          <cell r="AD444">
            <v>68466999</v>
          </cell>
          <cell r="AE444">
            <v>39114670</v>
          </cell>
          <cell r="AF444">
            <v>38277767</v>
          </cell>
          <cell r="AG444">
            <v>0</v>
          </cell>
          <cell r="AH444">
            <v>0</v>
          </cell>
          <cell r="AI444">
            <v>0</v>
          </cell>
          <cell r="AJ444">
            <v>0</v>
          </cell>
          <cell r="AK444">
            <v>637640</v>
          </cell>
          <cell r="AL444">
            <v>1394838</v>
          </cell>
          <cell r="AM444">
            <v>119558</v>
          </cell>
          <cell r="AN444">
            <v>239115</v>
          </cell>
          <cell r="AO444">
            <v>79705</v>
          </cell>
          <cell r="AP444">
            <v>79705</v>
          </cell>
        </row>
        <row r="445">
          <cell r="D445" t="str">
            <v>Nghiên cứu công nghệ và chế tạo hệ thống trinh sát, chế áp phương tiện bay không người lái hạng nhẹ</v>
          </cell>
          <cell r="G445" t="str">
            <v>KHCN</v>
          </cell>
          <cell r="I445" t="str">
            <v>TCĐT</v>
          </cell>
          <cell r="AC445">
            <v>930000</v>
          </cell>
          <cell r="AD445">
            <v>27361356</v>
          </cell>
          <cell r="AE445">
            <v>14776085</v>
          </cell>
          <cell r="AF445">
            <v>14189619</v>
          </cell>
          <cell r="AG445">
            <v>0</v>
          </cell>
          <cell r="AH445">
            <v>0</v>
          </cell>
          <cell r="AI445">
            <v>0</v>
          </cell>
          <cell r="AJ445">
            <v>0</v>
          </cell>
          <cell r="AK445">
            <v>446831</v>
          </cell>
          <cell r="AL445">
            <v>977443</v>
          </cell>
          <cell r="AM445">
            <v>83781</v>
          </cell>
          <cell r="AN445">
            <v>167562</v>
          </cell>
          <cell r="AO445">
            <v>55854</v>
          </cell>
          <cell r="AP445">
            <v>55854</v>
          </cell>
        </row>
        <row r="446">
          <cell r="D446" t="str">
            <v>Nghiên cứu công nghệ và chế tạo hệ thống trinh sát, chế áp phương tiện bay không người lái hạng nhẹ</v>
          </cell>
          <cell r="G446" t="str">
            <v>KHCN</v>
          </cell>
          <cell r="I446" t="str">
            <v>TCĐT</v>
          </cell>
          <cell r="AC446">
            <v>1030000</v>
          </cell>
          <cell r="AD446">
            <v>32627144</v>
          </cell>
          <cell r="AE446">
            <v>17778578</v>
          </cell>
          <cell r="AF446">
            <v>17128711</v>
          </cell>
          <cell r="AG446">
            <v>0</v>
          </cell>
          <cell r="AH446">
            <v>0</v>
          </cell>
          <cell r="AI446">
            <v>0</v>
          </cell>
          <cell r="AJ446">
            <v>0</v>
          </cell>
          <cell r="AK446">
            <v>495137</v>
          </cell>
          <cell r="AL446">
            <v>1083113</v>
          </cell>
          <cell r="AM446">
            <v>92838</v>
          </cell>
          <cell r="AN446">
            <v>185677</v>
          </cell>
          <cell r="AO446">
            <v>61892</v>
          </cell>
          <cell r="AP446">
            <v>61892</v>
          </cell>
        </row>
        <row r="447">
          <cell r="D447" t="str">
            <v>Nghiên cứu công nghệ và chế tạo hệ thống trinh sát, chế áp phương tiện bay không người lái hạng nhẹ</v>
          </cell>
          <cell r="G447" t="str">
            <v>KHCN</v>
          </cell>
          <cell r="I447" t="str">
            <v>TCĐT</v>
          </cell>
          <cell r="AC447">
            <v>930000</v>
          </cell>
          <cell r="AD447">
            <v>17994124</v>
          </cell>
          <cell r="AE447">
            <v>9258760</v>
          </cell>
          <cell r="AF447">
            <v>8754717</v>
          </cell>
          <cell r="AG447">
            <v>0</v>
          </cell>
          <cell r="AH447">
            <v>0</v>
          </cell>
          <cell r="AI447">
            <v>0</v>
          </cell>
          <cell r="AJ447">
            <v>0</v>
          </cell>
          <cell r="AK447">
            <v>384033</v>
          </cell>
          <cell r="AL447">
            <v>840073</v>
          </cell>
          <cell r="AM447">
            <v>72006</v>
          </cell>
          <cell r="AN447">
            <v>144013</v>
          </cell>
          <cell r="AO447">
            <v>48004</v>
          </cell>
          <cell r="AP447">
            <v>48004</v>
          </cell>
        </row>
        <row r="448">
          <cell r="D448" t="str">
            <v>Nghiên cứu công nghệ và chế tạo hệ thống trinh sát, chế áp phương tiện bay không người lái hạng nhẹ</v>
          </cell>
          <cell r="G448" t="str">
            <v>KHCN</v>
          </cell>
          <cell r="I448" t="str">
            <v>TCĐT</v>
          </cell>
          <cell r="AC448">
            <v>1230000</v>
          </cell>
          <cell r="AD448">
            <v>70594668</v>
          </cell>
          <cell r="AE448">
            <v>67611423</v>
          </cell>
          <cell r="AF448">
            <v>66871164</v>
          </cell>
          <cell r="AG448">
            <v>0</v>
          </cell>
          <cell r="AH448">
            <v>0</v>
          </cell>
          <cell r="AI448">
            <v>0</v>
          </cell>
          <cell r="AJ448">
            <v>0</v>
          </cell>
          <cell r="AK448">
            <v>623376</v>
          </cell>
          <cell r="AL448">
            <v>1363635</v>
          </cell>
          <cell r="AM448">
            <v>116883</v>
          </cell>
          <cell r="AN448">
            <v>233766</v>
          </cell>
          <cell r="AO448">
            <v>0</v>
          </cell>
          <cell r="AP448">
            <v>0</v>
          </cell>
        </row>
        <row r="449">
          <cell r="D449" t="str">
            <v>Nghiên cứu công nghệ và chế tạo hệ thống trinh sát, chế áp phương tiện bay không người lái hạng nhẹ</v>
          </cell>
          <cell r="G449" t="str">
            <v>KHCN</v>
          </cell>
          <cell r="I449" t="str">
            <v>TCĐT</v>
          </cell>
          <cell r="AC449">
            <v>930000</v>
          </cell>
          <cell r="AD449">
            <v>25577407</v>
          </cell>
          <cell r="AE449">
            <v>13690203</v>
          </cell>
          <cell r="AF449">
            <v>13103737</v>
          </cell>
          <cell r="AG449">
            <v>0</v>
          </cell>
          <cell r="AH449">
            <v>0</v>
          </cell>
          <cell r="AI449">
            <v>0</v>
          </cell>
          <cell r="AJ449">
            <v>0</v>
          </cell>
          <cell r="AK449">
            <v>446831</v>
          </cell>
          <cell r="AL449">
            <v>977443</v>
          </cell>
          <cell r="AM449">
            <v>83781</v>
          </cell>
          <cell r="AN449">
            <v>167562</v>
          </cell>
          <cell r="AO449">
            <v>55854</v>
          </cell>
          <cell r="AP449">
            <v>55854</v>
          </cell>
        </row>
        <row r="450">
          <cell r="D450" t="str">
            <v>Nghiên cứu công nghệ và chế tạo hệ thống trinh sát, chế áp phương tiện bay không người lái hạng nhẹ</v>
          </cell>
          <cell r="G450" t="str">
            <v>KHCN</v>
          </cell>
          <cell r="I450" t="str">
            <v>TCĐT</v>
          </cell>
          <cell r="AC450">
            <v>1030000</v>
          </cell>
          <cell r="AD450">
            <v>26513222</v>
          </cell>
          <cell r="AE450">
            <v>14262814</v>
          </cell>
          <cell r="AF450">
            <v>13704878</v>
          </cell>
          <cell r="AG450">
            <v>0</v>
          </cell>
          <cell r="AH450">
            <v>0</v>
          </cell>
          <cell r="AI450">
            <v>0</v>
          </cell>
          <cell r="AJ450">
            <v>0</v>
          </cell>
          <cell r="AK450">
            <v>425094</v>
          </cell>
          <cell r="AL450">
            <v>929892</v>
          </cell>
          <cell r="AM450">
            <v>79705</v>
          </cell>
          <cell r="AN450">
            <v>159410</v>
          </cell>
          <cell r="AO450">
            <v>53137</v>
          </cell>
          <cell r="AP450">
            <v>53137</v>
          </cell>
        </row>
        <row r="451">
          <cell r="D451" t="str">
            <v>Nghiên cứu công nghệ và chế tạo hệ thống trinh sát, chế áp phương tiện bay không người lái hạng nhẹ</v>
          </cell>
          <cell r="G451" t="str">
            <v>KHCN</v>
          </cell>
          <cell r="I451" t="str">
            <v>TCĐT</v>
          </cell>
          <cell r="AC451">
            <v>930000</v>
          </cell>
          <cell r="AD451">
            <v>22390398</v>
          </cell>
          <cell r="AE451">
            <v>11877993</v>
          </cell>
          <cell r="AF451">
            <v>11348589</v>
          </cell>
          <cell r="AG451">
            <v>0</v>
          </cell>
          <cell r="AH451">
            <v>0</v>
          </cell>
          <cell r="AI451">
            <v>0</v>
          </cell>
          <cell r="AJ451">
            <v>0</v>
          </cell>
          <cell r="AK451">
            <v>403356</v>
          </cell>
          <cell r="AL451">
            <v>882341</v>
          </cell>
          <cell r="AM451">
            <v>75629</v>
          </cell>
          <cell r="AN451">
            <v>151258</v>
          </cell>
          <cell r="AO451">
            <v>50419</v>
          </cell>
          <cell r="AP451">
            <v>50419</v>
          </cell>
        </row>
        <row r="452">
          <cell r="D452" t="str">
            <v>Nghiên cứu công nghệ và chế tạo hệ thống trinh sát, chế áp phương tiện bay không người lái hạng nhẹ</v>
          </cell>
          <cell r="G452" t="str">
            <v>KHCN</v>
          </cell>
          <cell r="I452" t="str">
            <v>TCĐT</v>
          </cell>
          <cell r="AC452">
            <v>1030000</v>
          </cell>
          <cell r="AD452">
            <v>32807298</v>
          </cell>
          <cell r="AE452">
            <v>17409578</v>
          </cell>
          <cell r="AF452">
            <v>16616501</v>
          </cell>
          <cell r="AG452">
            <v>0</v>
          </cell>
          <cell r="AH452">
            <v>0</v>
          </cell>
          <cell r="AI452">
            <v>0</v>
          </cell>
          <cell r="AJ452">
            <v>0</v>
          </cell>
          <cell r="AK452">
            <v>793077</v>
          </cell>
          <cell r="AL452">
            <v>1734856</v>
          </cell>
          <cell r="AM452">
            <v>0</v>
          </cell>
          <cell r="AN452">
            <v>0</v>
          </cell>
          <cell r="AO452">
            <v>0</v>
          </cell>
          <cell r="AP452">
            <v>0</v>
          </cell>
        </row>
        <row r="453">
          <cell r="D453" t="str">
            <v>Nghiên cứu công nghệ và chế tạo hệ thống trinh sát, chế áp phương tiện bay không người lái hạng nhẹ</v>
          </cell>
          <cell r="G453" t="str">
            <v>KHCN</v>
          </cell>
          <cell r="I453" t="str">
            <v>TCĐT</v>
          </cell>
          <cell r="AC453">
            <v>1030000</v>
          </cell>
          <cell r="AD453">
            <v>30442164</v>
          </cell>
          <cell r="AE453">
            <v>16519540</v>
          </cell>
          <cell r="AF453">
            <v>15901373</v>
          </cell>
          <cell r="AG453">
            <v>0</v>
          </cell>
          <cell r="AH453">
            <v>0</v>
          </cell>
          <cell r="AI453">
            <v>0</v>
          </cell>
          <cell r="AJ453">
            <v>0</v>
          </cell>
          <cell r="AK453">
            <v>470984</v>
          </cell>
          <cell r="AL453">
            <v>1030278</v>
          </cell>
          <cell r="AM453">
            <v>88310</v>
          </cell>
          <cell r="AN453">
            <v>176619</v>
          </cell>
          <cell r="AO453">
            <v>58873</v>
          </cell>
          <cell r="AP453">
            <v>58873</v>
          </cell>
        </row>
        <row r="454">
          <cell r="D454" t="str">
            <v>Nghiên cứu công nghệ và chế tạo hệ thống trinh sát, chế áp phương tiện bay không người lái hạng nhẹ</v>
          </cell>
          <cell r="G454" t="str">
            <v>KHCN</v>
          </cell>
          <cell r="I454" t="str">
            <v>TCĐT</v>
          </cell>
          <cell r="AC454">
            <v>930000</v>
          </cell>
          <cell r="AD454">
            <v>35163490</v>
          </cell>
          <cell r="AE454">
            <v>19454260</v>
          </cell>
          <cell r="AF454">
            <v>18836093</v>
          </cell>
          <cell r="AG454">
            <v>0</v>
          </cell>
          <cell r="AH454">
            <v>0</v>
          </cell>
          <cell r="AI454">
            <v>0</v>
          </cell>
          <cell r="AJ454">
            <v>0</v>
          </cell>
          <cell r="AK454">
            <v>470984</v>
          </cell>
          <cell r="AL454">
            <v>1030278</v>
          </cell>
          <cell r="AM454">
            <v>88310</v>
          </cell>
          <cell r="AN454">
            <v>176619</v>
          </cell>
          <cell r="AO454">
            <v>58873</v>
          </cell>
          <cell r="AP454">
            <v>58873</v>
          </cell>
        </row>
        <row r="455">
          <cell r="D455" t="str">
            <v>Nghiên cứu công nghệ và chế tạo hệ thống trinh sát, chế áp phương tiện bay không người lái hạng nhẹ</v>
          </cell>
          <cell r="G455" t="str">
            <v>KHCN</v>
          </cell>
          <cell r="I455" t="str">
            <v>TCĐT</v>
          </cell>
          <cell r="AC455">
            <v>930000</v>
          </cell>
          <cell r="AD455">
            <v>29346431</v>
          </cell>
          <cell r="AE455">
            <v>16144390</v>
          </cell>
          <cell r="AF455">
            <v>15657750</v>
          </cell>
          <cell r="AG455">
            <v>0</v>
          </cell>
          <cell r="AH455">
            <v>0</v>
          </cell>
          <cell r="AI455">
            <v>0</v>
          </cell>
          <cell r="AJ455">
            <v>0</v>
          </cell>
          <cell r="AK455">
            <v>409802</v>
          </cell>
          <cell r="AL455">
            <v>896442</v>
          </cell>
          <cell r="AM455">
            <v>76838</v>
          </cell>
          <cell r="AN455">
            <v>153676</v>
          </cell>
          <cell r="AO455">
            <v>0</v>
          </cell>
          <cell r="AP455">
            <v>0</v>
          </cell>
        </row>
        <row r="456">
          <cell r="D456" t="str">
            <v>Nghiên cứu công nghệ và chế tạo hệ thống trinh sát, chế áp phương tiện bay không người lái hạng nhẹ</v>
          </cell>
          <cell r="G456" t="str">
            <v>KHCN</v>
          </cell>
          <cell r="I456" t="str">
            <v>TCĐT</v>
          </cell>
          <cell r="AC456">
            <v>1230000</v>
          </cell>
          <cell r="AD456">
            <v>50908144</v>
          </cell>
          <cell r="AE456">
            <v>28543176</v>
          </cell>
          <cell r="AF456">
            <v>27785525</v>
          </cell>
          <cell r="AG456">
            <v>0</v>
          </cell>
          <cell r="AH456">
            <v>0</v>
          </cell>
          <cell r="AI456">
            <v>0</v>
          </cell>
          <cell r="AJ456">
            <v>0</v>
          </cell>
          <cell r="AK456">
            <v>577258</v>
          </cell>
          <cell r="AL456">
            <v>1262751</v>
          </cell>
          <cell r="AM456">
            <v>108236</v>
          </cell>
          <cell r="AN456">
            <v>216472</v>
          </cell>
          <cell r="AO456">
            <v>72157</v>
          </cell>
          <cell r="AP456">
            <v>72157</v>
          </cell>
        </row>
        <row r="457">
          <cell r="D457" t="str">
            <v>Nghiên cứu công nghệ và chế tạo hệ thống trinh sát, chế áp phương tiện bay không người lái hạng nhẹ</v>
          </cell>
          <cell r="G457" t="str">
            <v>KHCN</v>
          </cell>
          <cell r="I457" t="str">
            <v>TCĐT</v>
          </cell>
          <cell r="AC457">
            <v>1030000</v>
          </cell>
          <cell r="AD457">
            <v>31017383</v>
          </cell>
          <cell r="AE457">
            <v>16869673</v>
          </cell>
          <cell r="AF457">
            <v>16251506</v>
          </cell>
          <cell r="AG457">
            <v>0</v>
          </cell>
          <cell r="AH457">
            <v>0</v>
          </cell>
          <cell r="AI457">
            <v>0</v>
          </cell>
          <cell r="AJ457">
            <v>0</v>
          </cell>
          <cell r="AK457">
            <v>470984</v>
          </cell>
          <cell r="AL457">
            <v>1030278</v>
          </cell>
          <cell r="AM457">
            <v>88310</v>
          </cell>
          <cell r="AN457">
            <v>176619</v>
          </cell>
          <cell r="AO457">
            <v>58873</v>
          </cell>
          <cell r="AP457">
            <v>58873</v>
          </cell>
        </row>
        <row r="458">
          <cell r="D458" t="str">
            <v>Nghiên cứu công nghệ và chế tạo hệ thống trinh sát, chế áp phương tiện bay không người lái hạng nhẹ</v>
          </cell>
          <cell r="G458" t="str">
            <v>KHCN</v>
          </cell>
          <cell r="I458" t="str">
            <v>TCĐT</v>
          </cell>
          <cell r="AC458">
            <v>1130000</v>
          </cell>
          <cell r="AD458">
            <v>65385496</v>
          </cell>
          <cell r="AE458">
            <v>37238973</v>
          </cell>
          <cell r="AF458">
            <v>36402070</v>
          </cell>
          <cell r="AG458">
            <v>0</v>
          </cell>
          <cell r="AH458">
            <v>0</v>
          </cell>
          <cell r="AI458">
            <v>0</v>
          </cell>
          <cell r="AJ458">
            <v>0</v>
          </cell>
          <cell r="AK458">
            <v>637640</v>
          </cell>
          <cell r="AL458">
            <v>1394838</v>
          </cell>
          <cell r="AM458">
            <v>119558</v>
          </cell>
          <cell r="AN458">
            <v>239115</v>
          </cell>
          <cell r="AO458">
            <v>79705</v>
          </cell>
          <cell r="AP458">
            <v>79705</v>
          </cell>
        </row>
        <row r="459">
          <cell r="D459" t="str">
            <v>Nghiên cứu công nghệ và chế tạo hệ thống trinh sát, chế áp phương tiện bay không người lái hạng nhẹ</v>
          </cell>
          <cell r="G459" t="str">
            <v>KHCN</v>
          </cell>
          <cell r="I459" t="str">
            <v>TCĐT</v>
          </cell>
          <cell r="AC459">
            <v>1030000</v>
          </cell>
          <cell r="AD459">
            <v>51857890</v>
          </cell>
          <cell r="AE459">
            <v>29243021</v>
          </cell>
          <cell r="AF459">
            <v>28485370</v>
          </cell>
          <cell r="AG459">
            <v>0</v>
          </cell>
          <cell r="AH459">
            <v>0</v>
          </cell>
          <cell r="AI459">
            <v>0</v>
          </cell>
          <cell r="AJ459">
            <v>0</v>
          </cell>
          <cell r="AK459">
            <v>577258</v>
          </cell>
          <cell r="AL459">
            <v>1262751</v>
          </cell>
          <cell r="AM459">
            <v>108236</v>
          </cell>
          <cell r="AN459">
            <v>216472</v>
          </cell>
          <cell r="AO459">
            <v>72157</v>
          </cell>
          <cell r="AP459">
            <v>72157</v>
          </cell>
        </row>
        <row r="460">
          <cell r="D460" t="str">
            <v>Nghiên cứu công nghệ và chế tạo hệ thống trinh sát, chế áp phương tiện bay không người lái hạng nhẹ</v>
          </cell>
          <cell r="G460" t="str">
            <v>KHCN</v>
          </cell>
          <cell r="I460" t="str">
            <v>TCĐT</v>
          </cell>
          <cell r="AC460">
            <v>1030000</v>
          </cell>
          <cell r="AD460">
            <v>32601668</v>
          </cell>
          <cell r="AE460">
            <v>17834021</v>
          </cell>
          <cell r="AF460">
            <v>17215854</v>
          </cell>
          <cell r="AG460">
            <v>0</v>
          </cell>
          <cell r="AH460">
            <v>0</v>
          </cell>
          <cell r="AI460">
            <v>0</v>
          </cell>
          <cell r="AJ460">
            <v>0</v>
          </cell>
          <cell r="AK460">
            <v>470984</v>
          </cell>
          <cell r="AL460">
            <v>1030278</v>
          </cell>
          <cell r="AM460">
            <v>88310</v>
          </cell>
          <cell r="AN460">
            <v>176619</v>
          </cell>
          <cell r="AO460">
            <v>58873</v>
          </cell>
          <cell r="AP460">
            <v>58873</v>
          </cell>
        </row>
        <row r="461">
          <cell r="D461" t="str">
            <v>Nghiên cứu công nghệ và chế tạo hệ thống trinh sát, chế áp phương tiện bay không người lái hạng nhẹ</v>
          </cell>
          <cell r="G461" t="str">
            <v>KHCN</v>
          </cell>
          <cell r="I461" t="str">
            <v>TCĐT</v>
          </cell>
          <cell r="AC461">
            <v>930000</v>
          </cell>
          <cell r="AD461">
            <v>21110251</v>
          </cell>
          <cell r="AE461">
            <v>11098773</v>
          </cell>
          <cell r="AF461">
            <v>10569369</v>
          </cell>
          <cell r="AG461">
            <v>0</v>
          </cell>
          <cell r="AH461">
            <v>0</v>
          </cell>
          <cell r="AI461">
            <v>0</v>
          </cell>
          <cell r="AJ461">
            <v>0</v>
          </cell>
          <cell r="AK461">
            <v>403356</v>
          </cell>
          <cell r="AL461">
            <v>882341</v>
          </cell>
          <cell r="AM461">
            <v>75629</v>
          </cell>
          <cell r="AN461">
            <v>151258</v>
          </cell>
          <cell r="AO461">
            <v>50419</v>
          </cell>
          <cell r="AP461">
            <v>50419</v>
          </cell>
        </row>
        <row r="462">
          <cell r="D462" t="str">
            <v>Nghiên cứu công nghệ và chế tạo hệ thống trinh sát, chế áp phương tiện bay không người lái hạng nhẹ</v>
          </cell>
          <cell r="G462" t="str">
            <v>KHCN</v>
          </cell>
          <cell r="I462" t="str">
            <v>TCĐT</v>
          </cell>
          <cell r="AC462">
            <v>1030000</v>
          </cell>
          <cell r="AD462">
            <v>30046381</v>
          </cell>
          <cell r="AE462">
            <v>16349578</v>
          </cell>
          <cell r="AF462">
            <v>15763112</v>
          </cell>
          <cell r="AG462">
            <v>0</v>
          </cell>
          <cell r="AH462">
            <v>0</v>
          </cell>
          <cell r="AI462">
            <v>0</v>
          </cell>
          <cell r="AJ462">
            <v>0</v>
          </cell>
          <cell r="AK462">
            <v>446831</v>
          </cell>
          <cell r="AL462">
            <v>977443</v>
          </cell>
          <cell r="AM462">
            <v>83781</v>
          </cell>
          <cell r="AN462">
            <v>167562</v>
          </cell>
          <cell r="AO462">
            <v>55854</v>
          </cell>
          <cell r="AP462">
            <v>55854</v>
          </cell>
        </row>
        <row r="463">
          <cell r="D463" t="str">
            <v>Nghiên cứu công nghệ và chế tạo hệ thống trinh sát, chế áp phương tiện bay không người lái hạng nhẹ</v>
          </cell>
          <cell r="G463" t="str">
            <v>KHCN</v>
          </cell>
          <cell r="I463" t="str">
            <v>TCĐT</v>
          </cell>
          <cell r="AC463">
            <v>930000</v>
          </cell>
          <cell r="AD463">
            <v>21056952</v>
          </cell>
          <cell r="AE463">
            <v>3952261</v>
          </cell>
          <cell r="AF463">
            <v>3763188</v>
          </cell>
          <cell r="AG463">
            <v>0</v>
          </cell>
          <cell r="AH463">
            <v>0</v>
          </cell>
          <cell r="AI463">
            <v>0</v>
          </cell>
          <cell r="AJ463">
            <v>0</v>
          </cell>
          <cell r="AK463">
            <v>144056</v>
          </cell>
          <cell r="AL463">
            <v>315122</v>
          </cell>
          <cell r="AM463">
            <v>27010</v>
          </cell>
          <cell r="AN463">
            <v>54021</v>
          </cell>
          <cell r="AO463">
            <v>18007</v>
          </cell>
          <cell r="AP463">
            <v>18007</v>
          </cell>
        </row>
        <row r="464">
          <cell r="D464" t="str">
            <v>Nghiên cứu công nghệ và chế tạo hệ thống trinh sát, chế áp phương tiện bay không người lái hạng nhẹ</v>
          </cell>
          <cell r="G464" t="str">
            <v>KHCN</v>
          </cell>
          <cell r="I464" t="str">
            <v>TCĐT</v>
          </cell>
          <cell r="AC464">
            <v>1030000</v>
          </cell>
          <cell r="AD464">
            <v>48669627</v>
          </cell>
          <cell r="AE464">
            <v>27387479</v>
          </cell>
          <cell r="AF464">
            <v>26667870</v>
          </cell>
          <cell r="AG464">
            <v>0</v>
          </cell>
          <cell r="AH464">
            <v>0</v>
          </cell>
          <cell r="AI464">
            <v>0</v>
          </cell>
          <cell r="AJ464">
            <v>0</v>
          </cell>
          <cell r="AK464">
            <v>548274</v>
          </cell>
          <cell r="AL464">
            <v>1199350</v>
          </cell>
          <cell r="AM464">
            <v>102801</v>
          </cell>
          <cell r="AN464">
            <v>205603</v>
          </cell>
          <cell r="AO464">
            <v>68534</v>
          </cell>
          <cell r="AP464">
            <v>68534</v>
          </cell>
        </row>
        <row r="465">
          <cell r="D465" t="str">
            <v>Nghiên cứu công nghệ và chế tạo hệ thống trinh sát, chế áp phương tiện bay không người lái hạng nhẹ</v>
          </cell>
          <cell r="G465" t="str">
            <v>KHCN</v>
          </cell>
          <cell r="I465" t="str">
            <v>TCĐT</v>
          </cell>
          <cell r="AC465">
            <v>930000</v>
          </cell>
          <cell r="AD465">
            <v>19947552</v>
          </cell>
          <cell r="AE465">
            <v>742217</v>
          </cell>
          <cell r="AF465">
            <v>704403</v>
          </cell>
          <cell r="AG465">
            <v>0</v>
          </cell>
          <cell r="AH465">
            <v>0</v>
          </cell>
          <cell r="AI465">
            <v>0</v>
          </cell>
          <cell r="AJ465">
            <v>0</v>
          </cell>
          <cell r="AK465">
            <v>28811</v>
          </cell>
          <cell r="AL465">
            <v>63024</v>
          </cell>
          <cell r="AM465">
            <v>5402</v>
          </cell>
          <cell r="AN465">
            <v>10804</v>
          </cell>
          <cell r="AO465">
            <v>3601</v>
          </cell>
          <cell r="AP465">
            <v>3601</v>
          </cell>
        </row>
        <row r="466">
          <cell r="D466" t="str">
            <v>Nghiên cứu công nghệ và chế tạo hệ thống trinh sát, chế áp phương tiện bay không người lái hạng nhẹ</v>
          </cell>
          <cell r="G466" t="str">
            <v>KHCN</v>
          </cell>
          <cell r="I466" t="str">
            <v>TCĐT</v>
          </cell>
          <cell r="AC466">
            <v>930000</v>
          </cell>
          <cell r="AD466">
            <v>19904378</v>
          </cell>
          <cell r="AE466">
            <v>10421523</v>
          </cell>
          <cell r="AF466">
            <v>9917480</v>
          </cell>
          <cell r="AG466">
            <v>0</v>
          </cell>
          <cell r="AH466">
            <v>0</v>
          </cell>
          <cell r="AI466">
            <v>0</v>
          </cell>
          <cell r="AJ466">
            <v>0</v>
          </cell>
          <cell r="AK466">
            <v>384033</v>
          </cell>
          <cell r="AL466">
            <v>840073</v>
          </cell>
          <cell r="AM466">
            <v>72006</v>
          </cell>
          <cell r="AN466">
            <v>144013</v>
          </cell>
          <cell r="AO466">
            <v>48004</v>
          </cell>
          <cell r="AP466">
            <v>48004</v>
          </cell>
        </row>
        <row r="467">
          <cell r="D467" t="str">
            <v>Nghiên cứu công nghệ và chế tạo hệ thống trinh sát, chế áp phương tiện bay không người lái hạng nhẹ</v>
          </cell>
          <cell r="G467" t="str">
            <v>KHCN</v>
          </cell>
          <cell r="I467" t="str">
            <v>TCĐT</v>
          </cell>
          <cell r="AC467">
            <v>1047000</v>
          </cell>
          <cell r="AD467">
            <v>23442633</v>
          </cell>
          <cell r="AE467">
            <v>1769059</v>
          </cell>
          <cell r="AF467">
            <v>1689354</v>
          </cell>
          <cell r="AG467">
            <v>0</v>
          </cell>
          <cell r="AH467">
            <v>0</v>
          </cell>
          <cell r="AI467">
            <v>0</v>
          </cell>
          <cell r="AJ467">
            <v>0</v>
          </cell>
          <cell r="AK467">
            <v>60728</v>
          </cell>
          <cell r="AL467">
            <v>132842</v>
          </cell>
          <cell r="AM467">
            <v>11386</v>
          </cell>
          <cell r="AN467">
            <v>22773</v>
          </cell>
          <cell r="AO467">
            <v>7591</v>
          </cell>
          <cell r="AP467">
            <v>7591</v>
          </cell>
        </row>
        <row r="468">
          <cell r="D468" t="str">
            <v>Nghiên cứu công nghệ, thiết kế và chế tạo hệ thống ăng ten mảng công suất siêu lớn (2MW)</v>
          </cell>
          <cell r="G468" t="str">
            <v>KHCN</v>
          </cell>
          <cell r="I468" t="str">
            <v>TCĐT</v>
          </cell>
          <cell r="AC468">
            <v>1730000</v>
          </cell>
          <cell r="AD468">
            <v>115310259</v>
          </cell>
          <cell r="AE468">
            <v>9557927</v>
          </cell>
          <cell r="AF468">
            <v>9427212</v>
          </cell>
          <cell r="AG468">
            <v>0</v>
          </cell>
          <cell r="AH468">
            <v>0</v>
          </cell>
          <cell r="AI468">
            <v>0</v>
          </cell>
          <cell r="AJ468">
            <v>0</v>
          </cell>
          <cell r="AK468">
            <v>130715</v>
          </cell>
          <cell r="AL468">
            <v>285937</v>
          </cell>
          <cell r="AM468">
            <v>0</v>
          </cell>
          <cell r="AN468">
            <v>0</v>
          </cell>
          <cell r="AO468">
            <v>0</v>
          </cell>
          <cell r="AP468">
            <v>0</v>
          </cell>
        </row>
        <row r="469">
          <cell r="D469" t="str">
            <v>Nghiên cứu công nghệ, thiết kế và chế tạo hệ thống ăng ten mảng công suất siêu lớn (2MW)</v>
          </cell>
          <cell r="G469" t="str">
            <v>KHCN</v>
          </cell>
          <cell r="I469" t="str">
            <v>TCĐT</v>
          </cell>
          <cell r="AC469">
            <v>930000</v>
          </cell>
          <cell r="AD469">
            <v>21693266</v>
          </cell>
          <cell r="AE469">
            <v>11453652</v>
          </cell>
          <cell r="AF469">
            <v>10924248</v>
          </cell>
          <cell r="AG469">
            <v>0</v>
          </cell>
          <cell r="AH469">
            <v>0</v>
          </cell>
          <cell r="AI469">
            <v>0</v>
          </cell>
          <cell r="AJ469">
            <v>0</v>
          </cell>
          <cell r="AK469">
            <v>403356</v>
          </cell>
          <cell r="AL469">
            <v>882341</v>
          </cell>
          <cell r="AM469">
            <v>75629</v>
          </cell>
          <cell r="AN469">
            <v>151258</v>
          </cell>
          <cell r="AO469">
            <v>50419</v>
          </cell>
          <cell r="AP469">
            <v>50419</v>
          </cell>
        </row>
        <row r="470">
          <cell r="D470" t="str">
            <v>Nghiên cứu công nghệ, thiết kế và chế tạo hệ thống ăng ten mảng công suất siêu lớn (2MW)</v>
          </cell>
          <cell r="G470" t="str">
            <v>KHCN</v>
          </cell>
          <cell r="I470" t="str">
            <v>TCĐT</v>
          </cell>
          <cell r="AC470">
            <v>1030000</v>
          </cell>
          <cell r="AD470">
            <v>55004853</v>
          </cell>
          <cell r="AE470">
            <v>31158564</v>
          </cell>
          <cell r="AF470">
            <v>30400913</v>
          </cell>
          <cell r="AG470">
            <v>0</v>
          </cell>
          <cell r="AH470">
            <v>0</v>
          </cell>
          <cell r="AI470">
            <v>0</v>
          </cell>
          <cell r="AJ470">
            <v>0</v>
          </cell>
          <cell r="AK470">
            <v>577258</v>
          </cell>
          <cell r="AL470">
            <v>1262751</v>
          </cell>
          <cell r="AM470">
            <v>108236</v>
          </cell>
          <cell r="AN470">
            <v>216472</v>
          </cell>
          <cell r="AO470">
            <v>72157</v>
          </cell>
          <cell r="AP470">
            <v>72157</v>
          </cell>
        </row>
        <row r="471">
          <cell r="D471" t="str">
            <v>Nghiên cứu công nghệ, thiết kế và chế tạo hệ thống ăng ten mảng công suất siêu lớn (2MW)</v>
          </cell>
          <cell r="G471" t="str">
            <v>KHCN</v>
          </cell>
          <cell r="I471" t="str">
            <v>TCĐT</v>
          </cell>
          <cell r="AC471">
            <v>930000</v>
          </cell>
          <cell r="AD471">
            <v>25277800</v>
          </cell>
          <cell r="AE471">
            <v>13507833</v>
          </cell>
          <cell r="AF471">
            <v>12921367</v>
          </cell>
          <cell r="AG471">
            <v>0</v>
          </cell>
          <cell r="AH471">
            <v>0</v>
          </cell>
          <cell r="AI471">
            <v>0</v>
          </cell>
          <cell r="AJ471">
            <v>0</v>
          </cell>
          <cell r="AK471">
            <v>446831</v>
          </cell>
          <cell r="AL471">
            <v>977443</v>
          </cell>
          <cell r="AM471">
            <v>83781</v>
          </cell>
          <cell r="AN471">
            <v>167562</v>
          </cell>
          <cell r="AO471">
            <v>55854</v>
          </cell>
          <cell r="AP471">
            <v>55854</v>
          </cell>
        </row>
        <row r="472">
          <cell r="D472" t="str">
            <v>Nghiên cứu công nghệ, thiết kế và chế tạo hệ thống ăng ten mảng công suất siêu lớn (2MW)</v>
          </cell>
          <cell r="G472" t="str">
            <v>KHCN</v>
          </cell>
          <cell r="I472" t="str">
            <v>TCĐT</v>
          </cell>
          <cell r="AC472">
            <v>1230000</v>
          </cell>
          <cell r="AD472">
            <v>52181082</v>
          </cell>
          <cell r="AE472">
            <v>43977011</v>
          </cell>
          <cell r="AF472">
            <v>42840534</v>
          </cell>
          <cell r="AG472">
            <v>0</v>
          </cell>
          <cell r="AH472">
            <v>0</v>
          </cell>
          <cell r="AI472">
            <v>0</v>
          </cell>
          <cell r="AJ472">
            <v>0</v>
          </cell>
          <cell r="AK472">
            <v>865887</v>
          </cell>
          <cell r="AL472">
            <v>1894127</v>
          </cell>
          <cell r="AM472">
            <v>162354</v>
          </cell>
          <cell r="AN472">
            <v>324707</v>
          </cell>
          <cell r="AO472">
            <v>108236</v>
          </cell>
          <cell r="AP472">
            <v>108236</v>
          </cell>
        </row>
        <row r="473">
          <cell r="D473" t="str">
            <v>Nghiên cứu công nghệ, thiết kế và chế tạo hệ thống ăng ten mảng công suất siêu lớn (2MW)</v>
          </cell>
          <cell r="G473" t="str">
            <v>KHCN</v>
          </cell>
          <cell r="I473" t="str">
            <v>TCĐT</v>
          </cell>
          <cell r="AC473">
            <v>1030000</v>
          </cell>
          <cell r="AD473">
            <v>28722040</v>
          </cell>
          <cell r="AE473">
            <v>15607312</v>
          </cell>
          <cell r="AF473">
            <v>15049376</v>
          </cell>
          <cell r="AG473">
            <v>0</v>
          </cell>
          <cell r="AH473">
            <v>0</v>
          </cell>
          <cell r="AI473">
            <v>0</v>
          </cell>
          <cell r="AJ473">
            <v>0</v>
          </cell>
          <cell r="AK473">
            <v>425094</v>
          </cell>
          <cell r="AL473">
            <v>929892</v>
          </cell>
          <cell r="AM473">
            <v>79705</v>
          </cell>
          <cell r="AN473">
            <v>159410</v>
          </cell>
          <cell r="AO473">
            <v>53137</v>
          </cell>
          <cell r="AP473">
            <v>53137</v>
          </cell>
        </row>
        <row r="474">
          <cell r="D474" t="str">
            <v>Nghiên cứu công nghệ, thiết kế và chế tạo hệ thống ăng ten mảng công suất siêu lớn (2MW)</v>
          </cell>
          <cell r="G474" t="str">
            <v>KHCN</v>
          </cell>
          <cell r="I474" t="str">
            <v>TCĐT</v>
          </cell>
          <cell r="AC474">
            <v>930000</v>
          </cell>
          <cell r="AD474">
            <v>21056952</v>
          </cell>
          <cell r="AE474">
            <v>11066330</v>
          </cell>
          <cell r="AF474">
            <v>10536926</v>
          </cell>
          <cell r="AG474">
            <v>0</v>
          </cell>
          <cell r="AH474">
            <v>0</v>
          </cell>
          <cell r="AI474">
            <v>0</v>
          </cell>
          <cell r="AJ474">
            <v>0</v>
          </cell>
          <cell r="AK474">
            <v>403355</v>
          </cell>
          <cell r="AL474">
            <v>882341</v>
          </cell>
          <cell r="AM474">
            <v>75630</v>
          </cell>
          <cell r="AN474">
            <v>151258</v>
          </cell>
          <cell r="AO474">
            <v>50419</v>
          </cell>
          <cell r="AP474">
            <v>50419</v>
          </cell>
        </row>
        <row r="475">
          <cell r="D475" t="str">
            <v>Nghiên cứu công nghệ, thiết kế và chế tạo hệ thống ăng ten mảng công suất siêu lớn (2MW)</v>
          </cell>
          <cell r="G475" t="str">
            <v>KHCN</v>
          </cell>
          <cell r="I475" t="str">
            <v>TCĐT</v>
          </cell>
          <cell r="AC475">
            <v>930000</v>
          </cell>
          <cell r="AD475">
            <v>19947552</v>
          </cell>
          <cell r="AE475">
            <v>10391044</v>
          </cell>
          <cell r="AF475">
            <v>9861639</v>
          </cell>
          <cell r="AG475">
            <v>0</v>
          </cell>
          <cell r="AH475">
            <v>0</v>
          </cell>
          <cell r="AI475">
            <v>0</v>
          </cell>
          <cell r="AJ475">
            <v>0</v>
          </cell>
          <cell r="AK475">
            <v>403356</v>
          </cell>
          <cell r="AL475">
            <v>882341</v>
          </cell>
          <cell r="AM475">
            <v>75629</v>
          </cell>
          <cell r="AN475">
            <v>151259</v>
          </cell>
          <cell r="AO475">
            <v>50420</v>
          </cell>
          <cell r="AP475">
            <v>50420</v>
          </cell>
        </row>
        <row r="476">
          <cell r="D476" t="str">
            <v>Nghiên cứu công nghệ, thiết kế và chế tạo hệ thống ăng ten mảng công suất siêu lớn (2MW)</v>
          </cell>
          <cell r="G476" t="str">
            <v>KHCN</v>
          </cell>
          <cell r="I476" t="str">
            <v>TCĐT</v>
          </cell>
          <cell r="AC476">
            <v>1047000</v>
          </cell>
          <cell r="AD476">
            <v>23442633</v>
          </cell>
          <cell r="AE476">
            <v>7960765</v>
          </cell>
          <cell r="AF476">
            <v>7602091</v>
          </cell>
          <cell r="AG476">
            <v>0</v>
          </cell>
          <cell r="AH476">
            <v>0</v>
          </cell>
          <cell r="AI476">
            <v>0</v>
          </cell>
          <cell r="AJ476">
            <v>0</v>
          </cell>
          <cell r="AK476">
            <v>273274</v>
          </cell>
          <cell r="AL476">
            <v>597787</v>
          </cell>
          <cell r="AM476">
            <v>51240</v>
          </cell>
          <cell r="AN476">
            <v>102478</v>
          </cell>
          <cell r="AO476">
            <v>34160</v>
          </cell>
          <cell r="AP476">
            <v>34160</v>
          </cell>
        </row>
        <row r="477">
          <cell r="D477" t="str">
            <v>Nghiên cứu nền tảng công nghệ, phát triển sản phẩm dẫn xuất truyền dẫn tán xạ tầng đối lưu</v>
          </cell>
          <cell r="G477" t="str">
            <v>KHCN</v>
          </cell>
          <cell r="I477" t="str">
            <v>TCĐT</v>
          </cell>
          <cell r="AC477">
            <v>1230000</v>
          </cell>
          <cell r="AD477">
            <v>66430134</v>
          </cell>
          <cell r="AE477">
            <v>61969530</v>
          </cell>
          <cell r="AF477">
            <v>60644154</v>
          </cell>
          <cell r="AG477">
            <v>0</v>
          </cell>
          <cell r="AH477">
            <v>0</v>
          </cell>
          <cell r="AI477">
            <v>0</v>
          </cell>
          <cell r="AJ477">
            <v>0</v>
          </cell>
          <cell r="AK477">
            <v>1325376</v>
          </cell>
          <cell r="AL477">
            <v>2899260</v>
          </cell>
          <cell r="AM477">
            <v>0</v>
          </cell>
          <cell r="AN477">
            <v>0</v>
          </cell>
          <cell r="AO477">
            <v>0</v>
          </cell>
          <cell r="AP477">
            <v>0</v>
          </cell>
        </row>
        <row r="478">
          <cell r="D478" t="str">
            <v>Sản xuất 2000 hệ thống thông tin (bao gồm máy VRU812/S 50W và VIS) kèm vật tư dự phòng và Lắp đặt trên xe tăng thiết giáp, xe đặc chủng năm 2024 (Máy thông tin vô tuyến điện VRU812/S – 50W)</v>
          </cell>
          <cell r="G478" t="str">
            <v>SXKD</v>
          </cell>
          <cell r="I478" t="str">
            <v>TTQS</v>
          </cell>
          <cell r="AC478">
            <v>1230000</v>
          </cell>
          <cell r="AD478">
            <v>90077759</v>
          </cell>
          <cell r="AE478">
            <v>7450922</v>
          </cell>
          <cell r="AF478">
            <v>7338114</v>
          </cell>
          <cell r="AG478">
            <v>0</v>
          </cell>
          <cell r="AH478">
            <v>0</v>
          </cell>
          <cell r="AI478">
            <v>0</v>
          </cell>
          <cell r="AJ478">
            <v>0</v>
          </cell>
          <cell r="AK478">
            <v>112808</v>
          </cell>
          <cell r="AL478">
            <v>246768</v>
          </cell>
          <cell r="AM478">
            <v>0</v>
          </cell>
          <cell r="AN478">
            <v>0</v>
          </cell>
          <cell r="AO478">
            <v>0</v>
          </cell>
          <cell r="AP478">
            <v>0</v>
          </cell>
        </row>
        <row r="479">
          <cell r="D479" t="str">
            <v>Sản xuất 2000 hệ thống thông tin (bao gồm máy VRU812/S 50W và VIS) kèm vật tư dự phòng và Lắp đặt trên xe tăng thiết giáp, xe đặc chủng năm 2024 (Máy thông tin vô tuyến điện VRU812/S – 50W)</v>
          </cell>
          <cell r="G479" t="str">
            <v>SXKD</v>
          </cell>
          <cell r="I479" t="str">
            <v>TTQS</v>
          </cell>
          <cell r="AC479">
            <v>930000</v>
          </cell>
          <cell r="AD479">
            <v>20275656</v>
          </cell>
          <cell r="AE479">
            <v>6881322</v>
          </cell>
          <cell r="AF479">
            <v>6573597</v>
          </cell>
          <cell r="AG479">
            <v>0</v>
          </cell>
          <cell r="AH479">
            <v>0</v>
          </cell>
          <cell r="AI479">
            <v>0</v>
          </cell>
          <cell r="AJ479">
            <v>0</v>
          </cell>
          <cell r="AK479">
            <v>234457</v>
          </cell>
          <cell r="AL479">
            <v>512875</v>
          </cell>
          <cell r="AM479">
            <v>43961</v>
          </cell>
          <cell r="AN479">
            <v>87921</v>
          </cell>
          <cell r="AO479">
            <v>29307</v>
          </cell>
          <cell r="AP479">
            <v>29307</v>
          </cell>
        </row>
        <row r="480">
          <cell r="D480" t="str">
            <v>Sản xuất 2000 hệ thống thông tin (bao gồm máy VRU812/S 50W và VIS) kèm vật tư dự phòng và Lắp đặt trên xe tăng thiết giáp, xe đặc chủng năm 2024 (Máy thông tin vô tuyến điện VRU812/S – 50W)</v>
          </cell>
          <cell r="G480" t="str">
            <v>SXKD</v>
          </cell>
          <cell r="I480" t="str">
            <v>TTQS</v>
          </cell>
          <cell r="AC480">
            <v>1030000</v>
          </cell>
          <cell r="AD480">
            <v>38519651</v>
          </cell>
          <cell r="AE480">
            <v>13734850</v>
          </cell>
          <cell r="AF480">
            <v>13317077</v>
          </cell>
          <cell r="AG480">
            <v>0</v>
          </cell>
          <cell r="AH480">
            <v>0</v>
          </cell>
          <cell r="AI480">
            <v>0</v>
          </cell>
          <cell r="AJ480">
            <v>0</v>
          </cell>
          <cell r="AK480">
            <v>318303</v>
          </cell>
          <cell r="AL480">
            <v>696287</v>
          </cell>
          <cell r="AM480">
            <v>59682</v>
          </cell>
          <cell r="AN480">
            <v>119363</v>
          </cell>
          <cell r="AO480">
            <v>39788</v>
          </cell>
          <cell r="AP480">
            <v>39788</v>
          </cell>
        </row>
        <row r="481">
          <cell r="D481" t="str">
            <v>Sản xuất 2000 hệ thống thông tin (bao gồm máy VRU812/S 50W và VIS) kèm vật tư dự phòng và Lắp đặt trên xe tăng thiết giáp, xe đặc chủng năm 2024 (Máy thông tin vô tuyến điện VRU812/S – 50W)</v>
          </cell>
          <cell r="G481" t="str">
            <v>SXKD</v>
          </cell>
          <cell r="I481" t="str">
            <v>TTQS</v>
          </cell>
          <cell r="AC481">
            <v>930000</v>
          </cell>
          <cell r="AD481">
            <v>20085068</v>
          </cell>
          <cell r="AE481">
            <v>6770255</v>
          </cell>
          <cell r="AF481">
            <v>6446226</v>
          </cell>
          <cell r="AG481">
            <v>0</v>
          </cell>
          <cell r="AH481">
            <v>0</v>
          </cell>
          <cell r="AI481">
            <v>0</v>
          </cell>
          <cell r="AJ481">
            <v>0</v>
          </cell>
          <cell r="AK481">
            <v>246879</v>
          </cell>
          <cell r="AL481">
            <v>540047</v>
          </cell>
          <cell r="AM481">
            <v>46290</v>
          </cell>
          <cell r="AN481">
            <v>92579</v>
          </cell>
          <cell r="AO481">
            <v>30860</v>
          </cell>
          <cell r="AP481">
            <v>30860</v>
          </cell>
        </row>
        <row r="482">
          <cell r="D482" t="str">
            <v>Sản xuất 2000 hệ thống thông tin (bao gồm máy VRU812/S 50W và VIS) kèm vật tư dự phòng và Lắp đặt trên xe tăng thiết giáp, xe đặc chủng năm 2024 (Máy thông tin vô tuyến điện VRU812/S – 50W)</v>
          </cell>
          <cell r="G482" t="str">
            <v>SXKD</v>
          </cell>
          <cell r="I482" t="str">
            <v>TTQS</v>
          </cell>
          <cell r="AC482">
            <v>1030000</v>
          </cell>
          <cell r="AD482">
            <v>41101970</v>
          </cell>
          <cell r="AE482">
            <v>14695151</v>
          </cell>
          <cell r="AF482">
            <v>14254962</v>
          </cell>
          <cell r="AG482">
            <v>0</v>
          </cell>
          <cell r="AH482">
            <v>0</v>
          </cell>
          <cell r="AI482">
            <v>0</v>
          </cell>
          <cell r="AJ482">
            <v>0</v>
          </cell>
          <cell r="AK482">
            <v>335382</v>
          </cell>
          <cell r="AL482">
            <v>733649</v>
          </cell>
          <cell r="AM482">
            <v>62884</v>
          </cell>
          <cell r="AN482">
            <v>125768</v>
          </cell>
          <cell r="AO482">
            <v>41923</v>
          </cell>
          <cell r="AP482">
            <v>41923</v>
          </cell>
        </row>
        <row r="483">
          <cell r="D483" t="str">
            <v>Sản xuất 2000 hệ thống thông tin (bao gồm máy VRU812/S 50W và VIS) kèm vật tư dự phòng và Lắp đặt trên xe tăng thiết giáp, xe đặc chủng năm 2024 (Máy thông tin vô tuyến điện VRU812/S – 50W)</v>
          </cell>
          <cell r="G483" t="str">
            <v>SXKD</v>
          </cell>
          <cell r="I483" t="str">
            <v>TTQS</v>
          </cell>
          <cell r="AC483">
            <v>930000</v>
          </cell>
          <cell r="AD483">
            <v>30785151</v>
          </cell>
          <cell r="AE483">
            <v>10793047</v>
          </cell>
          <cell r="AF483">
            <v>10395654</v>
          </cell>
          <cell r="AG483">
            <v>0</v>
          </cell>
          <cell r="AH483">
            <v>0</v>
          </cell>
          <cell r="AI483">
            <v>0</v>
          </cell>
          <cell r="AJ483">
            <v>0</v>
          </cell>
          <cell r="AK483">
            <v>302776</v>
          </cell>
          <cell r="AL483">
            <v>662322</v>
          </cell>
          <cell r="AM483">
            <v>56770</v>
          </cell>
          <cell r="AN483">
            <v>113541</v>
          </cell>
          <cell r="AO483">
            <v>37847</v>
          </cell>
          <cell r="AP483">
            <v>37847</v>
          </cell>
        </row>
        <row r="484">
          <cell r="D484" t="str">
            <v>Sản xuất 2000 hệ thống thông tin (bao gồm máy VRU812/S 50W và VIS) kèm vật tư dự phòng và Lắp đặt trên xe tăng thiết giáp, xe đặc chủng năm 2024 (Máy thông tin vô tuyến điện VRU812/S – 50W)</v>
          </cell>
          <cell r="G484" t="str">
            <v>SXKD</v>
          </cell>
          <cell r="I484" t="str">
            <v>TTQS</v>
          </cell>
          <cell r="AC484">
            <v>1030000</v>
          </cell>
          <cell r="AD484">
            <v>34605365</v>
          </cell>
          <cell r="AE484">
            <v>12248783</v>
          </cell>
          <cell r="AF484">
            <v>11851390</v>
          </cell>
          <cell r="AG484">
            <v>0</v>
          </cell>
          <cell r="AH484">
            <v>0</v>
          </cell>
          <cell r="AI484">
            <v>0</v>
          </cell>
          <cell r="AJ484">
            <v>0</v>
          </cell>
          <cell r="AK484">
            <v>302776</v>
          </cell>
          <cell r="AL484">
            <v>662322</v>
          </cell>
          <cell r="AM484">
            <v>56770</v>
          </cell>
          <cell r="AN484">
            <v>113541</v>
          </cell>
          <cell r="AO484">
            <v>37847</v>
          </cell>
          <cell r="AP484">
            <v>37847</v>
          </cell>
        </row>
        <row r="485">
          <cell r="D485" t="str">
            <v>Sản xuất 2000 hệ thống thông tin (bao gồm máy VRU812/S 50W và VIS) kèm vật tư dự phòng và Lắp đặt trên xe tăng thiết giáp, xe đặc chủng năm 2024 (Máy thông tin vô tuyến điện VRU812/S – 50W)</v>
          </cell>
          <cell r="G485" t="str">
            <v>SXKD</v>
          </cell>
          <cell r="I485" t="str">
            <v>TTQS</v>
          </cell>
          <cell r="AC485">
            <v>1030000</v>
          </cell>
          <cell r="AD485">
            <v>42232547</v>
          </cell>
          <cell r="AE485">
            <v>15187722</v>
          </cell>
          <cell r="AF485">
            <v>14769949</v>
          </cell>
          <cell r="AG485">
            <v>0</v>
          </cell>
          <cell r="AH485">
            <v>0</v>
          </cell>
          <cell r="AI485">
            <v>0</v>
          </cell>
          <cell r="AJ485">
            <v>0</v>
          </cell>
          <cell r="AK485">
            <v>318303</v>
          </cell>
          <cell r="AL485">
            <v>696287</v>
          </cell>
          <cell r="AM485">
            <v>59682</v>
          </cell>
          <cell r="AN485">
            <v>119363</v>
          </cell>
          <cell r="AO485">
            <v>39788</v>
          </cell>
          <cell r="AP485">
            <v>39788</v>
          </cell>
        </row>
        <row r="486">
          <cell r="D486" t="str">
            <v>Sản xuất 2000 hệ thống thông tin (bao gồm máy VRU812/S 50W và VIS) kèm vật tư dự phòng và Lắp đặt trên xe tăng thiết giáp, xe đặc chủng năm 2024 (Máy thông tin vô tuyến điện VRU812/S – 50W)</v>
          </cell>
          <cell r="G486" t="str">
            <v>SXKD</v>
          </cell>
          <cell r="I486" t="str">
            <v>TTQS</v>
          </cell>
          <cell r="AC486">
            <v>1030000</v>
          </cell>
          <cell r="AD486">
            <v>39328832</v>
          </cell>
          <cell r="AE486">
            <v>14001314</v>
          </cell>
          <cell r="AF486">
            <v>13561125</v>
          </cell>
          <cell r="AG486">
            <v>0</v>
          </cell>
          <cell r="AH486">
            <v>0</v>
          </cell>
          <cell r="AI486">
            <v>0</v>
          </cell>
          <cell r="AJ486">
            <v>0</v>
          </cell>
          <cell r="AK486">
            <v>335382</v>
          </cell>
          <cell r="AL486">
            <v>733649</v>
          </cell>
          <cell r="AM486">
            <v>62884</v>
          </cell>
          <cell r="AN486">
            <v>125768</v>
          </cell>
          <cell r="AO486">
            <v>41923</v>
          </cell>
          <cell r="AP486">
            <v>41923</v>
          </cell>
        </row>
        <row r="487">
          <cell r="D487" t="str">
            <v>Sản xuất 2000 hệ thống thông tin (bao gồm máy VRU812/S 50W và VIS) kèm vật tư dự phòng và Lắp đặt trên xe tăng thiết giáp, xe đặc chủng năm 2024 (Máy thông tin vô tuyến điện VRU812/S – 50W)</v>
          </cell>
          <cell r="G487" t="str">
            <v>SXKD</v>
          </cell>
          <cell r="I487" t="str">
            <v>TTQS</v>
          </cell>
          <cell r="AC487">
            <v>1030000</v>
          </cell>
          <cell r="AD487">
            <v>22880392</v>
          </cell>
          <cell r="AE487">
            <v>7788459</v>
          </cell>
          <cell r="AF487">
            <v>7448127</v>
          </cell>
          <cell r="AG487">
            <v>0</v>
          </cell>
          <cell r="AH487">
            <v>0</v>
          </cell>
          <cell r="AI487">
            <v>0</v>
          </cell>
          <cell r="AJ487">
            <v>0</v>
          </cell>
          <cell r="AK487">
            <v>259300</v>
          </cell>
          <cell r="AL487">
            <v>567219</v>
          </cell>
          <cell r="AM487">
            <v>48619</v>
          </cell>
          <cell r="AN487">
            <v>97238</v>
          </cell>
          <cell r="AO487">
            <v>32413</v>
          </cell>
          <cell r="AP487">
            <v>32413</v>
          </cell>
        </row>
        <row r="488">
          <cell r="D488" t="str">
            <v>Sản xuất 2000 hệ thống thông tin (bao gồm máy VRU812/S 50W và VIS) kèm vật tư dự phòng và Lắp đặt trên xe tăng thiết giáp, xe đặc chủng năm 2024 (Máy thông tin vô tuyến điện VRU812/S – 50W)</v>
          </cell>
          <cell r="G488" t="str">
            <v>SXKD</v>
          </cell>
          <cell r="I488" t="str">
            <v>TTQS</v>
          </cell>
          <cell r="AC488">
            <v>1230000</v>
          </cell>
          <cell r="AD488">
            <v>54245856</v>
          </cell>
          <cell r="AE488">
            <v>19655246</v>
          </cell>
          <cell r="AF488">
            <v>19168185</v>
          </cell>
          <cell r="AG488">
            <v>0</v>
          </cell>
          <cell r="AH488">
            <v>0</v>
          </cell>
          <cell r="AI488">
            <v>0</v>
          </cell>
          <cell r="AJ488">
            <v>0</v>
          </cell>
          <cell r="AK488">
            <v>371094</v>
          </cell>
          <cell r="AL488">
            <v>811769</v>
          </cell>
          <cell r="AM488">
            <v>69580</v>
          </cell>
          <cell r="AN488">
            <v>139160</v>
          </cell>
          <cell r="AO488">
            <v>46387</v>
          </cell>
          <cell r="AP488">
            <v>46387</v>
          </cell>
        </row>
        <row r="489">
          <cell r="D489" t="str">
            <v>Sản xuất 2000 hệ thống thông tin (bao gồm máy VRU812/S 50W và VIS) kèm vật tư dự phòng và Lắp đặt trên xe tăng thiết giáp, xe đặc chủng năm 2024 (Máy thông tin vô tuyến điện VRU812/S – 50W)</v>
          </cell>
          <cell r="G489" t="str">
            <v>SXKD</v>
          </cell>
          <cell r="I489" t="str">
            <v>TTQS</v>
          </cell>
          <cell r="AC489">
            <v>930000</v>
          </cell>
          <cell r="AD489">
            <v>21154084</v>
          </cell>
          <cell r="AE489">
            <v>7188566</v>
          </cell>
          <cell r="AF489">
            <v>6864537</v>
          </cell>
          <cell r="AG489">
            <v>0</v>
          </cell>
          <cell r="AH489">
            <v>0</v>
          </cell>
          <cell r="AI489">
            <v>0</v>
          </cell>
          <cell r="AJ489">
            <v>0</v>
          </cell>
          <cell r="AK489">
            <v>246879</v>
          </cell>
          <cell r="AL489">
            <v>540047</v>
          </cell>
          <cell r="AM489">
            <v>46290</v>
          </cell>
          <cell r="AN489">
            <v>92579</v>
          </cell>
          <cell r="AO489">
            <v>30860</v>
          </cell>
          <cell r="AP489">
            <v>30860</v>
          </cell>
        </row>
        <row r="490">
          <cell r="D490" t="str">
            <v>Sản xuất 2000 hệ thống thông tin (bao gồm máy VRU812/S 50W và VIS) kèm vật tư dự phòng và Lắp đặt trên xe tăng thiết giáp, xe đặc chủng năm 2024 (Máy thông tin vô tuyến điện VRU812/S – 50W)</v>
          </cell>
          <cell r="G490" t="str">
            <v>SXKD</v>
          </cell>
          <cell r="I490" t="str">
            <v>TTQS</v>
          </cell>
          <cell r="AC490">
            <v>1147000</v>
          </cell>
          <cell r="AD490">
            <v>53660092</v>
          </cell>
          <cell r="AE490">
            <v>19485220</v>
          </cell>
          <cell r="AF490">
            <v>19036237</v>
          </cell>
          <cell r="AG490">
            <v>0</v>
          </cell>
          <cell r="AH490">
            <v>0</v>
          </cell>
          <cell r="AI490">
            <v>0</v>
          </cell>
          <cell r="AJ490">
            <v>0</v>
          </cell>
          <cell r="AK490">
            <v>378091</v>
          </cell>
          <cell r="AL490">
            <v>827074</v>
          </cell>
          <cell r="AM490">
            <v>70892</v>
          </cell>
          <cell r="AN490">
            <v>141784</v>
          </cell>
          <cell r="AO490">
            <v>0</v>
          </cell>
          <cell r="AP490">
            <v>0</v>
          </cell>
        </row>
        <row r="491">
          <cell r="D491"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1" t="str">
            <v>SXKD</v>
          </cell>
          <cell r="I491" t="str">
            <v>TTQS</v>
          </cell>
          <cell r="AC491">
            <v>1730000</v>
          </cell>
          <cell r="AD491">
            <v>104128427</v>
          </cell>
          <cell r="AE491">
            <v>8597181</v>
          </cell>
          <cell r="AF491">
            <v>8471220</v>
          </cell>
          <cell r="AG491">
            <v>0</v>
          </cell>
          <cell r="AH491">
            <v>0</v>
          </cell>
          <cell r="AI491">
            <v>0</v>
          </cell>
          <cell r="AJ491">
            <v>0</v>
          </cell>
          <cell r="AK491">
            <v>125961</v>
          </cell>
          <cell r="AL491">
            <v>275540</v>
          </cell>
          <cell r="AM491">
            <v>0</v>
          </cell>
          <cell r="AN491">
            <v>0</v>
          </cell>
          <cell r="AO491">
            <v>0</v>
          </cell>
          <cell r="AP491">
            <v>0</v>
          </cell>
        </row>
        <row r="492">
          <cell r="D492"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2" t="str">
            <v>SXKD</v>
          </cell>
          <cell r="I492" t="str">
            <v>TTQS</v>
          </cell>
          <cell r="AC492">
            <v>1230000</v>
          </cell>
          <cell r="AD492">
            <v>90077759</v>
          </cell>
          <cell r="AE492">
            <v>18627304</v>
          </cell>
          <cell r="AF492">
            <v>18345283</v>
          </cell>
          <cell r="AG492">
            <v>0</v>
          </cell>
          <cell r="AH492">
            <v>0</v>
          </cell>
          <cell r="AI492">
            <v>0</v>
          </cell>
          <cell r="AJ492">
            <v>0</v>
          </cell>
          <cell r="AK492">
            <v>282021</v>
          </cell>
          <cell r="AL492">
            <v>616921</v>
          </cell>
          <cell r="AM492">
            <v>0</v>
          </cell>
          <cell r="AN492">
            <v>0</v>
          </cell>
          <cell r="AO492">
            <v>0</v>
          </cell>
          <cell r="AP492">
            <v>0</v>
          </cell>
        </row>
        <row r="493">
          <cell r="D493"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3" t="str">
            <v>SXKD</v>
          </cell>
          <cell r="I493" t="str">
            <v>TTQS</v>
          </cell>
          <cell r="AC493">
            <v>930000</v>
          </cell>
          <cell r="AD493">
            <v>20275656</v>
          </cell>
          <cell r="AE493">
            <v>3822957</v>
          </cell>
          <cell r="AF493">
            <v>3651998</v>
          </cell>
          <cell r="AG493">
            <v>0</v>
          </cell>
          <cell r="AH493">
            <v>0</v>
          </cell>
          <cell r="AI493">
            <v>0</v>
          </cell>
          <cell r="AJ493">
            <v>0</v>
          </cell>
          <cell r="AK493">
            <v>130254</v>
          </cell>
          <cell r="AL493">
            <v>284930</v>
          </cell>
          <cell r="AM493">
            <v>24423</v>
          </cell>
          <cell r="AN493">
            <v>48845</v>
          </cell>
          <cell r="AO493">
            <v>16282</v>
          </cell>
          <cell r="AP493">
            <v>16282</v>
          </cell>
        </row>
        <row r="494">
          <cell r="D494"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4" t="str">
            <v>SXKD</v>
          </cell>
          <cell r="I494" t="str">
            <v>TTQS</v>
          </cell>
          <cell r="AC494">
            <v>1030000</v>
          </cell>
          <cell r="AD494">
            <v>38519651</v>
          </cell>
          <cell r="AE494">
            <v>7630472</v>
          </cell>
          <cell r="AF494">
            <v>7398376</v>
          </cell>
          <cell r="AG494">
            <v>0</v>
          </cell>
          <cell r="AH494">
            <v>0</v>
          </cell>
          <cell r="AI494">
            <v>0</v>
          </cell>
          <cell r="AJ494">
            <v>0</v>
          </cell>
          <cell r="AK494">
            <v>176835</v>
          </cell>
          <cell r="AL494">
            <v>386826</v>
          </cell>
          <cell r="AM494">
            <v>33157</v>
          </cell>
          <cell r="AN494">
            <v>66313</v>
          </cell>
          <cell r="AO494">
            <v>22104</v>
          </cell>
          <cell r="AP494">
            <v>22104</v>
          </cell>
        </row>
        <row r="495">
          <cell r="D495"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5" t="str">
            <v>SXKD</v>
          </cell>
          <cell r="I495" t="str">
            <v>TTQS</v>
          </cell>
          <cell r="AC495">
            <v>930000</v>
          </cell>
          <cell r="AD495">
            <v>20085068</v>
          </cell>
          <cell r="AE495">
            <v>3761253</v>
          </cell>
          <cell r="AF495">
            <v>3581237</v>
          </cell>
          <cell r="AG495">
            <v>0</v>
          </cell>
          <cell r="AH495">
            <v>0</v>
          </cell>
          <cell r="AI495">
            <v>0</v>
          </cell>
          <cell r="AJ495">
            <v>0</v>
          </cell>
          <cell r="AK495">
            <v>137155</v>
          </cell>
          <cell r="AL495">
            <v>300026</v>
          </cell>
          <cell r="AM495">
            <v>25717</v>
          </cell>
          <cell r="AN495">
            <v>51433</v>
          </cell>
          <cell r="AO495">
            <v>17144</v>
          </cell>
          <cell r="AP495">
            <v>17144</v>
          </cell>
        </row>
        <row r="496">
          <cell r="D496"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6" t="str">
            <v>SXKD</v>
          </cell>
          <cell r="I496" t="str">
            <v>TTQS</v>
          </cell>
          <cell r="AC496">
            <v>1030000</v>
          </cell>
          <cell r="AD496">
            <v>41101970</v>
          </cell>
          <cell r="AE496">
            <v>8163973</v>
          </cell>
          <cell r="AF496">
            <v>7919424</v>
          </cell>
          <cell r="AG496">
            <v>0</v>
          </cell>
          <cell r="AH496">
            <v>0</v>
          </cell>
          <cell r="AI496">
            <v>0</v>
          </cell>
          <cell r="AJ496">
            <v>0</v>
          </cell>
          <cell r="AK496">
            <v>186323</v>
          </cell>
          <cell r="AL496">
            <v>407583</v>
          </cell>
          <cell r="AM496">
            <v>34936</v>
          </cell>
          <cell r="AN496">
            <v>69871</v>
          </cell>
          <cell r="AO496">
            <v>23290</v>
          </cell>
          <cell r="AP496">
            <v>23290</v>
          </cell>
        </row>
        <row r="497">
          <cell r="D497"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7" t="str">
            <v>SXKD</v>
          </cell>
          <cell r="I497" t="str">
            <v>TTQS</v>
          </cell>
          <cell r="AC497">
            <v>930000</v>
          </cell>
          <cell r="AD497">
            <v>30785151</v>
          </cell>
          <cell r="AE497">
            <v>5996137</v>
          </cell>
          <cell r="AF497">
            <v>5775363</v>
          </cell>
          <cell r="AG497">
            <v>0</v>
          </cell>
          <cell r="AH497">
            <v>0</v>
          </cell>
          <cell r="AI497">
            <v>0</v>
          </cell>
          <cell r="AJ497">
            <v>0</v>
          </cell>
          <cell r="AK497">
            <v>168209</v>
          </cell>
          <cell r="AL497">
            <v>367957</v>
          </cell>
          <cell r="AM497">
            <v>31539</v>
          </cell>
          <cell r="AN497">
            <v>63078</v>
          </cell>
          <cell r="AO497">
            <v>21026</v>
          </cell>
          <cell r="AP497">
            <v>21026</v>
          </cell>
        </row>
        <row r="498">
          <cell r="D498"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8" t="str">
            <v>SXKD</v>
          </cell>
          <cell r="I498" t="str">
            <v>TTQS</v>
          </cell>
          <cell r="AC498">
            <v>1030000</v>
          </cell>
          <cell r="AD498">
            <v>34605365</v>
          </cell>
          <cell r="AE498">
            <v>6804879</v>
          </cell>
          <cell r="AF498">
            <v>6584105</v>
          </cell>
          <cell r="AG498">
            <v>0</v>
          </cell>
          <cell r="AH498">
            <v>0</v>
          </cell>
          <cell r="AI498">
            <v>0</v>
          </cell>
          <cell r="AJ498">
            <v>0</v>
          </cell>
          <cell r="AK498">
            <v>168209</v>
          </cell>
          <cell r="AL498">
            <v>367957</v>
          </cell>
          <cell r="AM498">
            <v>31539</v>
          </cell>
          <cell r="AN498">
            <v>63078</v>
          </cell>
          <cell r="AO498">
            <v>21026</v>
          </cell>
          <cell r="AP498">
            <v>21026</v>
          </cell>
        </row>
        <row r="499">
          <cell r="D499"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499" t="str">
            <v>SXKD</v>
          </cell>
          <cell r="I499" t="str">
            <v>TTQS</v>
          </cell>
          <cell r="AC499">
            <v>1030000</v>
          </cell>
          <cell r="AD499">
            <v>42232547</v>
          </cell>
          <cell r="AE499">
            <v>8437623</v>
          </cell>
          <cell r="AF499">
            <v>8205527</v>
          </cell>
          <cell r="AG499">
            <v>0</v>
          </cell>
          <cell r="AH499">
            <v>0</v>
          </cell>
          <cell r="AI499">
            <v>0</v>
          </cell>
          <cell r="AJ499">
            <v>0</v>
          </cell>
          <cell r="AK499">
            <v>176835</v>
          </cell>
          <cell r="AL499">
            <v>386826</v>
          </cell>
          <cell r="AM499">
            <v>33157</v>
          </cell>
          <cell r="AN499">
            <v>66313</v>
          </cell>
          <cell r="AO499">
            <v>22104</v>
          </cell>
          <cell r="AP499">
            <v>22104</v>
          </cell>
        </row>
        <row r="500">
          <cell r="D500"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500" t="str">
            <v>SXKD</v>
          </cell>
          <cell r="I500" t="str">
            <v>TTQS</v>
          </cell>
          <cell r="AC500">
            <v>1030000</v>
          </cell>
          <cell r="AD500">
            <v>39328832</v>
          </cell>
          <cell r="AE500">
            <v>7778508</v>
          </cell>
          <cell r="AF500">
            <v>7533959</v>
          </cell>
          <cell r="AG500">
            <v>0</v>
          </cell>
          <cell r="AH500">
            <v>0</v>
          </cell>
          <cell r="AI500">
            <v>0</v>
          </cell>
          <cell r="AJ500">
            <v>0</v>
          </cell>
          <cell r="AK500">
            <v>186323</v>
          </cell>
          <cell r="AL500">
            <v>407583</v>
          </cell>
          <cell r="AM500">
            <v>34936</v>
          </cell>
          <cell r="AN500">
            <v>69871</v>
          </cell>
          <cell r="AO500">
            <v>23290</v>
          </cell>
          <cell r="AP500">
            <v>23290</v>
          </cell>
        </row>
        <row r="501">
          <cell r="D501"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501" t="str">
            <v>SXKD</v>
          </cell>
          <cell r="I501" t="str">
            <v>TTQS</v>
          </cell>
          <cell r="AC501">
            <v>1030000</v>
          </cell>
          <cell r="AD501">
            <v>22880392</v>
          </cell>
          <cell r="AE501">
            <v>4326922</v>
          </cell>
          <cell r="AF501">
            <v>4137849</v>
          </cell>
          <cell r="AG501">
            <v>0</v>
          </cell>
          <cell r="AH501">
            <v>0</v>
          </cell>
          <cell r="AI501">
            <v>0</v>
          </cell>
          <cell r="AJ501">
            <v>0</v>
          </cell>
          <cell r="AK501">
            <v>144056</v>
          </cell>
          <cell r="AL501">
            <v>315122</v>
          </cell>
          <cell r="AM501">
            <v>27010</v>
          </cell>
          <cell r="AN501">
            <v>54021</v>
          </cell>
          <cell r="AO501">
            <v>18007</v>
          </cell>
          <cell r="AP501">
            <v>18007</v>
          </cell>
        </row>
        <row r="502">
          <cell r="D502"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502" t="str">
            <v>SXKD</v>
          </cell>
          <cell r="I502" t="str">
            <v>TTQS</v>
          </cell>
          <cell r="AC502">
            <v>1230000</v>
          </cell>
          <cell r="AD502">
            <v>54245856</v>
          </cell>
          <cell r="AE502">
            <v>10919581</v>
          </cell>
          <cell r="AF502">
            <v>10648992</v>
          </cell>
          <cell r="AG502">
            <v>0</v>
          </cell>
          <cell r="AH502">
            <v>0</v>
          </cell>
          <cell r="AI502">
            <v>0</v>
          </cell>
          <cell r="AJ502">
            <v>0</v>
          </cell>
          <cell r="AK502">
            <v>206163</v>
          </cell>
          <cell r="AL502">
            <v>450983</v>
          </cell>
          <cell r="AM502">
            <v>38656</v>
          </cell>
          <cell r="AN502">
            <v>77311</v>
          </cell>
          <cell r="AO502">
            <v>25770</v>
          </cell>
          <cell r="AP502">
            <v>25770</v>
          </cell>
        </row>
        <row r="503">
          <cell r="D503"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503" t="str">
            <v>SXKD</v>
          </cell>
          <cell r="I503" t="str">
            <v>TTQS</v>
          </cell>
          <cell r="AC503">
            <v>930000</v>
          </cell>
          <cell r="AD503">
            <v>21154084</v>
          </cell>
          <cell r="AE503">
            <v>3993648</v>
          </cell>
          <cell r="AF503">
            <v>3813632</v>
          </cell>
          <cell r="AG503">
            <v>0</v>
          </cell>
          <cell r="AH503">
            <v>0</v>
          </cell>
          <cell r="AI503">
            <v>0</v>
          </cell>
          <cell r="AJ503">
            <v>0</v>
          </cell>
          <cell r="AK503">
            <v>137155</v>
          </cell>
          <cell r="AL503">
            <v>300026</v>
          </cell>
          <cell r="AM503">
            <v>25717</v>
          </cell>
          <cell r="AN503">
            <v>51433</v>
          </cell>
          <cell r="AO503">
            <v>17144</v>
          </cell>
          <cell r="AP503">
            <v>17144</v>
          </cell>
        </row>
        <row r="504">
          <cell r="D504"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504" t="str">
            <v>SXKD</v>
          </cell>
          <cell r="I504" t="str">
            <v>TTQS</v>
          </cell>
          <cell r="AC504">
            <v>1147000</v>
          </cell>
          <cell r="AD504">
            <v>53660092</v>
          </cell>
          <cell r="AE504">
            <v>10825122</v>
          </cell>
          <cell r="AF504">
            <v>10575686</v>
          </cell>
          <cell r="AG504">
            <v>0</v>
          </cell>
          <cell r="AH504">
            <v>0</v>
          </cell>
          <cell r="AI504">
            <v>0</v>
          </cell>
          <cell r="AJ504">
            <v>0</v>
          </cell>
          <cell r="AK504">
            <v>210051</v>
          </cell>
          <cell r="AL504">
            <v>459486</v>
          </cell>
          <cell r="AM504">
            <v>39385</v>
          </cell>
          <cell r="AN504">
            <v>78769</v>
          </cell>
          <cell r="AO504">
            <v>0</v>
          </cell>
          <cell r="AP504">
            <v>0</v>
          </cell>
        </row>
        <row r="505">
          <cell r="D505" t="str">
            <v>Sản xuất 2000 hệ thống thông tin (bao gồm máy VRU812/S 50W và VIS) kèm vật tư dự phòng và Lắp đặt trên xe tăng thiết giáp, xe đặc chủng năm 2024 (Bộ thông thoại số VIS)</v>
          </cell>
          <cell r="G505" t="str">
            <v>SXKD</v>
          </cell>
          <cell r="I505" t="str">
            <v>TTQS</v>
          </cell>
          <cell r="AC505">
            <v>2730000</v>
          </cell>
          <cell r="AD505">
            <v>154884122</v>
          </cell>
          <cell r="AE505">
            <v>12915073</v>
          </cell>
          <cell r="AF505">
            <v>12785547</v>
          </cell>
          <cell r="AG505">
            <v>0</v>
          </cell>
          <cell r="AH505">
            <v>0</v>
          </cell>
          <cell r="AI505">
            <v>0</v>
          </cell>
          <cell r="AJ505">
            <v>0</v>
          </cell>
          <cell r="AK505">
            <v>129526</v>
          </cell>
          <cell r="AL505">
            <v>283338</v>
          </cell>
          <cell r="AM505">
            <v>0</v>
          </cell>
          <cell r="AN505">
            <v>0</v>
          </cell>
          <cell r="AO505">
            <v>0</v>
          </cell>
          <cell r="AP505">
            <v>0</v>
          </cell>
        </row>
        <row r="506">
          <cell r="D506" t="str">
            <v>Sản xuất 2000 hệ thống thông tin (bao gồm máy VRU812/S 50W và VIS) kèm vật tư dự phòng và Lắp đặt trên xe tăng thiết giáp, xe đặc chủng năm 2024 (Bộ thông thoại số VIS)</v>
          </cell>
          <cell r="G506" t="str">
            <v>SXKD</v>
          </cell>
          <cell r="I506" t="str">
            <v>TTQS</v>
          </cell>
          <cell r="AC506">
            <v>1730000</v>
          </cell>
          <cell r="AD506">
            <v>104128427</v>
          </cell>
          <cell r="AE506">
            <v>21492952</v>
          </cell>
          <cell r="AF506">
            <v>21178049</v>
          </cell>
          <cell r="AG506">
            <v>0</v>
          </cell>
          <cell r="AH506">
            <v>0</v>
          </cell>
          <cell r="AI506">
            <v>0</v>
          </cell>
          <cell r="AJ506">
            <v>0</v>
          </cell>
          <cell r="AK506">
            <v>314903</v>
          </cell>
          <cell r="AL506">
            <v>688850</v>
          </cell>
          <cell r="AM506">
            <v>0</v>
          </cell>
          <cell r="AN506">
            <v>0</v>
          </cell>
          <cell r="AO506">
            <v>0</v>
          </cell>
          <cell r="AP506">
            <v>0</v>
          </cell>
        </row>
        <row r="507">
          <cell r="D507" t="str">
            <v>Sản xuất 2000 hệ thống thông tin (bao gồm máy VRU812/S 50W và VIS) kèm vật tư dự phòng và Lắp đặt trên xe tăng thiết giáp, xe đặc chủng năm 2024 (Bộ thông thoại số VIS)</v>
          </cell>
          <cell r="G507" t="str">
            <v>SXKD</v>
          </cell>
          <cell r="I507" t="str">
            <v>TTQS</v>
          </cell>
          <cell r="AC507">
            <v>1230000</v>
          </cell>
          <cell r="AD507">
            <v>90077759</v>
          </cell>
          <cell r="AE507">
            <v>18627304</v>
          </cell>
          <cell r="AF507">
            <v>18345283</v>
          </cell>
          <cell r="AG507">
            <v>0</v>
          </cell>
          <cell r="AH507">
            <v>0</v>
          </cell>
          <cell r="AI507">
            <v>0</v>
          </cell>
          <cell r="AJ507">
            <v>0</v>
          </cell>
          <cell r="AK507">
            <v>282021</v>
          </cell>
          <cell r="AL507">
            <v>616921</v>
          </cell>
          <cell r="AM507">
            <v>0</v>
          </cell>
          <cell r="AN507">
            <v>0</v>
          </cell>
          <cell r="AO507">
            <v>0</v>
          </cell>
          <cell r="AP507">
            <v>0</v>
          </cell>
        </row>
        <row r="508">
          <cell r="D508" t="str">
            <v>Sản xuất 2000 hệ thống thông tin (bao gồm máy VRU812/S 50W và VIS) kèm vật tư dự phòng và Lắp đặt trên xe tăng thiết giáp, xe đặc chủng năm 2024 (Bộ thông thoại số VIS)</v>
          </cell>
          <cell r="G508" t="str">
            <v>SXKD</v>
          </cell>
          <cell r="I508" t="str">
            <v>TTQS</v>
          </cell>
          <cell r="AC508">
            <v>1230000</v>
          </cell>
          <cell r="AD508">
            <v>57181082</v>
          </cell>
          <cell r="AE508">
            <v>4623069</v>
          </cell>
          <cell r="AF508">
            <v>4514834</v>
          </cell>
          <cell r="AG508">
            <v>0</v>
          </cell>
          <cell r="AH508">
            <v>0</v>
          </cell>
          <cell r="AI508">
            <v>0</v>
          </cell>
          <cell r="AJ508">
            <v>0</v>
          </cell>
          <cell r="AK508">
            <v>82465</v>
          </cell>
          <cell r="AL508">
            <v>180393</v>
          </cell>
          <cell r="AM508">
            <v>15462</v>
          </cell>
          <cell r="AN508">
            <v>30925</v>
          </cell>
          <cell r="AO508">
            <v>10308</v>
          </cell>
          <cell r="AP508">
            <v>10308</v>
          </cell>
        </row>
        <row r="509">
          <cell r="D509" t="str">
            <v>Sản xuất 2000 hệ thống thông tin (bao gồm máy VRU812/S 50W và VIS) kèm vật tư dự phòng và Lắp đặt trên xe tăng thiết giáp, xe đặc chủng năm 2024 (Bộ thông thoại số VIS)</v>
          </cell>
          <cell r="G509" t="str">
            <v>SXKD</v>
          </cell>
          <cell r="I509" t="str">
            <v>TTQS</v>
          </cell>
          <cell r="AC509">
            <v>930000</v>
          </cell>
          <cell r="AD509">
            <v>20275656</v>
          </cell>
          <cell r="AE509">
            <v>3822957</v>
          </cell>
          <cell r="AF509">
            <v>3651998</v>
          </cell>
          <cell r="AG509">
            <v>0</v>
          </cell>
          <cell r="AH509">
            <v>0</v>
          </cell>
          <cell r="AI509">
            <v>0</v>
          </cell>
          <cell r="AJ509">
            <v>0</v>
          </cell>
          <cell r="AK509">
            <v>130254</v>
          </cell>
          <cell r="AL509">
            <v>284930</v>
          </cell>
          <cell r="AM509">
            <v>24423</v>
          </cell>
          <cell r="AN509">
            <v>48845</v>
          </cell>
          <cell r="AO509">
            <v>16282</v>
          </cell>
          <cell r="AP509">
            <v>16282</v>
          </cell>
        </row>
        <row r="510">
          <cell r="D510" t="str">
            <v>Sản xuất 2000 hệ thống thông tin (bao gồm máy VRU812/S 50W và VIS) kèm vật tư dự phòng và Lắp đặt trên xe tăng thiết giáp, xe đặc chủng năm 2024 (Bộ thông thoại số VIS)</v>
          </cell>
          <cell r="G510" t="str">
            <v>SXKD</v>
          </cell>
          <cell r="I510" t="str">
            <v>TTQS</v>
          </cell>
          <cell r="AC510">
            <v>1030000</v>
          </cell>
          <cell r="AD510">
            <v>38519651</v>
          </cell>
          <cell r="AE510">
            <v>7630472</v>
          </cell>
          <cell r="AF510">
            <v>7398376</v>
          </cell>
          <cell r="AG510">
            <v>0</v>
          </cell>
          <cell r="AH510">
            <v>0</v>
          </cell>
          <cell r="AI510">
            <v>0</v>
          </cell>
          <cell r="AJ510">
            <v>0</v>
          </cell>
          <cell r="AK510">
            <v>176835</v>
          </cell>
          <cell r="AL510">
            <v>386826</v>
          </cell>
          <cell r="AM510">
            <v>33157</v>
          </cell>
          <cell r="AN510">
            <v>66313</v>
          </cell>
          <cell r="AO510">
            <v>22104</v>
          </cell>
          <cell r="AP510">
            <v>22104</v>
          </cell>
        </row>
        <row r="511">
          <cell r="D511" t="str">
            <v>Sản xuất 2000 hệ thống thông tin (bao gồm máy VRU812/S 50W và VIS) kèm vật tư dự phòng và Lắp đặt trên xe tăng thiết giáp, xe đặc chủng năm 2024 (Bộ thông thoại số VIS)</v>
          </cell>
          <cell r="G511" t="str">
            <v>SXKD</v>
          </cell>
          <cell r="I511" t="str">
            <v>TTQS</v>
          </cell>
          <cell r="AC511">
            <v>930000</v>
          </cell>
          <cell r="AD511">
            <v>20085068</v>
          </cell>
          <cell r="AE511">
            <v>3761253</v>
          </cell>
          <cell r="AF511">
            <v>3581237</v>
          </cell>
          <cell r="AG511">
            <v>0</v>
          </cell>
          <cell r="AH511">
            <v>0</v>
          </cell>
          <cell r="AI511">
            <v>0</v>
          </cell>
          <cell r="AJ511">
            <v>0</v>
          </cell>
          <cell r="AK511">
            <v>137155</v>
          </cell>
          <cell r="AL511">
            <v>300026</v>
          </cell>
          <cell r="AM511">
            <v>25717</v>
          </cell>
          <cell r="AN511">
            <v>51433</v>
          </cell>
          <cell r="AO511">
            <v>17144</v>
          </cell>
          <cell r="AP511">
            <v>17144</v>
          </cell>
        </row>
        <row r="512">
          <cell r="D512" t="str">
            <v>Sản xuất 2000 hệ thống thông tin (bao gồm máy VRU812/S 50W và VIS) kèm vật tư dự phòng và Lắp đặt trên xe tăng thiết giáp, xe đặc chủng năm 2024 (Bộ thông thoại số VIS)</v>
          </cell>
          <cell r="G512" t="str">
            <v>SXKD</v>
          </cell>
          <cell r="I512" t="str">
            <v>TTQS</v>
          </cell>
          <cell r="AC512">
            <v>1030000</v>
          </cell>
          <cell r="AD512">
            <v>41101970</v>
          </cell>
          <cell r="AE512">
            <v>8163973</v>
          </cell>
          <cell r="AF512">
            <v>7919424</v>
          </cell>
          <cell r="AG512">
            <v>0</v>
          </cell>
          <cell r="AH512">
            <v>0</v>
          </cell>
          <cell r="AI512">
            <v>0</v>
          </cell>
          <cell r="AJ512">
            <v>0</v>
          </cell>
          <cell r="AK512">
            <v>186323</v>
          </cell>
          <cell r="AL512">
            <v>407583</v>
          </cell>
          <cell r="AM512">
            <v>34936</v>
          </cell>
          <cell r="AN512">
            <v>69871</v>
          </cell>
          <cell r="AO512">
            <v>23290</v>
          </cell>
          <cell r="AP512">
            <v>23290</v>
          </cell>
        </row>
        <row r="513">
          <cell r="D513" t="str">
            <v>Sản xuất 2000 hệ thống thông tin (bao gồm máy VRU812/S 50W và VIS) kèm vật tư dự phòng và Lắp đặt trên xe tăng thiết giáp, xe đặc chủng năm 2024 (Bộ thông thoại số VIS)</v>
          </cell>
          <cell r="G513" t="str">
            <v>SXKD</v>
          </cell>
          <cell r="I513" t="str">
            <v>TTQS</v>
          </cell>
          <cell r="AC513">
            <v>930000</v>
          </cell>
          <cell r="AD513">
            <v>30785151</v>
          </cell>
          <cell r="AE513">
            <v>5996137</v>
          </cell>
          <cell r="AF513">
            <v>5775363</v>
          </cell>
          <cell r="AG513">
            <v>0</v>
          </cell>
          <cell r="AH513">
            <v>0</v>
          </cell>
          <cell r="AI513">
            <v>0</v>
          </cell>
          <cell r="AJ513">
            <v>0</v>
          </cell>
          <cell r="AK513">
            <v>168209</v>
          </cell>
          <cell r="AL513">
            <v>367957</v>
          </cell>
          <cell r="AM513">
            <v>31539</v>
          </cell>
          <cell r="AN513">
            <v>63078</v>
          </cell>
          <cell r="AO513">
            <v>21026</v>
          </cell>
          <cell r="AP513">
            <v>21026</v>
          </cell>
        </row>
        <row r="514">
          <cell r="D514" t="str">
            <v>Sản xuất 2000 hệ thống thông tin (bao gồm máy VRU812/S 50W và VIS) kèm vật tư dự phòng và Lắp đặt trên xe tăng thiết giáp, xe đặc chủng năm 2024 (Bộ thông thoại số VIS)</v>
          </cell>
          <cell r="G514" t="str">
            <v>SXKD</v>
          </cell>
          <cell r="I514" t="str">
            <v>TTQS</v>
          </cell>
          <cell r="AC514">
            <v>1030000</v>
          </cell>
          <cell r="AD514">
            <v>34605365</v>
          </cell>
          <cell r="AE514">
            <v>6804879</v>
          </cell>
          <cell r="AF514">
            <v>6584105</v>
          </cell>
          <cell r="AG514">
            <v>0</v>
          </cell>
          <cell r="AH514">
            <v>0</v>
          </cell>
          <cell r="AI514">
            <v>0</v>
          </cell>
          <cell r="AJ514">
            <v>0</v>
          </cell>
          <cell r="AK514">
            <v>168209</v>
          </cell>
          <cell r="AL514">
            <v>367957</v>
          </cell>
          <cell r="AM514">
            <v>31539</v>
          </cell>
          <cell r="AN514">
            <v>63078</v>
          </cell>
          <cell r="AO514">
            <v>21026</v>
          </cell>
          <cell r="AP514">
            <v>21026</v>
          </cell>
        </row>
        <row r="515">
          <cell r="D515" t="str">
            <v>Sản xuất 2000 hệ thống thông tin (bao gồm máy VRU812/S 50W và VIS) kèm vật tư dự phòng và Lắp đặt trên xe tăng thiết giáp, xe đặc chủng năm 2024 (Bộ thông thoại số VIS)</v>
          </cell>
          <cell r="G515" t="str">
            <v>SXKD</v>
          </cell>
          <cell r="I515" t="str">
            <v>TTQS</v>
          </cell>
          <cell r="AC515">
            <v>1030000</v>
          </cell>
          <cell r="AD515">
            <v>42232547</v>
          </cell>
          <cell r="AE515">
            <v>8437623</v>
          </cell>
          <cell r="AF515">
            <v>8205527</v>
          </cell>
          <cell r="AG515">
            <v>0</v>
          </cell>
          <cell r="AH515">
            <v>0</v>
          </cell>
          <cell r="AI515">
            <v>0</v>
          </cell>
          <cell r="AJ515">
            <v>0</v>
          </cell>
          <cell r="AK515">
            <v>176835</v>
          </cell>
          <cell r="AL515">
            <v>386826</v>
          </cell>
          <cell r="AM515">
            <v>33157</v>
          </cell>
          <cell r="AN515">
            <v>66313</v>
          </cell>
          <cell r="AO515">
            <v>22104</v>
          </cell>
          <cell r="AP515">
            <v>22104</v>
          </cell>
        </row>
        <row r="516">
          <cell r="D516" t="str">
            <v>Sản xuất 2000 hệ thống thông tin (bao gồm máy VRU812/S 50W và VIS) kèm vật tư dự phòng và Lắp đặt trên xe tăng thiết giáp, xe đặc chủng năm 2024 (Bộ thông thoại số VIS)</v>
          </cell>
          <cell r="G516" t="str">
            <v>SXKD</v>
          </cell>
          <cell r="I516" t="str">
            <v>TTQS</v>
          </cell>
          <cell r="AC516">
            <v>1030000</v>
          </cell>
          <cell r="AD516">
            <v>39328832</v>
          </cell>
          <cell r="AE516">
            <v>7778508</v>
          </cell>
          <cell r="AF516">
            <v>7533959</v>
          </cell>
          <cell r="AG516">
            <v>0</v>
          </cell>
          <cell r="AH516">
            <v>0</v>
          </cell>
          <cell r="AI516">
            <v>0</v>
          </cell>
          <cell r="AJ516">
            <v>0</v>
          </cell>
          <cell r="AK516">
            <v>186323</v>
          </cell>
          <cell r="AL516">
            <v>407583</v>
          </cell>
          <cell r="AM516">
            <v>34936</v>
          </cell>
          <cell r="AN516">
            <v>69871</v>
          </cell>
          <cell r="AO516">
            <v>23290</v>
          </cell>
          <cell r="AP516">
            <v>23290</v>
          </cell>
        </row>
        <row r="517">
          <cell r="D517" t="str">
            <v>Sản xuất 2000 hệ thống thông tin (bao gồm máy VRU812/S 50W và VIS) kèm vật tư dự phòng và Lắp đặt trên xe tăng thiết giáp, xe đặc chủng năm 2024 (Bộ thông thoại số VIS)</v>
          </cell>
          <cell r="G517" t="str">
            <v>SXKD</v>
          </cell>
          <cell r="I517" t="str">
            <v>TTQS</v>
          </cell>
          <cell r="AC517">
            <v>1030000</v>
          </cell>
          <cell r="AD517">
            <v>22880392</v>
          </cell>
          <cell r="AE517">
            <v>4326922</v>
          </cell>
          <cell r="AF517">
            <v>4137849</v>
          </cell>
          <cell r="AG517">
            <v>0</v>
          </cell>
          <cell r="AH517">
            <v>0</v>
          </cell>
          <cell r="AI517">
            <v>0</v>
          </cell>
          <cell r="AJ517">
            <v>0</v>
          </cell>
          <cell r="AK517">
            <v>144056</v>
          </cell>
          <cell r="AL517">
            <v>315122</v>
          </cell>
          <cell r="AM517">
            <v>27010</v>
          </cell>
          <cell r="AN517">
            <v>54021</v>
          </cell>
          <cell r="AO517">
            <v>18007</v>
          </cell>
          <cell r="AP517">
            <v>18007</v>
          </cell>
        </row>
        <row r="518">
          <cell r="D518" t="str">
            <v>Sản xuất 2000 hệ thống thông tin (bao gồm máy VRU812/S 50W và VIS) kèm vật tư dự phòng và Lắp đặt trên xe tăng thiết giáp, xe đặc chủng năm 2024 (Bộ thông thoại số VIS)</v>
          </cell>
          <cell r="G518" t="str">
            <v>SXKD</v>
          </cell>
          <cell r="I518" t="str">
            <v>TTQS</v>
          </cell>
          <cell r="AC518">
            <v>1230000</v>
          </cell>
          <cell r="AD518">
            <v>54245856</v>
          </cell>
          <cell r="AE518">
            <v>10919581</v>
          </cell>
          <cell r="AF518">
            <v>10648992</v>
          </cell>
          <cell r="AG518">
            <v>0</v>
          </cell>
          <cell r="AH518">
            <v>0</v>
          </cell>
          <cell r="AI518">
            <v>0</v>
          </cell>
          <cell r="AJ518">
            <v>0</v>
          </cell>
          <cell r="AK518">
            <v>206163</v>
          </cell>
          <cell r="AL518">
            <v>450983</v>
          </cell>
          <cell r="AM518">
            <v>38656</v>
          </cell>
          <cell r="AN518">
            <v>77311</v>
          </cell>
          <cell r="AO518">
            <v>25770</v>
          </cell>
          <cell r="AP518">
            <v>25770</v>
          </cell>
        </row>
        <row r="519">
          <cell r="D519" t="str">
            <v>Sản xuất 2000 hệ thống thông tin (bao gồm máy VRU812/S 50W và VIS) kèm vật tư dự phòng và Lắp đặt trên xe tăng thiết giáp, xe đặc chủng năm 2024 (Bộ thông thoại số VIS)</v>
          </cell>
          <cell r="G519" t="str">
            <v>SXKD</v>
          </cell>
          <cell r="I519" t="str">
            <v>TTQS</v>
          </cell>
          <cell r="AC519">
            <v>930000</v>
          </cell>
          <cell r="AD519">
            <v>21154084</v>
          </cell>
          <cell r="AE519">
            <v>3993648</v>
          </cell>
          <cell r="AF519">
            <v>3813632</v>
          </cell>
          <cell r="AG519">
            <v>0</v>
          </cell>
          <cell r="AH519">
            <v>0</v>
          </cell>
          <cell r="AI519">
            <v>0</v>
          </cell>
          <cell r="AJ519">
            <v>0</v>
          </cell>
          <cell r="AK519">
            <v>137155</v>
          </cell>
          <cell r="AL519">
            <v>300026</v>
          </cell>
          <cell r="AM519">
            <v>25717</v>
          </cell>
          <cell r="AN519">
            <v>51433</v>
          </cell>
          <cell r="AO519">
            <v>17144</v>
          </cell>
          <cell r="AP519">
            <v>17144</v>
          </cell>
        </row>
        <row r="520">
          <cell r="D520" t="str">
            <v>Sản xuất 2000 hệ thống thông tin (bao gồm máy VRU812/S 50W và VIS) kèm vật tư dự phòng và Lắp đặt trên xe tăng thiết giáp, xe đặc chủng năm 2024 (Bộ thông thoại số VIS)</v>
          </cell>
          <cell r="G520" t="str">
            <v>SXKD</v>
          </cell>
          <cell r="I520" t="str">
            <v>TTQS</v>
          </cell>
          <cell r="AC520">
            <v>1147000</v>
          </cell>
          <cell r="AD520">
            <v>53660092</v>
          </cell>
          <cell r="AE520">
            <v>10825122</v>
          </cell>
          <cell r="AF520">
            <v>10575686</v>
          </cell>
          <cell r="AG520">
            <v>0</v>
          </cell>
          <cell r="AH520">
            <v>0</v>
          </cell>
          <cell r="AI520">
            <v>0</v>
          </cell>
          <cell r="AJ520">
            <v>0</v>
          </cell>
          <cell r="AK520">
            <v>210051</v>
          </cell>
          <cell r="AL520">
            <v>459486</v>
          </cell>
          <cell r="AM520">
            <v>39385</v>
          </cell>
          <cell r="AN520">
            <v>78769</v>
          </cell>
          <cell r="AO520">
            <v>0</v>
          </cell>
          <cell r="AP520">
            <v>0</v>
          </cell>
        </row>
        <row r="521">
          <cell r="D521" t="str">
            <v>Sản xuất 2000 hệ thống thông tin (bao gồm máy VRU812/S 50W và VIS) kèm vật tư dự phòng và Lắp đặt trên xe tăng thiết giáp, xe đặc chủng năm 2024 (Bộ vật tư dự phòng Bộ thông thoại số VIS phiên bản 2024)</v>
          </cell>
          <cell r="G521" t="str">
            <v>SXKD</v>
          </cell>
          <cell r="I521" t="str">
            <v>TTQS</v>
          </cell>
          <cell r="AC521">
            <v>1730000</v>
          </cell>
          <cell r="AD521">
            <v>104128427</v>
          </cell>
          <cell r="AE521">
            <v>4298590</v>
          </cell>
          <cell r="AF521">
            <v>4235609</v>
          </cell>
          <cell r="AG521">
            <v>0</v>
          </cell>
          <cell r="AH521">
            <v>0</v>
          </cell>
          <cell r="AI521">
            <v>0</v>
          </cell>
          <cell r="AJ521">
            <v>0</v>
          </cell>
          <cell r="AK521">
            <v>62981</v>
          </cell>
          <cell r="AL521">
            <v>137770</v>
          </cell>
          <cell r="AM521">
            <v>0</v>
          </cell>
          <cell r="AN521">
            <v>0</v>
          </cell>
          <cell r="AO521">
            <v>0</v>
          </cell>
          <cell r="AP521">
            <v>0</v>
          </cell>
        </row>
        <row r="522">
          <cell r="D522" t="str">
            <v>Sản xuất 2000 hệ thống thông tin (bao gồm máy VRU812/S 50W và VIS) kèm vật tư dự phòng và Lắp đặt trên xe tăng thiết giáp, xe đặc chủng năm 2024 (Bộ vật tư dự phòng Bộ thông thoại số VIS phiên bản 2024)</v>
          </cell>
          <cell r="G522" t="str">
            <v>SXKD</v>
          </cell>
          <cell r="I522" t="str">
            <v>TTQS</v>
          </cell>
          <cell r="AC522">
            <v>1230000</v>
          </cell>
          <cell r="AD522">
            <v>90077759</v>
          </cell>
          <cell r="AE522">
            <v>14901843</v>
          </cell>
          <cell r="AF522">
            <v>14676226</v>
          </cell>
          <cell r="AG522">
            <v>0</v>
          </cell>
          <cell r="AH522">
            <v>0</v>
          </cell>
          <cell r="AI522">
            <v>0</v>
          </cell>
          <cell r="AJ522">
            <v>0</v>
          </cell>
          <cell r="AK522">
            <v>225617</v>
          </cell>
          <cell r="AL522">
            <v>493537</v>
          </cell>
          <cell r="AM522">
            <v>0</v>
          </cell>
          <cell r="AN522">
            <v>0</v>
          </cell>
          <cell r="AO522">
            <v>0</v>
          </cell>
          <cell r="AP522">
            <v>0</v>
          </cell>
        </row>
        <row r="523">
          <cell r="D523" t="str">
            <v>Sản xuất 2000 hệ thống thông tin (bao gồm máy VRU812/S 50W và VIS) kèm vật tư dự phòng và Lắp đặt trên xe tăng thiết giáp, xe đặc chủng năm 2024 (Bộ vật tư dự phòng Bộ thông thoại số VIS phiên bản 2024)</v>
          </cell>
          <cell r="G523" t="str">
            <v>SXKD</v>
          </cell>
          <cell r="I523" t="str">
            <v>TTQS</v>
          </cell>
          <cell r="AC523">
            <v>1230000</v>
          </cell>
          <cell r="AD523">
            <v>57181082</v>
          </cell>
          <cell r="AE523">
            <v>9246139</v>
          </cell>
          <cell r="AF523">
            <v>9029667</v>
          </cell>
          <cell r="AG523">
            <v>0</v>
          </cell>
          <cell r="AH523">
            <v>0</v>
          </cell>
          <cell r="AI523">
            <v>0</v>
          </cell>
          <cell r="AJ523">
            <v>0</v>
          </cell>
          <cell r="AK523">
            <v>164931</v>
          </cell>
          <cell r="AL523">
            <v>360786</v>
          </cell>
          <cell r="AM523">
            <v>30925</v>
          </cell>
          <cell r="AN523">
            <v>61849</v>
          </cell>
          <cell r="AO523">
            <v>20616</v>
          </cell>
          <cell r="AP523">
            <v>20616</v>
          </cell>
        </row>
        <row r="524">
          <cell r="D524" t="str">
            <v>Sản xuất 2000 hệ thống thông tin (bao gồm máy VRU812/S 50W và VIS) kèm vật tư dự phòng và Lắp đặt trên xe tăng thiết giáp, xe đặc chủng năm 2024 (Bộ vật tư dự phòng Bộ thông thoại số VIS phiên bản 2024)</v>
          </cell>
          <cell r="G524" t="str">
            <v>SXKD</v>
          </cell>
          <cell r="I524" t="str">
            <v>TTQS</v>
          </cell>
          <cell r="AC524">
            <v>930000</v>
          </cell>
          <cell r="AD524">
            <v>20275656</v>
          </cell>
          <cell r="AE524">
            <v>3058364</v>
          </cell>
          <cell r="AF524">
            <v>2921599</v>
          </cell>
          <cell r="AG524">
            <v>0</v>
          </cell>
          <cell r="AH524">
            <v>0</v>
          </cell>
          <cell r="AI524">
            <v>0</v>
          </cell>
          <cell r="AJ524">
            <v>0</v>
          </cell>
          <cell r="AK524">
            <v>104203</v>
          </cell>
          <cell r="AL524">
            <v>227945</v>
          </cell>
          <cell r="AM524">
            <v>19537</v>
          </cell>
          <cell r="AN524">
            <v>39077</v>
          </cell>
          <cell r="AO524">
            <v>13025</v>
          </cell>
          <cell r="AP524">
            <v>13025</v>
          </cell>
        </row>
        <row r="525">
          <cell r="D525" t="str">
            <v>Sản xuất 2000 hệ thống thông tin (bao gồm máy VRU812/S 50W và VIS) kèm vật tư dự phòng và Lắp đặt trên xe tăng thiết giáp, xe đặc chủng năm 2024 (Bộ vật tư dự phòng Bộ thông thoại số VIS phiên bản 2024)</v>
          </cell>
          <cell r="G525" t="str">
            <v>SXKD</v>
          </cell>
          <cell r="I525" t="str">
            <v>TTQS</v>
          </cell>
          <cell r="AC525">
            <v>1030000</v>
          </cell>
          <cell r="AD525">
            <v>38519651</v>
          </cell>
          <cell r="AE525">
            <v>6104377</v>
          </cell>
          <cell r="AF525">
            <v>5918702</v>
          </cell>
          <cell r="AG525">
            <v>0</v>
          </cell>
          <cell r="AH525">
            <v>0</v>
          </cell>
          <cell r="AI525">
            <v>0</v>
          </cell>
          <cell r="AJ525">
            <v>0</v>
          </cell>
          <cell r="AK525">
            <v>141467</v>
          </cell>
          <cell r="AL525">
            <v>309461</v>
          </cell>
          <cell r="AM525">
            <v>26524</v>
          </cell>
          <cell r="AN525">
            <v>53051</v>
          </cell>
          <cell r="AO525">
            <v>17684</v>
          </cell>
          <cell r="AP525">
            <v>17684</v>
          </cell>
        </row>
        <row r="526">
          <cell r="D526" t="str">
            <v>Sản xuất 2000 hệ thống thông tin (bao gồm máy VRU812/S 50W và VIS) kèm vật tư dự phòng và Lắp đặt trên xe tăng thiết giáp, xe đặc chủng năm 2024 (Bộ vật tư dự phòng Bộ thông thoại số VIS phiên bản 2024)</v>
          </cell>
          <cell r="G526" t="str">
            <v>SXKD</v>
          </cell>
          <cell r="I526" t="str">
            <v>TTQS</v>
          </cell>
          <cell r="AC526">
            <v>930000</v>
          </cell>
          <cell r="AD526">
            <v>20085068</v>
          </cell>
          <cell r="AE526">
            <v>3009003</v>
          </cell>
          <cell r="AF526">
            <v>2864992</v>
          </cell>
          <cell r="AG526">
            <v>0</v>
          </cell>
          <cell r="AH526">
            <v>0</v>
          </cell>
          <cell r="AI526">
            <v>0</v>
          </cell>
          <cell r="AJ526">
            <v>0</v>
          </cell>
          <cell r="AK526">
            <v>109723</v>
          </cell>
          <cell r="AL526">
            <v>240021</v>
          </cell>
          <cell r="AM526">
            <v>20572</v>
          </cell>
          <cell r="AN526">
            <v>41147</v>
          </cell>
          <cell r="AO526">
            <v>13716</v>
          </cell>
          <cell r="AP526">
            <v>13716</v>
          </cell>
        </row>
        <row r="527">
          <cell r="D527" t="str">
            <v>Sản xuất 2000 hệ thống thông tin (bao gồm máy VRU812/S 50W và VIS) kèm vật tư dự phòng và Lắp đặt trên xe tăng thiết giáp, xe đặc chủng năm 2024 (Bộ vật tư dự phòng Bộ thông thoại số VIS phiên bản 2024)</v>
          </cell>
          <cell r="G527" t="str">
            <v>SXKD</v>
          </cell>
          <cell r="I527" t="str">
            <v>TTQS</v>
          </cell>
          <cell r="AC527">
            <v>1030000</v>
          </cell>
          <cell r="AD527">
            <v>41101970</v>
          </cell>
          <cell r="AE527">
            <v>6531177</v>
          </cell>
          <cell r="AF527">
            <v>6335536</v>
          </cell>
          <cell r="AG527">
            <v>0</v>
          </cell>
          <cell r="AH527">
            <v>0</v>
          </cell>
          <cell r="AI527">
            <v>0</v>
          </cell>
          <cell r="AJ527">
            <v>0</v>
          </cell>
          <cell r="AK527">
            <v>149060</v>
          </cell>
          <cell r="AL527">
            <v>326065</v>
          </cell>
          <cell r="AM527">
            <v>27948</v>
          </cell>
          <cell r="AN527">
            <v>55898</v>
          </cell>
          <cell r="AO527">
            <v>18633</v>
          </cell>
          <cell r="AP527">
            <v>18633</v>
          </cell>
        </row>
        <row r="528">
          <cell r="D528" t="str">
            <v>Sản xuất 2000 hệ thống thông tin (bao gồm máy VRU812/S 50W và VIS) kèm vật tư dự phòng và Lắp đặt trên xe tăng thiết giáp, xe đặc chủng năm 2024 (Bộ vật tư dự phòng Bộ thông thoại số VIS phiên bản 2024)</v>
          </cell>
          <cell r="G528" t="str">
            <v>SXKD</v>
          </cell>
          <cell r="I528" t="str">
            <v>TTQS</v>
          </cell>
          <cell r="AC528">
            <v>930000</v>
          </cell>
          <cell r="AD528">
            <v>30785151</v>
          </cell>
          <cell r="AE528">
            <v>4796910</v>
          </cell>
          <cell r="AF528">
            <v>4620291</v>
          </cell>
          <cell r="AG528">
            <v>0</v>
          </cell>
          <cell r="AH528">
            <v>0</v>
          </cell>
          <cell r="AI528">
            <v>0</v>
          </cell>
          <cell r="AJ528">
            <v>0</v>
          </cell>
          <cell r="AK528">
            <v>134566</v>
          </cell>
          <cell r="AL528">
            <v>294364</v>
          </cell>
          <cell r="AM528">
            <v>25232</v>
          </cell>
          <cell r="AN528">
            <v>50463</v>
          </cell>
          <cell r="AO528">
            <v>16821</v>
          </cell>
          <cell r="AP528">
            <v>16821</v>
          </cell>
        </row>
        <row r="529">
          <cell r="D529" t="str">
            <v>Sản xuất 2000 hệ thống thông tin (bao gồm máy VRU812/S 50W và VIS) kèm vật tư dự phòng và Lắp đặt trên xe tăng thiết giáp, xe đặc chủng năm 2024 (Bộ vật tư dự phòng Bộ thông thoại số VIS phiên bản 2024)</v>
          </cell>
          <cell r="G529" t="str">
            <v>SXKD</v>
          </cell>
          <cell r="I529" t="str">
            <v>TTQS</v>
          </cell>
          <cell r="AC529">
            <v>1030000</v>
          </cell>
          <cell r="AD529">
            <v>34605365</v>
          </cell>
          <cell r="AE529">
            <v>5443904</v>
          </cell>
          <cell r="AF529">
            <v>5267285</v>
          </cell>
          <cell r="AG529">
            <v>0</v>
          </cell>
          <cell r="AH529">
            <v>0</v>
          </cell>
          <cell r="AI529">
            <v>0</v>
          </cell>
          <cell r="AJ529">
            <v>0</v>
          </cell>
          <cell r="AK529">
            <v>134566</v>
          </cell>
          <cell r="AL529">
            <v>294364</v>
          </cell>
          <cell r="AM529">
            <v>25232</v>
          </cell>
          <cell r="AN529">
            <v>50463</v>
          </cell>
          <cell r="AO529">
            <v>16821</v>
          </cell>
          <cell r="AP529">
            <v>16821</v>
          </cell>
        </row>
        <row r="530">
          <cell r="D530" t="str">
            <v>Sản xuất 2000 hệ thống thông tin (bao gồm máy VRU812/S 50W và VIS) kèm vật tư dự phòng và Lắp đặt trên xe tăng thiết giáp, xe đặc chủng năm 2024 (Bộ vật tư dự phòng Bộ thông thoại số VIS phiên bản 2024)</v>
          </cell>
          <cell r="G530" t="str">
            <v>SXKD</v>
          </cell>
          <cell r="I530" t="str">
            <v>TTQS</v>
          </cell>
          <cell r="AC530">
            <v>1030000</v>
          </cell>
          <cell r="AD530">
            <v>42232547</v>
          </cell>
          <cell r="AE530">
            <v>6750099</v>
          </cell>
          <cell r="AF530">
            <v>6564424</v>
          </cell>
          <cell r="AG530">
            <v>0</v>
          </cell>
          <cell r="AH530">
            <v>0</v>
          </cell>
          <cell r="AI530">
            <v>0</v>
          </cell>
          <cell r="AJ530">
            <v>0</v>
          </cell>
          <cell r="AK530">
            <v>141467</v>
          </cell>
          <cell r="AL530">
            <v>309461</v>
          </cell>
          <cell r="AM530">
            <v>26524</v>
          </cell>
          <cell r="AN530">
            <v>53051</v>
          </cell>
          <cell r="AO530">
            <v>17684</v>
          </cell>
          <cell r="AP530">
            <v>17684</v>
          </cell>
        </row>
        <row r="531">
          <cell r="D531" t="str">
            <v>Sản xuất 2000 hệ thống thông tin (bao gồm máy VRU812/S 50W và VIS) kèm vật tư dự phòng và Lắp đặt trên xe tăng thiết giáp, xe đặc chủng năm 2024 (Bộ vật tư dự phòng Bộ thông thoại số VIS phiên bản 2024)</v>
          </cell>
          <cell r="G531" t="str">
            <v>SXKD</v>
          </cell>
          <cell r="I531" t="str">
            <v>TTQS</v>
          </cell>
          <cell r="AC531">
            <v>1030000</v>
          </cell>
          <cell r="AD531">
            <v>39328832</v>
          </cell>
          <cell r="AE531">
            <v>6222806</v>
          </cell>
          <cell r="AF531">
            <v>6027165</v>
          </cell>
          <cell r="AG531">
            <v>0</v>
          </cell>
          <cell r="AH531">
            <v>0</v>
          </cell>
          <cell r="AI531">
            <v>0</v>
          </cell>
          <cell r="AJ531">
            <v>0</v>
          </cell>
          <cell r="AK531">
            <v>149060</v>
          </cell>
          <cell r="AL531">
            <v>326065</v>
          </cell>
          <cell r="AM531">
            <v>27948</v>
          </cell>
          <cell r="AN531">
            <v>55898</v>
          </cell>
          <cell r="AO531">
            <v>18633</v>
          </cell>
          <cell r="AP531">
            <v>18633</v>
          </cell>
        </row>
        <row r="532">
          <cell r="D532" t="str">
            <v>Sản xuất 2000 hệ thống thông tin (bao gồm máy VRU812/S 50W và VIS) kèm vật tư dự phòng và Lắp đặt trên xe tăng thiết giáp, xe đặc chủng năm 2024 (Bộ vật tư dự phòng Bộ thông thoại số VIS phiên bản 2024)</v>
          </cell>
          <cell r="G532" t="str">
            <v>SXKD</v>
          </cell>
          <cell r="I532" t="str">
            <v>TTQS</v>
          </cell>
          <cell r="AC532">
            <v>1030000</v>
          </cell>
          <cell r="AD532">
            <v>22880392</v>
          </cell>
          <cell r="AE532">
            <v>3461537</v>
          </cell>
          <cell r="AF532">
            <v>3310279</v>
          </cell>
          <cell r="AG532">
            <v>0</v>
          </cell>
          <cell r="AH532">
            <v>0</v>
          </cell>
          <cell r="AI532">
            <v>0</v>
          </cell>
          <cell r="AJ532">
            <v>0</v>
          </cell>
          <cell r="AK532">
            <v>115244</v>
          </cell>
          <cell r="AL532">
            <v>252097</v>
          </cell>
          <cell r="AM532">
            <v>21609</v>
          </cell>
          <cell r="AN532">
            <v>43216</v>
          </cell>
          <cell r="AO532">
            <v>14405</v>
          </cell>
          <cell r="AP532">
            <v>14405</v>
          </cell>
        </row>
        <row r="533">
          <cell r="D533" t="str">
            <v>Sản xuất 2000 hệ thống thông tin (bao gồm máy VRU812/S 50W và VIS) kèm vật tư dự phòng và Lắp đặt trên xe tăng thiết giáp, xe đặc chủng năm 2024 (Bộ vật tư dự phòng Bộ thông thoại số VIS phiên bản 2024)</v>
          </cell>
          <cell r="G533" t="str">
            <v>SXKD</v>
          </cell>
          <cell r="I533" t="str">
            <v>TTQS</v>
          </cell>
          <cell r="AC533">
            <v>1230000</v>
          </cell>
          <cell r="AD533">
            <v>54245856</v>
          </cell>
          <cell r="AE533">
            <v>8735664</v>
          </cell>
          <cell r="AF533">
            <v>8519191</v>
          </cell>
          <cell r="AG533">
            <v>0</v>
          </cell>
          <cell r="AH533">
            <v>0</v>
          </cell>
          <cell r="AI533">
            <v>0</v>
          </cell>
          <cell r="AJ533">
            <v>0</v>
          </cell>
          <cell r="AK533">
            <v>164932</v>
          </cell>
          <cell r="AL533">
            <v>360785</v>
          </cell>
          <cell r="AM533">
            <v>30924</v>
          </cell>
          <cell r="AN533">
            <v>61850</v>
          </cell>
          <cell r="AO533">
            <v>20617</v>
          </cell>
          <cell r="AP533">
            <v>20617</v>
          </cell>
        </row>
        <row r="534">
          <cell r="D534" t="str">
            <v>Sản xuất 2000 hệ thống thông tin (bao gồm máy VRU812/S 50W và VIS) kèm vật tư dự phòng và Lắp đặt trên xe tăng thiết giáp, xe đặc chủng năm 2024 (Bộ vật tư dự phòng Bộ thông thoại số VIS phiên bản 2024)</v>
          </cell>
          <cell r="G534" t="str">
            <v>SXKD</v>
          </cell>
          <cell r="I534" t="str">
            <v>TTQS</v>
          </cell>
          <cell r="AC534">
            <v>930000</v>
          </cell>
          <cell r="AD534">
            <v>21154084</v>
          </cell>
          <cell r="AE534">
            <v>3194918</v>
          </cell>
          <cell r="AF534">
            <v>3050907</v>
          </cell>
          <cell r="AG534">
            <v>0</v>
          </cell>
          <cell r="AH534">
            <v>0</v>
          </cell>
          <cell r="AI534">
            <v>0</v>
          </cell>
          <cell r="AJ534">
            <v>0</v>
          </cell>
          <cell r="AK534">
            <v>109723</v>
          </cell>
          <cell r="AL534">
            <v>240021</v>
          </cell>
          <cell r="AM534">
            <v>20572</v>
          </cell>
          <cell r="AN534">
            <v>41147</v>
          </cell>
          <cell r="AO534">
            <v>13716</v>
          </cell>
          <cell r="AP534">
            <v>13716</v>
          </cell>
        </row>
        <row r="535">
          <cell r="D535" t="str">
            <v>Sản xuất 2000 hệ thống thông tin (bao gồm máy VRU812/S 50W và VIS) kèm vật tư dự phòng và Lắp đặt trên xe tăng thiết giáp, xe đặc chủng năm 2024 (Bộ vật tư dự phòng Bộ thông thoại số VIS phiên bản 2024)</v>
          </cell>
          <cell r="G535" t="str">
            <v>SXKD</v>
          </cell>
          <cell r="I535" t="str">
            <v>TTQS</v>
          </cell>
          <cell r="AC535">
            <v>1147000</v>
          </cell>
          <cell r="AD535">
            <v>53660092</v>
          </cell>
          <cell r="AE535">
            <v>8660099</v>
          </cell>
          <cell r="AF535">
            <v>8460552</v>
          </cell>
          <cell r="AG535">
            <v>0</v>
          </cell>
          <cell r="AH535">
            <v>0</v>
          </cell>
          <cell r="AI535">
            <v>0</v>
          </cell>
          <cell r="AJ535">
            <v>0</v>
          </cell>
          <cell r="AK535">
            <v>168040</v>
          </cell>
          <cell r="AL535">
            <v>367588</v>
          </cell>
          <cell r="AM535">
            <v>31507</v>
          </cell>
          <cell r="AN535">
            <v>63015</v>
          </cell>
          <cell r="AO535">
            <v>0</v>
          </cell>
          <cell r="AP535">
            <v>0</v>
          </cell>
        </row>
        <row r="536">
          <cell r="D536" t="str">
            <v>Sản xuất và cung cấp 3050 máy thu phát vô tuyến điện VRH911/S1, đồng bộ phụ kiện và vật tư dự phòng năm 2024 (Máy thu phát vô tuyến điện VRH911/S1)</v>
          </cell>
          <cell r="G536" t="str">
            <v>SXKD</v>
          </cell>
          <cell r="I536" t="str">
            <v>TTQS</v>
          </cell>
          <cell r="AC536">
            <v>2730000</v>
          </cell>
          <cell r="AD536">
            <v>154884122</v>
          </cell>
          <cell r="AE536">
            <v>38745220</v>
          </cell>
          <cell r="AF536">
            <v>38356642</v>
          </cell>
          <cell r="AG536">
            <v>0</v>
          </cell>
          <cell r="AH536">
            <v>0</v>
          </cell>
          <cell r="AI536">
            <v>0</v>
          </cell>
          <cell r="AJ536">
            <v>0</v>
          </cell>
          <cell r="AK536">
            <v>388578</v>
          </cell>
          <cell r="AL536">
            <v>850015</v>
          </cell>
          <cell r="AM536">
            <v>0</v>
          </cell>
          <cell r="AN536">
            <v>0</v>
          </cell>
          <cell r="AO536">
            <v>0</v>
          </cell>
          <cell r="AP536">
            <v>0</v>
          </cell>
        </row>
        <row r="537">
          <cell r="D537" t="str">
            <v>Sản xuất và cung cấp 3050 máy thu phát vô tuyến điện VRH911/S1, đồng bộ phụ kiện và vật tư dự phòng năm 2024 (Máy thu phát vô tuyến điện VRH911/S1)</v>
          </cell>
          <cell r="G537" t="str">
            <v>SXKD</v>
          </cell>
          <cell r="I537" t="str">
            <v>TTQS</v>
          </cell>
          <cell r="AC537">
            <v>1730000</v>
          </cell>
          <cell r="AD537">
            <v>104128427</v>
          </cell>
          <cell r="AE537">
            <v>17194361</v>
          </cell>
          <cell r="AF537">
            <v>16942439</v>
          </cell>
          <cell r="AG537">
            <v>0</v>
          </cell>
          <cell r="AH537">
            <v>0</v>
          </cell>
          <cell r="AI537">
            <v>0</v>
          </cell>
          <cell r="AJ537">
            <v>0</v>
          </cell>
          <cell r="AK537">
            <v>251922</v>
          </cell>
          <cell r="AL537">
            <v>551080</v>
          </cell>
          <cell r="AM537">
            <v>0</v>
          </cell>
          <cell r="AN537">
            <v>0</v>
          </cell>
          <cell r="AO537">
            <v>0</v>
          </cell>
          <cell r="AP537">
            <v>0</v>
          </cell>
        </row>
        <row r="538">
          <cell r="D538" t="str">
            <v>Sản xuất và cung cấp 3050 máy thu phát vô tuyến điện VRH911/S1, đồng bộ phụ kiện và vật tư dự phòng năm 2024 (Máy thu phát vô tuyến điện VRH911/S1)</v>
          </cell>
          <cell r="G538" t="str">
            <v>SXKD</v>
          </cell>
          <cell r="I538" t="str">
            <v>TTQS</v>
          </cell>
          <cell r="AC538">
            <v>1230000</v>
          </cell>
          <cell r="AD538">
            <v>90077759</v>
          </cell>
          <cell r="AE538">
            <v>7450922</v>
          </cell>
          <cell r="AF538">
            <v>7338114</v>
          </cell>
          <cell r="AG538">
            <v>0</v>
          </cell>
          <cell r="AH538">
            <v>0</v>
          </cell>
          <cell r="AI538">
            <v>0</v>
          </cell>
          <cell r="AJ538">
            <v>0</v>
          </cell>
          <cell r="AK538">
            <v>112808</v>
          </cell>
          <cell r="AL538">
            <v>246768</v>
          </cell>
          <cell r="AM538">
            <v>0</v>
          </cell>
          <cell r="AN538">
            <v>0</v>
          </cell>
          <cell r="AO538">
            <v>0</v>
          </cell>
          <cell r="AP538">
            <v>0</v>
          </cell>
        </row>
        <row r="539">
          <cell r="D539" t="str">
            <v>Sản xuất và cung cấp 3050 máy thu phát vô tuyến điện VRH911/S1, đồng bộ phụ kiện và vật tư dự phòng năm 2024 (Máy thu phát vô tuyến điện VRH911/S1)</v>
          </cell>
          <cell r="G539" t="str">
            <v>SXKD</v>
          </cell>
          <cell r="I539" t="str">
            <v>TTQS</v>
          </cell>
          <cell r="AC539">
            <v>1230000</v>
          </cell>
          <cell r="AD539">
            <v>71046643</v>
          </cell>
          <cell r="AE539">
            <v>23443481</v>
          </cell>
          <cell r="AF539">
            <v>23088574</v>
          </cell>
          <cell r="AG539">
            <v>0</v>
          </cell>
          <cell r="AH539">
            <v>0</v>
          </cell>
          <cell r="AI539">
            <v>0</v>
          </cell>
          <cell r="AJ539">
            <v>0</v>
          </cell>
          <cell r="AK539">
            <v>298869</v>
          </cell>
          <cell r="AL539">
            <v>653776</v>
          </cell>
          <cell r="AM539">
            <v>56038</v>
          </cell>
          <cell r="AN539">
            <v>112076</v>
          </cell>
          <cell r="AO539">
            <v>0</v>
          </cell>
          <cell r="AP539">
            <v>0</v>
          </cell>
        </row>
        <row r="540">
          <cell r="D540" t="str">
            <v>Sản xuất và cung cấp 3050 máy thu phát vô tuyến điện VRH911/S1, đồng bộ phụ kiện và vật tư dự phòng năm 2024 (Máy thu phát vô tuyến điện VRH911/S1)</v>
          </cell>
          <cell r="G540" t="str">
            <v>SXKD</v>
          </cell>
          <cell r="I540" t="str">
            <v>TTQS</v>
          </cell>
          <cell r="AC540">
            <v>1030000</v>
          </cell>
          <cell r="AD540">
            <v>33728406</v>
          </cell>
          <cell r="AE540">
            <v>7937083</v>
          </cell>
          <cell r="AF540">
            <v>7672155</v>
          </cell>
          <cell r="AG540">
            <v>0</v>
          </cell>
          <cell r="AH540">
            <v>0</v>
          </cell>
          <cell r="AI540">
            <v>0</v>
          </cell>
          <cell r="AJ540">
            <v>0</v>
          </cell>
          <cell r="AK540">
            <v>201850</v>
          </cell>
          <cell r="AL540">
            <v>441548</v>
          </cell>
          <cell r="AM540">
            <v>37847</v>
          </cell>
          <cell r="AN540">
            <v>75694</v>
          </cell>
          <cell r="AO540">
            <v>25231</v>
          </cell>
          <cell r="AP540">
            <v>25231</v>
          </cell>
        </row>
        <row r="541">
          <cell r="D541" t="str">
            <v>Sản xuất và cung cấp 3050 máy thu phát vô tuyến điện VRH911/S1, đồng bộ phụ kiện và vật tư dự phòng năm 2024 (Máy thu phát vô tuyến điện VRH911/S1)</v>
          </cell>
          <cell r="G541" t="str">
            <v>SXKD</v>
          </cell>
          <cell r="I541" t="str">
            <v>TTQS</v>
          </cell>
          <cell r="AC541">
            <v>1030000</v>
          </cell>
          <cell r="AD541">
            <v>49853291</v>
          </cell>
          <cell r="AE541">
            <v>11893744</v>
          </cell>
          <cell r="AF541">
            <v>11547994</v>
          </cell>
          <cell r="AG541">
            <v>0</v>
          </cell>
          <cell r="AH541">
            <v>0</v>
          </cell>
          <cell r="AI541">
            <v>0</v>
          </cell>
          <cell r="AJ541">
            <v>0</v>
          </cell>
          <cell r="AK541">
            <v>345750</v>
          </cell>
          <cell r="AL541">
            <v>756329</v>
          </cell>
          <cell r="AM541">
            <v>0</v>
          </cell>
          <cell r="AN541">
            <v>0</v>
          </cell>
          <cell r="AO541">
            <v>0</v>
          </cell>
          <cell r="AP541">
            <v>0</v>
          </cell>
        </row>
        <row r="542">
          <cell r="D542" t="str">
            <v>Sản xuất và cung cấp 3050 máy thu phát vô tuyến điện VRH911/S1, đồng bộ phụ kiện và vật tư dự phòng năm 2024 (Máy thu phát vô tuyến điện VRH911/S1)</v>
          </cell>
          <cell r="G542" t="str">
            <v>SXKD</v>
          </cell>
          <cell r="I542" t="str">
            <v>TTQS</v>
          </cell>
          <cell r="AC542">
            <v>930000</v>
          </cell>
          <cell r="AD542">
            <v>29364066</v>
          </cell>
          <cell r="AE542">
            <v>17137634</v>
          </cell>
          <cell r="AF542">
            <v>16509278</v>
          </cell>
          <cell r="AG542">
            <v>0</v>
          </cell>
          <cell r="AH542">
            <v>0</v>
          </cell>
          <cell r="AI542">
            <v>0</v>
          </cell>
          <cell r="AJ542">
            <v>0</v>
          </cell>
          <cell r="AK542">
            <v>478748</v>
          </cell>
          <cell r="AL542">
            <v>1047261</v>
          </cell>
          <cell r="AM542">
            <v>89765</v>
          </cell>
          <cell r="AN542">
            <v>179530</v>
          </cell>
          <cell r="AO542">
            <v>59843</v>
          </cell>
          <cell r="AP542">
            <v>59843</v>
          </cell>
        </row>
        <row r="543">
          <cell r="D543" t="str">
            <v>Sản xuất và cung cấp 3050 máy thu phát vô tuyến điện VRH911/S1, đồng bộ phụ kiện và vật tư dự phòng năm 2024 (Máy thu phát vô tuyến điện VRH911/S1)</v>
          </cell>
          <cell r="G543" t="str">
            <v>SXKD</v>
          </cell>
          <cell r="I543" t="str">
            <v>TTQS</v>
          </cell>
          <cell r="AC543">
            <v>930000</v>
          </cell>
          <cell r="AD543">
            <v>25399878</v>
          </cell>
          <cell r="AE543">
            <v>14620710</v>
          </cell>
          <cell r="AF543">
            <v>14022923</v>
          </cell>
          <cell r="AG543">
            <v>0</v>
          </cell>
          <cell r="AH543">
            <v>0</v>
          </cell>
          <cell r="AI543">
            <v>0</v>
          </cell>
          <cell r="AJ543">
            <v>0</v>
          </cell>
          <cell r="AK543">
            <v>455457</v>
          </cell>
          <cell r="AL543">
            <v>996313</v>
          </cell>
          <cell r="AM543">
            <v>85398</v>
          </cell>
          <cell r="AN543">
            <v>170797</v>
          </cell>
          <cell r="AO543">
            <v>56932</v>
          </cell>
          <cell r="AP543">
            <v>56932</v>
          </cell>
        </row>
        <row r="544">
          <cell r="D544" t="str">
            <v>Sản xuất và cung cấp 3050 máy thu phát vô tuyến điện VRH911/S1, đồng bộ phụ kiện và vật tư dự phòng năm 2024 (ZIP Máy thu phát vô tuyến điện VRH911/S1)</v>
          </cell>
          <cell r="G544" t="str">
            <v>SXKD</v>
          </cell>
          <cell r="I544" t="str">
            <v>TTQS</v>
          </cell>
          <cell r="AC544">
            <v>1030000</v>
          </cell>
          <cell r="AD544">
            <v>33728406</v>
          </cell>
          <cell r="AE544">
            <v>10582778</v>
          </cell>
          <cell r="AF544">
            <v>10229539</v>
          </cell>
          <cell r="AG544">
            <v>0</v>
          </cell>
          <cell r="AH544">
            <v>0</v>
          </cell>
          <cell r="AI544">
            <v>0</v>
          </cell>
          <cell r="AJ544">
            <v>0</v>
          </cell>
          <cell r="AK544">
            <v>269134</v>
          </cell>
          <cell r="AL544">
            <v>588730</v>
          </cell>
          <cell r="AM544">
            <v>50463</v>
          </cell>
          <cell r="AN544">
            <v>100925</v>
          </cell>
          <cell r="AO544">
            <v>33642</v>
          </cell>
          <cell r="AP544">
            <v>33642</v>
          </cell>
        </row>
        <row r="545">
          <cell r="D545" t="str">
            <v>Sản xuất và cung cấp 3050 máy thu phát vô tuyến điện VRH911/S1, đồng bộ phụ kiện và vật tư dự phòng năm 2024 (ZIP Máy thu phát vô tuyến điện VRH911/S1)</v>
          </cell>
          <cell r="G545" t="str">
            <v>SXKD</v>
          </cell>
          <cell r="I545" t="str">
            <v>TTQS</v>
          </cell>
          <cell r="AC545">
            <v>1030000</v>
          </cell>
          <cell r="AD545">
            <v>49853291</v>
          </cell>
          <cell r="AE545">
            <v>15858326</v>
          </cell>
          <cell r="AF545">
            <v>15397326</v>
          </cell>
          <cell r="AG545">
            <v>0</v>
          </cell>
          <cell r="AH545">
            <v>0</v>
          </cell>
          <cell r="AI545">
            <v>0</v>
          </cell>
          <cell r="AJ545">
            <v>0</v>
          </cell>
          <cell r="AK545">
            <v>461000</v>
          </cell>
          <cell r="AL545">
            <v>1008438</v>
          </cell>
          <cell r="AM545">
            <v>0</v>
          </cell>
          <cell r="AN545">
            <v>0</v>
          </cell>
          <cell r="AO545">
            <v>0</v>
          </cell>
          <cell r="AP545">
            <v>0</v>
          </cell>
        </row>
        <row r="546">
          <cell r="D546" t="str">
            <v>Sản xuất và cung cấp 3050 máy thu phát vô tuyến điện VRH911/S1, đồng bộ phụ kiện và vật tư dự phòng năm 2024 (ZIP Máy thu phát vô tuyến điện VRH911/S1)</v>
          </cell>
          <cell r="G546" t="str">
            <v>SXKD</v>
          </cell>
          <cell r="I546" t="str">
            <v>TTQS</v>
          </cell>
          <cell r="AC546">
            <v>930000</v>
          </cell>
          <cell r="AD546">
            <v>29364066</v>
          </cell>
          <cell r="AE546">
            <v>9140072</v>
          </cell>
          <cell r="AF546">
            <v>8804948</v>
          </cell>
          <cell r="AG546">
            <v>0</v>
          </cell>
          <cell r="AH546">
            <v>0</v>
          </cell>
          <cell r="AI546">
            <v>0</v>
          </cell>
          <cell r="AJ546">
            <v>0</v>
          </cell>
          <cell r="AK546">
            <v>255332</v>
          </cell>
          <cell r="AL546">
            <v>558539</v>
          </cell>
          <cell r="AM546">
            <v>47875</v>
          </cell>
          <cell r="AN546">
            <v>95750</v>
          </cell>
          <cell r="AO546">
            <v>31917</v>
          </cell>
          <cell r="AP546">
            <v>31917</v>
          </cell>
        </row>
        <row r="547">
          <cell r="D547" t="str">
            <v>Sản xuất và cung cấp 3050 máy thu phát vô tuyến điện VRH911/S1, đồng bộ phụ kiện và vật tư dự phòng năm 2024 (ZIP Máy thu phát vô tuyến điện VRH911/S1)</v>
          </cell>
          <cell r="G547" t="str">
            <v>SXKD</v>
          </cell>
          <cell r="I547" t="str">
            <v>TTQS</v>
          </cell>
          <cell r="AC547">
            <v>930000</v>
          </cell>
          <cell r="AD547">
            <v>25399878</v>
          </cell>
          <cell r="AE547">
            <v>7797712</v>
          </cell>
          <cell r="AF547">
            <v>7478891</v>
          </cell>
          <cell r="AG547">
            <v>0</v>
          </cell>
          <cell r="AH547">
            <v>0</v>
          </cell>
          <cell r="AI547">
            <v>0</v>
          </cell>
          <cell r="AJ547">
            <v>0</v>
          </cell>
          <cell r="AK547">
            <v>242911</v>
          </cell>
          <cell r="AL547">
            <v>531367</v>
          </cell>
          <cell r="AM547">
            <v>45546</v>
          </cell>
          <cell r="AN547">
            <v>91091</v>
          </cell>
          <cell r="AO547">
            <v>30364</v>
          </cell>
          <cell r="AP547">
            <v>30364</v>
          </cell>
        </row>
        <row r="548">
          <cell r="D548" t="str">
            <v>Sản xuất và cung cấp 160 máy thông tin đa băng cấp chiến dịch VRP712/S, đồng bộ phụ kiện và zip năm 2024 (Máy thông tin đa băng cấp chiến dịch VRP712/S)</v>
          </cell>
          <cell r="G548" t="str">
            <v>SXKD</v>
          </cell>
          <cell r="I548" t="str">
            <v>TTQS</v>
          </cell>
          <cell r="AC548">
            <v>1130000</v>
          </cell>
          <cell r="AD548">
            <v>61113536</v>
          </cell>
          <cell r="AE548">
            <v>34730883</v>
          </cell>
          <cell r="AF548">
            <v>33935192</v>
          </cell>
          <cell r="AG548">
            <v>0</v>
          </cell>
          <cell r="AH548">
            <v>0</v>
          </cell>
          <cell r="AI548">
            <v>0</v>
          </cell>
          <cell r="AJ548">
            <v>0</v>
          </cell>
          <cell r="AK548">
            <v>606241</v>
          </cell>
          <cell r="AL548">
            <v>1326153</v>
          </cell>
          <cell r="AM548">
            <v>113670</v>
          </cell>
          <cell r="AN548">
            <v>227341</v>
          </cell>
          <cell r="AO548">
            <v>75780</v>
          </cell>
          <cell r="AP548">
            <v>75780</v>
          </cell>
        </row>
        <row r="549">
          <cell r="D549" t="str">
            <v>Sản xuất và cung cấp 160 máy thông tin đa băng cấp chiến dịch VRP712/S, đồng bộ phụ kiện và zip năm 2024 (Máy thông tin đa băng cấp chiến dịch VRP712/S)</v>
          </cell>
          <cell r="G549" t="str">
            <v>SXKD</v>
          </cell>
          <cell r="I549" t="str">
            <v>TTQS</v>
          </cell>
          <cell r="AC549">
            <v>1230000</v>
          </cell>
          <cell r="AD549">
            <v>57181082</v>
          </cell>
          <cell r="AE549">
            <v>9246139</v>
          </cell>
          <cell r="AF549">
            <v>9029667</v>
          </cell>
          <cell r="AG549">
            <v>0</v>
          </cell>
          <cell r="AH549">
            <v>0</v>
          </cell>
          <cell r="AI549">
            <v>0</v>
          </cell>
          <cell r="AJ549">
            <v>0</v>
          </cell>
          <cell r="AK549">
            <v>164931</v>
          </cell>
          <cell r="AL549">
            <v>360786</v>
          </cell>
          <cell r="AM549">
            <v>30925</v>
          </cell>
          <cell r="AN549">
            <v>61849</v>
          </cell>
          <cell r="AO549">
            <v>20616</v>
          </cell>
          <cell r="AP549">
            <v>20616</v>
          </cell>
        </row>
        <row r="550">
          <cell r="D550" t="str">
            <v>Sản xuất và cung cấp 160 máy thông tin đa băng cấp chiến dịch VRP712/S, đồng bộ phụ kiện và zip năm 2024 (Máy thông tin đa băng cấp chiến dịch VRP712/S)</v>
          </cell>
          <cell r="G550" t="str">
            <v>SXKD</v>
          </cell>
          <cell r="I550" t="str">
            <v>TTQS</v>
          </cell>
          <cell r="AC550">
            <v>1047000</v>
          </cell>
          <cell r="AD550">
            <v>21947214</v>
          </cell>
          <cell r="AE550">
            <v>11473157</v>
          </cell>
          <cell r="AF550">
            <v>10915221</v>
          </cell>
          <cell r="AG550">
            <v>0</v>
          </cell>
          <cell r="AH550">
            <v>0</v>
          </cell>
          <cell r="AI550">
            <v>0</v>
          </cell>
          <cell r="AJ550">
            <v>0</v>
          </cell>
          <cell r="AK550">
            <v>425094</v>
          </cell>
          <cell r="AL550">
            <v>929892</v>
          </cell>
          <cell r="AM550">
            <v>79705</v>
          </cell>
          <cell r="AN550">
            <v>159410</v>
          </cell>
          <cell r="AO550">
            <v>53137</v>
          </cell>
          <cell r="AP550">
            <v>53137</v>
          </cell>
        </row>
        <row r="551">
          <cell r="D551" t="str">
            <v>Sản xuất và cung cấp 160 máy thông tin đa băng cấp chiến dịch VRP712/S, đồng bộ phụ kiện và zip năm 2024 (Máy thông tin đa băng cấp chiến dịch VRP712/S)</v>
          </cell>
          <cell r="G551" t="str">
            <v>SXKD</v>
          </cell>
          <cell r="I551" t="str">
            <v>TTQS</v>
          </cell>
          <cell r="AC551">
            <v>1030000</v>
          </cell>
          <cell r="AD551">
            <v>34525095</v>
          </cell>
          <cell r="AE551">
            <v>18933853</v>
          </cell>
          <cell r="AF551">
            <v>18283986</v>
          </cell>
          <cell r="AG551">
            <v>0</v>
          </cell>
          <cell r="AH551">
            <v>0</v>
          </cell>
          <cell r="AI551">
            <v>0</v>
          </cell>
          <cell r="AJ551">
            <v>0</v>
          </cell>
          <cell r="AK551">
            <v>495137</v>
          </cell>
          <cell r="AL551">
            <v>1083113</v>
          </cell>
          <cell r="AM551">
            <v>92838</v>
          </cell>
          <cell r="AN551">
            <v>185677</v>
          </cell>
          <cell r="AO551">
            <v>61892</v>
          </cell>
          <cell r="AP551">
            <v>61892</v>
          </cell>
        </row>
        <row r="552">
          <cell r="D552" t="str">
            <v>Sản xuất và cung cấp 160 máy thông tin đa băng cấp chiến dịch VRP712/S, đồng bộ phụ kiện và zip năm 2024 (Máy thông tin đa băng cấp chiến dịch VRP712/S)</v>
          </cell>
          <cell r="G552" t="str">
            <v>SXKD</v>
          </cell>
          <cell r="I552" t="str">
            <v>TTQS</v>
          </cell>
          <cell r="AC552">
            <v>930000</v>
          </cell>
          <cell r="AD552">
            <v>20309612</v>
          </cell>
          <cell r="AE552">
            <v>10611428</v>
          </cell>
          <cell r="AF552">
            <v>10082024</v>
          </cell>
          <cell r="AG552">
            <v>0</v>
          </cell>
          <cell r="AH552">
            <v>0</v>
          </cell>
          <cell r="AI552">
            <v>0</v>
          </cell>
          <cell r="AJ552">
            <v>0</v>
          </cell>
          <cell r="AK552">
            <v>403356</v>
          </cell>
          <cell r="AL552">
            <v>882341</v>
          </cell>
          <cell r="AM552">
            <v>75629</v>
          </cell>
          <cell r="AN552">
            <v>151258</v>
          </cell>
          <cell r="AO552">
            <v>50419</v>
          </cell>
          <cell r="AP552">
            <v>50419</v>
          </cell>
        </row>
        <row r="553">
          <cell r="D553" t="str">
            <v>Sản xuất và cung cấp 160 máy thông tin đa băng cấp chiến dịch VRP712/S, đồng bộ phụ kiện và zip năm 2024 (Máy thông tin đa băng cấp chiến dịch VRP712/S)</v>
          </cell>
          <cell r="G553" t="str">
            <v>SXKD</v>
          </cell>
          <cell r="I553" t="str">
            <v>TTQS</v>
          </cell>
          <cell r="AC553">
            <v>1398000</v>
          </cell>
          <cell r="AD553">
            <v>26348006</v>
          </cell>
          <cell r="AE553">
            <v>13874393</v>
          </cell>
          <cell r="AF553">
            <v>13287927</v>
          </cell>
          <cell r="AG553">
            <v>0</v>
          </cell>
          <cell r="AH553">
            <v>0</v>
          </cell>
          <cell r="AI553">
            <v>0</v>
          </cell>
          <cell r="AJ553">
            <v>0</v>
          </cell>
          <cell r="AK553">
            <v>446831</v>
          </cell>
          <cell r="AL553">
            <v>977443</v>
          </cell>
          <cell r="AM553">
            <v>83781</v>
          </cell>
          <cell r="AN553">
            <v>167562</v>
          </cell>
          <cell r="AO553">
            <v>55854</v>
          </cell>
          <cell r="AP553">
            <v>55854</v>
          </cell>
        </row>
        <row r="554">
          <cell r="D554" t="str">
            <v>Sản xuất và cung cấp 160 máy thông tin đa băng cấp chiến dịch VRP712/S, đồng bộ phụ kiện và zip năm 2024 (Máy thông tin đa băng cấp chiến dịch VRP712/S)</v>
          </cell>
          <cell r="G554" t="str">
            <v>SXKD</v>
          </cell>
          <cell r="I554" t="str">
            <v>TTQS</v>
          </cell>
          <cell r="AC554">
            <v>930000</v>
          </cell>
          <cell r="AD554">
            <v>19325404</v>
          </cell>
          <cell r="AE554">
            <v>10069104</v>
          </cell>
          <cell r="AF554">
            <v>9565061</v>
          </cell>
          <cell r="AG554">
            <v>0</v>
          </cell>
          <cell r="AH554">
            <v>0</v>
          </cell>
          <cell r="AI554">
            <v>0</v>
          </cell>
          <cell r="AJ554">
            <v>0</v>
          </cell>
          <cell r="AK554">
            <v>384033</v>
          </cell>
          <cell r="AL554">
            <v>840073</v>
          </cell>
          <cell r="AM554">
            <v>72006</v>
          </cell>
          <cell r="AN554">
            <v>144013</v>
          </cell>
          <cell r="AO554">
            <v>48004</v>
          </cell>
          <cell r="AP554">
            <v>48004</v>
          </cell>
        </row>
        <row r="555">
          <cell r="D555" t="str">
            <v>Sản xuất và cung cấp 160 máy thông tin đa băng cấp chiến dịch VRP712/S, đồng bộ phụ kiện và zip năm 2024 (Máy thông tin đa băng cấp chiến dịch VRP712/S)</v>
          </cell>
          <cell r="G555" t="str">
            <v>SXKD</v>
          </cell>
          <cell r="I555" t="str">
            <v>TTQS</v>
          </cell>
          <cell r="AC555">
            <v>930000</v>
          </cell>
          <cell r="AD555">
            <v>14948988</v>
          </cell>
          <cell r="AE555">
            <v>7518718</v>
          </cell>
          <cell r="AF555">
            <v>7065395</v>
          </cell>
          <cell r="AG555">
            <v>0</v>
          </cell>
          <cell r="AH555">
            <v>0</v>
          </cell>
          <cell r="AI555">
            <v>0</v>
          </cell>
          <cell r="AJ555">
            <v>0</v>
          </cell>
          <cell r="AK555">
            <v>345389</v>
          </cell>
          <cell r="AL555">
            <v>755537</v>
          </cell>
          <cell r="AM555">
            <v>64760</v>
          </cell>
          <cell r="AN555">
            <v>129521</v>
          </cell>
          <cell r="AO555">
            <v>43174</v>
          </cell>
          <cell r="AP555">
            <v>43174</v>
          </cell>
        </row>
        <row r="556">
          <cell r="D556" t="str">
            <v>Sản xuất và cung cấp 160 máy thông tin đa băng cấp chiến dịch VRP712/S, đồng bộ phụ kiện và zip năm 2024 (ZIP Máy thông tin đa băng cấp chiến dịch VRP712/S)</v>
          </cell>
          <cell r="G556" t="str">
            <v>SXKD</v>
          </cell>
          <cell r="I556" t="str">
            <v>TTQS</v>
          </cell>
          <cell r="AC556">
            <v>2730000</v>
          </cell>
          <cell r="AD556">
            <v>154884122</v>
          </cell>
          <cell r="AE556">
            <v>19372610</v>
          </cell>
          <cell r="AF556">
            <v>19178321</v>
          </cell>
          <cell r="AG556">
            <v>0</v>
          </cell>
          <cell r="AH556">
            <v>0</v>
          </cell>
          <cell r="AI556">
            <v>0</v>
          </cell>
          <cell r="AJ556">
            <v>0</v>
          </cell>
          <cell r="AK556">
            <v>194289</v>
          </cell>
          <cell r="AL556">
            <v>425008</v>
          </cell>
          <cell r="AM556">
            <v>0</v>
          </cell>
          <cell r="AN556">
            <v>0</v>
          </cell>
          <cell r="AO556">
            <v>0</v>
          </cell>
          <cell r="AP556">
            <v>0</v>
          </cell>
        </row>
        <row r="557">
          <cell r="D557" t="str">
            <v>Sản xuất và cung cấp 160 máy thông tin đa băng cấp chiến dịch VRP712/S, đồng bộ phụ kiện và zip năm 2024 (ZIP Máy thông tin đa băng cấp chiến dịch VRP712/S)</v>
          </cell>
          <cell r="G557" t="str">
            <v>SXKD</v>
          </cell>
          <cell r="I557" t="str">
            <v>TTQS</v>
          </cell>
          <cell r="AC557">
            <v>1730000</v>
          </cell>
          <cell r="AD557">
            <v>104128427</v>
          </cell>
          <cell r="AE557">
            <v>12895771</v>
          </cell>
          <cell r="AF557">
            <v>12706829</v>
          </cell>
          <cell r="AG557">
            <v>0</v>
          </cell>
          <cell r="AH557">
            <v>0</v>
          </cell>
          <cell r="AI557">
            <v>0</v>
          </cell>
          <cell r="AJ557">
            <v>0</v>
          </cell>
          <cell r="AK557">
            <v>188942</v>
          </cell>
          <cell r="AL557">
            <v>413310</v>
          </cell>
          <cell r="AM557">
            <v>0</v>
          </cell>
          <cell r="AN557">
            <v>0</v>
          </cell>
          <cell r="AO557">
            <v>0</v>
          </cell>
          <cell r="AP557">
            <v>0</v>
          </cell>
        </row>
        <row r="558">
          <cell r="D558" t="str">
            <v>Sản xuất và cung cấp 160 máy thông tin đa băng cấp chiến dịch VRP712/S, đồng bộ phụ kiện và zip năm 2024 (ZIP Máy thông tin đa băng cấp chiến dịch VRP712/S)</v>
          </cell>
          <cell r="G558" t="str">
            <v>SXKD</v>
          </cell>
          <cell r="I558" t="str">
            <v>TTQS</v>
          </cell>
          <cell r="AC558">
            <v>1130000</v>
          </cell>
          <cell r="AD558">
            <v>61113536</v>
          </cell>
          <cell r="AE558">
            <v>22326997</v>
          </cell>
          <cell r="AF558">
            <v>21815480</v>
          </cell>
          <cell r="AG558">
            <v>0</v>
          </cell>
          <cell r="AH558">
            <v>0</v>
          </cell>
          <cell r="AI558">
            <v>0</v>
          </cell>
          <cell r="AJ558">
            <v>0</v>
          </cell>
          <cell r="AK558">
            <v>389727</v>
          </cell>
          <cell r="AL558">
            <v>852527</v>
          </cell>
          <cell r="AM558">
            <v>73074</v>
          </cell>
          <cell r="AN558">
            <v>146147</v>
          </cell>
          <cell r="AO558">
            <v>48716</v>
          </cell>
          <cell r="AP558">
            <v>48716</v>
          </cell>
        </row>
        <row r="559">
          <cell r="D559" t="str">
            <v>Sản xuất và cung cấp 160 máy thông tin đa băng cấp chiến dịch VRP712/S, đồng bộ phụ kiện và zip năm 2024 (ZIP Máy thông tin đa băng cấp chiến dịch VRP712/S)</v>
          </cell>
          <cell r="G559" t="str">
            <v>SXKD</v>
          </cell>
          <cell r="I559" t="str">
            <v>TTQS</v>
          </cell>
          <cell r="AC559">
            <v>1230000</v>
          </cell>
          <cell r="AD559">
            <v>57181082</v>
          </cell>
          <cell r="AE559">
            <v>20803812</v>
          </cell>
          <cell r="AF559">
            <v>20316751</v>
          </cell>
          <cell r="AG559">
            <v>0</v>
          </cell>
          <cell r="AH559">
            <v>0</v>
          </cell>
          <cell r="AI559">
            <v>0</v>
          </cell>
          <cell r="AJ559">
            <v>0</v>
          </cell>
          <cell r="AK559">
            <v>371094</v>
          </cell>
          <cell r="AL559">
            <v>811769</v>
          </cell>
          <cell r="AM559">
            <v>69580</v>
          </cell>
          <cell r="AN559">
            <v>139160</v>
          </cell>
          <cell r="AO559">
            <v>46387</v>
          </cell>
          <cell r="AP559">
            <v>46387</v>
          </cell>
        </row>
        <row r="560">
          <cell r="D560" t="str">
            <v>Sản xuất và cung cấp 160 máy thông tin đa băng cấp chiến dịch VRP712/S, đồng bộ phụ kiện và zip năm 2024 (ZIP Máy thông tin đa băng cấp chiến dịch VRP712/S)</v>
          </cell>
          <cell r="G560" t="str">
            <v>SXKD</v>
          </cell>
          <cell r="I560" t="str">
            <v>TTQS</v>
          </cell>
          <cell r="AC560">
            <v>1047000</v>
          </cell>
          <cell r="AD560">
            <v>21947214</v>
          </cell>
          <cell r="AE560">
            <v>7375601</v>
          </cell>
          <cell r="AF560">
            <v>7016929</v>
          </cell>
          <cell r="AG560">
            <v>0</v>
          </cell>
          <cell r="AH560">
            <v>0</v>
          </cell>
          <cell r="AI560">
            <v>0</v>
          </cell>
          <cell r="AJ560">
            <v>0</v>
          </cell>
          <cell r="AK560">
            <v>273274</v>
          </cell>
          <cell r="AL560">
            <v>597788</v>
          </cell>
          <cell r="AM560">
            <v>51239</v>
          </cell>
          <cell r="AN560">
            <v>102478</v>
          </cell>
          <cell r="AO560">
            <v>34159</v>
          </cell>
          <cell r="AP560">
            <v>34159</v>
          </cell>
        </row>
        <row r="561">
          <cell r="D561" t="str">
            <v>Sản xuất và cung cấp 160 máy thông tin đa băng cấp chiến dịch VRP712/S, đồng bộ phụ kiện và zip năm 2024 (ZIP Máy thông tin đa băng cấp chiến dịch VRP712/S)</v>
          </cell>
          <cell r="G561" t="str">
            <v>SXKD</v>
          </cell>
          <cell r="I561" t="str">
            <v>TTQS</v>
          </cell>
          <cell r="AC561">
            <v>1030000</v>
          </cell>
          <cell r="AD561">
            <v>34525095</v>
          </cell>
          <cell r="AE561">
            <v>12171762</v>
          </cell>
          <cell r="AF561">
            <v>11753989</v>
          </cell>
          <cell r="AG561">
            <v>0</v>
          </cell>
          <cell r="AH561">
            <v>0</v>
          </cell>
          <cell r="AI561">
            <v>0</v>
          </cell>
          <cell r="AJ561">
            <v>0</v>
          </cell>
          <cell r="AK561">
            <v>318303</v>
          </cell>
          <cell r="AL561">
            <v>696287</v>
          </cell>
          <cell r="AM561">
            <v>59682</v>
          </cell>
          <cell r="AN561">
            <v>119363</v>
          </cell>
          <cell r="AO561">
            <v>39788</v>
          </cell>
          <cell r="AP561">
            <v>39788</v>
          </cell>
        </row>
        <row r="562">
          <cell r="D562" t="str">
            <v>Sản xuất và cung cấp 160 máy thông tin đa băng cấp chiến dịch VRP712/S, đồng bộ phụ kiện và zip năm 2024 (ZIP Máy thông tin đa băng cấp chiến dịch VRP712/S)</v>
          </cell>
          <cell r="G562" t="str">
            <v>SXKD</v>
          </cell>
          <cell r="I562" t="str">
            <v>TTQS</v>
          </cell>
          <cell r="AC562">
            <v>930000</v>
          </cell>
          <cell r="AD562">
            <v>20309612</v>
          </cell>
          <cell r="AE562">
            <v>6821632</v>
          </cell>
          <cell r="AF562">
            <v>6481300</v>
          </cell>
          <cell r="AG562">
            <v>0</v>
          </cell>
          <cell r="AH562">
            <v>0</v>
          </cell>
          <cell r="AI562">
            <v>0</v>
          </cell>
          <cell r="AJ562">
            <v>0</v>
          </cell>
          <cell r="AK562">
            <v>259300</v>
          </cell>
          <cell r="AL562">
            <v>567219</v>
          </cell>
          <cell r="AM562">
            <v>48619</v>
          </cell>
          <cell r="AN562">
            <v>97238</v>
          </cell>
          <cell r="AO562">
            <v>32413</v>
          </cell>
          <cell r="AP562">
            <v>32413</v>
          </cell>
        </row>
        <row r="563">
          <cell r="D563" t="str">
            <v>Sản xuất và cung cấp 160 máy thông tin đa băng cấp chiến dịch VRP712/S, đồng bộ phụ kiện và zip năm 2024 (ZIP Máy thông tin đa băng cấp chiến dịch VRP712/S)</v>
          </cell>
          <cell r="G563" t="str">
            <v>SXKD</v>
          </cell>
          <cell r="I563" t="str">
            <v>TTQS</v>
          </cell>
          <cell r="AC563">
            <v>1398000</v>
          </cell>
          <cell r="AD563">
            <v>26348006</v>
          </cell>
          <cell r="AE563">
            <v>8919253</v>
          </cell>
          <cell r="AF563">
            <v>8542239</v>
          </cell>
          <cell r="AG563">
            <v>0</v>
          </cell>
          <cell r="AH563">
            <v>0</v>
          </cell>
          <cell r="AI563">
            <v>0</v>
          </cell>
          <cell r="AJ563">
            <v>0</v>
          </cell>
          <cell r="AK563">
            <v>287249</v>
          </cell>
          <cell r="AL563">
            <v>628357</v>
          </cell>
          <cell r="AM563">
            <v>53859</v>
          </cell>
          <cell r="AN563">
            <v>107718</v>
          </cell>
          <cell r="AO563">
            <v>35906</v>
          </cell>
          <cell r="AP563">
            <v>35906</v>
          </cell>
        </row>
        <row r="564">
          <cell r="D564" t="str">
            <v>Sản xuất và cung cấp 160 máy thông tin đa băng cấp chiến dịch VRP712/S, đồng bộ phụ kiện và zip năm 2024 (ZIP Máy thông tin đa băng cấp chiến dịch VRP712/S)</v>
          </cell>
          <cell r="G564" t="str">
            <v>SXKD</v>
          </cell>
          <cell r="I564" t="str">
            <v>TTQS</v>
          </cell>
          <cell r="AC564">
            <v>930000</v>
          </cell>
          <cell r="AD564">
            <v>19325404</v>
          </cell>
          <cell r="AE564">
            <v>6472996</v>
          </cell>
          <cell r="AF564">
            <v>6148967</v>
          </cell>
          <cell r="AG564">
            <v>0</v>
          </cell>
          <cell r="AH564">
            <v>0</v>
          </cell>
          <cell r="AI564">
            <v>0</v>
          </cell>
          <cell r="AJ564">
            <v>0</v>
          </cell>
          <cell r="AK564">
            <v>246879</v>
          </cell>
          <cell r="AL564">
            <v>540047</v>
          </cell>
          <cell r="AM564">
            <v>46290</v>
          </cell>
          <cell r="AN564">
            <v>92579</v>
          </cell>
          <cell r="AO564">
            <v>30860</v>
          </cell>
          <cell r="AP564">
            <v>30860</v>
          </cell>
        </row>
        <row r="565">
          <cell r="D565" t="str">
            <v>Sản xuất và cung cấp 160 máy thông tin đa băng cấp chiến dịch VRP712/S, đồng bộ phụ kiện và zip năm 2024 (ZIP Máy thông tin đa băng cấp chiến dịch VRP712/S)</v>
          </cell>
          <cell r="G565" t="str">
            <v>SXKD</v>
          </cell>
          <cell r="I565" t="str">
            <v>TTQS</v>
          </cell>
          <cell r="AC565">
            <v>930000</v>
          </cell>
          <cell r="AD565">
            <v>14948988</v>
          </cell>
          <cell r="AE565">
            <v>4833462</v>
          </cell>
          <cell r="AF565">
            <v>4542041</v>
          </cell>
          <cell r="AG565">
            <v>0</v>
          </cell>
          <cell r="AH565">
            <v>0</v>
          </cell>
          <cell r="AI565">
            <v>0</v>
          </cell>
          <cell r="AJ565">
            <v>0</v>
          </cell>
          <cell r="AK565">
            <v>222035</v>
          </cell>
          <cell r="AL565">
            <v>485703</v>
          </cell>
          <cell r="AM565">
            <v>41632</v>
          </cell>
          <cell r="AN565">
            <v>83263</v>
          </cell>
          <cell r="AO565">
            <v>27754</v>
          </cell>
          <cell r="AP565">
            <v>27754</v>
          </cell>
        </row>
        <row r="566">
          <cell r="D566" t="str">
            <v>Nghiên cứu, phát triển nền tảng xử lý và truyền dẫn vô tuyến cho phương tiện bay không người lái</v>
          </cell>
          <cell r="G566" t="str">
            <v>KHCN</v>
          </cell>
          <cell r="I566" t="str">
            <v>TTQS</v>
          </cell>
          <cell r="AC566">
            <v>2730000</v>
          </cell>
          <cell r="AD566">
            <v>154884122</v>
          </cell>
          <cell r="AE566">
            <v>19372610</v>
          </cell>
          <cell r="AF566">
            <v>19178321</v>
          </cell>
          <cell r="AG566">
            <v>0</v>
          </cell>
          <cell r="AH566">
            <v>0</v>
          </cell>
          <cell r="AI566">
            <v>0</v>
          </cell>
          <cell r="AJ566">
            <v>0</v>
          </cell>
          <cell r="AK566">
            <v>194289</v>
          </cell>
          <cell r="AL566">
            <v>425008</v>
          </cell>
          <cell r="AM566">
            <v>0</v>
          </cell>
          <cell r="AN566">
            <v>0</v>
          </cell>
          <cell r="AO566">
            <v>0</v>
          </cell>
          <cell r="AP566">
            <v>0</v>
          </cell>
        </row>
        <row r="567">
          <cell r="D567" t="str">
            <v>Nghiên cứu, phát triển nền tảng xử lý và truyền dẫn vô tuyến cho phương tiện bay không người lái</v>
          </cell>
          <cell r="G567" t="str">
            <v>KHCN</v>
          </cell>
          <cell r="I567" t="str">
            <v>TTQS</v>
          </cell>
          <cell r="AC567">
            <v>1730000</v>
          </cell>
          <cell r="AD567">
            <v>104128427</v>
          </cell>
          <cell r="AE567">
            <v>8597181</v>
          </cell>
          <cell r="AF567">
            <v>8471220</v>
          </cell>
          <cell r="AG567">
            <v>0</v>
          </cell>
          <cell r="AH567">
            <v>0</v>
          </cell>
          <cell r="AI567">
            <v>0</v>
          </cell>
          <cell r="AJ567">
            <v>0</v>
          </cell>
          <cell r="AK567">
            <v>125961</v>
          </cell>
          <cell r="AL567">
            <v>275540</v>
          </cell>
          <cell r="AM567">
            <v>0</v>
          </cell>
          <cell r="AN567">
            <v>0</v>
          </cell>
          <cell r="AO567">
            <v>0</v>
          </cell>
          <cell r="AP567">
            <v>0</v>
          </cell>
        </row>
        <row r="568">
          <cell r="D568" t="str">
            <v>Nghiên cứu, phát triển nền tảng xử lý và truyền dẫn vô tuyến cho phương tiện bay không người lái</v>
          </cell>
          <cell r="G568" t="str">
            <v>KHCN</v>
          </cell>
          <cell r="I568" t="str">
            <v>TTQS</v>
          </cell>
          <cell r="AC568">
            <v>1230000</v>
          </cell>
          <cell r="AD568">
            <v>90077759</v>
          </cell>
          <cell r="AE568">
            <v>7450922</v>
          </cell>
          <cell r="AF568">
            <v>7338114</v>
          </cell>
          <cell r="AG568">
            <v>0</v>
          </cell>
          <cell r="AH568">
            <v>0</v>
          </cell>
          <cell r="AI568">
            <v>0</v>
          </cell>
          <cell r="AJ568">
            <v>0</v>
          </cell>
          <cell r="AK568">
            <v>112808</v>
          </cell>
          <cell r="AL568">
            <v>246768</v>
          </cell>
          <cell r="AM568">
            <v>0</v>
          </cell>
          <cell r="AN568">
            <v>0</v>
          </cell>
          <cell r="AO568">
            <v>0</v>
          </cell>
          <cell r="AP568">
            <v>0</v>
          </cell>
        </row>
        <row r="569">
          <cell r="D569" t="str">
            <v>Nghiên cứu, phát triển nền tảng xử lý và truyền dẫn vô tuyến cho phương tiện bay không người lái</v>
          </cell>
          <cell r="G569" t="str">
            <v>KHCN</v>
          </cell>
          <cell r="I569" t="str">
            <v>TTQS</v>
          </cell>
          <cell r="AC569">
            <v>1030000</v>
          </cell>
          <cell r="AD569">
            <v>41810207</v>
          </cell>
          <cell r="AE569">
            <v>38262511</v>
          </cell>
          <cell r="AF569">
            <v>37137583</v>
          </cell>
          <cell r="AG569">
            <v>0</v>
          </cell>
          <cell r="AH569">
            <v>0</v>
          </cell>
          <cell r="AI569">
            <v>0</v>
          </cell>
          <cell r="AJ569">
            <v>0</v>
          </cell>
          <cell r="AK569">
            <v>857088</v>
          </cell>
          <cell r="AL569">
            <v>1874880</v>
          </cell>
          <cell r="AM569">
            <v>160704</v>
          </cell>
          <cell r="AN569">
            <v>321408</v>
          </cell>
          <cell r="AO569">
            <v>107136</v>
          </cell>
          <cell r="AP569">
            <v>107136</v>
          </cell>
        </row>
        <row r="570">
          <cell r="D570" t="str">
            <v>Nghiên cứu, phát triển nền tảng xử lý và truyền dẫn vô tuyến cho phương tiện bay không người lái</v>
          </cell>
          <cell r="G570" t="str">
            <v>KHCN</v>
          </cell>
          <cell r="I570" t="str">
            <v>TTQS</v>
          </cell>
          <cell r="AC570">
            <v>1030000</v>
          </cell>
          <cell r="AD570">
            <v>49091698</v>
          </cell>
          <cell r="AE570">
            <v>45415786</v>
          </cell>
          <cell r="AF570">
            <v>44233570</v>
          </cell>
          <cell r="AG570">
            <v>0</v>
          </cell>
          <cell r="AH570">
            <v>0</v>
          </cell>
          <cell r="AI570">
            <v>0</v>
          </cell>
          <cell r="AJ570">
            <v>0</v>
          </cell>
          <cell r="AK570">
            <v>900736</v>
          </cell>
          <cell r="AL570">
            <v>1970360</v>
          </cell>
          <cell r="AM570">
            <v>168888</v>
          </cell>
          <cell r="AN570">
            <v>337776</v>
          </cell>
          <cell r="AO570">
            <v>112592</v>
          </cell>
          <cell r="AP570">
            <v>112592</v>
          </cell>
        </row>
        <row r="571">
          <cell r="D571" t="str">
            <v>Nghiên cứu, phát triển nền tảng xử lý và truyền dẫn vô tuyến cho phương tiện bay không người lái</v>
          </cell>
          <cell r="G571" t="str">
            <v>KHCN</v>
          </cell>
          <cell r="I571" t="str">
            <v>TTQS</v>
          </cell>
          <cell r="AC571">
            <v>1130000</v>
          </cell>
          <cell r="AD571">
            <v>73818607</v>
          </cell>
          <cell r="AE571">
            <v>69611423</v>
          </cell>
          <cell r="AF571">
            <v>68236511</v>
          </cell>
          <cell r="AG571">
            <v>0</v>
          </cell>
          <cell r="AH571">
            <v>0</v>
          </cell>
          <cell r="AI571">
            <v>0</v>
          </cell>
          <cell r="AJ571">
            <v>0</v>
          </cell>
          <cell r="AK571">
            <v>1047552</v>
          </cell>
          <cell r="AL571">
            <v>2291520</v>
          </cell>
          <cell r="AM571">
            <v>196416</v>
          </cell>
          <cell r="AN571">
            <v>392832</v>
          </cell>
          <cell r="AO571">
            <v>130944</v>
          </cell>
          <cell r="AP571">
            <v>130944</v>
          </cell>
        </row>
        <row r="572">
          <cell r="D572" t="str">
            <v>Nghiên cứu, phát triển nền tảng xử lý và truyền dẫn vô tuyến cho phương tiện bay không người lái</v>
          </cell>
          <cell r="G572" t="str">
            <v>KHCN</v>
          </cell>
          <cell r="I572" t="str">
            <v>TTQS</v>
          </cell>
          <cell r="AC572">
            <v>1047000</v>
          </cell>
          <cell r="AD572">
            <v>17745604</v>
          </cell>
          <cell r="AE572">
            <v>14938548</v>
          </cell>
          <cell r="AF572">
            <v>14152140</v>
          </cell>
          <cell r="AG572">
            <v>0</v>
          </cell>
          <cell r="AH572">
            <v>0</v>
          </cell>
          <cell r="AI572">
            <v>0</v>
          </cell>
          <cell r="AJ572">
            <v>0</v>
          </cell>
          <cell r="AK572">
            <v>599168</v>
          </cell>
          <cell r="AL572">
            <v>1310680</v>
          </cell>
          <cell r="AM572">
            <v>112344</v>
          </cell>
          <cell r="AN572">
            <v>224688</v>
          </cell>
          <cell r="AO572">
            <v>74896</v>
          </cell>
          <cell r="AP572">
            <v>74896</v>
          </cell>
        </row>
        <row r="573">
          <cell r="D573" t="str">
            <v>Nghiên cứu, phát triển nền tảng xử lý và truyền dẫn vô tuyến cho phương tiện bay không người lái</v>
          </cell>
          <cell r="G573" t="str">
            <v>KHCN</v>
          </cell>
          <cell r="I573" t="str">
            <v>TTQS</v>
          </cell>
          <cell r="AC573">
            <v>1030000</v>
          </cell>
          <cell r="AD573">
            <v>45839160</v>
          </cell>
          <cell r="AE573">
            <v>42163248</v>
          </cell>
          <cell r="AF573">
            <v>40981032</v>
          </cell>
          <cell r="AG573">
            <v>0</v>
          </cell>
          <cell r="AH573">
            <v>0</v>
          </cell>
          <cell r="AI573">
            <v>0</v>
          </cell>
          <cell r="AJ573">
            <v>0</v>
          </cell>
          <cell r="AK573">
            <v>900736</v>
          </cell>
          <cell r="AL573">
            <v>1970360</v>
          </cell>
          <cell r="AM573">
            <v>168888</v>
          </cell>
          <cell r="AN573">
            <v>337776</v>
          </cell>
          <cell r="AO573">
            <v>112592</v>
          </cell>
          <cell r="AP573">
            <v>112592</v>
          </cell>
        </row>
        <row r="574">
          <cell r="D574" t="str">
            <v>Nghiên cứu, phát triển nền tảng xử lý và truyền dẫn vô tuyến cho phương tiện bay không người lái</v>
          </cell>
          <cell r="G574" t="str">
            <v>KHCN</v>
          </cell>
          <cell r="I574" t="str">
            <v>TTQS</v>
          </cell>
          <cell r="AC574">
            <v>1047000</v>
          </cell>
          <cell r="AD574">
            <v>29720768</v>
          </cell>
          <cell r="AE574">
            <v>26400848</v>
          </cell>
          <cell r="AF574">
            <v>25385288</v>
          </cell>
          <cell r="AG574">
            <v>0</v>
          </cell>
          <cell r="AH574">
            <v>0</v>
          </cell>
          <cell r="AI574">
            <v>0</v>
          </cell>
          <cell r="AJ574">
            <v>0</v>
          </cell>
          <cell r="AK574">
            <v>773760</v>
          </cell>
          <cell r="AL574">
            <v>1692600</v>
          </cell>
          <cell r="AM574">
            <v>145080</v>
          </cell>
          <cell r="AN574">
            <v>290160</v>
          </cell>
          <cell r="AO574">
            <v>96720</v>
          </cell>
          <cell r="AP574">
            <v>96720</v>
          </cell>
        </row>
        <row r="575">
          <cell r="D575" t="str">
            <v>Nghiên cứu nền tảng công nghệ, phát triển sản phẩm dẫn xuất truyền dẫn tán xạ tầng đối lưu</v>
          </cell>
          <cell r="G575" t="str">
            <v>KHCN</v>
          </cell>
          <cell r="I575" t="str">
            <v>TTQS</v>
          </cell>
          <cell r="AC575">
            <v>2730000</v>
          </cell>
          <cell r="AD575">
            <v>154884122</v>
          </cell>
          <cell r="AE575">
            <v>12915073</v>
          </cell>
          <cell r="AF575">
            <v>12785547</v>
          </cell>
          <cell r="AG575">
            <v>0</v>
          </cell>
          <cell r="AH575">
            <v>0</v>
          </cell>
          <cell r="AI575">
            <v>0</v>
          </cell>
          <cell r="AJ575">
            <v>0</v>
          </cell>
          <cell r="AK575">
            <v>129526</v>
          </cell>
          <cell r="AL575">
            <v>283338</v>
          </cell>
          <cell r="AM575">
            <v>0</v>
          </cell>
          <cell r="AN575">
            <v>0</v>
          </cell>
          <cell r="AO575">
            <v>0</v>
          </cell>
          <cell r="AP575">
            <v>0</v>
          </cell>
        </row>
        <row r="576">
          <cell r="D576" t="str">
            <v>Nghiên cứu nền tảng công nghệ, phát triển sản phẩm dẫn xuất truyền dẫn tán xạ tầng đối lưu</v>
          </cell>
          <cell r="G576" t="str">
            <v>KHCN</v>
          </cell>
          <cell r="I576" t="str">
            <v>TTQS</v>
          </cell>
          <cell r="AC576">
            <v>1730000</v>
          </cell>
          <cell r="AD576">
            <v>104128427</v>
          </cell>
          <cell r="AE576">
            <v>8597181</v>
          </cell>
          <cell r="AF576">
            <v>8471220</v>
          </cell>
          <cell r="AG576">
            <v>0</v>
          </cell>
          <cell r="AH576">
            <v>0</v>
          </cell>
          <cell r="AI576">
            <v>0</v>
          </cell>
          <cell r="AJ576">
            <v>0</v>
          </cell>
          <cell r="AK576">
            <v>125961</v>
          </cell>
          <cell r="AL576">
            <v>275540</v>
          </cell>
          <cell r="AM576">
            <v>0</v>
          </cell>
          <cell r="AN576">
            <v>0</v>
          </cell>
          <cell r="AO576">
            <v>0</v>
          </cell>
          <cell r="AP576">
            <v>0</v>
          </cell>
        </row>
        <row r="577">
          <cell r="D577" t="str">
            <v>Nghiên cứu nền tảng công nghệ, phát triển sản phẩm dẫn xuất truyền dẫn tán xạ tầng đối lưu</v>
          </cell>
          <cell r="G577" t="str">
            <v>KHCN</v>
          </cell>
          <cell r="I577" t="str">
            <v>TTQS</v>
          </cell>
          <cell r="AC577">
            <v>1230000</v>
          </cell>
          <cell r="AD577">
            <v>90077759</v>
          </cell>
          <cell r="AE577">
            <v>11176383</v>
          </cell>
          <cell r="AF577">
            <v>11007170</v>
          </cell>
          <cell r="AG577">
            <v>0</v>
          </cell>
          <cell r="AH577">
            <v>0</v>
          </cell>
          <cell r="AI577">
            <v>0</v>
          </cell>
          <cell r="AJ577">
            <v>0</v>
          </cell>
          <cell r="AK577">
            <v>169213</v>
          </cell>
          <cell r="AL577">
            <v>370152</v>
          </cell>
          <cell r="AM577">
            <v>0</v>
          </cell>
          <cell r="AN577">
            <v>0</v>
          </cell>
          <cell r="AO577">
            <v>0</v>
          </cell>
          <cell r="AP577">
            <v>0</v>
          </cell>
        </row>
        <row r="578">
          <cell r="D578" t="str">
            <v>Nghiên cứu nền tảng công nghệ, phát triển sản phẩm dẫn xuất truyền dẫn tán xạ tầng đối lưu</v>
          </cell>
          <cell r="G578" t="str">
            <v>KHCN</v>
          </cell>
          <cell r="I578" t="str">
            <v>TTQS</v>
          </cell>
          <cell r="AC578">
            <v>930000</v>
          </cell>
          <cell r="AD578">
            <v>20545037</v>
          </cell>
          <cell r="AE578">
            <v>17668485</v>
          </cell>
          <cell r="AF578">
            <v>16798749</v>
          </cell>
          <cell r="AG578">
            <v>0</v>
          </cell>
          <cell r="AH578">
            <v>0</v>
          </cell>
          <cell r="AI578">
            <v>0</v>
          </cell>
          <cell r="AJ578">
            <v>0</v>
          </cell>
          <cell r="AK578">
            <v>662656</v>
          </cell>
          <cell r="AL578">
            <v>1449560</v>
          </cell>
          <cell r="AM578">
            <v>124248</v>
          </cell>
          <cell r="AN578">
            <v>248496</v>
          </cell>
          <cell r="AO578">
            <v>82832</v>
          </cell>
          <cell r="AP578">
            <v>82832</v>
          </cell>
        </row>
        <row r="579">
          <cell r="D579" t="str">
            <v>Nghiên cứu nền tảng công nghệ, phát triển sản phẩm dẫn xuất truyền dẫn tán xạ tầng đối lưu</v>
          </cell>
          <cell r="G579" t="str">
            <v>KHCN</v>
          </cell>
          <cell r="I579" t="str">
            <v>TTQS</v>
          </cell>
          <cell r="AC579">
            <v>1030000</v>
          </cell>
          <cell r="AD579">
            <v>54120531</v>
          </cell>
          <cell r="AE579">
            <v>50304747</v>
          </cell>
          <cell r="AF579">
            <v>49060035</v>
          </cell>
          <cell r="AG579">
            <v>0</v>
          </cell>
          <cell r="AH579">
            <v>0</v>
          </cell>
          <cell r="AI579">
            <v>0</v>
          </cell>
          <cell r="AJ579">
            <v>0</v>
          </cell>
          <cell r="AK579">
            <v>948352</v>
          </cell>
          <cell r="AL579">
            <v>2074520</v>
          </cell>
          <cell r="AM579">
            <v>177816</v>
          </cell>
          <cell r="AN579">
            <v>355632</v>
          </cell>
          <cell r="AO579">
            <v>118544</v>
          </cell>
          <cell r="AP579">
            <v>118544</v>
          </cell>
        </row>
        <row r="580">
          <cell r="D580" t="str">
            <v>Nghiên cứu nền tảng công nghệ, phát triển sản phẩm dẫn xuất truyền dẫn tán xạ tầng đối lưu</v>
          </cell>
          <cell r="G580" t="str">
            <v>KHCN</v>
          </cell>
          <cell r="I580" t="str">
            <v>TTQS</v>
          </cell>
          <cell r="AC580">
            <v>1030000</v>
          </cell>
          <cell r="AD580">
            <v>34310007</v>
          </cell>
          <cell r="AE580">
            <v>31007087</v>
          </cell>
          <cell r="AF580">
            <v>29991527</v>
          </cell>
          <cell r="AG580">
            <v>0</v>
          </cell>
          <cell r="AH580">
            <v>0</v>
          </cell>
          <cell r="AI580">
            <v>0</v>
          </cell>
          <cell r="AJ580">
            <v>0</v>
          </cell>
          <cell r="AK580">
            <v>773760</v>
          </cell>
          <cell r="AL580">
            <v>1692600</v>
          </cell>
          <cell r="AM580">
            <v>145080</v>
          </cell>
          <cell r="AN580">
            <v>290160</v>
          </cell>
          <cell r="AO580">
            <v>96720</v>
          </cell>
          <cell r="AP580">
            <v>96720</v>
          </cell>
        </row>
        <row r="581">
          <cell r="D581" t="str">
            <v>Nghiên cứu nền tảng công nghệ, phát triển sản phẩm dẫn xuất truyền dẫn tán xạ tầng đối lưu</v>
          </cell>
          <cell r="G581" t="str">
            <v>KHCN</v>
          </cell>
          <cell r="I581" t="str">
            <v>TTQS</v>
          </cell>
          <cell r="AC581">
            <v>1030000</v>
          </cell>
          <cell r="AD581">
            <v>27879781</v>
          </cell>
          <cell r="AE581">
            <v>24693421</v>
          </cell>
          <cell r="AF581">
            <v>23729941</v>
          </cell>
          <cell r="AG581">
            <v>0</v>
          </cell>
          <cell r="AH581">
            <v>0</v>
          </cell>
          <cell r="AI581">
            <v>0</v>
          </cell>
          <cell r="AJ581">
            <v>0</v>
          </cell>
          <cell r="AK581">
            <v>734080</v>
          </cell>
          <cell r="AL581">
            <v>1605800</v>
          </cell>
          <cell r="AM581">
            <v>137640</v>
          </cell>
          <cell r="AN581">
            <v>275280</v>
          </cell>
          <cell r="AO581">
            <v>91760</v>
          </cell>
          <cell r="AP581">
            <v>91760</v>
          </cell>
        </row>
        <row r="582">
          <cell r="D582" t="str">
            <v>Nghiên cứu nền tảng công nghệ, phát triển sản phẩm dẫn xuất truyền dẫn tán xạ tầng đối lưu</v>
          </cell>
          <cell r="G582" t="str">
            <v>KHCN</v>
          </cell>
          <cell r="I582" t="str">
            <v>TTQS</v>
          </cell>
          <cell r="AC582">
            <v>930000</v>
          </cell>
          <cell r="AD582">
            <v>30163490</v>
          </cell>
          <cell r="AE582">
            <v>26960570</v>
          </cell>
          <cell r="AF582">
            <v>25945010</v>
          </cell>
          <cell r="AG582">
            <v>0</v>
          </cell>
          <cell r="AH582">
            <v>0</v>
          </cell>
          <cell r="AI582">
            <v>0</v>
          </cell>
          <cell r="AJ582">
            <v>0</v>
          </cell>
          <cell r="AK582">
            <v>773760</v>
          </cell>
          <cell r="AL582">
            <v>1692600</v>
          </cell>
          <cell r="AM582">
            <v>145080</v>
          </cell>
          <cell r="AN582">
            <v>290160</v>
          </cell>
          <cell r="AO582">
            <v>96720</v>
          </cell>
          <cell r="AP582">
            <v>96720</v>
          </cell>
        </row>
        <row r="583">
          <cell r="D583" t="str">
            <v>Nghiên cứu nền tảng công nghệ, phát triển sản phẩm dẫn xuất truyền dẫn tán xạ tầng đối lưu</v>
          </cell>
          <cell r="G583" t="str">
            <v>KHCN</v>
          </cell>
          <cell r="I583" t="str">
            <v>TTQS</v>
          </cell>
          <cell r="AC583">
            <v>1030000</v>
          </cell>
          <cell r="AD583">
            <v>39511413</v>
          </cell>
          <cell r="AE583">
            <v>35963717</v>
          </cell>
          <cell r="AF583">
            <v>34838789</v>
          </cell>
          <cell r="AG583">
            <v>0</v>
          </cell>
          <cell r="AH583">
            <v>0</v>
          </cell>
          <cell r="AI583">
            <v>0</v>
          </cell>
          <cell r="AJ583">
            <v>0</v>
          </cell>
          <cell r="AK583">
            <v>857088</v>
          </cell>
          <cell r="AL583">
            <v>1874880</v>
          </cell>
          <cell r="AM583">
            <v>160704</v>
          </cell>
          <cell r="AN583">
            <v>321408</v>
          </cell>
          <cell r="AO583">
            <v>107136</v>
          </cell>
          <cell r="AP583">
            <v>107136</v>
          </cell>
        </row>
        <row r="584">
          <cell r="D584" t="str">
            <v>Nghiên cứu nền tảng công nghệ, phát triển sản phẩm dẫn xuất truyền dẫn tán xạ tầng đối lưu</v>
          </cell>
          <cell r="G584" t="str">
            <v>KHCN</v>
          </cell>
          <cell r="I584" t="str">
            <v>TTQS</v>
          </cell>
          <cell r="AC584">
            <v>1130000</v>
          </cell>
          <cell r="AD584">
            <v>87772276</v>
          </cell>
          <cell r="AE584">
            <v>82955600</v>
          </cell>
          <cell r="AF584">
            <v>81443118</v>
          </cell>
          <cell r="AG584">
            <v>0</v>
          </cell>
          <cell r="AH584">
            <v>0</v>
          </cell>
          <cell r="AI584">
            <v>0</v>
          </cell>
          <cell r="AJ584">
            <v>0</v>
          </cell>
          <cell r="AK584">
            <v>1512482</v>
          </cell>
          <cell r="AL584">
            <v>3308555</v>
          </cell>
          <cell r="AM584">
            <v>0</v>
          </cell>
          <cell r="AN584">
            <v>0</v>
          </cell>
          <cell r="AO584">
            <v>0</v>
          </cell>
          <cell r="AP584">
            <v>0</v>
          </cell>
        </row>
        <row r="585">
          <cell r="D585" t="str">
            <v>Nghiên cứu nền tảng công nghệ, phát triển sản phẩm dẫn xuất truyền dẫn tán xạ tầng đối lưu</v>
          </cell>
          <cell r="G585" t="str">
            <v>KHCN</v>
          </cell>
          <cell r="I585" t="str">
            <v>TTQS</v>
          </cell>
          <cell r="AC585">
            <v>1030000</v>
          </cell>
          <cell r="AD585">
            <v>39198549</v>
          </cell>
          <cell r="AE585">
            <v>35650853</v>
          </cell>
          <cell r="AF585">
            <v>34525925</v>
          </cell>
          <cell r="AG585">
            <v>0</v>
          </cell>
          <cell r="AH585">
            <v>0</v>
          </cell>
          <cell r="AI585">
            <v>0</v>
          </cell>
          <cell r="AJ585">
            <v>0</v>
          </cell>
          <cell r="AK585">
            <v>857088</v>
          </cell>
          <cell r="AL585">
            <v>1874880</v>
          </cell>
          <cell r="AM585">
            <v>160704</v>
          </cell>
          <cell r="AN585">
            <v>321408</v>
          </cell>
          <cell r="AO585">
            <v>107136</v>
          </cell>
          <cell r="AP585">
            <v>107136</v>
          </cell>
        </row>
        <row r="586">
          <cell r="D586" t="str">
            <v>Nghiên cứu nền tảng công nghệ, phát triển sản phẩm dẫn xuất truyền dẫn tán xạ tầng đối lưu</v>
          </cell>
          <cell r="G586" t="str">
            <v>KHCN</v>
          </cell>
          <cell r="I586" t="str">
            <v>TTQS</v>
          </cell>
          <cell r="AC586">
            <v>1030000</v>
          </cell>
          <cell r="AD586">
            <v>26315302</v>
          </cell>
          <cell r="AE586">
            <v>23233846</v>
          </cell>
          <cell r="AF586">
            <v>22317238</v>
          </cell>
          <cell r="AG586">
            <v>0</v>
          </cell>
          <cell r="AH586">
            <v>0</v>
          </cell>
          <cell r="AI586">
            <v>0</v>
          </cell>
          <cell r="AJ586">
            <v>0</v>
          </cell>
          <cell r="AK586">
            <v>698368</v>
          </cell>
          <cell r="AL586">
            <v>1527680</v>
          </cell>
          <cell r="AM586">
            <v>130944</v>
          </cell>
          <cell r="AN586">
            <v>261888</v>
          </cell>
          <cell r="AO586">
            <v>87296</v>
          </cell>
          <cell r="AP586">
            <v>87296</v>
          </cell>
        </row>
        <row r="587">
          <cell r="D587" t="str">
            <v>Nghiên cứu, thiết kế, chế tạo khối khuếch đại công suất 50W đa băng VHF/UHF dải rộng cho hệ thống thông tin thế hệ mới</v>
          </cell>
          <cell r="G587" t="str">
            <v>KHCN</v>
          </cell>
          <cell r="I587" t="str">
            <v>TTQS</v>
          </cell>
          <cell r="AC587">
            <v>1030000</v>
          </cell>
          <cell r="AD587">
            <v>35742173</v>
          </cell>
          <cell r="AE587">
            <v>31903190</v>
          </cell>
          <cell r="AF587">
            <v>30750787</v>
          </cell>
          <cell r="AG587">
            <v>0</v>
          </cell>
          <cell r="AH587">
            <v>0</v>
          </cell>
          <cell r="AI587">
            <v>0</v>
          </cell>
          <cell r="AJ587">
            <v>0</v>
          </cell>
          <cell r="AK587">
            <v>1152403</v>
          </cell>
          <cell r="AL587">
            <v>2520882</v>
          </cell>
          <cell r="AM587">
            <v>0</v>
          </cell>
          <cell r="AN587">
            <v>0</v>
          </cell>
          <cell r="AO587">
            <v>0</v>
          </cell>
          <cell r="AP587">
            <v>0</v>
          </cell>
        </row>
        <row r="588">
          <cell r="D588" t="str">
            <v>Nghiên cứu, thiết kế, chế tạo khối khuếch đại công suất 50W đa băng VHF/UHF dải rộng cho hệ thống thông tin thế hệ mới</v>
          </cell>
          <cell r="G588" t="str">
            <v>KHCN</v>
          </cell>
          <cell r="I588" t="str">
            <v>TTQS</v>
          </cell>
          <cell r="AC588">
            <v>930000</v>
          </cell>
          <cell r="AD588">
            <v>26609286</v>
          </cell>
          <cell r="AE588">
            <v>23522926</v>
          </cell>
          <cell r="AF588">
            <v>22559446</v>
          </cell>
          <cell r="AG588">
            <v>0</v>
          </cell>
          <cell r="AH588">
            <v>0</v>
          </cell>
          <cell r="AI588">
            <v>0</v>
          </cell>
          <cell r="AJ588">
            <v>0</v>
          </cell>
          <cell r="AK588">
            <v>734080</v>
          </cell>
          <cell r="AL588">
            <v>1605800</v>
          </cell>
          <cell r="AM588">
            <v>137640</v>
          </cell>
          <cell r="AN588">
            <v>275280</v>
          </cell>
          <cell r="AO588">
            <v>91760</v>
          </cell>
          <cell r="AP588">
            <v>91760</v>
          </cell>
        </row>
        <row r="589">
          <cell r="D589" t="str">
            <v>Cung cấp 55 xe chỉ huy tham mưu đa năng năm 2024</v>
          </cell>
          <cell r="G589" t="str">
            <v>SXKD</v>
          </cell>
          <cell r="I589" t="str">
            <v>TTQS</v>
          </cell>
          <cell r="AC589">
            <v>1047000</v>
          </cell>
          <cell r="AD589">
            <v>16711308</v>
          </cell>
          <cell r="AE589">
            <v>13904252</v>
          </cell>
          <cell r="AF589">
            <v>13117844</v>
          </cell>
          <cell r="AG589">
            <v>0</v>
          </cell>
          <cell r="AH589">
            <v>0</v>
          </cell>
          <cell r="AI589">
            <v>0</v>
          </cell>
          <cell r="AJ589">
            <v>0</v>
          </cell>
          <cell r="AK589">
            <v>599168</v>
          </cell>
          <cell r="AL589">
            <v>1310680</v>
          </cell>
          <cell r="AM589">
            <v>112344</v>
          </cell>
          <cell r="AN589">
            <v>224688</v>
          </cell>
          <cell r="AO589">
            <v>74896</v>
          </cell>
          <cell r="AP589">
            <v>74896</v>
          </cell>
        </row>
        <row r="590">
          <cell r="D590" t="str">
            <v>Cung cấp 55 xe chỉ huy tham mưu đa năng năm 2024</v>
          </cell>
          <cell r="G590" t="str">
            <v>SXKD</v>
          </cell>
          <cell r="I590" t="str">
            <v>TTQS</v>
          </cell>
          <cell r="AC590">
            <v>1047000</v>
          </cell>
          <cell r="AD590">
            <v>17240436</v>
          </cell>
          <cell r="AE590">
            <v>14433380</v>
          </cell>
          <cell r="AF590">
            <v>13646972</v>
          </cell>
          <cell r="AG590">
            <v>0</v>
          </cell>
          <cell r="AH590">
            <v>0</v>
          </cell>
          <cell r="AI590">
            <v>0</v>
          </cell>
          <cell r="AJ590">
            <v>0</v>
          </cell>
          <cell r="AK590">
            <v>599168</v>
          </cell>
          <cell r="AL590">
            <v>1310680</v>
          </cell>
          <cell r="AM590">
            <v>112344</v>
          </cell>
          <cell r="AN590">
            <v>224688</v>
          </cell>
          <cell r="AO590">
            <v>74896</v>
          </cell>
          <cell r="AP590">
            <v>74896</v>
          </cell>
        </row>
        <row r="591">
          <cell r="D591" t="str">
            <v>Cung cấp 55 xe chỉ huy tham mưu đa năng năm 2024</v>
          </cell>
          <cell r="G591" t="str">
            <v>SXKD</v>
          </cell>
          <cell r="I591" t="str">
            <v>TTQS</v>
          </cell>
          <cell r="AC591">
            <v>1030000</v>
          </cell>
          <cell r="AD591">
            <v>42198549</v>
          </cell>
          <cell r="AE591">
            <v>38650853</v>
          </cell>
          <cell r="AF591">
            <v>37525925</v>
          </cell>
          <cell r="AG591">
            <v>0</v>
          </cell>
          <cell r="AH591">
            <v>0</v>
          </cell>
          <cell r="AI591">
            <v>0</v>
          </cell>
          <cell r="AJ591">
            <v>0</v>
          </cell>
          <cell r="AK591">
            <v>857088</v>
          </cell>
          <cell r="AL591">
            <v>1874880</v>
          </cell>
          <cell r="AM591">
            <v>160704</v>
          </cell>
          <cell r="AN591">
            <v>321408</v>
          </cell>
          <cell r="AO591">
            <v>107136</v>
          </cell>
          <cell r="AP591">
            <v>107136</v>
          </cell>
        </row>
        <row r="592">
          <cell r="D592" t="str">
            <v>Nghiên cứu, chế tạo máy thông tin cầm tay đa băng tần V-UHF ứng dụng công nghệ vô tuyến thích nghi - VRH811/S1</v>
          </cell>
          <cell r="G592" t="str">
            <v>KHCN</v>
          </cell>
          <cell r="I592" t="str">
            <v>TTQS</v>
          </cell>
          <cell r="AC592">
            <v>1230000</v>
          </cell>
          <cell r="AD592">
            <v>71046643</v>
          </cell>
          <cell r="AE592">
            <v>23443481</v>
          </cell>
          <cell r="AF592">
            <v>23088574</v>
          </cell>
          <cell r="AG592">
            <v>0</v>
          </cell>
          <cell r="AH592">
            <v>0</v>
          </cell>
          <cell r="AI592">
            <v>0</v>
          </cell>
          <cell r="AJ592">
            <v>0</v>
          </cell>
          <cell r="AK592">
            <v>298869</v>
          </cell>
          <cell r="AL592">
            <v>653776</v>
          </cell>
          <cell r="AM592">
            <v>56038</v>
          </cell>
          <cell r="AN592">
            <v>112076</v>
          </cell>
          <cell r="AO592">
            <v>0</v>
          </cell>
          <cell r="AP592">
            <v>0</v>
          </cell>
        </row>
        <row r="593">
          <cell r="D593" t="str">
            <v>Nghiên cứu, chế tạo máy thông tin cầm tay đa băng tần V-UHF ứng dụng công nghệ vô tuyến thích nghi - VRH811/S1</v>
          </cell>
          <cell r="G593" t="str">
            <v>KHCN</v>
          </cell>
          <cell r="I593" t="str">
            <v>TTQS</v>
          </cell>
          <cell r="AC593">
            <v>1230000</v>
          </cell>
          <cell r="AD593">
            <v>69991146</v>
          </cell>
          <cell r="AE593">
            <v>65671538</v>
          </cell>
          <cell r="AF593">
            <v>64404007</v>
          </cell>
          <cell r="AG593">
            <v>0</v>
          </cell>
          <cell r="AH593">
            <v>0</v>
          </cell>
          <cell r="AI593">
            <v>0</v>
          </cell>
          <cell r="AJ593">
            <v>0</v>
          </cell>
          <cell r="AK593">
            <v>1267531</v>
          </cell>
          <cell r="AL593">
            <v>2772725</v>
          </cell>
          <cell r="AM593">
            <v>0</v>
          </cell>
          <cell r="AN593">
            <v>0</v>
          </cell>
          <cell r="AO593">
            <v>0</v>
          </cell>
          <cell r="AP593">
            <v>0</v>
          </cell>
        </row>
        <row r="594">
          <cell r="D594" t="str">
            <v>Nghiên cứu, chế tạo máy thông tin cầm tay đa băng tần V-UHF ứng dụng công nghệ vô tuyến thích nghi - VRH811/S1</v>
          </cell>
          <cell r="G594" t="str">
            <v>KHCN</v>
          </cell>
          <cell r="I594" t="str">
            <v>TTQS</v>
          </cell>
          <cell r="AC594">
            <v>930000</v>
          </cell>
          <cell r="AD594">
            <v>20493652</v>
          </cell>
          <cell r="AE594">
            <v>17617100</v>
          </cell>
          <cell r="AF594">
            <v>16747364</v>
          </cell>
          <cell r="AG594">
            <v>0</v>
          </cell>
          <cell r="AH594">
            <v>0</v>
          </cell>
          <cell r="AI594">
            <v>0</v>
          </cell>
          <cell r="AJ594">
            <v>0</v>
          </cell>
          <cell r="AK594">
            <v>662656</v>
          </cell>
          <cell r="AL594">
            <v>1449560</v>
          </cell>
          <cell r="AM594">
            <v>124248</v>
          </cell>
          <cell r="AN594">
            <v>248496</v>
          </cell>
          <cell r="AO594">
            <v>82832</v>
          </cell>
          <cell r="AP594">
            <v>82832</v>
          </cell>
        </row>
        <row r="595">
          <cell r="D595" t="str">
            <v>Nghiên cứu, chế tạo máy thông tin cầm tay đa băng tần V-UHF ứng dụng công nghệ vô tuyến thích nghi - VRH811/S1</v>
          </cell>
          <cell r="G595" t="str">
            <v>KHCN</v>
          </cell>
          <cell r="I595" t="str">
            <v>TTQS</v>
          </cell>
          <cell r="AC595">
            <v>930000</v>
          </cell>
          <cell r="AD595">
            <v>17210056</v>
          </cell>
          <cell r="AE595">
            <v>14520000</v>
          </cell>
          <cell r="AF595">
            <v>13733592</v>
          </cell>
          <cell r="AG595">
            <v>0</v>
          </cell>
          <cell r="AH595">
            <v>0</v>
          </cell>
          <cell r="AI595">
            <v>0</v>
          </cell>
          <cell r="AJ595">
            <v>0</v>
          </cell>
          <cell r="AK595">
            <v>599168</v>
          </cell>
          <cell r="AL595">
            <v>1310680</v>
          </cell>
          <cell r="AM595">
            <v>112344</v>
          </cell>
          <cell r="AN595">
            <v>224688</v>
          </cell>
          <cell r="AO595">
            <v>74896</v>
          </cell>
          <cell r="AP595">
            <v>74896</v>
          </cell>
        </row>
        <row r="596">
          <cell r="D596" t="str">
            <v>Nghiên cứu, chế tạo máy thông tin cầm tay đa băng tần V-UHF ứng dụng công nghệ vô tuyến thích nghi - VRH811/S1</v>
          </cell>
          <cell r="G596" t="str">
            <v>KHCN</v>
          </cell>
          <cell r="I596" t="str">
            <v>TTQS</v>
          </cell>
          <cell r="AC596">
            <v>930000</v>
          </cell>
          <cell r="AD596">
            <v>24161570</v>
          </cell>
          <cell r="AE596">
            <v>21180114</v>
          </cell>
          <cell r="AF596">
            <v>20263506</v>
          </cell>
          <cell r="AG596">
            <v>0</v>
          </cell>
          <cell r="AH596">
            <v>0</v>
          </cell>
          <cell r="AI596">
            <v>0</v>
          </cell>
          <cell r="AJ596">
            <v>0</v>
          </cell>
          <cell r="AK596">
            <v>698368</v>
          </cell>
          <cell r="AL596">
            <v>1527680</v>
          </cell>
          <cell r="AM596">
            <v>130944</v>
          </cell>
          <cell r="AN596">
            <v>261888</v>
          </cell>
          <cell r="AO596">
            <v>87296</v>
          </cell>
          <cell r="AP596">
            <v>87296</v>
          </cell>
        </row>
        <row r="597">
          <cell r="D597" t="str">
            <v>Nghiên cứu, chế tạo máy thông tin cầm tay đa băng tần V-UHF ứng dụng công nghệ vô tuyến thích nghi - VRH811/S1</v>
          </cell>
          <cell r="G597" t="str">
            <v>KHCN</v>
          </cell>
          <cell r="I597" t="str">
            <v>TTQS</v>
          </cell>
          <cell r="AC597">
            <v>1247000</v>
          </cell>
          <cell r="AD597">
            <v>39415549</v>
          </cell>
          <cell r="AE597">
            <v>35650853</v>
          </cell>
          <cell r="AF597">
            <v>34525925</v>
          </cell>
          <cell r="AG597">
            <v>0</v>
          </cell>
          <cell r="AH597">
            <v>0</v>
          </cell>
          <cell r="AI597">
            <v>0</v>
          </cell>
          <cell r="AJ597">
            <v>0</v>
          </cell>
          <cell r="AK597">
            <v>857088</v>
          </cell>
          <cell r="AL597">
            <v>1874880</v>
          </cell>
          <cell r="AM597">
            <v>160704</v>
          </cell>
          <cell r="AN597">
            <v>321408</v>
          </cell>
          <cell r="AO597">
            <v>107136</v>
          </cell>
          <cell r="AP597">
            <v>107136</v>
          </cell>
        </row>
        <row r="598">
          <cell r="D598" t="str">
            <v>Nghiên cứu, chế tạo máy thông tin cầm tay đa băng tần V-UHF ứng dụng công nghệ vô tuyến thích nghi - VRH811/S1</v>
          </cell>
          <cell r="G598" t="str">
            <v>KHCN</v>
          </cell>
          <cell r="I598" t="str">
            <v>TTQS</v>
          </cell>
          <cell r="AC598">
            <v>1047000</v>
          </cell>
          <cell r="AD598">
            <v>24112143</v>
          </cell>
          <cell r="AE598">
            <v>21013687</v>
          </cell>
          <cell r="AF598">
            <v>20097079</v>
          </cell>
          <cell r="AG598">
            <v>0</v>
          </cell>
          <cell r="AH598">
            <v>0</v>
          </cell>
          <cell r="AI598">
            <v>0</v>
          </cell>
          <cell r="AJ598">
            <v>0</v>
          </cell>
          <cell r="AK598">
            <v>698368</v>
          </cell>
          <cell r="AL598">
            <v>1527680</v>
          </cell>
          <cell r="AM598">
            <v>130944</v>
          </cell>
          <cell r="AN598">
            <v>261888</v>
          </cell>
          <cell r="AO598">
            <v>87296</v>
          </cell>
          <cell r="AP598">
            <v>87296</v>
          </cell>
        </row>
        <row r="599">
          <cell r="D599" t="str">
            <v>Sản xuất 04 đài Ra đa 3D cảnh giới tầm trung băng S VRS-MRS và 01 gói vật tư dự phòng (04 đài Ra đa 3D cảnh giới tầm trung băng S VRS-MRS)</v>
          </cell>
          <cell r="G599" t="str">
            <v>SXKD</v>
          </cell>
          <cell r="I599" t="str">
            <v>RD</v>
          </cell>
          <cell r="AC599">
            <v>1130000</v>
          </cell>
          <cell r="AD599">
            <v>74402192</v>
          </cell>
          <cell r="AE599">
            <v>27746690</v>
          </cell>
          <cell r="AF599">
            <v>27356119</v>
          </cell>
          <cell r="AG599">
            <v>0</v>
          </cell>
          <cell r="AH599">
            <v>0</v>
          </cell>
          <cell r="AI599">
            <v>0</v>
          </cell>
          <cell r="AJ599">
            <v>0</v>
          </cell>
          <cell r="AK599">
            <v>328902</v>
          </cell>
          <cell r="AL599">
            <v>719474</v>
          </cell>
          <cell r="AM599">
            <v>61669</v>
          </cell>
          <cell r="AN599">
            <v>123338</v>
          </cell>
          <cell r="AO599">
            <v>0</v>
          </cell>
          <cell r="AP599">
            <v>0</v>
          </cell>
        </row>
        <row r="600">
          <cell r="D600" t="str">
            <v>Sản xuất 04 đài Ra đa 3D cảnh giới tầm trung băng S VRS-MRS và 01 gói vật tư dự phòng (04 đài Ra đa 3D cảnh giới tầm trung băng S VRS-MRS)</v>
          </cell>
          <cell r="G600" t="str">
            <v>SXKD</v>
          </cell>
          <cell r="I600" t="str">
            <v>RD</v>
          </cell>
          <cell r="AC600">
            <v>1030000</v>
          </cell>
          <cell r="AD600">
            <v>50698923</v>
          </cell>
          <cell r="AE600">
            <v>40704922</v>
          </cell>
          <cell r="AF600">
            <v>39685252</v>
          </cell>
          <cell r="AG600">
            <v>0</v>
          </cell>
          <cell r="AH600">
            <v>0</v>
          </cell>
          <cell r="AI600">
            <v>0</v>
          </cell>
          <cell r="AJ600">
            <v>0</v>
          </cell>
          <cell r="AK600">
            <v>1019670</v>
          </cell>
          <cell r="AL600">
            <v>2230529</v>
          </cell>
          <cell r="AM600">
            <v>0</v>
          </cell>
          <cell r="AN600">
            <v>0</v>
          </cell>
          <cell r="AO600">
            <v>0</v>
          </cell>
          <cell r="AP600">
            <v>0</v>
          </cell>
        </row>
        <row r="601">
          <cell r="D601" t="str">
            <v>Sản xuất 04 đài Ra đa 3D cảnh giới tầm trung băng S VRS-MRS và 01 gói vật tư dự phòng (04 đài Ra đa 3D cảnh giới tầm trung băng S VRS-MRS)</v>
          </cell>
          <cell r="G601" t="str">
            <v>SXKD</v>
          </cell>
          <cell r="I601" t="str">
            <v>RD</v>
          </cell>
          <cell r="AC601">
            <v>1030000</v>
          </cell>
          <cell r="AD601">
            <v>43321640</v>
          </cell>
          <cell r="AE601">
            <v>15563717</v>
          </cell>
          <cell r="AF601">
            <v>15123528</v>
          </cell>
          <cell r="AG601">
            <v>0</v>
          </cell>
          <cell r="AH601">
            <v>0</v>
          </cell>
          <cell r="AI601">
            <v>0</v>
          </cell>
          <cell r="AJ601">
            <v>0</v>
          </cell>
          <cell r="AK601">
            <v>335382</v>
          </cell>
          <cell r="AL601">
            <v>733649</v>
          </cell>
          <cell r="AM601">
            <v>62884</v>
          </cell>
          <cell r="AN601">
            <v>125768</v>
          </cell>
          <cell r="AO601">
            <v>41923</v>
          </cell>
          <cell r="AP601">
            <v>41923</v>
          </cell>
        </row>
        <row r="602">
          <cell r="D602" t="str">
            <v>Sản xuất 04 đài Ra đa 3D cảnh giới tầm trung băng S VRS-MRS và 01 gói vật tư dự phòng (04 đài Ra đa 3D cảnh giới tầm trung băng S VRS-MRS)</v>
          </cell>
          <cell r="G602" t="str">
            <v>SXKD</v>
          </cell>
          <cell r="I602" t="str">
            <v>RD</v>
          </cell>
          <cell r="AC602">
            <v>1030000</v>
          </cell>
          <cell r="AD602">
            <v>37681623</v>
          </cell>
          <cell r="AE602">
            <v>29109370</v>
          </cell>
          <cell r="AF602">
            <v>27976403</v>
          </cell>
          <cell r="AG602">
            <v>0</v>
          </cell>
          <cell r="AH602">
            <v>0</v>
          </cell>
          <cell r="AI602">
            <v>0</v>
          </cell>
          <cell r="AJ602">
            <v>0</v>
          </cell>
          <cell r="AK602">
            <v>1132967</v>
          </cell>
          <cell r="AL602">
            <v>2478365</v>
          </cell>
          <cell r="AM602">
            <v>0</v>
          </cell>
          <cell r="AN602">
            <v>0</v>
          </cell>
          <cell r="AO602">
            <v>0</v>
          </cell>
          <cell r="AP602">
            <v>0</v>
          </cell>
        </row>
        <row r="603">
          <cell r="D603" t="str">
            <v>Sản xuất 04 đài Ra đa 3D cảnh giới tầm trung băng S VRS-MRS và 01 gói vật tư dự phòng (04 đài Ra đa 3D cảnh giới tầm trung băng S VRS-MRS)</v>
          </cell>
          <cell r="G603" t="str">
            <v>SXKD</v>
          </cell>
          <cell r="I603" t="str">
            <v>RD</v>
          </cell>
          <cell r="AC603">
            <v>1030000</v>
          </cell>
          <cell r="AD603">
            <v>39884079</v>
          </cell>
          <cell r="AE603">
            <v>13950334</v>
          </cell>
          <cell r="AF603">
            <v>13436104</v>
          </cell>
          <cell r="AG603">
            <v>0</v>
          </cell>
          <cell r="AH603">
            <v>0</v>
          </cell>
          <cell r="AI603">
            <v>0</v>
          </cell>
          <cell r="AJ603">
            <v>0</v>
          </cell>
          <cell r="AK603">
            <v>514230</v>
          </cell>
          <cell r="AL603">
            <v>1124879</v>
          </cell>
          <cell r="AM603">
            <v>0</v>
          </cell>
          <cell r="AN603">
            <v>0</v>
          </cell>
          <cell r="AO603">
            <v>0</v>
          </cell>
          <cell r="AP603">
            <v>0</v>
          </cell>
        </row>
        <row r="604">
          <cell r="D604" t="str">
            <v>Sản xuất 04 đài Ra đa 3D cảnh giới tầm trung băng S VRS-MRS và 01 gói vật tư dự phòng (04 đài Ra đa 3D cảnh giới tầm trung băng S VRS-MRS)</v>
          </cell>
          <cell r="G604" t="str">
            <v>SXKD</v>
          </cell>
          <cell r="I604" t="str">
            <v>RD</v>
          </cell>
          <cell r="AC604">
            <v>930000</v>
          </cell>
          <cell r="AD604">
            <v>28254600</v>
          </cell>
          <cell r="AE604">
            <v>9802831</v>
          </cell>
          <cell r="AF604">
            <v>9405438</v>
          </cell>
          <cell r="AG604">
            <v>0</v>
          </cell>
          <cell r="AH604">
            <v>0</v>
          </cell>
          <cell r="AI604">
            <v>0</v>
          </cell>
          <cell r="AJ604">
            <v>0</v>
          </cell>
          <cell r="AK604">
            <v>302776</v>
          </cell>
          <cell r="AL604">
            <v>662322</v>
          </cell>
          <cell r="AM604">
            <v>56770</v>
          </cell>
          <cell r="AN604">
            <v>113541</v>
          </cell>
          <cell r="AO604">
            <v>37847</v>
          </cell>
          <cell r="AP604">
            <v>37847</v>
          </cell>
        </row>
        <row r="605">
          <cell r="D605" t="str">
            <v>Sản xuất 04 đài Ra đa 3D cảnh giới tầm trung băng S VRS-MRS và 01 gói vật tư dự phòng (04 đài Ra đa 3D cảnh giới tầm trung băng S VRS-MRS)</v>
          </cell>
          <cell r="G605" t="str">
            <v>SXKD</v>
          </cell>
          <cell r="I605" t="str">
            <v>RD</v>
          </cell>
          <cell r="AC605">
            <v>1030000</v>
          </cell>
          <cell r="AD605">
            <v>42198549</v>
          </cell>
          <cell r="AE605">
            <v>33609437</v>
          </cell>
          <cell r="AF605">
            <v>32631238</v>
          </cell>
          <cell r="AG605">
            <v>0</v>
          </cell>
          <cell r="AH605">
            <v>0</v>
          </cell>
          <cell r="AI605">
            <v>0</v>
          </cell>
          <cell r="AJ605">
            <v>0</v>
          </cell>
          <cell r="AK605">
            <v>745294</v>
          </cell>
          <cell r="AL605">
            <v>1630330</v>
          </cell>
          <cell r="AM605">
            <v>139743</v>
          </cell>
          <cell r="AN605">
            <v>279485</v>
          </cell>
          <cell r="AO605">
            <v>93162</v>
          </cell>
          <cell r="AP605">
            <v>93162</v>
          </cell>
        </row>
        <row r="606">
          <cell r="D606" t="str">
            <v>Sản xuất 04 đài Ra đa 3D cảnh giới tầm trung băng S VRS-MRS và 01 gói vật tư dự phòng (04 đài Ra đa 3D cảnh giới tầm trung băng S VRS-MRS)</v>
          </cell>
          <cell r="G606" t="str">
            <v>SXKD</v>
          </cell>
          <cell r="I606" t="str">
            <v>RD</v>
          </cell>
          <cell r="AC606">
            <v>930000</v>
          </cell>
          <cell r="AD606">
            <v>21693266</v>
          </cell>
          <cell r="AE606">
            <v>7363062</v>
          </cell>
          <cell r="AF606">
            <v>7022730</v>
          </cell>
          <cell r="AG606">
            <v>0</v>
          </cell>
          <cell r="AH606">
            <v>0</v>
          </cell>
          <cell r="AI606">
            <v>0</v>
          </cell>
          <cell r="AJ606">
            <v>0</v>
          </cell>
          <cell r="AK606">
            <v>259300</v>
          </cell>
          <cell r="AL606">
            <v>567219</v>
          </cell>
          <cell r="AM606">
            <v>48619</v>
          </cell>
          <cell r="AN606">
            <v>97238</v>
          </cell>
          <cell r="AO606">
            <v>32413</v>
          </cell>
          <cell r="AP606">
            <v>32413</v>
          </cell>
        </row>
        <row r="607">
          <cell r="D607" t="str">
            <v>Sản xuất 04 đài Ra đa 3D cảnh giới tầm trung băng S VRS-MRS và 01 gói vật tư dự phòng (04 đài Ra đa 3D cảnh giới tầm trung băng S VRS-MRS)</v>
          </cell>
          <cell r="G607" t="str">
            <v>SXKD</v>
          </cell>
          <cell r="I607" t="str">
            <v>RD</v>
          </cell>
          <cell r="AC607">
            <v>930000</v>
          </cell>
          <cell r="AD607">
            <v>23867752</v>
          </cell>
          <cell r="AE607">
            <v>8213948</v>
          </cell>
          <cell r="AF607">
            <v>7873616</v>
          </cell>
          <cell r="AG607">
            <v>0</v>
          </cell>
          <cell r="AH607">
            <v>0</v>
          </cell>
          <cell r="AI607">
            <v>0</v>
          </cell>
          <cell r="AJ607">
            <v>0</v>
          </cell>
          <cell r="AK607">
            <v>259300</v>
          </cell>
          <cell r="AL607">
            <v>567219</v>
          </cell>
          <cell r="AM607">
            <v>48619</v>
          </cell>
          <cell r="AN607">
            <v>97238</v>
          </cell>
          <cell r="AO607">
            <v>32413</v>
          </cell>
          <cell r="AP607">
            <v>32413</v>
          </cell>
        </row>
        <row r="608">
          <cell r="D608" t="str">
            <v>Sản xuất 04 đài Ra đa 3D cảnh giới tầm trung băng S VRS-MRS và 01 gói vật tư dự phòng (04 đài Ra đa 3D cảnh giới tầm trung băng S VRS-MRS)</v>
          </cell>
          <cell r="G608" t="str">
            <v>SXKD</v>
          </cell>
          <cell r="I608" t="str">
            <v>RD</v>
          </cell>
          <cell r="AC608">
            <v>930000</v>
          </cell>
          <cell r="AD608">
            <v>19499984</v>
          </cell>
          <cell r="AE608">
            <v>6541310</v>
          </cell>
          <cell r="AF608">
            <v>6217281</v>
          </cell>
          <cell r="AG608">
            <v>0</v>
          </cell>
          <cell r="AH608">
            <v>0</v>
          </cell>
          <cell r="AI608">
            <v>0</v>
          </cell>
          <cell r="AJ608">
            <v>0</v>
          </cell>
          <cell r="AK608">
            <v>246879</v>
          </cell>
          <cell r="AL608">
            <v>540047</v>
          </cell>
          <cell r="AM608">
            <v>46290</v>
          </cell>
          <cell r="AN608">
            <v>92579</v>
          </cell>
          <cell r="AO608">
            <v>30860</v>
          </cell>
          <cell r="AP608">
            <v>30860</v>
          </cell>
        </row>
        <row r="609">
          <cell r="D609" t="str">
            <v>Sản xuất 04 đài Ra đa 3D cảnh giới tầm trung băng S VRS-MRS và 01 gói vật tư dự phòng (04 đài Ra đa 3D cảnh giới tầm trung băng S VRS-MRS)</v>
          </cell>
          <cell r="G609" t="str">
            <v>SXKD</v>
          </cell>
          <cell r="I609" t="str">
            <v>RD</v>
          </cell>
          <cell r="AC609">
            <v>930000</v>
          </cell>
          <cell r="AD609">
            <v>33163490</v>
          </cell>
          <cell r="AE609">
            <v>26052670</v>
          </cell>
          <cell r="AF609">
            <v>25169574</v>
          </cell>
          <cell r="AG609">
            <v>0</v>
          </cell>
          <cell r="AH609">
            <v>0</v>
          </cell>
          <cell r="AI609">
            <v>0</v>
          </cell>
          <cell r="AJ609">
            <v>0</v>
          </cell>
          <cell r="AK609">
            <v>672835</v>
          </cell>
          <cell r="AL609">
            <v>1471826</v>
          </cell>
          <cell r="AM609">
            <v>126157</v>
          </cell>
          <cell r="AN609">
            <v>252313</v>
          </cell>
          <cell r="AO609">
            <v>84104</v>
          </cell>
          <cell r="AP609">
            <v>84104</v>
          </cell>
        </row>
        <row r="610">
          <cell r="D610" t="str">
            <v>Sản xuất 04 đài Ra đa 3D cảnh giới tầm trung băng S VRS-MRS và 01 gói vật tư dự phòng (04 đài Ra đa 3D cảnh giới tầm trung băng S VRS-MRS)</v>
          </cell>
          <cell r="G610" t="str">
            <v>SXKD</v>
          </cell>
          <cell r="I610" t="str">
            <v>RD</v>
          </cell>
          <cell r="AC610">
            <v>930000</v>
          </cell>
          <cell r="AD610">
            <v>27589800</v>
          </cell>
          <cell r="AE610">
            <v>9588303</v>
          </cell>
          <cell r="AF610">
            <v>9211289</v>
          </cell>
          <cell r="AG610">
            <v>0</v>
          </cell>
          <cell r="AH610">
            <v>0</v>
          </cell>
          <cell r="AI610">
            <v>0</v>
          </cell>
          <cell r="AJ610">
            <v>0</v>
          </cell>
          <cell r="AK610">
            <v>287249</v>
          </cell>
          <cell r="AL610">
            <v>628357</v>
          </cell>
          <cell r="AM610">
            <v>53859</v>
          </cell>
          <cell r="AN610">
            <v>107718</v>
          </cell>
          <cell r="AO610">
            <v>35906</v>
          </cell>
          <cell r="AP610">
            <v>35906</v>
          </cell>
        </row>
        <row r="611">
          <cell r="D611" t="str">
            <v>Sản xuất 04 đài Ra đa 3D cảnh giới tầm trung băng S VRS-MRS và 01 gói vật tư dự phòng (04 đài Ra đa 3D cảnh giới tầm trung băng S VRS-MRS)</v>
          </cell>
          <cell r="G611" t="str">
            <v>SXKD</v>
          </cell>
          <cell r="I611" t="str">
            <v>RD</v>
          </cell>
          <cell r="AC611">
            <v>930000</v>
          </cell>
          <cell r="AD611">
            <v>20994124</v>
          </cell>
          <cell r="AE611">
            <v>5542423</v>
          </cell>
          <cell r="AF611">
            <v>5290401</v>
          </cell>
          <cell r="AG611">
            <v>0</v>
          </cell>
          <cell r="AH611">
            <v>0</v>
          </cell>
          <cell r="AI611">
            <v>0</v>
          </cell>
          <cell r="AJ611">
            <v>0</v>
          </cell>
          <cell r="AK611">
            <v>192017</v>
          </cell>
          <cell r="AL611">
            <v>420037</v>
          </cell>
          <cell r="AM611">
            <v>36003</v>
          </cell>
          <cell r="AN611">
            <v>72006</v>
          </cell>
          <cell r="AO611">
            <v>24002</v>
          </cell>
          <cell r="AP611">
            <v>24002</v>
          </cell>
        </row>
        <row r="612">
          <cell r="D612" t="str">
            <v>Sản xuất 04 đài Ra đa 3D cảnh giới tầm trung băng S VRS-MRS và 01 gói vật tư dự phòng (04 đài Ra đa 3D cảnh giới tầm trung băng S VRS-MRS)</v>
          </cell>
          <cell r="G612" t="str">
            <v>SXKD</v>
          </cell>
          <cell r="I612" t="str">
            <v>RD</v>
          </cell>
          <cell r="AC612">
            <v>930000</v>
          </cell>
          <cell r="AD612">
            <v>22351063</v>
          </cell>
          <cell r="AE612">
            <v>15240922</v>
          </cell>
          <cell r="AF612">
            <v>14560259</v>
          </cell>
          <cell r="AG612">
            <v>0</v>
          </cell>
          <cell r="AH612">
            <v>0</v>
          </cell>
          <cell r="AI612">
            <v>0</v>
          </cell>
          <cell r="AJ612">
            <v>0</v>
          </cell>
          <cell r="AK612">
            <v>518600</v>
          </cell>
          <cell r="AL612">
            <v>1134438</v>
          </cell>
          <cell r="AM612">
            <v>97238</v>
          </cell>
          <cell r="AN612">
            <v>194475</v>
          </cell>
          <cell r="AO612">
            <v>64825</v>
          </cell>
          <cell r="AP612">
            <v>64825</v>
          </cell>
        </row>
        <row r="613">
          <cell r="D613" t="str">
            <v>Sản xuất 04 đài Ra đa 3D cảnh giới tầm trung băng S VRS-MRS và 01 gói vật tư dự phòng (04 đài Ra đa 3D cảnh giới tầm trung băng S VRS-MRS)</v>
          </cell>
          <cell r="G613" t="str">
            <v>SXKD</v>
          </cell>
          <cell r="I613" t="str">
            <v>RD</v>
          </cell>
          <cell r="AC613">
            <v>1030000</v>
          </cell>
          <cell r="AD613">
            <v>40588983</v>
          </cell>
          <cell r="AE613">
            <v>1616065</v>
          </cell>
          <cell r="AF613">
            <v>1569646</v>
          </cell>
          <cell r="AG613">
            <v>0</v>
          </cell>
          <cell r="AH613">
            <v>0</v>
          </cell>
          <cell r="AI613">
            <v>0</v>
          </cell>
          <cell r="AJ613">
            <v>0</v>
          </cell>
          <cell r="AK613">
            <v>35367</v>
          </cell>
          <cell r="AL613">
            <v>77365</v>
          </cell>
          <cell r="AM613">
            <v>6631</v>
          </cell>
          <cell r="AN613">
            <v>13263</v>
          </cell>
          <cell r="AO613">
            <v>4421</v>
          </cell>
          <cell r="AP613">
            <v>4421</v>
          </cell>
        </row>
        <row r="614">
          <cell r="D614" t="str">
            <v>Sản xuất 04 đài Ra đa 3D cảnh giới tầm trung băng S VRS-MRS và 01 gói vật tư dự phòng (04 đài Ra đa 3D cảnh giới tầm trung băng S VRS-MRS)</v>
          </cell>
          <cell r="G614" t="str">
            <v>SXKD</v>
          </cell>
          <cell r="I614" t="str">
            <v>RD</v>
          </cell>
          <cell r="AC614">
            <v>930000</v>
          </cell>
          <cell r="AD614">
            <v>17275656</v>
          </cell>
          <cell r="AE614">
            <v>4439096</v>
          </cell>
          <cell r="AF614">
            <v>4199755</v>
          </cell>
          <cell r="AG614">
            <v>0</v>
          </cell>
          <cell r="AH614">
            <v>0</v>
          </cell>
          <cell r="AI614">
            <v>0</v>
          </cell>
          <cell r="AJ614">
            <v>0</v>
          </cell>
          <cell r="AK614">
            <v>182355</v>
          </cell>
          <cell r="AL614">
            <v>398903</v>
          </cell>
          <cell r="AM614">
            <v>34192</v>
          </cell>
          <cell r="AN614">
            <v>68383</v>
          </cell>
          <cell r="AO614">
            <v>22794</v>
          </cell>
          <cell r="AP614">
            <v>22794</v>
          </cell>
        </row>
        <row r="615">
          <cell r="D615" t="str">
            <v>Sản xuất 04 đài Ra đa 3D cảnh giới tầm trung băng S VRS-MRS và 01 gói vật tư dự phòng (04 đài Ra đa 3D cảnh giới tầm trung băng S VRS-MRS)</v>
          </cell>
          <cell r="G615" t="str">
            <v>SXKD</v>
          </cell>
          <cell r="I615" t="str">
            <v>RD</v>
          </cell>
          <cell r="AC615">
            <v>930000</v>
          </cell>
          <cell r="AD615">
            <v>19373878</v>
          </cell>
          <cell r="AE615">
            <v>2163988</v>
          </cell>
          <cell r="AF615">
            <v>2055978</v>
          </cell>
          <cell r="AG615">
            <v>0</v>
          </cell>
          <cell r="AH615">
            <v>0</v>
          </cell>
          <cell r="AI615">
            <v>0</v>
          </cell>
          <cell r="AJ615">
            <v>0</v>
          </cell>
          <cell r="AK615">
            <v>82293</v>
          </cell>
          <cell r="AL615">
            <v>180016</v>
          </cell>
          <cell r="AM615">
            <v>15430</v>
          </cell>
          <cell r="AN615">
            <v>30860</v>
          </cell>
          <cell r="AO615">
            <v>10287</v>
          </cell>
          <cell r="AP615">
            <v>10287</v>
          </cell>
        </row>
        <row r="616">
          <cell r="D616" t="str">
            <v>Sản xuất 04 đài Ra đa 3D cảnh giới tầm trung băng S VRS-MRS và 01 gói vật tư dự phòng (04 đài Ra đa 3D cảnh giới tầm trung băng S VRS-MRS)</v>
          </cell>
          <cell r="G616" t="str">
            <v>SXKD</v>
          </cell>
          <cell r="I616" t="str">
            <v>RD</v>
          </cell>
          <cell r="AC616">
            <v>930000</v>
          </cell>
          <cell r="AD616">
            <v>18316624</v>
          </cell>
          <cell r="AE616">
            <v>2026085</v>
          </cell>
          <cell r="AF616">
            <v>1918075</v>
          </cell>
          <cell r="AG616">
            <v>0</v>
          </cell>
          <cell r="AH616">
            <v>0</v>
          </cell>
          <cell r="AI616">
            <v>0</v>
          </cell>
          <cell r="AJ616">
            <v>0</v>
          </cell>
          <cell r="AK616">
            <v>82293</v>
          </cell>
          <cell r="AL616">
            <v>180016</v>
          </cell>
          <cell r="AM616">
            <v>15430</v>
          </cell>
          <cell r="AN616">
            <v>30860</v>
          </cell>
          <cell r="AO616">
            <v>10287</v>
          </cell>
          <cell r="AP616">
            <v>10287</v>
          </cell>
        </row>
        <row r="617">
          <cell r="D617" t="str">
            <v>Sản xuất 04 đài Ra đa 3D cảnh giới tầm trung băng S VRS-MRS và 01 gói vật tư dự phòng (04 đài Ra đa 3D cảnh giới tầm trung băng S VRS-MRS)</v>
          </cell>
          <cell r="G617" t="str">
            <v>SXKD</v>
          </cell>
          <cell r="I617" t="str">
            <v>RD</v>
          </cell>
          <cell r="AC617">
            <v>1030000</v>
          </cell>
          <cell r="AD617">
            <v>39328832</v>
          </cell>
          <cell r="AE617">
            <v>4667105</v>
          </cell>
          <cell r="AF617">
            <v>4520376</v>
          </cell>
          <cell r="AG617">
            <v>0</v>
          </cell>
          <cell r="AH617">
            <v>0</v>
          </cell>
          <cell r="AI617">
            <v>0</v>
          </cell>
          <cell r="AJ617">
            <v>0</v>
          </cell>
          <cell r="AK617">
            <v>111794</v>
          </cell>
          <cell r="AL617">
            <v>244550</v>
          </cell>
          <cell r="AM617">
            <v>20961</v>
          </cell>
          <cell r="AN617">
            <v>41923</v>
          </cell>
          <cell r="AO617">
            <v>13974</v>
          </cell>
          <cell r="AP617">
            <v>13974</v>
          </cell>
        </row>
        <row r="618">
          <cell r="D618" t="str">
            <v>Sản xuất 04 đài Ra đa 3D cảnh giới tầm trung băng S VRS-MRS và 01 gói vật tư dự phòng (04 đài Ra đa 3D cảnh giới tầm trung băng S VRS-MRS)</v>
          </cell>
          <cell r="G618" t="str">
            <v>SXKD</v>
          </cell>
          <cell r="I618" t="str">
            <v>RD</v>
          </cell>
          <cell r="AC618">
            <v>930000</v>
          </cell>
          <cell r="AD618">
            <v>21302512</v>
          </cell>
          <cell r="AE618">
            <v>2403386</v>
          </cell>
          <cell r="AF618">
            <v>2289943</v>
          </cell>
          <cell r="AG618">
            <v>0</v>
          </cell>
          <cell r="AH618">
            <v>0</v>
          </cell>
          <cell r="AI618">
            <v>0</v>
          </cell>
          <cell r="AJ618">
            <v>0</v>
          </cell>
          <cell r="AK618">
            <v>86433</v>
          </cell>
          <cell r="AL618">
            <v>189073</v>
          </cell>
          <cell r="AM618">
            <v>16206</v>
          </cell>
          <cell r="AN618">
            <v>32413</v>
          </cell>
          <cell r="AO618">
            <v>10804</v>
          </cell>
          <cell r="AP618">
            <v>10804</v>
          </cell>
        </row>
        <row r="619">
          <cell r="D619" t="str">
            <v>Sản xuất 04 đài Ra đa 3D cảnh giới tầm trung băng S VRS-MRS và 01 gói vật tư dự phòng (04 đài Ra đa 3D cảnh giới tầm trung băng S VRS-MRS)</v>
          </cell>
          <cell r="G619" t="str">
            <v>SXKD</v>
          </cell>
          <cell r="I619" t="str">
            <v>RD</v>
          </cell>
          <cell r="AC619">
            <v>1281000</v>
          </cell>
          <cell r="AD619">
            <v>27674384</v>
          </cell>
          <cell r="AE619">
            <v>3175034</v>
          </cell>
          <cell r="AF619">
            <v>3055477</v>
          </cell>
          <cell r="AG619">
            <v>0</v>
          </cell>
          <cell r="AH619">
            <v>0</v>
          </cell>
          <cell r="AI619">
            <v>0</v>
          </cell>
          <cell r="AJ619">
            <v>0</v>
          </cell>
          <cell r="AK619">
            <v>91091</v>
          </cell>
          <cell r="AL619">
            <v>199263</v>
          </cell>
          <cell r="AM619">
            <v>17080</v>
          </cell>
          <cell r="AN619">
            <v>34159</v>
          </cell>
          <cell r="AO619">
            <v>11386</v>
          </cell>
          <cell r="AP619">
            <v>11386</v>
          </cell>
        </row>
        <row r="620">
          <cell r="D620" t="str">
            <v>Sản xuất 04 đài Ra đa 3D cảnh giới tầm trung băng S VRS-MRS và 01 gói vật tư dự phòng (04 đài Ra đa 3D cảnh giới tầm trung băng S VRS-MRS)</v>
          </cell>
          <cell r="G620" t="str">
            <v>SXKD</v>
          </cell>
          <cell r="I620" t="str">
            <v>RD</v>
          </cell>
          <cell r="AC620">
            <v>930000</v>
          </cell>
          <cell r="AD620">
            <v>20275656</v>
          </cell>
          <cell r="AE620">
            <v>2293774</v>
          </cell>
          <cell r="AF620">
            <v>2191199</v>
          </cell>
          <cell r="AG620">
            <v>0</v>
          </cell>
          <cell r="AH620">
            <v>0</v>
          </cell>
          <cell r="AI620">
            <v>0</v>
          </cell>
          <cell r="AJ620">
            <v>0</v>
          </cell>
          <cell r="AK620">
            <v>78152</v>
          </cell>
          <cell r="AL620">
            <v>170958</v>
          </cell>
          <cell r="AM620">
            <v>14654</v>
          </cell>
          <cell r="AN620">
            <v>29307</v>
          </cell>
          <cell r="AO620">
            <v>9769</v>
          </cell>
          <cell r="AP620">
            <v>9769</v>
          </cell>
        </row>
        <row r="621">
          <cell r="D621" t="str">
            <v>Sản xuất 04 đài Ra đa 3D cảnh giới tầm trung băng S VRS-MRS và 01 gói vật tư dự phòng (04 đài Ra đa 3D cảnh giới tầm trung băng S VRS-MRS)</v>
          </cell>
          <cell r="G621" t="str">
            <v>SXKD</v>
          </cell>
          <cell r="I621" t="str">
            <v>RD</v>
          </cell>
          <cell r="AC621">
            <v>930000</v>
          </cell>
          <cell r="AD621">
            <v>20994124</v>
          </cell>
          <cell r="AE621">
            <v>2375324</v>
          </cell>
          <cell r="AF621">
            <v>2267314</v>
          </cell>
          <cell r="AG621">
            <v>0</v>
          </cell>
          <cell r="AH621">
            <v>0</v>
          </cell>
          <cell r="AI621">
            <v>0</v>
          </cell>
          <cell r="AJ621">
            <v>0</v>
          </cell>
          <cell r="AK621">
            <v>82293</v>
          </cell>
          <cell r="AL621">
            <v>180016</v>
          </cell>
          <cell r="AM621">
            <v>15430</v>
          </cell>
          <cell r="AN621">
            <v>30860</v>
          </cell>
          <cell r="AO621">
            <v>10287</v>
          </cell>
          <cell r="AP621">
            <v>10287</v>
          </cell>
        </row>
        <row r="622">
          <cell r="D622" t="str">
            <v>Sản xuất 04 đài Ra đa 3D cảnh giới tầm trung băng S VRS-MRS và 01 gói vật tư dự phòng (04 đài Ra đa 3D cảnh giới tầm trung băng S VRS-MRS)</v>
          </cell>
          <cell r="G622" t="str">
            <v>SXKD</v>
          </cell>
          <cell r="I622" t="str">
            <v>RD</v>
          </cell>
          <cell r="AC622">
            <v>930000</v>
          </cell>
          <cell r="AD622">
            <v>16385556</v>
          </cell>
          <cell r="AE622">
            <v>1786370</v>
          </cell>
          <cell r="AF622">
            <v>1683795</v>
          </cell>
          <cell r="AG622">
            <v>0</v>
          </cell>
          <cell r="AH622">
            <v>0</v>
          </cell>
          <cell r="AI622">
            <v>0</v>
          </cell>
          <cell r="AJ622">
            <v>0</v>
          </cell>
          <cell r="AK622">
            <v>78152</v>
          </cell>
          <cell r="AL622">
            <v>170958</v>
          </cell>
          <cell r="AM622">
            <v>14654</v>
          </cell>
          <cell r="AN622">
            <v>29307</v>
          </cell>
          <cell r="AO622">
            <v>9769</v>
          </cell>
          <cell r="AP622">
            <v>9769</v>
          </cell>
        </row>
        <row r="623">
          <cell r="D623" t="str">
            <v>Sản xuất 04 đài Ra đa 3D cảnh giới tầm trung băng S VRS-MRS và 01 gói vật tư dự phòng (04 đài Ra đa 3D cảnh giới tầm trung băng S VRS-MRS)</v>
          </cell>
          <cell r="G623" t="str">
            <v>SXKD</v>
          </cell>
          <cell r="I623" t="str">
            <v>RD</v>
          </cell>
          <cell r="AC623">
            <v>1047000</v>
          </cell>
          <cell r="AD623">
            <v>23442633</v>
          </cell>
          <cell r="AE623">
            <v>1769059</v>
          </cell>
          <cell r="AF623">
            <v>1689354</v>
          </cell>
          <cell r="AG623">
            <v>0</v>
          </cell>
          <cell r="AH623">
            <v>0</v>
          </cell>
          <cell r="AI623">
            <v>0</v>
          </cell>
          <cell r="AJ623">
            <v>0</v>
          </cell>
          <cell r="AK623">
            <v>60728</v>
          </cell>
          <cell r="AL623">
            <v>132842</v>
          </cell>
          <cell r="AM623">
            <v>11386</v>
          </cell>
          <cell r="AN623">
            <v>22773</v>
          </cell>
          <cell r="AO623">
            <v>7591</v>
          </cell>
          <cell r="AP623">
            <v>7591</v>
          </cell>
        </row>
        <row r="624">
          <cell r="D624" t="str">
            <v>Sản xuất 04 đài Ra đa 3D cảnh giới tầm trung băng S VRS-MRS và 01 gói vật tư dự phòng (04 đài Ra đa 3D cảnh giới tầm trung băng S VRS-MRS)</v>
          </cell>
          <cell r="G624" t="str">
            <v>Bán hàng</v>
          </cell>
          <cell r="I624" t="str">
            <v>RD</v>
          </cell>
          <cell r="AC624">
            <v>1130000</v>
          </cell>
          <cell r="AD624">
            <v>74402192</v>
          </cell>
          <cell r="AE624">
            <v>30829655</v>
          </cell>
          <cell r="AF624">
            <v>30395687</v>
          </cell>
          <cell r="AG624">
            <v>0</v>
          </cell>
          <cell r="AH624">
            <v>0</v>
          </cell>
          <cell r="AI624">
            <v>0</v>
          </cell>
          <cell r="AJ624">
            <v>0</v>
          </cell>
          <cell r="AK624">
            <v>365447</v>
          </cell>
          <cell r="AL624">
            <v>799415</v>
          </cell>
          <cell r="AM624">
            <v>68521</v>
          </cell>
          <cell r="AN624">
            <v>137043</v>
          </cell>
          <cell r="AO624">
            <v>0</v>
          </cell>
          <cell r="AP624">
            <v>0</v>
          </cell>
        </row>
        <row r="625">
          <cell r="D625" t="str">
            <v>Sản xuất 04 đài Ra đa 3D cảnh giới tầm trung băng S VRS-MRS và 01 gói vật tư dự phòng (04 đài Ra đa 3D cảnh giới tầm trung băng S VRS-MRS)</v>
          </cell>
          <cell r="G625" t="str">
            <v>Bán hàng</v>
          </cell>
          <cell r="I625" t="str">
            <v>RD</v>
          </cell>
          <cell r="AC625">
            <v>1030000</v>
          </cell>
          <cell r="AD625">
            <v>43321640</v>
          </cell>
          <cell r="AE625">
            <v>17293019</v>
          </cell>
          <cell r="AF625">
            <v>16803920</v>
          </cell>
          <cell r="AG625">
            <v>0</v>
          </cell>
          <cell r="AH625">
            <v>0</v>
          </cell>
          <cell r="AI625">
            <v>0</v>
          </cell>
          <cell r="AJ625">
            <v>0</v>
          </cell>
          <cell r="AK625">
            <v>372647</v>
          </cell>
          <cell r="AL625">
            <v>815165</v>
          </cell>
          <cell r="AM625">
            <v>69871</v>
          </cell>
          <cell r="AN625">
            <v>139743</v>
          </cell>
          <cell r="AO625">
            <v>46581</v>
          </cell>
          <cell r="AP625">
            <v>46581</v>
          </cell>
        </row>
        <row r="626">
          <cell r="D626" t="str">
            <v>Sản xuất 04 đài Ra đa 3D cảnh giới tầm trung băng S VRS-MRS và 01 gói vật tư dự phòng (04 đài Ra đa 3D cảnh giới tầm trung băng S VRS-MRS)</v>
          </cell>
          <cell r="G626" t="str">
            <v>Bán hàng</v>
          </cell>
          <cell r="I626" t="str">
            <v>RD</v>
          </cell>
          <cell r="AC626">
            <v>1030000</v>
          </cell>
          <cell r="AD626">
            <v>39884079</v>
          </cell>
          <cell r="AE626">
            <v>15500371</v>
          </cell>
          <cell r="AF626">
            <v>14929004</v>
          </cell>
          <cell r="AG626">
            <v>0</v>
          </cell>
          <cell r="AH626">
            <v>0</v>
          </cell>
          <cell r="AI626">
            <v>0</v>
          </cell>
          <cell r="AJ626">
            <v>0</v>
          </cell>
          <cell r="AK626">
            <v>571367</v>
          </cell>
          <cell r="AL626">
            <v>1249865</v>
          </cell>
          <cell r="AM626">
            <v>0</v>
          </cell>
          <cell r="AN626">
            <v>0</v>
          </cell>
          <cell r="AO626">
            <v>0</v>
          </cell>
          <cell r="AP626">
            <v>0</v>
          </cell>
        </row>
        <row r="627">
          <cell r="D627" t="str">
            <v>Sản xuất 04 đài Ra đa 3D cảnh giới tầm trung băng S VRS-MRS và 01 gói vật tư dự phòng (04 đài Ra đa 3D cảnh giới tầm trung băng S VRS-MRS)</v>
          </cell>
          <cell r="G627" t="str">
            <v>Bán hàng</v>
          </cell>
          <cell r="I627" t="str">
            <v>RD</v>
          </cell>
          <cell r="AC627">
            <v>930000</v>
          </cell>
          <cell r="AD627">
            <v>28254600</v>
          </cell>
          <cell r="AE627">
            <v>10892035</v>
          </cell>
          <cell r="AF627">
            <v>10450488</v>
          </cell>
          <cell r="AG627">
            <v>0</v>
          </cell>
          <cell r="AH627">
            <v>0</v>
          </cell>
          <cell r="AI627">
            <v>0</v>
          </cell>
          <cell r="AJ627">
            <v>0</v>
          </cell>
          <cell r="AK627">
            <v>336417</v>
          </cell>
          <cell r="AL627">
            <v>735913</v>
          </cell>
          <cell r="AM627">
            <v>63078</v>
          </cell>
          <cell r="AN627">
            <v>126157</v>
          </cell>
          <cell r="AO627">
            <v>42052</v>
          </cell>
          <cell r="AP627">
            <v>42052</v>
          </cell>
        </row>
        <row r="628">
          <cell r="D628" t="str">
            <v>Sản xuất 04 đài Ra đa 3D cảnh giới tầm trung băng S VRS-MRS và 01 gói vật tư dự phòng (04 đài Ra đa 3D cảnh giới tầm trung băng S VRS-MRS)</v>
          </cell>
          <cell r="G628" t="str">
            <v>Bán hàng</v>
          </cell>
          <cell r="I628" t="str">
            <v>RD</v>
          </cell>
          <cell r="AC628">
            <v>930000</v>
          </cell>
          <cell r="AD628">
            <v>21693266</v>
          </cell>
          <cell r="AE628">
            <v>8181180</v>
          </cell>
          <cell r="AF628">
            <v>7803034</v>
          </cell>
          <cell r="AG628">
            <v>0</v>
          </cell>
          <cell r="AH628">
            <v>0</v>
          </cell>
          <cell r="AI628">
            <v>0</v>
          </cell>
          <cell r="AJ628">
            <v>0</v>
          </cell>
          <cell r="AK628">
            <v>288111</v>
          </cell>
          <cell r="AL628">
            <v>630243</v>
          </cell>
          <cell r="AM628">
            <v>54021</v>
          </cell>
          <cell r="AN628">
            <v>108042</v>
          </cell>
          <cell r="AO628">
            <v>36014</v>
          </cell>
          <cell r="AP628">
            <v>36014</v>
          </cell>
        </row>
        <row r="629">
          <cell r="D629" t="str">
            <v>Sản xuất 04 đài Ra đa 3D cảnh giới tầm trung băng S VRS-MRS và 01 gói vật tư dự phòng (04 đài Ra đa 3D cảnh giới tầm trung băng S VRS-MRS)</v>
          </cell>
          <cell r="G629" t="str">
            <v>Bán hàng</v>
          </cell>
          <cell r="I629" t="str">
            <v>RD</v>
          </cell>
          <cell r="AC629">
            <v>930000</v>
          </cell>
          <cell r="AD629">
            <v>23867752</v>
          </cell>
          <cell r="AE629">
            <v>9126609</v>
          </cell>
          <cell r="AF629">
            <v>8748463</v>
          </cell>
          <cell r="AG629">
            <v>0</v>
          </cell>
          <cell r="AH629">
            <v>0</v>
          </cell>
          <cell r="AI629">
            <v>0</v>
          </cell>
          <cell r="AJ629">
            <v>0</v>
          </cell>
          <cell r="AK629">
            <v>288111</v>
          </cell>
          <cell r="AL629">
            <v>630243</v>
          </cell>
          <cell r="AM629">
            <v>54021</v>
          </cell>
          <cell r="AN629">
            <v>108042</v>
          </cell>
          <cell r="AO629">
            <v>36014</v>
          </cell>
          <cell r="AP629">
            <v>36014</v>
          </cell>
        </row>
        <row r="630">
          <cell r="D630" t="str">
            <v>Sản xuất 04 đài Ra đa 3D cảnh giới tầm trung băng S VRS-MRS và 01 gói vật tư dự phòng (04 đài Ra đa 3D cảnh giới tầm trung băng S VRS-MRS)</v>
          </cell>
          <cell r="G630" t="str">
            <v>Bán hàng</v>
          </cell>
          <cell r="I630" t="str">
            <v>RD</v>
          </cell>
          <cell r="AC630">
            <v>930000</v>
          </cell>
          <cell r="AD630">
            <v>27589800</v>
          </cell>
          <cell r="AE630">
            <v>10653670</v>
          </cell>
          <cell r="AF630">
            <v>10234766</v>
          </cell>
          <cell r="AG630">
            <v>0</v>
          </cell>
          <cell r="AH630">
            <v>0</v>
          </cell>
          <cell r="AI630">
            <v>0</v>
          </cell>
          <cell r="AJ630">
            <v>0</v>
          </cell>
          <cell r="AK630">
            <v>319165</v>
          </cell>
          <cell r="AL630">
            <v>698174</v>
          </cell>
          <cell r="AM630">
            <v>59843</v>
          </cell>
          <cell r="AN630">
            <v>119687</v>
          </cell>
          <cell r="AO630">
            <v>39896</v>
          </cell>
          <cell r="AP630">
            <v>39896</v>
          </cell>
        </row>
        <row r="631">
          <cell r="D631" t="str">
            <v>Sản xuất 04 đài Ra đa 3D cảnh giới tầm trung băng S VRS-MRS và 01 gói vật tư dự phòng (04 đài Ra đa 3D cảnh giới tầm trung băng S VRS-MRS)</v>
          </cell>
          <cell r="G631" t="str">
            <v>Bán hàng</v>
          </cell>
          <cell r="I631" t="str">
            <v>RD</v>
          </cell>
          <cell r="AC631">
            <v>930000</v>
          </cell>
          <cell r="AD631">
            <v>19373878</v>
          </cell>
          <cell r="AE631">
            <v>7213293</v>
          </cell>
          <cell r="AF631">
            <v>6853261</v>
          </cell>
          <cell r="AG631">
            <v>0</v>
          </cell>
          <cell r="AH631">
            <v>0</v>
          </cell>
          <cell r="AI631">
            <v>0</v>
          </cell>
          <cell r="AJ631">
            <v>0</v>
          </cell>
          <cell r="AK631">
            <v>274310</v>
          </cell>
          <cell r="AL631">
            <v>600052</v>
          </cell>
          <cell r="AM631">
            <v>51433</v>
          </cell>
          <cell r="AN631">
            <v>102866</v>
          </cell>
          <cell r="AO631">
            <v>34289</v>
          </cell>
          <cell r="AP631">
            <v>34289</v>
          </cell>
        </row>
        <row r="632">
          <cell r="D632" t="str">
            <v>Sản xuất 04 đài Ra đa 3D cảnh giới tầm trung băng S VRS-MRS và 01 gói vật tư dự phòng (04 đài Ra đa 3D cảnh giới tầm trung băng S VRS-MRS)</v>
          </cell>
          <cell r="G632" t="str">
            <v>Bán hàng</v>
          </cell>
          <cell r="I632" t="str">
            <v>RD</v>
          </cell>
          <cell r="AC632">
            <v>930000</v>
          </cell>
          <cell r="AD632">
            <v>18316624</v>
          </cell>
          <cell r="AE632">
            <v>6753617</v>
          </cell>
          <cell r="AF632">
            <v>6393585</v>
          </cell>
          <cell r="AG632">
            <v>0</v>
          </cell>
          <cell r="AH632">
            <v>0</v>
          </cell>
          <cell r="AI632">
            <v>0</v>
          </cell>
          <cell r="AJ632">
            <v>0</v>
          </cell>
          <cell r="AK632">
            <v>274310</v>
          </cell>
          <cell r="AL632">
            <v>600052</v>
          </cell>
          <cell r="AM632">
            <v>51433</v>
          </cell>
          <cell r="AN632">
            <v>102866</v>
          </cell>
          <cell r="AO632">
            <v>34289</v>
          </cell>
          <cell r="AP632">
            <v>34289</v>
          </cell>
        </row>
        <row r="633">
          <cell r="D633" t="str">
            <v>Sản xuất 04 đài Ra đa 3D cảnh giới tầm trung băng S VRS-MRS và 01 gói vật tư dự phòng (04 đài Ra đa 3D cảnh giới tầm trung băng S VRS-MRS)</v>
          </cell>
          <cell r="G633" t="str">
            <v>Bán hàng</v>
          </cell>
          <cell r="I633" t="str">
            <v>RD</v>
          </cell>
          <cell r="AC633">
            <v>1030000</v>
          </cell>
          <cell r="AD633">
            <v>39328832</v>
          </cell>
          <cell r="AE633">
            <v>15557016</v>
          </cell>
          <cell r="AF633">
            <v>15067917</v>
          </cell>
          <cell r="AG633">
            <v>0</v>
          </cell>
          <cell r="AH633">
            <v>0</v>
          </cell>
          <cell r="AI633">
            <v>0</v>
          </cell>
          <cell r="AJ633">
            <v>0</v>
          </cell>
          <cell r="AK633">
            <v>372647</v>
          </cell>
          <cell r="AL633">
            <v>815165</v>
          </cell>
          <cell r="AM633">
            <v>69871</v>
          </cell>
          <cell r="AN633">
            <v>139743</v>
          </cell>
          <cell r="AO633">
            <v>46581</v>
          </cell>
          <cell r="AP633">
            <v>46581</v>
          </cell>
        </row>
        <row r="634">
          <cell r="D634" t="str">
            <v>Sản xuất 04 đài Ra đa 3D cảnh giới tầm trung băng S VRS-MRS và 01 gói vật tư dự phòng (04 đài Ra đa 3D cảnh giới tầm trung băng S VRS-MRS)</v>
          </cell>
          <cell r="G634" t="str">
            <v>Bán hàng</v>
          </cell>
          <cell r="I634" t="str">
            <v>RD</v>
          </cell>
          <cell r="AC634">
            <v>930000</v>
          </cell>
          <cell r="AD634">
            <v>21302512</v>
          </cell>
          <cell r="AE634">
            <v>8011287</v>
          </cell>
          <cell r="AF634">
            <v>7633141</v>
          </cell>
          <cell r="AG634">
            <v>0</v>
          </cell>
          <cell r="AH634">
            <v>0</v>
          </cell>
          <cell r="AI634">
            <v>0</v>
          </cell>
          <cell r="AJ634">
            <v>0</v>
          </cell>
          <cell r="AK634">
            <v>288111</v>
          </cell>
          <cell r="AL634">
            <v>630243</v>
          </cell>
          <cell r="AM634">
            <v>54021</v>
          </cell>
          <cell r="AN634">
            <v>108042</v>
          </cell>
          <cell r="AO634">
            <v>36014</v>
          </cell>
          <cell r="AP634">
            <v>36014</v>
          </cell>
        </row>
        <row r="635">
          <cell r="D635" t="str">
            <v>Sản xuất 04 đài Ra đa 3D cảnh giới tầm trung băng S VRS-MRS và 01 gói vật tư dự phòng (04 đài Ra đa 3D cảnh giới tầm trung băng S VRS-MRS)</v>
          </cell>
          <cell r="G635" t="str">
            <v>Bán hàng</v>
          </cell>
          <cell r="I635" t="str">
            <v>RD</v>
          </cell>
          <cell r="AC635">
            <v>1281000</v>
          </cell>
          <cell r="AD635">
            <v>27674384</v>
          </cell>
          <cell r="AE635">
            <v>10583447</v>
          </cell>
          <cell r="AF635">
            <v>10184922</v>
          </cell>
          <cell r="AG635">
            <v>0</v>
          </cell>
          <cell r="AH635">
            <v>0</v>
          </cell>
          <cell r="AI635">
            <v>0</v>
          </cell>
          <cell r="AJ635">
            <v>0</v>
          </cell>
          <cell r="AK635">
            <v>303638</v>
          </cell>
          <cell r="AL635">
            <v>664209</v>
          </cell>
          <cell r="AM635">
            <v>56932</v>
          </cell>
          <cell r="AN635">
            <v>113864</v>
          </cell>
          <cell r="AO635">
            <v>37955</v>
          </cell>
          <cell r="AP635">
            <v>37955</v>
          </cell>
        </row>
        <row r="636">
          <cell r="D636" t="str">
            <v>Sản xuất 04 đài Ra đa 3D cảnh giới tầm trung băng S VRS-MRS và 01 gói vật tư dự phòng (04 đài Ra đa 3D cảnh giới tầm trung băng S VRS-MRS)</v>
          </cell>
          <cell r="G636" t="str">
            <v>Bán hàng</v>
          </cell>
          <cell r="I636" t="str">
            <v>RD</v>
          </cell>
          <cell r="AC636">
            <v>930000</v>
          </cell>
          <cell r="AD636">
            <v>20275656</v>
          </cell>
          <cell r="AE636">
            <v>7645913</v>
          </cell>
          <cell r="AF636">
            <v>7303997</v>
          </cell>
          <cell r="AG636">
            <v>0</v>
          </cell>
          <cell r="AH636">
            <v>0</v>
          </cell>
          <cell r="AI636">
            <v>0</v>
          </cell>
          <cell r="AJ636">
            <v>0</v>
          </cell>
          <cell r="AK636">
            <v>260508</v>
          </cell>
          <cell r="AL636">
            <v>569861</v>
          </cell>
          <cell r="AM636">
            <v>48845</v>
          </cell>
          <cell r="AN636">
            <v>97690</v>
          </cell>
          <cell r="AO636">
            <v>32563</v>
          </cell>
          <cell r="AP636">
            <v>32563</v>
          </cell>
        </row>
        <row r="637">
          <cell r="D637" t="str">
            <v>Sản xuất 04 đài Ra đa 3D cảnh giới tầm trung băng S VRS-MRS và 01 gói vật tư dự phòng (04 đài Ra đa 3D cảnh giới tầm trung băng S VRS-MRS)</v>
          </cell>
          <cell r="G637" t="str">
            <v>Bán hàng</v>
          </cell>
          <cell r="I637" t="str">
            <v>RD</v>
          </cell>
          <cell r="AC637">
            <v>930000</v>
          </cell>
          <cell r="AD637">
            <v>20994124</v>
          </cell>
          <cell r="AE637">
            <v>7917748</v>
          </cell>
          <cell r="AF637">
            <v>7557716</v>
          </cell>
          <cell r="AG637">
            <v>0</v>
          </cell>
          <cell r="AH637">
            <v>0</v>
          </cell>
          <cell r="AI637">
            <v>0</v>
          </cell>
          <cell r="AJ637">
            <v>0</v>
          </cell>
          <cell r="AK637">
            <v>274310</v>
          </cell>
          <cell r="AL637">
            <v>600052</v>
          </cell>
          <cell r="AM637">
            <v>51433</v>
          </cell>
          <cell r="AN637">
            <v>102866</v>
          </cell>
          <cell r="AO637">
            <v>34289</v>
          </cell>
          <cell r="AP637">
            <v>34289</v>
          </cell>
        </row>
        <row r="638">
          <cell r="D638" t="str">
            <v>Sản xuất 04 đài Ra đa 3D cảnh giới tầm trung băng S VRS-MRS và 01 gói vật tư dự phòng (04 đài Ra đa 3D cảnh giới tầm trung băng S VRS-MRS)</v>
          </cell>
          <cell r="G638" t="str">
            <v>Bán hàng</v>
          </cell>
          <cell r="I638" t="str">
            <v>RD</v>
          </cell>
          <cell r="AC638">
            <v>930000</v>
          </cell>
          <cell r="AD638">
            <v>16385556</v>
          </cell>
          <cell r="AE638">
            <v>5954565</v>
          </cell>
          <cell r="AF638">
            <v>5612649</v>
          </cell>
          <cell r="AG638">
            <v>0</v>
          </cell>
          <cell r="AH638">
            <v>0</v>
          </cell>
          <cell r="AI638">
            <v>0</v>
          </cell>
          <cell r="AJ638">
            <v>0</v>
          </cell>
          <cell r="AK638">
            <v>260508</v>
          </cell>
          <cell r="AL638">
            <v>569861</v>
          </cell>
          <cell r="AM638">
            <v>48845</v>
          </cell>
          <cell r="AN638">
            <v>97690</v>
          </cell>
          <cell r="AO638">
            <v>32563</v>
          </cell>
          <cell r="AP638">
            <v>32563</v>
          </cell>
        </row>
        <row r="639">
          <cell r="D639" t="str">
            <v>Sản xuất 04 đài Ra đa 3D cảnh giới tầm trung băng S VRS-MRS và 01 gói vật tư dự phòng (04 đài Ra đa 3D cảnh giới tầm trung băng S VRS-MRS)</v>
          </cell>
          <cell r="G639" t="str">
            <v>Bán hàng</v>
          </cell>
          <cell r="I639" t="str">
            <v>RD</v>
          </cell>
          <cell r="AC639">
            <v>1047000</v>
          </cell>
          <cell r="AD639">
            <v>23442633</v>
          </cell>
          <cell r="AE639">
            <v>1769059</v>
          </cell>
          <cell r="AF639">
            <v>1689354</v>
          </cell>
          <cell r="AG639">
            <v>0</v>
          </cell>
          <cell r="AH639">
            <v>0</v>
          </cell>
          <cell r="AI639">
            <v>0</v>
          </cell>
          <cell r="AJ639">
            <v>0</v>
          </cell>
          <cell r="AK639">
            <v>60728</v>
          </cell>
          <cell r="AL639">
            <v>132842</v>
          </cell>
          <cell r="AM639">
            <v>11386</v>
          </cell>
          <cell r="AN639">
            <v>22773</v>
          </cell>
          <cell r="AO639">
            <v>7591</v>
          </cell>
          <cell r="AP639">
            <v>7591</v>
          </cell>
        </row>
        <row r="640">
          <cell r="D640" t="str">
            <v>Sản xuất 04 đài Ra đa 3D cảnh giới tầm trung băng S VRS-MRS và 01 gói vật tư dự phòng (01 bộ vật tư Zip cho đài Ra đa VRS-MRS)</v>
          </cell>
          <cell r="G640" t="str">
            <v>SXKD</v>
          </cell>
          <cell r="I640" t="str">
            <v>RD</v>
          </cell>
          <cell r="AC640">
            <v>1030000</v>
          </cell>
          <cell r="AD640">
            <v>43321640</v>
          </cell>
          <cell r="AE640">
            <v>5187906</v>
          </cell>
          <cell r="AF640">
            <v>5041177</v>
          </cell>
          <cell r="AG640">
            <v>0</v>
          </cell>
          <cell r="AH640">
            <v>0</v>
          </cell>
          <cell r="AI640">
            <v>0</v>
          </cell>
          <cell r="AJ640">
            <v>0</v>
          </cell>
          <cell r="AK640">
            <v>111794</v>
          </cell>
          <cell r="AL640">
            <v>244550</v>
          </cell>
          <cell r="AM640">
            <v>20961</v>
          </cell>
          <cell r="AN640">
            <v>41923</v>
          </cell>
          <cell r="AO640">
            <v>13974</v>
          </cell>
          <cell r="AP640">
            <v>13974</v>
          </cell>
        </row>
        <row r="641">
          <cell r="D641" t="str">
            <v>Sản xuất 04 đài Ra đa 3D cảnh giới tầm trung băng S VRS-MRS và 01 gói vật tư dự phòng (01 bộ vật tư Zip cho đài Ra đa VRS-MRS)</v>
          </cell>
          <cell r="G641" t="str">
            <v>SXKD</v>
          </cell>
          <cell r="I641" t="str">
            <v>RD</v>
          </cell>
          <cell r="AC641">
            <v>1030000</v>
          </cell>
          <cell r="AD641">
            <v>39884079</v>
          </cell>
          <cell r="AE641">
            <v>4650111</v>
          </cell>
          <cell r="AF641">
            <v>4478701</v>
          </cell>
          <cell r="AG641">
            <v>0</v>
          </cell>
          <cell r="AH641">
            <v>0</v>
          </cell>
          <cell r="AI641">
            <v>0</v>
          </cell>
          <cell r="AJ641">
            <v>0</v>
          </cell>
          <cell r="AK641">
            <v>171410</v>
          </cell>
          <cell r="AL641">
            <v>374960</v>
          </cell>
          <cell r="AM641">
            <v>0</v>
          </cell>
          <cell r="AN641">
            <v>0</v>
          </cell>
          <cell r="AO641">
            <v>0</v>
          </cell>
          <cell r="AP641">
            <v>0</v>
          </cell>
        </row>
        <row r="642">
          <cell r="D642" t="str">
            <v>Sản xuất 04 đài Ra đa 3D cảnh giới tầm trung băng S VRS-MRS và 01 gói vật tư dự phòng (01 bộ vật tư Zip cho đài Ra đa VRS-MRS)</v>
          </cell>
          <cell r="G642" t="str">
            <v>SXKD</v>
          </cell>
          <cell r="I642" t="str">
            <v>RD</v>
          </cell>
          <cell r="AC642">
            <v>1130000</v>
          </cell>
          <cell r="AD642">
            <v>74402192</v>
          </cell>
          <cell r="AE642">
            <v>9248897</v>
          </cell>
          <cell r="AF642">
            <v>9118707</v>
          </cell>
          <cell r="AG642">
            <v>0</v>
          </cell>
          <cell r="AH642">
            <v>0</v>
          </cell>
          <cell r="AI642">
            <v>0</v>
          </cell>
          <cell r="AJ642">
            <v>0</v>
          </cell>
          <cell r="AK642">
            <v>109634</v>
          </cell>
          <cell r="AL642">
            <v>239825</v>
          </cell>
          <cell r="AM642">
            <v>20556</v>
          </cell>
          <cell r="AN642">
            <v>41113</v>
          </cell>
          <cell r="AO642">
            <v>0</v>
          </cell>
          <cell r="AP642">
            <v>0</v>
          </cell>
        </row>
        <row r="643">
          <cell r="D643" t="str">
            <v>Sản xuất 04 đài Ra đa 3D cảnh giới tầm trung băng S VRS-MRS và 01 gói vật tư dự phòng (01 bộ vật tư Zip cho đài Ra đa VRS-MRS)</v>
          </cell>
          <cell r="G643" t="str">
            <v>SXKD</v>
          </cell>
          <cell r="I643" t="str">
            <v>RD</v>
          </cell>
          <cell r="AC643">
            <v>1030000</v>
          </cell>
          <cell r="AD643">
            <v>50698923</v>
          </cell>
          <cell r="AE643">
            <v>6105738</v>
          </cell>
          <cell r="AF643">
            <v>5952787</v>
          </cell>
          <cell r="AG643">
            <v>0</v>
          </cell>
          <cell r="AH643">
            <v>0</v>
          </cell>
          <cell r="AI643">
            <v>0</v>
          </cell>
          <cell r="AJ643">
            <v>0</v>
          </cell>
          <cell r="AK643">
            <v>152951</v>
          </cell>
          <cell r="AL643">
            <v>334579</v>
          </cell>
          <cell r="AM643">
            <v>0</v>
          </cell>
          <cell r="AN643">
            <v>0</v>
          </cell>
          <cell r="AO643">
            <v>0</v>
          </cell>
          <cell r="AP643">
            <v>0</v>
          </cell>
        </row>
        <row r="644">
          <cell r="D644" t="str">
            <v>Sản xuất 04 đài Ra đa 3D cảnh giới tầm trung băng S VRS-MRS và 01 gói vật tư dự phòng (01 bộ vật tư Zip cho đài Ra đa VRS-MRS)</v>
          </cell>
          <cell r="G644" t="str">
            <v>SXKD</v>
          </cell>
          <cell r="I644" t="str">
            <v>RD</v>
          </cell>
          <cell r="AC644">
            <v>930000</v>
          </cell>
          <cell r="AD644">
            <v>22351063</v>
          </cell>
          <cell r="AE644">
            <v>2540154</v>
          </cell>
          <cell r="AF644">
            <v>2426711</v>
          </cell>
          <cell r="AG644">
            <v>0</v>
          </cell>
          <cell r="AH644">
            <v>0</v>
          </cell>
          <cell r="AI644">
            <v>0</v>
          </cell>
          <cell r="AJ644">
            <v>0</v>
          </cell>
          <cell r="AK644">
            <v>86433</v>
          </cell>
          <cell r="AL644">
            <v>189073</v>
          </cell>
          <cell r="AM644">
            <v>16206</v>
          </cell>
          <cell r="AN644">
            <v>32413</v>
          </cell>
          <cell r="AO644">
            <v>10804</v>
          </cell>
          <cell r="AP644">
            <v>10804</v>
          </cell>
        </row>
        <row r="645">
          <cell r="D645" t="str">
            <v>Sản xuất 04 đài Ra đa 3D cảnh giới tầm trung băng S VRS-MRS và 01 gói vật tư dự phòng (01 bộ vật tư Zip cho đài Ra đa VRS-MRS)</v>
          </cell>
          <cell r="G645" t="str">
            <v>SXKD</v>
          </cell>
          <cell r="I645" t="str">
            <v>RD</v>
          </cell>
          <cell r="AC645">
            <v>1030000</v>
          </cell>
          <cell r="AD645">
            <v>37681623</v>
          </cell>
          <cell r="AE645">
            <v>4366405</v>
          </cell>
          <cell r="AF645">
            <v>4196460</v>
          </cell>
          <cell r="AG645">
            <v>0</v>
          </cell>
          <cell r="AH645">
            <v>0</v>
          </cell>
          <cell r="AI645">
            <v>0</v>
          </cell>
          <cell r="AJ645">
            <v>0</v>
          </cell>
          <cell r="AK645">
            <v>169945</v>
          </cell>
          <cell r="AL645">
            <v>371755</v>
          </cell>
          <cell r="AM645">
            <v>0</v>
          </cell>
          <cell r="AN645">
            <v>0</v>
          </cell>
          <cell r="AO645">
            <v>0</v>
          </cell>
          <cell r="AP645">
            <v>0</v>
          </cell>
        </row>
        <row r="646">
          <cell r="D646" t="str">
            <v>Sản xuất 04 đài Ra đa 3D cảnh giới tầm trung băng S VRS-MRS và 01 gói vật tư dự phòng (01 bộ vật tư Zip cho đài Ra đa VRS-MRS)</v>
          </cell>
          <cell r="G646" t="str">
            <v>SXKD</v>
          </cell>
          <cell r="I646" t="str">
            <v>RD</v>
          </cell>
          <cell r="AC646">
            <v>1030000</v>
          </cell>
          <cell r="AD646">
            <v>42198549</v>
          </cell>
          <cell r="AE646">
            <v>5041416</v>
          </cell>
          <cell r="AF646">
            <v>4894687</v>
          </cell>
          <cell r="AG646">
            <v>0</v>
          </cell>
          <cell r="AH646">
            <v>0</v>
          </cell>
          <cell r="AI646">
            <v>0</v>
          </cell>
          <cell r="AJ646">
            <v>0</v>
          </cell>
          <cell r="AK646">
            <v>111794</v>
          </cell>
          <cell r="AL646">
            <v>244550</v>
          </cell>
          <cell r="AM646">
            <v>20961</v>
          </cell>
          <cell r="AN646">
            <v>41923</v>
          </cell>
          <cell r="AO646">
            <v>13974</v>
          </cell>
          <cell r="AP646">
            <v>13974</v>
          </cell>
        </row>
        <row r="647">
          <cell r="D647" t="str">
            <v>Sản xuất 04 đài Ra đa 3D cảnh giới tầm trung băng S VRS-MRS và 01 gói vật tư dự phòng (01 bộ vật tư Zip cho đài Ra đa VRS-MRS)</v>
          </cell>
          <cell r="G647" t="str">
            <v>SXKD</v>
          </cell>
          <cell r="I647" t="str">
            <v>RD</v>
          </cell>
          <cell r="AC647">
            <v>1030000</v>
          </cell>
          <cell r="AD647">
            <v>40588983</v>
          </cell>
          <cell r="AE647">
            <v>1616065</v>
          </cell>
          <cell r="AF647">
            <v>1569646</v>
          </cell>
          <cell r="AG647">
            <v>0</v>
          </cell>
          <cell r="AH647">
            <v>0</v>
          </cell>
          <cell r="AI647">
            <v>0</v>
          </cell>
          <cell r="AJ647">
            <v>0</v>
          </cell>
          <cell r="AK647">
            <v>35367</v>
          </cell>
          <cell r="AL647">
            <v>77365</v>
          </cell>
          <cell r="AM647">
            <v>6631</v>
          </cell>
          <cell r="AN647">
            <v>13263</v>
          </cell>
          <cell r="AO647">
            <v>4421</v>
          </cell>
          <cell r="AP647">
            <v>4421</v>
          </cell>
        </row>
        <row r="648">
          <cell r="D648" t="str">
            <v>Sản xuất 04 đài Ra đa 3D cảnh giới tầm trung băng S VRS-MRS và 01 gói vật tư dự phòng (01 bộ vật tư Zip cho đài Ra đa VRS-MRS)</v>
          </cell>
          <cell r="G648" t="str">
            <v>SXKD</v>
          </cell>
          <cell r="I648" t="str">
            <v>RD</v>
          </cell>
          <cell r="AC648">
            <v>930000</v>
          </cell>
          <cell r="AD648">
            <v>23867752</v>
          </cell>
          <cell r="AE648">
            <v>2737983</v>
          </cell>
          <cell r="AF648">
            <v>2624540</v>
          </cell>
          <cell r="AG648">
            <v>0</v>
          </cell>
          <cell r="AH648">
            <v>0</v>
          </cell>
          <cell r="AI648">
            <v>0</v>
          </cell>
          <cell r="AJ648">
            <v>0</v>
          </cell>
          <cell r="AK648">
            <v>86433</v>
          </cell>
          <cell r="AL648">
            <v>189073</v>
          </cell>
          <cell r="AM648">
            <v>16206</v>
          </cell>
          <cell r="AN648">
            <v>32413</v>
          </cell>
          <cell r="AO648">
            <v>10804</v>
          </cell>
          <cell r="AP648">
            <v>10804</v>
          </cell>
        </row>
        <row r="649">
          <cell r="D649" t="str">
            <v>Sản xuất 04 đài Ra đa 3D cảnh giới tầm trung băng S VRS-MRS và 01 gói vật tư dự phòng (01 bộ vật tư Zip cho đài Ra đa VRS-MRS)</v>
          </cell>
          <cell r="G649" t="str">
            <v>SXKD</v>
          </cell>
          <cell r="I649" t="str">
            <v>RD</v>
          </cell>
          <cell r="AC649">
            <v>930000</v>
          </cell>
          <cell r="AD649">
            <v>20275656</v>
          </cell>
          <cell r="AE649">
            <v>1529183</v>
          </cell>
          <cell r="AF649">
            <v>1460799</v>
          </cell>
          <cell r="AG649">
            <v>0</v>
          </cell>
          <cell r="AH649">
            <v>0</v>
          </cell>
          <cell r="AI649">
            <v>0</v>
          </cell>
          <cell r="AJ649">
            <v>0</v>
          </cell>
          <cell r="AK649">
            <v>52102</v>
          </cell>
          <cell r="AL649">
            <v>113972</v>
          </cell>
          <cell r="AM649">
            <v>9769</v>
          </cell>
          <cell r="AN649">
            <v>19538</v>
          </cell>
          <cell r="AO649">
            <v>6513</v>
          </cell>
          <cell r="AP649">
            <v>6513</v>
          </cell>
        </row>
        <row r="650">
          <cell r="D650" t="str">
            <v>Sản xuất 04 đài Ra đa 3D cảnh giới tầm trung băng S VRS-MRS và 01 gói vật tư dự phòng (01 bộ vật tư Zip cho đài Ra đa VRS-MRS)</v>
          </cell>
          <cell r="G650" t="str">
            <v>SXKD</v>
          </cell>
          <cell r="I650" t="str">
            <v>RD</v>
          </cell>
          <cell r="AC650">
            <v>1281000</v>
          </cell>
          <cell r="AD650">
            <v>27674384</v>
          </cell>
          <cell r="AE650">
            <v>2116689</v>
          </cell>
          <cell r="AF650">
            <v>2036984</v>
          </cell>
          <cell r="AG650">
            <v>0</v>
          </cell>
          <cell r="AH650">
            <v>0</v>
          </cell>
          <cell r="AI650">
            <v>0</v>
          </cell>
          <cell r="AJ650">
            <v>0</v>
          </cell>
          <cell r="AK650">
            <v>60728</v>
          </cell>
          <cell r="AL650">
            <v>132842</v>
          </cell>
          <cell r="AM650">
            <v>11386</v>
          </cell>
          <cell r="AN650">
            <v>22773</v>
          </cell>
          <cell r="AO650">
            <v>7591</v>
          </cell>
          <cell r="AP650">
            <v>7591</v>
          </cell>
        </row>
        <row r="651">
          <cell r="D651" t="str">
            <v>Sản xuất 04 đài Ra đa 3D cảnh giới tầm trung băng S VRS-MRS và 01 gói vật tư dự phòng (01 bộ vật tư Zip cho đài Ra đa VRS-MRS)</v>
          </cell>
          <cell r="G651" t="str">
            <v>SXKD</v>
          </cell>
          <cell r="I651" t="str">
            <v>RD</v>
          </cell>
          <cell r="AC651">
            <v>1047000</v>
          </cell>
          <cell r="AD651">
            <v>23442633</v>
          </cell>
          <cell r="AE651">
            <v>884529</v>
          </cell>
          <cell r="AF651">
            <v>844677</v>
          </cell>
          <cell r="AG651">
            <v>0</v>
          </cell>
          <cell r="AH651">
            <v>0</v>
          </cell>
          <cell r="AI651">
            <v>0</v>
          </cell>
          <cell r="AJ651">
            <v>0</v>
          </cell>
          <cell r="AK651">
            <v>30364</v>
          </cell>
          <cell r="AL651">
            <v>66421</v>
          </cell>
          <cell r="AM651">
            <v>5693</v>
          </cell>
          <cell r="AN651">
            <v>11386</v>
          </cell>
          <cell r="AO651">
            <v>3795</v>
          </cell>
          <cell r="AP651">
            <v>3795</v>
          </cell>
        </row>
        <row r="652">
          <cell r="D652" t="str">
            <v>Sản xuất 04 đài Ra đa 3D cảnh giới tầm trung băng S VRS-MRS và 01 gói vật tư dự phòng (01 bộ vật tư Zip cho đài Ra đa VRS-MRS)</v>
          </cell>
          <cell r="G652" t="str">
            <v>SXKD</v>
          </cell>
          <cell r="I652" t="str">
            <v>RD</v>
          </cell>
          <cell r="AC652">
            <v>930000</v>
          </cell>
          <cell r="AD652">
            <v>33163490</v>
          </cell>
          <cell r="AE652">
            <v>3907900</v>
          </cell>
          <cell r="AF652">
            <v>3775436</v>
          </cell>
          <cell r="AG652">
            <v>0</v>
          </cell>
          <cell r="AH652">
            <v>0</v>
          </cell>
          <cell r="AI652">
            <v>0</v>
          </cell>
          <cell r="AJ652">
            <v>0</v>
          </cell>
          <cell r="AK652">
            <v>100925</v>
          </cell>
          <cell r="AL652">
            <v>220774</v>
          </cell>
          <cell r="AM652">
            <v>18923</v>
          </cell>
          <cell r="AN652">
            <v>37847</v>
          </cell>
          <cell r="AO652">
            <v>12616</v>
          </cell>
          <cell r="AP652">
            <v>12616</v>
          </cell>
        </row>
        <row r="653">
          <cell r="D653" t="str">
            <v>Sản xuất 04 đài Ra đa 3D cảnh giới tầm trung băng S VRS-MRS và 01 gói vật tư dự phòng (01 bộ vật tư Zip cho đài Ra đa VRS-MRS)</v>
          </cell>
          <cell r="G653" t="str">
            <v>SXKD</v>
          </cell>
          <cell r="I653" t="str">
            <v>RD</v>
          </cell>
          <cell r="AC653">
            <v>930000</v>
          </cell>
          <cell r="AD653">
            <v>28254600</v>
          </cell>
          <cell r="AE653">
            <v>3267610</v>
          </cell>
          <cell r="AF653">
            <v>3135146</v>
          </cell>
          <cell r="AG653">
            <v>0</v>
          </cell>
          <cell r="AH653">
            <v>0</v>
          </cell>
          <cell r="AI653">
            <v>0</v>
          </cell>
          <cell r="AJ653">
            <v>0</v>
          </cell>
          <cell r="AK653">
            <v>100925</v>
          </cell>
          <cell r="AL653">
            <v>220774</v>
          </cell>
          <cell r="AM653">
            <v>18923</v>
          </cell>
          <cell r="AN653">
            <v>37847</v>
          </cell>
          <cell r="AO653">
            <v>12616</v>
          </cell>
          <cell r="AP653">
            <v>12616</v>
          </cell>
        </row>
        <row r="654">
          <cell r="D654" t="str">
            <v>Sản xuất 04 đài Ra đa 3D cảnh giới tầm trung băng S VRS-MRS và 01 gói vật tư dự phòng (01 bộ vật tư Zip cho đài Ra đa VRS-MRS)</v>
          </cell>
          <cell r="G654" t="str">
            <v>SXKD</v>
          </cell>
          <cell r="I654" t="str">
            <v>RD</v>
          </cell>
          <cell r="AC654">
            <v>930000</v>
          </cell>
          <cell r="AD654">
            <v>21302512</v>
          </cell>
          <cell r="AE654">
            <v>1602257</v>
          </cell>
          <cell r="AF654">
            <v>1526628</v>
          </cell>
          <cell r="AG654">
            <v>0</v>
          </cell>
          <cell r="AH654">
            <v>0</v>
          </cell>
          <cell r="AI654">
            <v>0</v>
          </cell>
          <cell r="AJ654">
            <v>0</v>
          </cell>
          <cell r="AK654">
            <v>57622</v>
          </cell>
          <cell r="AL654">
            <v>126049</v>
          </cell>
          <cell r="AM654">
            <v>10804</v>
          </cell>
          <cell r="AN654">
            <v>21608</v>
          </cell>
          <cell r="AO654">
            <v>7203</v>
          </cell>
          <cell r="AP654">
            <v>7203</v>
          </cell>
        </row>
        <row r="655">
          <cell r="D655" t="str">
            <v>Sản xuất 04 đài Ra đa 3D cảnh giới tầm trung băng S VRS-MRS và 01 gói vật tư dự phòng (01 bộ vật tư Zip cho đài Ra đa VRS-MRS)</v>
          </cell>
          <cell r="G655" t="str">
            <v>SXKD</v>
          </cell>
          <cell r="I655" t="str">
            <v>RD</v>
          </cell>
          <cell r="AC655">
            <v>1030000</v>
          </cell>
          <cell r="AD655">
            <v>39328832</v>
          </cell>
          <cell r="AE655">
            <v>3111403</v>
          </cell>
          <cell r="AF655">
            <v>3013584</v>
          </cell>
          <cell r="AG655">
            <v>0</v>
          </cell>
          <cell r="AH655">
            <v>0</v>
          </cell>
          <cell r="AI655">
            <v>0</v>
          </cell>
          <cell r="AJ655">
            <v>0</v>
          </cell>
          <cell r="AK655">
            <v>74529</v>
          </cell>
          <cell r="AL655">
            <v>163033</v>
          </cell>
          <cell r="AM655">
            <v>13974</v>
          </cell>
          <cell r="AN655">
            <v>27949</v>
          </cell>
          <cell r="AO655">
            <v>9316</v>
          </cell>
          <cell r="AP655">
            <v>9316</v>
          </cell>
        </row>
        <row r="656">
          <cell r="D656" t="str">
            <v>Sản xuất 04 đài Ra đa 3D cảnh giới tầm trung băng S VRS-MRS và 01 gói vật tư dự phòng (01 bộ vật tư Zip cho đài Ra đa VRS-MRS)</v>
          </cell>
          <cell r="G656" t="str">
            <v>SXKD</v>
          </cell>
          <cell r="I656" t="str">
            <v>RD</v>
          </cell>
          <cell r="AC656">
            <v>930000</v>
          </cell>
          <cell r="AD656">
            <v>19373878</v>
          </cell>
          <cell r="AE656">
            <v>1442659</v>
          </cell>
          <cell r="AF656">
            <v>1370652</v>
          </cell>
          <cell r="AG656">
            <v>0</v>
          </cell>
          <cell r="AH656">
            <v>0</v>
          </cell>
          <cell r="AI656">
            <v>0</v>
          </cell>
          <cell r="AJ656">
            <v>0</v>
          </cell>
          <cell r="AK656">
            <v>54862</v>
          </cell>
          <cell r="AL656">
            <v>120010</v>
          </cell>
          <cell r="AM656">
            <v>10287</v>
          </cell>
          <cell r="AN656">
            <v>20573</v>
          </cell>
          <cell r="AO656">
            <v>6858</v>
          </cell>
          <cell r="AP656">
            <v>6858</v>
          </cell>
        </row>
        <row r="657">
          <cell r="D657" t="str">
            <v>Sản xuất 04 đài Ra đa 3D cảnh giới tầm trung băng S VRS-MRS và 01 gói vật tư dự phòng (01 bộ vật tư Zip cho đài Ra đa VRS-MRS)</v>
          </cell>
          <cell r="G657" t="str">
            <v>SXKD</v>
          </cell>
          <cell r="I657" t="str">
            <v>RD</v>
          </cell>
          <cell r="AC657">
            <v>930000</v>
          </cell>
          <cell r="AD657">
            <v>21693266</v>
          </cell>
          <cell r="AE657">
            <v>2454354</v>
          </cell>
          <cell r="AF657">
            <v>2340911</v>
          </cell>
          <cell r="AG657">
            <v>0</v>
          </cell>
          <cell r="AH657">
            <v>0</v>
          </cell>
          <cell r="AI657">
            <v>0</v>
          </cell>
          <cell r="AJ657">
            <v>0</v>
          </cell>
          <cell r="AK657">
            <v>86433</v>
          </cell>
          <cell r="AL657">
            <v>189073</v>
          </cell>
          <cell r="AM657">
            <v>16206</v>
          </cell>
          <cell r="AN657">
            <v>32413</v>
          </cell>
          <cell r="AO657">
            <v>10804</v>
          </cell>
          <cell r="AP657">
            <v>10804</v>
          </cell>
        </row>
        <row r="658">
          <cell r="D658" t="str">
            <v>Sản xuất 04 đài Ra đa 3D cảnh giới tầm trung băng S VRS-MRS và 01 gói vật tư dự phòng (01 bộ vật tư Zip cho đài Ra đa VRS-MRS)</v>
          </cell>
          <cell r="G658" t="str">
            <v>SXKD</v>
          </cell>
          <cell r="I658" t="str">
            <v>RD</v>
          </cell>
          <cell r="AC658">
            <v>930000</v>
          </cell>
          <cell r="AD658">
            <v>18316624</v>
          </cell>
          <cell r="AE658">
            <v>1350723</v>
          </cell>
          <cell r="AF658">
            <v>1278716</v>
          </cell>
          <cell r="AG658">
            <v>0</v>
          </cell>
          <cell r="AH658">
            <v>0</v>
          </cell>
          <cell r="AI658">
            <v>0</v>
          </cell>
          <cell r="AJ658">
            <v>0</v>
          </cell>
          <cell r="AK658">
            <v>54862</v>
          </cell>
          <cell r="AL658">
            <v>120010</v>
          </cell>
          <cell r="AM658">
            <v>10287</v>
          </cell>
          <cell r="AN658">
            <v>20573</v>
          </cell>
          <cell r="AO658">
            <v>6858</v>
          </cell>
          <cell r="AP658">
            <v>6858</v>
          </cell>
        </row>
        <row r="659">
          <cell r="D659" t="str">
            <v>Sản xuất 04 đài Ra đa 3D cảnh giới tầm trung băng S VRS-MRS và 01 gói vật tư dự phòng (01 bộ vật tư Zip cho đài Ra đa VRS-MRS)</v>
          </cell>
          <cell r="G659" t="str">
            <v>SXKD</v>
          </cell>
          <cell r="I659" t="str">
            <v>RD</v>
          </cell>
          <cell r="AC659">
            <v>930000</v>
          </cell>
          <cell r="AD659">
            <v>19499984</v>
          </cell>
          <cell r="AE659">
            <v>1453624</v>
          </cell>
          <cell r="AF659">
            <v>1381617</v>
          </cell>
          <cell r="AG659">
            <v>0</v>
          </cell>
          <cell r="AH659">
            <v>0</v>
          </cell>
          <cell r="AI659">
            <v>0</v>
          </cell>
          <cell r="AJ659">
            <v>0</v>
          </cell>
          <cell r="AK659">
            <v>54862</v>
          </cell>
          <cell r="AL659">
            <v>120010</v>
          </cell>
          <cell r="AM659">
            <v>10287</v>
          </cell>
          <cell r="AN659">
            <v>20573</v>
          </cell>
          <cell r="AO659">
            <v>6858</v>
          </cell>
          <cell r="AP659">
            <v>6858</v>
          </cell>
        </row>
        <row r="660">
          <cell r="D660" t="str">
            <v>Sản xuất 04 đài Ra đa 3D cảnh giới tầm trung băng S VRS-MRS và 01 gói vật tư dự phòng (01 bộ vật tư Zip cho đài Ra đa VRS-MRS)</v>
          </cell>
          <cell r="G660" t="str">
            <v>SXKD</v>
          </cell>
          <cell r="I660" t="str">
            <v>RD</v>
          </cell>
          <cell r="AC660">
            <v>930000</v>
          </cell>
          <cell r="AD660">
            <v>27589800</v>
          </cell>
          <cell r="AE660">
            <v>3196101</v>
          </cell>
          <cell r="AF660">
            <v>3070429</v>
          </cell>
          <cell r="AG660">
            <v>0</v>
          </cell>
          <cell r="AH660">
            <v>0</v>
          </cell>
          <cell r="AI660">
            <v>0</v>
          </cell>
          <cell r="AJ660">
            <v>0</v>
          </cell>
          <cell r="AK660">
            <v>95750</v>
          </cell>
          <cell r="AL660">
            <v>209452</v>
          </cell>
          <cell r="AM660">
            <v>17953</v>
          </cell>
          <cell r="AN660">
            <v>35906</v>
          </cell>
          <cell r="AO660">
            <v>11969</v>
          </cell>
          <cell r="AP660">
            <v>11969</v>
          </cell>
        </row>
        <row r="661">
          <cell r="D661" t="str">
            <v>Sản xuất 04 đài Ra đa 3D cảnh giới tầm trung băng S VRS-MRS và 01 gói vật tư dự phòng (01 bộ vật tư Zip cho đài Ra đa VRS-MRS)</v>
          </cell>
          <cell r="G661" t="str">
            <v>SXKD</v>
          </cell>
          <cell r="I661" t="str">
            <v>RD</v>
          </cell>
          <cell r="AC661">
            <v>930000</v>
          </cell>
          <cell r="AD661">
            <v>20994124</v>
          </cell>
          <cell r="AE661">
            <v>1583550</v>
          </cell>
          <cell r="AF661">
            <v>1511543</v>
          </cell>
          <cell r="AG661">
            <v>0</v>
          </cell>
          <cell r="AH661">
            <v>0</v>
          </cell>
          <cell r="AI661">
            <v>0</v>
          </cell>
          <cell r="AJ661">
            <v>0</v>
          </cell>
          <cell r="AK661">
            <v>54862</v>
          </cell>
          <cell r="AL661">
            <v>120010</v>
          </cell>
          <cell r="AM661">
            <v>10287</v>
          </cell>
          <cell r="AN661">
            <v>20573</v>
          </cell>
          <cell r="AO661">
            <v>6858</v>
          </cell>
          <cell r="AP661">
            <v>6858</v>
          </cell>
        </row>
        <row r="662">
          <cell r="D662" t="str">
            <v>Sản xuất 04 đài Ra đa 3D cảnh giới tầm trung băng S VRS-MRS và 01 gói vật tư dự phòng (01 bộ vật tư Zip cho đài Ra đa VRS-MRS)</v>
          </cell>
          <cell r="G662" t="str">
            <v>SXKD</v>
          </cell>
          <cell r="I662" t="str">
            <v>RD</v>
          </cell>
          <cell r="AC662">
            <v>930000</v>
          </cell>
          <cell r="AD662">
            <v>17275656</v>
          </cell>
          <cell r="AE662">
            <v>634157</v>
          </cell>
          <cell r="AF662">
            <v>599965</v>
          </cell>
          <cell r="AG662">
            <v>0</v>
          </cell>
          <cell r="AH662">
            <v>0</v>
          </cell>
          <cell r="AI662">
            <v>0</v>
          </cell>
          <cell r="AJ662">
            <v>0</v>
          </cell>
          <cell r="AK662">
            <v>26051</v>
          </cell>
          <cell r="AL662">
            <v>56986</v>
          </cell>
          <cell r="AM662">
            <v>4885</v>
          </cell>
          <cell r="AN662">
            <v>9769</v>
          </cell>
          <cell r="AO662">
            <v>3256</v>
          </cell>
          <cell r="AP662">
            <v>3256</v>
          </cell>
        </row>
        <row r="663">
          <cell r="D663" t="str">
            <v>Sản xuất 04 đài Ra đa 3D cảnh giới tầm trung băng S VRS-MRS và 01 gói vật tư dự phòng (01 bộ vật tư Zip cho đài Ra đa VRS-MRS)</v>
          </cell>
          <cell r="G663" t="str">
            <v>SXKD</v>
          </cell>
          <cell r="I663" t="str">
            <v>RD</v>
          </cell>
          <cell r="AC663">
            <v>930000</v>
          </cell>
          <cell r="AD663">
            <v>16385556</v>
          </cell>
          <cell r="AE663">
            <v>1190913</v>
          </cell>
          <cell r="AF663">
            <v>1122529</v>
          </cell>
          <cell r="AG663">
            <v>0</v>
          </cell>
          <cell r="AH663">
            <v>0</v>
          </cell>
          <cell r="AI663">
            <v>0</v>
          </cell>
          <cell r="AJ663">
            <v>0</v>
          </cell>
          <cell r="AK663">
            <v>52102</v>
          </cell>
          <cell r="AL663">
            <v>113972</v>
          </cell>
          <cell r="AM663">
            <v>9769</v>
          </cell>
          <cell r="AN663">
            <v>19538</v>
          </cell>
          <cell r="AO663">
            <v>6513</v>
          </cell>
          <cell r="AP663">
            <v>6513</v>
          </cell>
        </row>
        <row r="664">
          <cell r="D664" t="str">
            <v>Sản xuất 04 đài Ra đa 3D cảnh giới tầm trung băng S VRS-MRS và 01 gói vật tư dự phòng (01 bộ vật tư Zip cho đài Ra đa VRS-MRS)</v>
          </cell>
          <cell r="G664" t="str">
            <v>SXKD</v>
          </cell>
          <cell r="I664" t="str">
            <v>RD</v>
          </cell>
          <cell r="AC664">
            <v>930000</v>
          </cell>
          <cell r="AD664">
            <v>20994124</v>
          </cell>
          <cell r="AE664">
            <v>791775</v>
          </cell>
          <cell r="AF664">
            <v>755772</v>
          </cell>
          <cell r="AG664">
            <v>0</v>
          </cell>
          <cell r="AH664">
            <v>0</v>
          </cell>
          <cell r="AI664">
            <v>0</v>
          </cell>
          <cell r="AJ664">
            <v>0</v>
          </cell>
          <cell r="AK664">
            <v>27431</v>
          </cell>
          <cell r="AL664">
            <v>60005</v>
          </cell>
          <cell r="AM664">
            <v>5143</v>
          </cell>
          <cell r="AN664">
            <v>10287</v>
          </cell>
          <cell r="AO664">
            <v>3429</v>
          </cell>
          <cell r="AP664">
            <v>3429</v>
          </cell>
        </row>
        <row r="665">
          <cell r="D665" t="str">
            <v>Nghiên cứu thiết kế chế tạo đài ra-đa 3D băng Ku công nghệ FMCW</v>
          </cell>
          <cell r="G665" t="str">
            <v>KHCN</v>
          </cell>
          <cell r="I665" t="str">
            <v>RD</v>
          </cell>
          <cell r="AC665">
            <v>1230000</v>
          </cell>
          <cell r="AD665">
            <v>89506974</v>
          </cell>
          <cell r="AE665">
            <v>3715127</v>
          </cell>
          <cell r="AF665">
            <v>3664664</v>
          </cell>
          <cell r="AG665">
            <v>0</v>
          </cell>
          <cell r="AH665">
            <v>0</v>
          </cell>
          <cell r="AI665">
            <v>0</v>
          </cell>
          <cell r="AJ665">
            <v>0</v>
          </cell>
          <cell r="AK665">
            <v>50463</v>
          </cell>
          <cell r="AL665">
            <v>110387</v>
          </cell>
          <cell r="AM665">
            <v>0</v>
          </cell>
          <cell r="AN665">
            <v>0</v>
          </cell>
          <cell r="AO665">
            <v>0</v>
          </cell>
          <cell r="AP665">
            <v>0</v>
          </cell>
        </row>
        <row r="666">
          <cell r="D666" t="str">
            <v>Nghiên cứu thiết kế chế tạo đài ra-đa 3D băng Ku công nghệ FMCW</v>
          </cell>
          <cell r="G666" t="str">
            <v>KHCN</v>
          </cell>
          <cell r="I666" t="str">
            <v>RD</v>
          </cell>
          <cell r="AC666">
            <v>1030000</v>
          </cell>
          <cell r="AD666">
            <v>35935265</v>
          </cell>
          <cell r="AE666">
            <v>1413730</v>
          </cell>
          <cell r="AF666">
            <v>1367311</v>
          </cell>
          <cell r="AG666">
            <v>0</v>
          </cell>
          <cell r="AH666">
            <v>0</v>
          </cell>
          <cell r="AI666">
            <v>0</v>
          </cell>
          <cell r="AJ666">
            <v>0</v>
          </cell>
          <cell r="AK666">
            <v>35367</v>
          </cell>
          <cell r="AL666">
            <v>77365</v>
          </cell>
          <cell r="AM666">
            <v>6631</v>
          </cell>
          <cell r="AN666">
            <v>13263</v>
          </cell>
          <cell r="AO666">
            <v>4421</v>
          </cell>
          <cell r="AP666">
            <v>4421</v>
          </cell>
        </row>
        <row r="667">
          <cell r="D667" t="str">
            <v>Nghiên cứu thiết kế chế tạo đài ra-đa 3D băng Ku công nghệ FMCW</v>
          </cell>
          <cell r="G667" t="str">
            <v>KHCN</v>
          </cell>
          <cell r="I667" t="str">
            <v>RD</v>
          </cell>
          <cell r="AC667">
            <v>1047000</v>
          </cell>
          <cell r="AD667">
            <v>23799705</v>
          </cell>
          <cell r="AE667">
            <v>900054</v>
          </cell>
          <cell r="AF667">
            <v>860202</v>
          </cell>
          <cell r="AG667">
            <v>0</v>
          </cell>
          <cell r="AH667">
            <v>0</v>
          </cell>
          <cell r="AI667">
            <v>0</v>
          </cell>
          <cell r="AJ667">
            <v>0</v>
          </cell>
          <cell r="AK667">
            <v>30364</v>
          </cell>
          <cell r="AL667">
            <v>66421</v>
          </cell>
          <cell r="AM667">
            <v>5693</v>
          </cell>
          <cell r="AN667">
            <v>11386</v>
          </cell>
          <cell r="AO667">
            <v>3795</v>
          </cell>
          <cell r="AP667">
            <v>3795</v>
          </cell>
        </row>
        <row r="668">
          <cell r="D668" t="str">
            <v>Nghiên cứu thiết kế chế tạo đài ra-đa 3D băng Ku công nghệ FMCW</v>
          </cell>
          <cell r="G668" t="str">
            <v>KHCN</v>
          </cell>
          <cell r="I668" t="str">
            <v>RD</v>
          </cell>
          <cell r="AC668">
            <v>930000</v>
          </cell>
          <cell r="AD668">
            <v>25399878</v>
          </cell>
          <cell r="AE668">
            <v>974714</v>
          </cell>
          <cell r="AF668">
            <v>934862</v>
          </cell>
          <cell r="AG668">
            <v>0</v>
          </cell>
          <cell r="AH668">
            <v>0</v>
          </cell>
          <cell r="AI668">
            <v>0</v>
          </cell>
          <cell r="AJ668">
            <v>0</v>
          </cell>
          <cell r="AK668">
            <v>30364</v>
          </cell>
          <cell r="AL668">
            <v>66421</v>
          </cell>
          <cell r="AM668">
            <v>5693</v>
          </cell>
          <cell r="AN668">
            <v>11386</v>
          </cell>
          <cell r="AO668">
            <v>3795</v>
          </cell>
          <cell r="AP668">
            <v>3795</v>
          </cell>
        </row>
        <row r="669">
          <cell r="D669" t="str">
            <v>Nghiên cứu thiết kế chế tạo đài ra-đa 3D băng Ku công nghệ FMCW</v>
          </cell>
          <cell r="G669" t="str">
            <v>KHCN</v>
          </cell>
          <cell r="I669" t="str">
            <v>RD</v>
          </cell>
          <cell r="AC669">
            <v>1281000</v>
          </cell>
          <cell r="AD669">
            <v>27674384</v>
          </cell>
          <cell r="AE669">
            <v>1058345</v>
          </cell>
          <cell r="AF669">
            <v>1018493</v>
          </cell>
          <cell r="AG669">
            <v>0</v>
          </cell>
          <cell r="AH669">
            <v>0</v>
          </cell>
          <cell r="AI669">
            <v>0</v>
          </cell>
          <cell r="AJ669">
            <v>0</v>
          </cell>
          <cell r="AK669">
            <v>30364</v>
          </cell>
          <cell r="AL669">
            <v>66421</v>
          </cell>
          <cell r="AM669">
            <v>5693</v>
          </cell>
          <cell r="AN669">
            <v>11386</v>
          </cell>
          <cell r="AO669">
            <v>3795</v>
          </cell>
          <cell r="AP669">
            <v>3795</v>
          </cell>
        </row>
        <row r="670">
          <cell r="D670" t="str">
            <v>Nghiên cứu thiết kế chế tạo đài ra-đa 3D băng Ku công nghệ FMCW</v>
          </cell>
          <cell r="G670" t="str">
            <v>KHCN</v>
          </cell>
          <cell r="I670" t="str">
            <v>RD</v>
          </cell>
          <cell r="AC670">
            <v>930000</v>
          </cell>
          <cell r="AD670">
            <v>17994124</v>
          </cell>
          <cell r="AE670">
            <v>661340</v>
          </cell>
          <cell r="AF670">
            <v>625337</v>
          </cell>
          <cell r="AG670">
            <v>0</v>
          </cell>
          <cell r="AH670">
            <v>0</v>
          </cell>
          <cell r="AI670">
            <v>0</v>
          </cell>
          <cell r="AJ670">
            <v>0</v>
          </cell>
          <cell r="AK670">
            <v>27431</v>
          </cell>
          <cell r="AL670">
            <v>60005</v>
          </cell>
          <cell r="AM670">
            <v>5143</v>
          </cell>
          <cell r="AN670">
            <v>10287</v>
          </cell>
          <cell r="AO670">
            <v>3429</v>
          </cell>
          <cell r="AP670">
            <v>3429</v>
          </cell>
        </row>
        <row r="671">
          <cell r="D671" t="str">
            <v>Nghiên cứu thiết kế chế tạo đài ra-đa 3D băng Ku công nghệ FMCW</v>
          </cell>
          <cell r="G671" t="str">
            <v>KHCN</v>
          </cell>
          <cell r="I671" t="str">
            <v>RD</v>
          </cell>
          <cell r="AC671">
            <v>930000</v>
          </cell>
          <cell r="AD671">
            <v>20275656</v>
          </cell>
          <cell r="AE671">
            <v>764591</v>
          </cell>
          <cell r="AF671">
            <v>730399</v>
          </cell>
          <cell r="AG671">
            <v>0</v>
          </cell>
          <cell r="AH671">
            <v>0</v>
          </cell>
          <cell r="AI671">
            <v>0</v>
          </cell>
          <cell r="AJ671">
            <v>0</v>
          </cell>
          <cell r="AK671">
            <v>26051</v>
          </cell>
          <cell r="AL671">
            <v>56986</v>
          </cell>
          <cell r="AM671">
            <v>4885</v>
          </cell>
          <cell r="AN671">
            <v>9769</v>
          </cell>
          <cell r="AO671">
            <v>3256</v>
          </cell>
          <cell r="AP671">
            <v>3256</v>
          </cell>
        </row>
        <row r="672">
          <cell r="D672" t="str">
            <v>Nghiên cứu, hiện đại hóa đại đội pháo phòng không 57mm có khí tài</v>
          </cell>
          <cell r="G672" t="str">
            <v>KHCN</v>
          </cell>
          <cell r="I672" t="str">
            <v>RD</v>
          </cell>
          <cell r="AC672">
            <v>1230000</v>
          </cell>
          <cell r="AD672">
            <v>71861870</v>
          </cell>
          <cell r="AE672">
            <v>2954892</v>
          </cell>
          <cell r="AF672">
            <v>2907278</v>
          </cell>
          <cell r="AG672">
            <v>0</v>
          </cell>
          <cell r="AH672">
            <v>0</v>
          </cell>
          <cell r="AI672">
            <v>0</v>
          </cell>
          <cell r="AJ672">
            <v>0</v>
          </cell>
          <cell r="AK672">
            <v>47614</v>
          </cell>
          <cell r="AL672">
            <v>104155</v>
          </cell>
          <cell r="AM672">
            <v>0</v>
          </cell>
          <cell r="AN672">
            <v>0</v>
          </cell>
          <cell r="AO672">
            <v>0</v>
          </cell>
          <cell r="AP672">
            <v>0</v>
          </cell>
        </row>
        <row r="673">
          <cell r="D673" t="str">
            <v>Nghiên cứu, hiện đại hóa đại đội pháo phòng không 57mm có khí tài</v>
          </cell>
          <cell r="G673" t="str">
            <v>KHCN</v>
          </cell>
          <cell r="I673" t="str">
            <v>RD</v>
          </cell>
          <cell r="AC673">
            <v>930000</v>
          </cell>
          <cell r="AD673">
            <v>33163490</v>
          </cell>
          <cell r="AE673">
            <v>9118434</v>
          </cell>
          <cell r="AF673">
            <v>8809350</v>
          </cell>
          <cell r="AG673">
            <v>0</v>
          </cell>
          <cell r="AH673">
            <v>0</v>
          </cell>
          <cell r="AI673">
            <v>0</v>
          </cell>
          <cell r="AJ673">
            <v>0</v>
          </cell>
          <cell r="AK673">
            <v>235492</v>
          </cell>
          <cell r="AL673">
            <v>515139</v>
          </cell>
          <cell r="AM673">
            <v>44155</v>
          </cell>
          <cell r="AN673">
            <v>88310</v>
          </cell>
          <cell r="AO673">
            <v>29437</v>
          </cell>
          <cell r="AP673">
            <v>29437</v>
          </cell>
        </row>
        <row r="674">
          <cell r="D674" t="str">
            <v>Nghiên cứu, hiện đại hóa đại đội pháo phòng không 57mm có khí tài</v>
          </cell>
          <cell r="G674" t="str">
            <v>KHCN</v>
          </cell>
          <cell r="I674" t="str">
            <v>RD</v>
          </cell>
          <cell r="AC674">
            <v>1047000</v>
          </cell>
          <cell r="AD674">
            <v>28997006</v>
          </cell>
          <cell r="AE674">
            <v>4485851</v>
          </cell>
          <cell r="AF674">
            <v>4318290</v>
          </cell>
          <cell r="AG674">
            <v>0</v>
          </cell>
          <cell r="AH674">
            <v>0</v>
          </cell>
          <cell r="AI674">
            <v>0</v>
          </cell>
          <cell r="AJ674">
            <v>0</v>
          </cell>
          <cell r="AK674">
            <v>127666</v>
          </cell>
          <cell r="AL674">
            <v>279270</v>
          </cell>
          <cell r="AM674">
            <v>23937</v>
          </cell>
          <cell r="AN674">
            <v>47875</v>
          </cell>
          <cell r="AO674">
            <v>15958</v>
          </cell>
          <cell r="AP674">
            <v>15958</v>
          </cell>
        </row>
        <row r="675">
          <cell r="D675" t="str">
            <v>Nghiên cứu, hiện đại hóa đại đội pháo phòng không 57mm có khí tài</v>
          </cell>
          <cell r="G675" t="str">
            <v>KHCN</v>
          </cell>
          <cell r="I675" t="str">
            <v>RD</v>
          </cell>
          <cell r="AC675">
            <v>1030000</v>
          </cell>
          <cell r="AD675">
            <v>40588983</v>
          </cell>
          <cell r="AE675">
            <v>3232131</v>
          </cell>
          <cell r="AF675">
            <v>3139292</v>
          </cell>
          <cell r="AG675">
            <v>0</v>
          </cell>
          <cell r="AH675">
            <v>0</v>
          </cell>
          <cell r="AI675">
            <v>0</v>
          </cell>
          <cell r="AJ675">
            <v>0</v>
          </cell>
          <cell r="AK675">
            <v>70734</v>
          </cell>
          <cell r="AL675">
            <v>154730</v>
          </cell>
          <cell r="AM675">
            <v>13263</v>
          </cell>
          <cell r="AN675">
            <v>26525</v>
          </cell>
          <cell r="AO675">
            <v>8842</v>
          </cell>
          <cell r="AP675">
            <v>8842</v>
          </cell>
        </row>
        <row r="676">
          <cell r="D676" t="str">
            <v>Nghiên cứu, hiện đại hóa đại đội pháo phòng không 57mm có khí tài</v>
          </cell>
          <cell r="G676" t="str">
            <v>KHCN</v>
          </cell>
          <cell r="I676" t="str">
            <v>RD</v>
          </cell>
          <cell r="AC676">
            <v>1230000</v>
          </cell>
          <cell r="AD676">
            <v>69918607</v>
          </cell>
          <cell r="AE676">
            <v>25674035</v>
          </cell>
          <cell r="AF676">
            <v>25136026</v>
          </cell>
          <cell r="AG676">
            <v>0</v>
          </cell>
          <cell r="AH676">
            <v>0</v>
          </cell>
          <cell r="AI676">
            <v>0</v>
          </cell>
          <cell r="AJ676">
            <v>0</v>
          </cell>
          <cell r="AK676">
            <v>409912</v>
          </cell>
          <cell r="AL676">
            <v>896682</v>
          </cell>
          <cell r="AM676">
            <v>76858</v>
          </cell>
          <cell r="AN676">
            <v>153717</v>
          </cell>
          <cell r="AO676">
            <v>51239</v>
          </cell>
          <cell r="AP676">
            <v>51239</v>
          </cell>
        </row>
        <row r="677">
          <cell r="D677" t="str">
            <v>Nghiên cứu, hiện đại hóa đại đội pháo phòng không 57mm có khí tài</v>
          </cell>
          <cell r="G677" t="str">
            <v>KHCN</v>
          </cell>
          <cell r="I677" t="str">
            <v>RD</v>
          </cell>
          <cell r="AC677">
            <v>1047000</v>
          </cell>
          <cell r="AD677">
            <v>23978241</v>
          </cell>
          <cell r="AE677">
            <v>5446900</v>
          </cell>
          <cell r="AF677">
            <v>5207785</v>
          </cell>
          <cell r="AG677">
            <v>0</v>
          </cell>
          <cell r="AH677">
            <v>0</v>
          </cell>
          <cell r="AI677">
            <v>0</v>
          </cell>
          <cell r="AJ677">
            <v>0</v>
          </cell>
          <cell r="AK677">
            <v>182183</v>
          </cell>
          <cell r="AL677">
            <v>398525</v>
          </cell>
          <cell r="AM677">
            <v>34159</v>
          </cell>
          <cell r="AN677">
            <v>68319</v>
          </cell>
          <cell r="AO677">
            <v>22773</v>
          </cell>
          <cell r="AP677">
            <v>22773</v>
          </cell>
        </row>
        <row r="678">
          <cell r="D678" t="str">
            <v>Nghiên cứu, hiện đại hóa đại đội pháo phòng không 57mm có khí tài</v>
          </cell>
          <cell r="G678" t="str">
            <v>KHCN</v>
          </cell>
          <cell r="I678" t="str">
            <v>RD</v>
          </cell>
          <cell r="AC678">
            <v>930000</v>
          </cell>
          <cell r="AD678">
            <v>17275656</v>
          </cell>
          <cell r="AE678">
            <v>9512347</v>
          </cell>
          <cell r="AF678">
            <v>8999472</v>
          </cell>
          <cell r="AG678">
            <v>0</v>
          </cell>
          <cell r="AH678">
            <v>0</v>
          </cell>
          <cell r="AI678">
            <v>0</v>
          </cell>
          <cell r="AJ678">
            <v>0</v>
          </cell>
          <cell r="AK678">
            <v>390762</v>
          </cell>
          <cell r="AL678">
            <v>854791</v>
          </cell>
          <cell r="AM678">
            <v>73267</v>
          </cell>
          <cell r="AN678">
            <v>146536</v>
          </cell>
          <cell r="AO678">
            <v>48846</v>
          </cell>
          <cell r="AP678">
            <v>48846</v>
          </cell>
        </row>
        <row r="679">
          <cell r="D679" t="str">
            <v>Nghiên cứu, hiện đại hóa đại đội pháo phòng không 57mm có khí tài</v>
          </cell>
          <cell r="G679" t="str">
            <v>KHCN</v>
          </cell>
          <cell r="I679" t="str">
            <v>RD</v>
          </cell>
          <cell r="AC679">
            <v>930000</v>
          </cell>
          <cell r="AD679">
            <v>20994124</v>
          </cell>
          <cell r="AE679">
            <v>1583550</v>
          </cell>
          <cell r="AF679">
            <v>1511543</v>
          </cell>
          <cell r="AG679">
            <v>0</v>
          </cell>
          <cell r="AH679">
            <v>0</v>
          </cell>
          <cell r="AI679">
            <v>0</v>
          </cell>
          <cell r="AJ679">
            <v>0</v>
          </cell>
          <cell r="AK679">
            <v>54862</v>
          </cell>
          <cell r="AL679">
            <v>120010</v>
          </cell>
          <cell r="AM679">
            <v>10287</v>
          </cell>
          <cell r="AN679">
            <v>20573</v>
          </cell>
          <cell r="AO679">
            <v>6858</v>
          </cell>
          <cell r="AP679">
            <v>6858</v>
          </cell>
        </row>
        <row r="680">
          <cell r="D680" t="str">
            <v>Nghiên cứu, hiện đại hóa đại đội pháo phòng không 57mm có khí tài</v>
          </cell>
          <cell r="G680" t="str">
            <v>KHCN</v>
          </cell>
          <cell r="I680" t="str">
            <v>RD</v>
          </cell>
          <cell r="AC680">
            <v>930000</v>
          </cell>
          <cell r="AD680">
            <v>14515216</v>
          </cell>
          <cell r="AE680">
            <v>8347826</v>
          </cell>
          <cell r="AF680">
            <v>7855104</v>
          </cell>
          <cell r="AG680">
            <v>0</v>
          </cell>
          <cell r="AH680">
            <v>0</v>
          </cell>
          <cell r="AI680">
            <v>0</v>
          </cell>
          <cell r="AJ680">
            <v>0</v>
          </cell>
          <cell r="AK680">
            <v>375407</v>
          </cell>
          <cell r="AL680">
            <v>821203</v>
          </cell>
          <cell r="AM680">
            <v>70389</v>
          </cell>
          <cell r="AN680">
            <v>140778</v>
          </cell>
          <cell r="AO680">
            <v>46926</v>
          </cell>
          <cell r="AP680">
            <v>46926</v>
          </cell>
        </row>
        <row r="681">
          <cell r="D681" t="str">
            <v>Nghiên cứu, hiện đại hóa đại đội pháo phòng không 57mm có khí tài</v>
          </cell>
          <cell r="G681" t="str">
            <v>KHCN</v>
          </cell>
          <cell r="I681" t="str">
            <v>RD</v>
          </cell>
          <cell r="AC681">
            <v>930000</v>
          </cell>
          <cell r="AD681">
            <v>17090056</v>
          </cell>
          <cell r="AE681">
            <v>2504348</v>
          </cell>
          <cell r="AF681">
            <v>2367582</v>
          </cell>
          <cell r="AG681">
            <v>0</v>
          </cell>
          <cell r="AH681">
            <v>0</v>
          </cell>
          <cell r="AI681">
            <v>0</v>
          </cell>
          <cell r="AJ681">
            <v>0</v>
          </cell>
          <cell r="AK681">
            <v>104203</v>
          </cell>
          <cell r="AL681">
            <v>227944</v>
          </cell>
          <cell r="AM681">
            <v>19538</v>
          </cell>
          <cell r="AN681">
            <v>39076</v>
          </cell>
          <cell r="AO681">
            <v>13025</v>
          </cell>
          <cell r="AP681">
            <v>13025</v>
          </cell>
        </row>
        <row r="682">
          <cell r="D682" t="str">
            <v>01 đài ra đa chỉ thị mục tiêu VRS-MCX cho tổ hợp tên lửa bờ VCM-B</v>
          </cell>
          <cell r="G682" t="str">
            <v>Bán hàng</v>
          </cell>
          <cell r="I682" t="str">
            <v>RD</v>
          </cell>
          <cell r="AC682">
            <v>1030000</v>
          </cell>
          <cell r="AD682">
            <v>37853271</v>
          </cell>
          <cell r="AE682">
            <v>4491364</v>
          </cell>
          <cell r="AF682">
            <v>4352106</v>
          </cell>
          <cell r="AG682">
            <v>0</v>
          </cell>
          <cell r="AH682">
            <v>0</v>
          </cell>
          <cell r="AI682">
            <v>0</v>
          </cell>
          <cell r="AJ682">
            <v>0</v>
          </cell>
          <cell r="AK682">
            <v>106101</v>
          </cell>
          <cell r="AL682">
            <v>232096</v>
          </cell>
          <cell r="AM682">
            <v>19894</v>
          </cell>
          <cell r="AN682">
            <v>39788</v>
          </cell>
          <cell r="AO682">
            <v>13263</v>
          </cell>
          <cell r="AP682">
            <v>13263</v>
          </cell>
        </row>
        <row r="683">
          <cell r="D683" t="str">
            <v>01 đài ra đa chỉ thị mục tiêu VRS-MCX cho tổ hợp tên lửa bờ VCM-B</v>
          </cell>
          <cell r="G683" t="str">
            <v>Bán hàng</v>
          </cell>
          <cell r="I683" t="str">
            <v>RD</v>
          </cell>
          <cell r="AC683">
            <v>1030000</v>
          </cell>
          <cell r="AD683">
            <v>41391760</v>
          </cell>
          <cell r="AE683">
            <v>4850336</v>
          </cell>
          <cell r="AF683">
            <v>4680391</v>
          </cell>
          <cell r="AG683">
            <v>0</v>
          </cell>
          <cell r="AH683">
            <v>0</v>
          </cell>
          <cell r="AI683">
            <v>0</v>
          </cell>
          <cell r="AJ683">
            <v>0</v>
          </cell>
          <cell r="AK683">
            <v>169945</v>
          </cell>
          <cell r="AL683">
            <v>371755</v>
          </cell>
          <cell r="AM683">
            <v>0</v>
          </cell>
          <cell r="AN683">
            <v>0</v>
          </cell>
          <cell r="AO683">
            <v>0</v>
          </cell>
          <cell r="AP683">
            <v>0</v>
          </cell>
        </row>
        <row r="684">
          <cell r="D684" t="str">
            <v>01 đài ra đa chỉ thị mục tiêu VRS-MCX cho tổ hợp tên lửa bờ VCM-B</v>
          </cell>
          <cell r="G684" t="str">
            <v>Bán hàng</v>
          </cell>
          <cell r="I684" t="str">
            <v>RD</v>
          </cell>
          <cell r="AC684">
            <v>930000</v>
          </cell>
          <cell r="AD684">
            <v>19947552</v>
          </cell>
          <cell r="AE684">
            <v>742217</v>
          </cell>
          <cell r="AF684">
            <v>704403</v>
          </cell>
          <cell r="AG684">
            <v>0</v>
          </cell>
          <cell r="AH684">
            <v>0</v>
          </cell>
          <cell r="AI684">
            <v>0</v>
          </cell>
          <cell r="AJ684">
            <v>0</v>
          </cell>
          <cell r="AK684">
            <v>28811</v>
          </cell>
          <cell r="AL684">
            <v>63024</v>
          </cell>
          <cell r="AM684">
            <v>5402</v>
          </cell>
          <cell r="AN684">
            <v>10804</v>
          </cell>
          <cell r="AO684">
            <v>3601</v>
          </cell>
          <cell r="AP684">
            <v>3601</v>
          </cell>
        </row>
        <row r="685">
          <cell r="D685" t="str">
            <v>01 đài ra đa chỉ thị mục tiêu VRS-MCX cho tổ hợp tên lửa bờ VCM-B</v>
          </cell>
          <cell r="G685" t="str">
            <v>Bán hàng</v>
          </cell>
          <cell r="I685" t="str">
            <v>RD</v>
          </cell>
          <cell r="AC685">
            <v>930000</v>
          </cell>
          <cell r="AD685">
            <v>32603768</v>
          </cell>
          <cell r="AE685">
            <v>3834893</v>
          </cell>
          <cell r="AF685">
            <v>3702429</v>
          </cell>
          <cell r="AG685">
            <v>0</v>
          </cell>
          <cell r="AH685">
            <v>0</v>
          </cell>
          <cell r="AI685">
            <v>0</v>
          </cell>
          <cell r="AJ685">
            <v>0</v>
          </cell>
          <cell r="AK685">
            <v>100925</v>
          </cell>
          <cell r="AL685">
            <v>220774</v>
          </cell>
          <cell r="AM685">
            <v>18923</v>
          </cell>
          <cell r="AN685">
            <v>37847</v>
          </cell>
          <cell r="AO685">
            <v>12616</v>
          </cell>
          <cell r="AP685">
            <v>12616</v>
          </cell>
        </row>
        <row r="686">
          <cell r="D686" t="str">
            <v>01 đài ra đa chỉ thị mục tiêu VRS-MCX cho tổ hợp tên lửa bờ VCM-B</v>
          </cell>
          <cell r="G686" t="str">
            <v>Bán hàng</v>
          </cell>
          <cell r="I686" t="str">
            <v>RD</v>
          </cell>
          <cell r="AC686">
            <v>1047000</v>
          </cell>
          <cell r="AD686">
            <v>23978241</v>
          </cell>
          <cell r="AE686">
            <v>1815633</v>
          </cell>
          <cell r="AF686">
            <v>1735928</v>
          </cell>
          <cell r="AG686">
            <v>0</v>
          </cell>
          <cell r="AH686">
            <v>0</v>
          </cell>
          <cell r="AI686">
            <v>0</v>
          </cell>
          <cell r="AJ686">
            <v>0</v>
          </cell>
          <cell r="AK686">
            <v>60728</v>
          </cell>
          <cell r="AL686">
            <v>132842</v>
          </cell>
          <cell r="AM686">
            <v>11386</v>
          </cell>
          <cell r="AN686">
            <v>22773</v>
          </cell>
          <cell r="AO686">
            <v>7591</v>
          </cell>
          <cell r="AP686">
            <v>7591</v>
          </cell>
        </row>
        <row r="687">
          <cell r="D687" t="str">
            <v>01 đài ra đa chỉ thị mục tiêu VRS-MCX cho tổ hợp tên lửa bờ VCM-B</v>
          </cell>
          <cell r="G687" t="str">
            <v>Bán hàng</v>
          </cell>
          <cell r="I687" t="str">
            <v>RD</v>
          </cell>
          <cell r="AC687">
            <v>930000</v>
          </cell>
          <cell r="AD687">
            <v>21492406</v>
          </cell>
          <cell r="AE687">
            <v>2414472</v>
          </cell>
          <cell r="AF687">
            <v>2294915</v>
          </cell>
          <cell r="AG687">
            <v>0</v>
          </cell>
          <cell r="AH687">
            <v>0</v>
          </cell>
          <cell r="AI687">
            <v>0</v>
          </cell>
          <cell r="AJ687">
            <v>0</v>
          </cell>
          <cell r="AK687">
            <v>91091</v>
          </cell>
          <cell r="AL687">
            <v>199263</v>
          </cell>
          <cell r="AM687">
            <v>17080</v>
          </cell>
          <cell r="AN687">
            <v>34159</v>
          </cell>
          <cell r="AO687">
            <v>11386</v>
          </cell>
          <cell r="AP687">
            <v>11386</v>
          </cell>
        </row>
        <row r="688">
          <cell r="D688" t="str">
            <v>Nghiên cứu, thiết kế, chế tạo tổ hợp ra-đa – quang điện tử cảnh giới biển tầm gần phục vụ tác chiến trên đảo và nhà giàn</v>
          </cell>
          <cell r="G688" t="str">
            <v>KHCN</v>
          </cell>
          <cell r="I688" t="str">
            <v>RD</v>
          </cell>
          <cell r="AC688">
            <v>1230000</v>
          </cell>
          <cell r="AD688">
            <v>89506974</v>
          </cell>
          <cell r="AE688">
            <v>3715127</v>
          </cell>
          <cell r="AF688">
            <v>3664664</v>
          </cell>
          <cell r="AG688">
            <v>0</v>
          </cell>
          <cell r="AH688">
            <v>0</v>
          </cell>
          <cell r="AI688">
            <v>0</v>
          </cell>
          <cell r="AJ688">
            <v>0</v>
          </cell>
          <cell r="AK688">
            <v>50463</v>
          </cell>
          <cell r="AL688">
            <v>110387</v>
          </cell>
          <cell r="AM688">
            <v>0</v>
          </cell>
          <cell r="AN688">
            <v>0</v>
          </cell>
          <cell r="AO688">
            <v>0</v>
          </cell>
          <cell r="AP688">
            <v>0</v>
          </cell>
        </row>
        <row r="689">
          <cell r="D689" t="str">
            <v>Nghiên cứu, thiết kế, chế tạo tổ hợp ra-đa – quang điện tử cảnh giới biển tầm gần phục vụ tác chiến trên đảo và nhà giàn</v>
          </cell>
          <cell r="G689" t="str">
            <v>KHCN</v>
          </cell>
          <cell r="I689" t="str">
            <v>RD</v>
          </cell>
          <cell r="AC689">
            <v>1030000</v>
          </cell>
          <cell r="AD689">
            <v>35935265</v>
          </cell>
          <cell r="AE689">
            <v>1413730</v>
          </cell>
          <cell r="AF689">
            <v>1367311</v>
          </cell>
          <cell r="AG689">
            <v>0</v>
          </cell>
          <cell r="AH689">
            <v>0</v>
          </cell>
          <cell r="AI689">
            <v>0</v>
          </cell>
          <cell r="AJ689">
            <v>0</v>
          </cell>
          <cell r="AK689">
            <v>35367</v>
          </cell>
          <cell r="AL689">
            <v>77365</v>
          </cell>
          <cell r="AM689">
            <v>6631</v>
          </cell>
          <cell r="AN689">
            <v>13263</v>
          </cell>
          <cell r="AO689">
            <v>4421</v>
          </cell>
          <cell r="AP689">
            <v>4421</v>
          </cell>
        </row>
        <row r="690">
          <cell r="D690" t="str">
            <v>Nghiên cứu, thiết kế, chế tạo tổ hợp ra-đa – quang điện tử cảnh giới biển tầm gần phục vụ tác chiến trên đảo và nhà giàn</v>
          </cell>
          <cell r="G690" t="str">
            <v>KHCN</v>
          </cell>
          <cell r="I690" t="str">
            <v>RD</v>
          </cell>
          <cell r="AC690">
            <v>1047000</v>
          </cell>
          <cell r="AD690">
            <v>23799705</v>
          </cell>
          <cell r="AE690">
            <v>900054</v>
          </cell>
          <cell r="AF690">
            <v>860202</v>
          </cell>
          <cell r="AG690">
            <v>0</v>
          </cell>
          <cell r="AH690">
            <v>0</v>
          </cell>
          <cell r="AI690">
            <v>0</v>
          </cell>
          <cell r="AJ690">
            <v>0</v>
          </cell>
          <cell r="AK690">
            <v>30364</v>
          </cell>
          <cell r="AL690">
            <v>66421</v>
          </cell>
          <cell r="AM690">
            <v>5693</v>
          </cell>
          <cell r="AN690">
            <v>11386</v>
          </cell>
          <cell r="AO690">
            <v>3795</v>
          </cell>
          <cell r="AP690">
            <v>3795</v>
          </cell>
        </row>
        <row r="691">
          <cell r="D691" t="str">
            <v>Nghiên cứu, thiết kế, chế tạo tổ hợp ra-đa – quang điện tử cảnh giới biển tầm gần phục vụ tác chiến trên đảo và nhà giàn</v>
          </cell>
          <cell r="G691" t="str">
            <v>KHCN</v>
          </cell>
          <cell r="I691" t="str">
            <v>RD</v>
          </cell>
          <cell r="AC691">
            <v>1030000</v>
          </cell>
          <cell r="AD691">
            <v>38986070</v>
          </cell>
          <cell r="AE691">
            <v>1540799</v>
          </cell>
          <cell r="AF691">
            <v>1491889</v>
          </cell>
          <cell r="AG691">
            <v>0</v>
          </cell>
          <cell r="AH691">
            <v>0</v>
          </cell>
          <cell r="AI691">
            <v>0</v>
          </cell>
          <cell r="AJ691">
            <v>0</v>
          </cell>
          <cell r="AK691">
            <v>37265</v>
          </cell>
          <cell r="AL691">
            <v>81517</v>
          </cell>
          <cell r="AM691">
            <v>6987</v>
          </cell>
          <cell r="AN691">
            <v>13974</v>
          </cell>
          <cell r="AO691">
            <v>4658</v>
          </cell>
          <cell r="AP691">
            <v>4658</v>
          </cell>
        </row>
        <row r="692">
          <cell r="D692" t="str">
            <v>Nghiên cứu, thiết kế, chế tạo tổ hợp ra-đa – quang điện tử cảnh giới biển tầm gần phục vụ tác chiến trên đảo và nhà giàn</v>
          </cell>
          <cell r="G692" t="str">
            <v>KHCN</v>
          </cell>
          <cell r="I692" t="str">
            <v>RD</v>
          </cell>
          <cell r="AC692">
            <v>930000</v>
          </cell>
          <cell r="AD692">
            <v>25399878</v>
          </cell>
          <cell r="AE692">
            <v>1949428</v>
          </cell>
          <cell r="AF692">
            <v>1869723</v>
          </cell>
          <cell r="AG692">
            <v>0</v>
          </cell>
          <cell r="AH692">
            <v>0</v>
          </cell>
          <cell r="AI692">
            <v>0</v>
          </cell>
          <cell r="AJ692">
            <v>0</v>
          </cell>
          <cell r="AK692">
            <v>60728</v>
          </cell>
          <cell r="AL692">
            <v>132842</v>
          </cell>
          <cell r="AM692">
            <v>11386</v>
          </cell>
          <cell r="AN692">
            <v>22773</v>
          </cell>
          <cell r="AO692">
            <v>7591</v>
          </cell>
          <cell r="AP692">
            <v>7591</v>
          </cell>
        </row>
        <row r="693">
          <cell r="D693" t="str">
            <v>Nghiên cứu, thiết kế, chế tạo tổ hợp ra-đa – quang điện tử cảnh giới biển tầm gần phục vụ tác chiến trên đảo và nhà giàn</v>
          </cell>
          <cell r="G693" t="str">
            <v>KHCN</v>
          </cell>
          <cell r="I693" t="str">
            <v>RD</v>
          </cell>
          <cell r="AC693">
            <v>1047000</v>
          </cell>
          <cell r="AD693">
            <v>23195590</v>
          </cell>
          <cell r="AE693">
            <v>873788</v>
          </cell>
          <cell r="AF693">
            <v>833936</v>
          </cell>
          <cell r="AG693">
            <v>0</v>
          </cell>
          <cell r="AH693">
            <v>0</v>
          </cell>
          <cell r="AI693">
            <v>0</v>
          </cell>
          <cell r="AJ693">
            <v>0</v>
          </cell>
          <cell r="AK693">
            <v>30364</v>
          </cell>
          <cell r="AL693">
            <v>66421</v>
          </cell>
          <cell r="AM693">
            <v>5693</v>
          </cell>
          <cell r="AN693">
            <v>11386</v>
          </cell>
          <cell r="AO693">
            <v>3795</v>
          </cell>
          <cell r="AP693">
            <v>3795</v>
          </cell>
        </row>
        <row r="694">
          <cell r="D694" t="str">
            <v>Nghiên cứu, thiết kế, chế tạo tổ hợp ra-đa – quang điện tử cảnh giới biển tầm gần phục vụ tác chiến trên đảo và nhà giàn</v>
          </cell>
          <cell r="G694" t="str">
            <v>KHCN</v>
          </cell>
          <cell r="I694" t="str">
            <v>RD</v>
          </cell>
          <cell r="AC694">
            <v>1030000</v>
          </cell>
          <cell r="AD694">
            <v>39328832</v>
          </cell>
          <cell r="AE694">
            <v>1555702</v>
          </cell>
          <cell r="AF694">
            <v>1506792</v>
          </cell>
          <cell r="AG694">
            <v>0</v>
          </cell>
          <cell r="AH694">
            <v>0</v>
          </cell>
          <cell r="AI694">
            <v>0</v>
          </cell>
          <cell r="AJ694">
            <v>0</v>
          </cell>
          <cell r="AK694">
            <v>37265</v>
          </cell>
          <cell r="AL694">
            <v>81517</v>
          </cell>
          <cell r="AM694">
            <v>6987</v>
          </cell>
          <cell r="AN694">
            <v>13974</v>
          </cell>
          <cell r="AO694">
            <v>4658</v>
          </cell>
          <cell r="AP694">
            <v>4658</v>
          </cell>
        </row>
        <row r="695">
          <cell r="D695" t="str">
            <v>Sản xuất 28 đài ra đa VRS-SRS, 28 bộ thiết bị nhận dạng IFF,  gói vật tư dự phòng và gói triển khai hạ tầng (Đài ra đa VRS-SRS)</v>
          </cell>
          <cell r="G695" t="str">
            <v>SXKD</v>
          </cell>
          <cell r="I695" t="str">
            <v>RD</v>
          </cell>
          <cell r="AC695">
            <v>1130000</v>
          </cell>
          <cell r="AD695">
            <v>62220771</v>
          </cell>
          <cell r="AE695">
            <v>7591914</v>
          </cell>
          <cell r="AF695">
            <v>7437474</v>
          </cell>
          <cell r="AG695">
            <v>0</v>
          </cell>
          <cell r="AH695">
            <v>0</v>
          </cell>
          <cell r="AI695">
            <v>0</v>
          </cell>
          <cell r="AJ695">
            <v>0</v>
          </cell>
          <cell r="AK695">
            <v>154440</v>
          </cell>
          <cell r="AL695">
            <v>337838</v>
          </cell>
          <cell r="AM695">
            <v>0</v>
          </cell>
          <cell r="AN695">
            <v>0</v>
          </cell>
          <cell r="AO695">
            <v>0</v>
          </cell>
          <cell r="AP695">
            <v>0</v>
          </cell>
        </row>
        <row r="696">
          <cell r="D696" t="str">
            <v>Sản xuất 28 đài ra đa VRS-SRS, 28 bộ thiết bị nhận dạng IFF,  gói vật tư dự phòng và gói triển khai hạ tầng (Đài ra đa VRS-SRS)</v>
          </cell>
          <cell r="G696" t="str">
            <v>SXKD</v>
          </cell>
          <cell r="I696" t="str">
            <v>RD</v>
          </cell>
          <cell r="AC696">
            <v>1130000</v>
          </cell>
          <cell r="AD696">
            <v>69245160</v>
          </cell>
          <cell r="AE696">
            <v>14138690</v>
          </cell>
          <cell r="AF696">
            <v>13839796</v>
          </cell>
          <cell r="AG696">
            <v>0</v>
          </cell>
          <cell r="AH696">
            <v>0</v>
          </cell>
          <cell r="AI696">
            <v>0</v>
          </cell>
          <cell r="AJ696">
            <v>0</v>
          </cell>
          <cell r="AK696">
            <v>227729</v>
          </cell>
          <cell r="AL696">
            <v>498157</v>
          </cell>
          <cell r="AM696">
            <v>42699</v>
          </cell>
          <cell r="AN696">
            <v>85398</v>
          </cell>
          <cell r="AO696">
            <v>28466</v>
          </cell>
          <cell r="AP696">
            <v>28466</v>
          </cell>
        </row>
        <row r="697">
          <cell r="D697" t="str">
            <v>Sản xuất 28 đài ra đa VRS-SRS, 28 bộ thiết bị nhận dạng IFF,  gói vật tư dự phòng và gói triển khai hạ tầng (Đài ra đa VRS-SRS)</v>
          </cell>
          <cell r="G697" t="str">
            <v>SXKD</v>
          </cell>
          <cell r="I697" t="str">
            <v>RD</v>
          </cell>
          <cell r="AC697">
            <v>1047000</v>
          </cell>
          <cell r="AD697">
            <v>27478356</v>
          </cell>
          <cell r="AE697">
            <v>7388042</v>
          </cell>
          <cell r="AF697">
            <v>7094809</v>
          </cell>
          <cell r="AG697">
            <v>0</v>
          </cell>
          <cell r="AH697">
            <v>0</v>
          </cell>
          <cell r="AI697">
            <v>0</v>
          </cell>
          <cell r="AJ697">
            <v>0</v>
          </cell>
          <cell r="AK697">
            <v>223416</v>
          </cell>
          <cell r="AL697">
            <v>488722</v>
          </cell>
          <cell r="AM697">
            <v>41890</v>
          </cell>
          <cell r="AN697">
            <v>83781</v>
          </cell>
          <cell r="AO697">
            <v>27927</v>
          </cell>
          <cell r="AP697">
            <v>27927</v>
          </cell>
        </row>
        <row r="698">
          <cell r="D698" t="str">
            <v>Sản xuất 28 đài ra đa VRS-SRS, 28 bộ thiết bị nhận dạng IFF,  gói vật tư dự phòng và gói triển khai hạ tầng (Đài ra đa VRS-SRS)</v>
          </cell>
          <cell r="G698" t="str">
            <v>SXKD</v>
          </cell>
          <cell r="I698" t="str">
            <v>RD</v>
          </cell>
          <cell r="AC698">
            <v>1030000</v>
          </cell>
          <cell r="AD698">
            <v>40588983</v>
          </cell>
          <cell r="AE698">
            <v>14544588</v>
          </cell>
          <cell r="AF698">
            <v>14126815</v>
          </cell>
          <cell r="AG698">
            <v>0</v>
          </cell>
          <cell r="AH698">
            <v>0</v>
          </cell>
          <cell r="AI698">
            <v>0</v>
          </cell>
          <cell r="AJ698">
            <v>0</v>
          </cell>
          <cell r="AK698">
            <v>318303</v>
          </cell>
          <cell r="AL698">
            <v>696287</v>
          </cell>
          <cell r="AM698">
            <v>59682</v>
          </cell>
          <cell r="AN698">
            <v>119363</v>
          </cell>
          <cell r="AO698">
            <v>39788</v>
          </cell>
          <cell r="AP698">
            <v>39788</v>
          </cell>
        </row>
        <row r="699">
          <cell r="D699" t="str">
            <v>Sản xuất 28 đài ra đa VRS-SRS, 28 bộ thiết bị nhận dạng IFF,  gói vật tư dự phòng và gói triển khai hạ tầng (Đài ra đa VRS-SRS)</v>
          </cell>
          <cell r="G699" t="str">
            <v>SXKD</v>
          </cell>
          <cell r="I699" t="str">
            <v>RD</v>
          </cell>
          <cell r="AC699">
            <v>1047000</v>
          </cell>
          <cell r="AD699">
            <v>23442633</v>
          </cell>
          <cell r="AE699">
            <v>1769059</v>
          </cell>
          <cell r="AF699">
            <v>1689354</v>
          </cell>
          <cell r="AG699">
            <v>0</v>
          </cell>
          <cell r="AH699">
            <v>0</v>
          </cell>
          <cell r="AI699">
            <v>0</v>
          </cell>
          <cell r="AJ699">
            <v>0</v>
          </cell>
          <cell r="AK699">
            <v>60728</v>
          </cell>
          <cell r="AL699">
            <v>132842</v>
          </cell>
          <cell r="AM699">
            <v>11386</v>
          </cell>
          <cell r="AN699">
            <v>22773</v>
          </cell>
          <cell r="AO699">
            <v>7591</v>
          </cell>
          <cell r="AP699">
            <v>7591</v>
          </cell>
        </row>
        <row r="700">
          <cell r="D700" t="str">
            <v>Sản xuất 28 đài ra đa VRS-SRS, 28 bộ thiết bị nhận dạng IFF,  gói vật tư dự phòng và gói triển khai hạ tầng (Đài ra đa VRS-SRS)</v>
          </cell>
          <cell r="G700" t="str">
            <v>SXKD</v>
          </cell>
          <cell r="I700" t="str">
            <v>RD</v>
          </cell>
          <cell r="AC700">
            <v>930000</v>
          </cell>
          <cell r="AD700">
            <v>16972936</v>
          </cell>
          <cell r="AE700">
            <v>6830943</v>
          </cell>
          <cell r="AF700">
            <v>6454834</v>
          </cell>
          <cell r="AG700">
            <v>0</v>
          </cell>
          <cell r="AH700">
            <v>0</v>
          </cell>
          <cell r="AI700">
            <v>0</v>
          </cell>
          <cell r="AJ700">
            <v>0</v>
          </cell>
          <cell r="AK700">
            <v>286559</v>
          </cell>
          <cell r="AL700">
            <v>626847</v>
          </cell>
          <cell r="AM700">
            <v>53730</v>
          </cell>
          <cell r="AN700">
            <v>107459</v>
          </cell>
          <cell r="AO700">
            <v>35820</v>
          </cell>
          <cell r="AP700">
            <v>35820</v>
          </cell>
        </row>
        <row r="701">
          <cell r="D701" t="str">
            <v>Sản xuất 28 đài ra đa VRS-SRS, 28 bộ thiết bị nhận dạng IFF,  gói vật tư dự phòng và gói triển khai hạ tầng (Đài ra đa VRS-SRS)</v>
          </cell>
          <cell r="G701" t="str">
            <v>SXKD</v>
          </cell>
          <cell r="I701" t="str">
            <v>RD</v>
          </cell>
          <cell r="AC701">
            <v>1047000</v>
          </cell>
          <cell r="AD701">
            <v>21902783</v>
          </cell>
          <cell r="AE701">
            <v>5754983</v>
          </cell>
          <cell r="AF701">
            <v>5490280</v>
          </cell>
          <cell r="AG701">
            <v>0</v>
          </cell>
          <cell r="AH701">
            <v>0</v>
          </cell>
          <cell r="AI701">
            <v>0</v>
          </cell>
          <cell r="AJ701">
            <v>0</v>
          </cell>
          <cell r="AK701">
            <v>201678</v>
          </cell>
          <cell r="AL701">
            <v>441170</v>
          </cell>
          <cell r="AM701">
            <v>37815</v>
          </cell>
          <cell r="AN701">
            <v>75629</v>
          </cell>
          <cell r="AO701">
            <v>25210</v>
          </cell>
          <cell r="AP701">
            <v>25210</v>
          </cell>
        </row>
        <row r="702">
          <cell r="D702" t="str">
            <v>Sản xuất 28 đài ra đa VRS-SRS, 28 bộ thiết bị nhận dạng IFF,  gói vật tư dự phòng và gói triển khai hạ tầng (Bộ Zip cho đài RD VRS SRS)</v>
          </cell>
          <cell r="G702" t="str">
            <v>SXKD</v>
          </cell>
          <cell r="I702" t="str">
            <v>RD</v>
          </cell>
          <cell r="AC702">
            <v>1130000</v>
          </cell>
          <cell r="AD702">
            <v>62220771</v>
          </cell>
          <cell r="AE702">
            <v>7591914</v>
          </cell>
          <cell r="AF702">
            <v>7437474</v>
          </cell>
          <cell r="AG702">
            <v>0</v>
          </cell>
          <cell r="AH702">
            <v>0</v>
          </cell>
          <cell r="AI702">
            <v>0</v>
          </cell>
          <cell r="AJ702">
            <v>0</v>
          </cell>
          <cell r="AK702">
            <v>154440</v>
          </cell>
          <cell r="AL702">
            <v>337838</v>
          </cell>
          <cell r="AM702">
            <v>0</v>
          </cell>
          <cell r="AN702">
            <v>0</v>
          </cell>
          <cell r="AO702">
            <v>0</v>
          </cell>
          <cell r="AP702">
            <v>0</v>
          </cell>
        </row>
        <row r="703">
          <cell r="D703" t="str">
            <v>Sản xuất 28 đài ra đa VRS-SRS, 28 bộ thiết bị nhận dạng IFF,  gói vật tư dự phòng và gói triển khai hạ tầng (Bộ Zip cho đài RD VRS SRS)</v>
          </cell>
          <cell r="G703" t="str">
            <v>SXKD</v>
          </cell>
          <cell r="I703" t="str">
            <v>RD</v>
          </cell>
          <cell r="AC703">
            <v>1130000</v>
          </cell>
          <cell r="AD703">
            <v>69245160</v>
          </cell>
          <cell r="AE703">
            <v>5655476</v>
          </cell>
          <cell r="AF703">
            <v>5535919</v>
          </cell>
          <cell r="AG703">
            <v>0</v>
          </cell>
          <cell r="AH703">
            <v>0</v>
          </cell>
          <cell r="AI703">
            <v>0</v>
          </cell>
          <cell r="AJ703">
            <v>0</v>
          </cell>
          <cell r="AK703">
            <v>91091</v>
          </cell>
          <cell r="AL703">
            <v>199263</v>
          </cell>
          <cell r="AM703">
            <v>17080</v>
          </cell>
          <cell r="AN703">
            <v>34159</v>
          </cell>
          <cell r="AO703">
            <v>11386</v>
          </cell>
          <cell r="AP703">
            <v>11386</v>
          </cell>
        </row>
        <row r="704">
          <cell r="D704" t="str">
            <v>Sản xuất 28 đài ra đa VRS-SRS, 28 bộ thiết bị nhận dạng IFF,  gói vật tư dự phòng và gói triển khai hạ tầng (Bộ Zip cho đài RD VRS SRS)</v>
          </cell>
          <cell r="G704" t="str">
            <v>SXKD</v>
          </cell>
          <cell r="I704" t="str">
            <v>RD</v>
          </cell>
          <cell r="AC704">
            <v>1047000</v>
          </cell>
          <cell r="AD704">
            <v>27478356</v>
          </cell>
          <cell r="AE704">
            <v>3166304</v>
          </cell>
          <cell r="AF704">
            <v>3040632</v>
          </cell>
          <cell r="AG704">
            <v>0</v>
          </cell>
          <cell r="AH704">
            <v>0</v>
          </cell>
          <cell r="AI704">
            <v>0</v>
          </cell>
          <cell r="AJ704">
            <v>0</v>
          </cell>
          <cell r="AK704">
            <v>95750</v>
          </cell>
          <cell r="AL704">
            <v>209452</v>
          </cell>
          <cell r="AM704">
            <v>17953</v>
          </cell>
          <cell r="AN704">
            <v>35906</v>
          </cell>
          <cell r="AO704">
            <v>11969</v>
          </cell>
          <cell r="AP704">
            <v>11969</v>
          </cell>
        </row>
        <row r="705">
          <cell r="D705" t="str">
            <v>Sản xuất 28 đài ra đa VRS-SRS, 28 bộ thiết bị nhận dạng IFF,  gói vật tư dự phòng và gói triển khai hạ tầng (Bộ Zip cho đài RD VRS SRS)</v>
          </cell>
          <cell r="G705" t="str">
            <v>SXKD</v>
          </cell>
          <cell r="I705" t="str">
            <v>RD</v>
          </cell>
          <cell r="AC705">
            <v>1030000</v>
          </cell>
          <cell r="AD705">
            <v>40588983</v>
          </cell>
          <cell r="AE705">
            <v>6464261</v>
          </cell>
          <cell r="AF705">
            <v>6278585</v>
          </cell>
          <cell r="AG705">
            <v>0</v>
          </cell>
          <cell r="AH705">
            <v>0</v>
          </cell>
          <cell r="AI705">
            <v>0</v>
          </cell>
          <cell r="AJ705">
            <v>0</v>
          </cell>
          <cell r="AK705">
            <v>141468</v>
          </cell>
          <cell r="AL705">
            <v>309461</v>
          </cell>
          <cell r="AM705">
            <v>26525</v>
          </cell>
          <cell r="AN705">
            <v>53050</v>
          </cell>
          <cell r="AO705">
            <v>17683</v>
          </cell>
          <cell r="AP705">
            <v>17683</v>
          </cell>
        </row>
        <row r="706">
          <cell r="D706" t="str">
            <v>Sản xuất 28 đài ra đa VRS-SRS, 28 bộ thiết bị nhận dạng IFF,  gói vật tư dự phòng và gói triển khai hạ tầng (Bộ Zip cho đài RD VRS SRS)</v>
          </cell>
          <cell r="G706" t="str">
            <v>SXKD</v>
          </cell>
          <cell r="I706" t="str">
            <v>RD</v>
          </cell>
          <cell r="AC706">
            <v>1047000</v>
          </cell>
          <cell r="AD706">
            <v>23442633</v>
          </cell>
          <cell r="AE706">
            <v>884529</v>
          </cell>
          <cell r="AF706">
            <v>844677</v>
          </cell>
          <cell r="AG706">
            <v>0</v>
          </cell>
          <cell r="AH706">
            <v>0</v>
          </cell>
          <cell r="AI706">
            <v>0</v>
          </cell>
          <cell r="AJ706">
            <v>0</v>
          </cell>
          <cell r="AK706">
            <v>30364</v>
          </cell>
          <cell r="AL706">
            <v>66421</v>
          </cell>
          <cell r="AM706">
            <v>5693</v>
          </cell>
          <cell r="AN706">
            <v>11386</v>
          </cell>
          <cell r="AO706">
            <v>3795</v>
          </cell>
          <cell r="AP706">
            <v>3795</v>
          </cell>
        </row>
        <row r="707">
          <cell r="D707" t="str">
            <v>Sản xuất 28 đài ra đa VRS-SRS, 28 bộ thiết bị nhận dạng IFF,  gói vật tư dự phòng và gói triển khai hạ tầng (Bộ Zip cho đài RD VRS SRS)</v>
          </cell>
          <cell r="G707" t="str">
            <v>SXKD</v>
          </cell>
          <cell r="I707" t="str">
            <v>RD</v>
          </cell>
          <cell r="AC707">
            <v>930000</v>
          </cell>
          <cell r="AD707">
            <v>16972936</v>
          </cell>
          <cell r="AE707">
            <v>3104974</v>
          </cell>
          <cell r="AF707">
            <v>2934015</v>
          </cell>
          <cell r="AG707">
            <v>0</v>
          </cell>
          <cell r="AH707">
            <v>0</v>
          </cell>
          <cell r="AI707">
            <v>0</v>
          </cell>
          <cell r="AJ707">
            <v>0</v>
          </cell>
          <cell r="AK707">
            <v>130254</v>
          </cell>
          <cell r="AL707">
            <v>284930</v>
          </cell>
          <cell r="AM707">
            <v>24423</v>
          </cell>
          <cell r="AN707">
            <v>48845</v>
          </cell>
          <cell r="AO707">
            <v>16282</v>
          </cell>
          <cell r="AP707">
            <v>16282</v>
          </cell>
        </row>
        <row r="708">
          <cell r="D708" t="str">
            <v>Sản xuất 28 đài ra đa VRS-SRS, 28 bộ thiết bị nhận dạng IFF,  gói vật tư dự phòng và gói triển khai hạ tầng (Bộ Zip cho đài RD VRS SRS)</v>
          </cell>
          <cell r="G708" t="str">
            <v>SXKD</v>
          </cell>
          <cell r="I708" t="str">
            <v>RD</v>
          </cell>
          <cell r="AC708">
            <v>1047000</v>
          </cell>
          <cell r="AD708">
            <v>21902783</v>
          </cell>
          <cell r="AE708">
            <v>2466421</v>
          </cell>
          <cell r="AF708">
            <v>2352978</v>
          </cell>
          <cell r="AG708">
            <v>0</v>
          </cell>
          <cell r="AH708">
            <v>0</v>
          </cell>
          <cell r="AI708">
            <v>0</v>
          </cell>
          <cell r="AJ708">
            <v>0</v>
          </cell>
          <cell r="AK708">
            <v>86433</v>
          </cell>
          <cell r="AL708">
            <v>189073</v>
          </cell>
          <cell r="AM708">
            <v>16206</v>
          </cell>
          <cell r="AN708">
            <v>32413</v>
          </cell>
          <cell r="AO708">
            <v>10804</v>
          </cell>
          <cell r="AP708">
            <v>10804</v>
          </cell>
        </row>
        <row r="709">
          <cell r="D709" t="str">
            <v>Sản xuất 28 đài ra đa VRS-SRS, 28 bộ thiết bị nhận dạng IFF,  gói vật tư dự phòng và gói triển khai hạ tầng (Bộ thiết bị nhận dạng IFF)</v>
          </cell>
          <cell r="G709" t="str">
            <v>SXKD</v>
          </cell>
          <cell r="I709" t="str">
            <v>RD</v>
          </cell>
          <cell r="AC709">
            <v>1130000</v>
          </cell>
          <cell r="AD709">
            <v>62220771</v>
          </cell>
          <cell r="AE709">
            <v>2530638</v>
          </cell>
          <cell r="AF709">
            <v>2479158</v>
          </cell>
          <cell r="AG709">
            <v>0</v>
          </cell>
          <cell r="AH709">
            <v>0</v>
          </cell>
          <cell r="AI709">
            <v>0</v>
          </cell>
          <cell r="AJ709">
            <v>0</v>
          </cell>
          <cell r="AK709">
            <v>51480</v>
          </cell>
          <cell r="AL709">
            <v>112613</v>
          </cell>
          <cell r="AM709">
            <v>0</v>
          </cell>
          <cell r="AN709">
            <v>0</v>
          </cell>
          <cell r="AO709">
            <v>0</v>
          </cell>
          <cell r="AP709">
            <v>0</v>
          </cell>
        </row>
        <row r="710">
          <cell r="D710" t="str">
            <v>Sản xuất 28 đài ra đa VRS-SRS, 28 bộ thiết bị nhận dạng IFF,  gói vật tư dự phòng và gói triển khai hạ tầng (Bộ thiết bị nhận dạng IFF)</v>
          </cell>
          <cell r="G710" t="str">
            <v>SXKD</v>
          </cell>
          <cell r="I710" t="str">
            <v>RD</v>
          </cell>
          <cell r="AC710">
            <v>1130000</v>
          </cell>
          <cell r="AD710">
            <v>69245160</v>
          </cell>
          <cell r="AE710">
            <v>5655476</v>
          </cell>
          <cell r="AF710">
            <v>5535919</v>
          </cell>
          <cell r="AG710">
            <v>0</v>
          </cell>
          <cell r="AH710">
            <v>0</v>
          </cell>
          <cell r="AI710">
            <v>0</v>
          </cell>
          <cell r="AJ710">
            <v>0</v>
          </cell>
          <cell r="AK710">
            <v>91091</v>
          </cell>
          <cell r="AL710">
            <v>199263</v>
          </cell>
          <cell r="AM710">
            <v>17080</v>
          </cell>
          <cell r="AN710">
            <v>34159</v>
          </cell>
          <cell r="AO710">
            <v>11386</v>
          </cell>
          <cell r="AP710">
            <v>11386</v>
          </cell>
        </row>
        <row r="711">
          <cell r="D711" t="str">
            <v>Sản xuất 28 đài ra đa VRS-SRS, 28 bộ thiết bị nhận dạng IFF,  gói vật tư dự phòng và gói triển khai hạ tầng (Bộ thiết bị nhận dạng IFF)</v>
          </cell>
          <cell r="G711" t="str">
            <v>SXKD</v>
          </cell>
          <cell r="I711" t="str">
            <v>RD</v>
          </cell>
          <cell r="AC711">
            <v>1047000</v>
          </cell>
          <cell r="AD711">
            <v>27478356</v>
          </cell>
          <cell r="AE711">
            <v>3166304</v>
          </cell>
          <cell r="AF711">
            <v>3040632</v>
          </cell>
          <cell r="AG711">
            <v>0</v>
          </cell>
          <cell r="AH711">
            <v>0</v>
          </cell>
          <cell r="AI711">
            <v>0</v>
          </cell>
          <cell r="AJ711">
            <v>0</v>
          </cell>
          <cell r="AK711">
            <v>95750</v>
          </cell>
          <cell r="AL711">
            <v>209452</v>
          </cell>
          <cell r="AM711">
            <v>17953</v>
          </cell>
          <cell r="AN711">
            <v>35906</v>
          </cell>
          <cell r="AO711">
            <v>11969</v>
          </cell>
          <cell r="AP711">
            <v>11969</v>
          </cell>
        </row>
        <row r="712">
          <cell r="D712" t="str">
            <v>Sản xuất 28 đài ra đa VRS-SRS, 28 bộ thiết bị nhận dạng IFF,  gói vật tư dự phòng và gói triển khai hạ tầng (Bộ thiết bị nhận dạng IFF)</v>
          </cell>
          <cell r="G712" t="str">
            <v>SXKD</v>
          </cell>
          <cell r="I712" t="str">
            <v>RD</v>
          </cell>
          <cell r="AC712">
            <v>1030000</v>
          </cell>
          <cell r="AD712">
            <v>40588983</v>
          </cell>
          <cell r="AE712">
            <v>6464261</v>
          </cell>
          <cell r="AF712">
            <v>6278585</v>
          </cell>
          <cell r="AG712">
            <v>0</v>
          </cell>
          <cell r="AH712">
            <v>0</v>
          </cell>
          <cell r="AI712">
            <v>0</v>
          </cell>
          <cell r="AJ712">
            <v>0</v>
          </cell>
          <cell r="AK712">
            <v>141468</v>
          </cell>
          <cell r="AL712">
            <v>309461</v>
          </cell>
          <cell r="AM712">
            <v>26525</v>
          </cell>
          <cell r="AN712">
            <v>53050</v>
          </cell>
          <cell r="AO712">
            <v>17683</v>
          </cell>
          <cell r="AP712">
            <v>17683</v>
          </cell>
        </row>
        <row r="713">
          <cell r="D713" t="str">
            <v>Sản xuất 28 đài ra đa VRS-SRS, 28 bộ thiết bị nhận dạng IFF,  gói vật tư dự phòng và gói triển khai hạ tầng (Bộ thiết bị nhận dạng IFF)</v>
          </cell>
          <cell r="G713" t="str">
            <v>SXKD</v>
          </cell>
          <cell r="I713" t="str">
            <v>RD</v>
          </cell>
          <cell r="AC713">
            <v>1047000</v>
          </cell>
          <cell r="AD713">
            <v>23442633</v>
          </cell>
          <cell r="AE713">
            <v>884529</v>
          </cell>
          <cell r="AF713">
            <v>844677</v>
          </cell>
          <cell r="AG713">
            <v>0</v>
          </cell>
          <cell r="AH713">
            <v>0</v>
          </cell>
          <cell r="AI713">
            <v>0</v>
          </cell>
          <cell r="AJ713">
            <v>0</v>
          </cell>
          <cell r="AK713">
            <v>30364</v>
          </cell>
          <cell r="AL713">
            <v>66421</v>
          </cell>
          <cell r="AM713">
            <v>5693</v>
          </cell>
          <cell r="AN713">
            <v>11386</v>
          </cell>
          <cell r="AO713">
            <v>3795</v>
          </cell>
          <cell r="AP713">
            <v>3795</v>
          </cell>
        </row>
        <row r="714">
          <cell r="D714" t="str">
            <v>Sản xuất 28 đài ra đa VRS-SRS, 28 bộ thiết bị nhận dạng IFF,  gói vật tư dự phòng và gói triển khai hạ tầng (Bộ thiết bị nhận dạng IFF)</v>
          </cell>
          <cell r="G714" t="str">
            <v>SXKD</v>
          </cell>
          <cell r="I714" t="str">
            <v>RD</v>
          </cell>
          <cell r="AC714">
            <v>930000</v>
          </cell>
          <cell r="AD714">
            <v>16972936</v>
          </cell>
          <cell r="AE714">
            <v>2483979</v>
          </cell>
          <cell r="AF714">
            <v>2347213</v>
          </cell>
          <cell r="AG714">
            <v>0</v>
          </cell>
          <cell r="AH714">
            <v>0</v>
          </cell>
          <cell r="AI714">
            <v>0</v>
          </cell>
          <cell r="AJ714">
            <v>0</v>
          </cell>
          <cell r="AK714">
            <v>104203</v>
          </cell>
          <cell r="AL714">
            <v>227944</v>
          </cell>
          <cell r="AM714">
            <v>19538</v>
          </cell>
          <cell r="AN714">
            <v>39076</v>
          </cell>
          <cell r="AO714">
            <v>13025</v>
          </cell>
          <cell r="AP714">
            <v>13025</v>
          </cell>
        </row>
        <row r="715">
          <cell r="D715" t="str">
            <v>Sản xuất 28 đài ra đa VRS-SRS, 28 bộ thiết bị nhận dạng IFF,  gói vật tư dự phòng và gói triển khai hạ tầng (Bộ thiết bị nhận dạng IFF)</v>
          </cell>
          <cell r="G715" t="str">
            <v>SXKD</v>
          </cell>
          <cell r="I715" t="str">
            <v>RD</v>
          </cell>
          <cell r="AC715">
            <v>1047000</v>
          </cell>
          <cell r="AD715">
            <v>21902783</v>
          </cell>
          <cell r="AE715">
            <v>2466421</v>
          </cell>
          <cell r="AF715">
            <v>2352978</v>
          </cell>
          <cell r="AG715">
            <v>0</v>
          </cell>
          <cell r="AH715">
            <v>0</v>
          </cell>
          <cell r="AI715">
            <v>0</v>
          </cell>
          <cell r="AJ715">
            <v>0</v>
          </cell>
          <cell r="AK715">
            <v>86433</v>
          </cell>
          <cell r="AL715">
            <v>189073</v>
          </cell>
          <cell r="AM715">
            <v>16206</v>
          </cell>
          <cell r="AN715">
            <v>32413</v>
          </cell>
          <cell r="AO715">
            <v>10804</v>
          </cell>
          <cell r="AP715">
            <v>10804</v>
          </cell>
        </row>
        <row r="716">
          <cell r="D716" t="str">
            <v>Sản xuất 28 đài ra đa VRS-SRS, 28 bộ thiết bị nhận dạng IFF,  gói vật tư dự phòng và gói triển khai hạ tầng (Bộ Zip thiết bị nhận dạng IFF)</v>
          </cell>
          <cell r="G716" t="str">
            <v>SXKD</v>
          </cell>
          <cell r="I716" t="str">
            <v>RD</v>
          </cell>
          <cell r="AC716">
            <v>1130000</v>
          </cell>
          <cell r="AD716">
            <v>62220771</v>
          </cell>
          <cell r="AE716">
            <v>2530638</v>
          </cell>
          <cell r="AF716">
            <v>2479158</v>
          </cell>
          <cell r="AG716">
            <v>0</v>
          </cell>
          <cell r="AH716">
            <v>0</v>
          </cell>
          <cell r="AI716">
            <v>0</v>
          </cell>
          <cell r="AJ716">
            <v>0</v>
          </cell>
          <cell r="AK716">
            <v>51480</v>
          </cell>
          <cell r="AL716">
            <v>112613</v>
          </cell>
          <cell r="AM716">
            <v>0</v>
          </cell>
          <cell r="AN716">
            <v>0</v>
          </cell>
          <cell r="AO716">
            <v>0</v>
          </cell>
          <cell r="AP716">
            <v>0</v>
          </cell>
        </row>
        <row r="717">
          <cell r="D717" t="str">
            <v>Sản xuất 28 đài ra đa VRS-SRS, 28 bộ thiết bị nhận dạng IFF,  gói vật tư dự phòng và gói triển khai hạ tầng (Bộ Zip thiết bị nhận dạng IFF)</v>
          </cell>
          <cell r="G717" t="str">
            <v>SXKD</v>
          </cell>
          <cell r="I717" t="str">
            <v>RD</v>
          </cell>
          <cell r="AC717">
            <v>1130000</v>
          </cell>
          <cell r="AD717">
            <v>69245160</v>
          </cell>
          <cell r="AE717">
            <v>5655476</v>
          </cell>
          <cell r="AF717">
            <v>5535919</v>
          </cell>
          <cell r="AG717">
            <v>0</v>
          </cell>
          <cell r="AH717">
            <v>0</v>
          </cell>
          <cell r="AI717">
            <v>0</v>
          </cell>
          <cell r="AJ717">
            <v>0</v>
          </cell>
          <cell r="AK717">
            <v>91091</v>
          </cell>
          <cell r="AL717">
            <v>199263</v>
          </cell>
          <cell r="AM717">
            <v>17080</v>
          </cell>
          <cell r="AN717">
            <v>34159</v>
          </cell>
          <cell r="AO717">
            <v>11386</v>
          </cell>
          <cell r="AP717">
            <v>11386</v>
          </cell>
        </row>
        <row r="718">
          <cell r="D718" t="str">
            <v>Sản xuất 28 đài ra đa VRS-SRS, 28 bộ thiết bị nhận dạng IFF,  gói vật tư dự phòng và gói triển khai hạ tầng (Bộ Zip thiết bị nhận dạng IFF)</v>
          </cell>
          <cell r="G718" t="str">
            <v>SXKD</v>
          </cell>
          <cell r="I718" t="str">
            <v>RD</v>
          </cell>
          <cell r="AC718">
            <v>1047000</v>
          </cell>
          <cell r="AD718">
            <v>27478356</v>
          </cell>
          <cell r="AE718">
            <v>2110869</v>
          </cell>
          <cell r="AF718">
            <v>2027088</v>
          </cell>
          <cell r="AG718">
            <v>0</v>
          </cell>
          <cell r="AH718">
            <v>0</v>
          </cell>
          <cell r="AI718">
            <v>0</v>
          </cell>
          <cell r="AJ718">
            <v>0</v>
          </cell>
          <cell r="AK718">
            <v>63833</v>
          </cell>
          <cell r="AL718">
            <v>139635</v>
          </cell>
          <cell r="AM718">
            <v>11969</v>
          </cell>
          <cell r="AN718">
            <v>23937</v>
          </cell>
          <cell r="AO718">
            <v>7979</v>
          </cell>
          <cell r="AP718">
            <v>7979</v>
          </cell>
        </row>
        <row r="719">
          <cell r="D719" t="str">
            <v>Sản xuất 28 đài ra đa VRS-SRS, 28 bộ thiết bị nhận dạng IFF,  gói vật tư dự phòng và gói triển khai hạ tầng (Bộ Zip thiết bị nhận dạng IFF)</v>
          </cell>
          <cell r="G719" t="str">
            <v>SXKD</v>
          </cell>
          <cell r="I719" t="str">
            <v>RD</v>
          </cell>
          <cell r="AC719">
            <v>1030000</v>
          </cell>
          <cell r="AD719">
            <v>40588983</v>
          </cell>
          <cell r="AE719">
            <v>3232132</v>
          </cell>
          <cell r="AF719">
            <v>3139294</v>
          </cell>
          <cell r="AG719">
            <v>0</v>
          </cell>
          <cell r="AH719">
            <v>0</v>
          </cell>
          <cell r="AI719">
            <v>0</v>
          </cell>
          <cell r="AJ719">
            <v>0</v>
          </cell>
          <cell r="AK719">
            <v>70733</v>
          </cell>
          <cell r="AL719">
            <v>154731</v>
          </cell>
          <cell r="AM719">
            <v>13263</v>
          </cell>
          <cell r="AN719">
            <v>26526</v>
          </cell>
          <cell r="AO719">
            <v>8842</v>
          </cell>
          <cell r="AP719">
            <v>8842</v>
          </cell>
        </row>
        <row r="720">
          <cell r="D720" t="str">
            <v>Sản xuất 28 đài ra đa VRS-SRS, 28 bộ thiết bị nhận dạng IFF,  gói vật tư dự phòng và gói triển khai hạ tầng (Bộ Zip thiết bị nhận dạng IFF)</v>
          </cell>
          <cell r="G720" t="str">
            <v>SXKD</v>
          </cell>
          <cell r="I720" t="str">
            <v>RD</v>
          </cell>
          <cell r="AC720">
            <v>1047000</v>
          </cell>
          <cell r="AD720">
            <v>23442633</v>
          </cell>
          <cell r="AE720">
            <v>884529</v>
          </cell>
          <cell r="AF720">
            <v>844677</v>
          </cell>
          <cell r="AG720">
            <v>0</v>
          </cell>
          <cell r="AH720">
            <v>0</v>
          </cell>
          <cell r="AI720">
            <v>0</v>
          </cell>
          <cell r="AJ720">
            <v>0</v>
          </cell>
          <cell r="AK720">
            <v>30364</v>
          </cell>
          <cell r="AL720">
            <v>66421</v>
          </cell>
          <cell r="AM720">
            <v>5693</v>
          </cell>
          <cell r="AN720">
            <v>11386</v>
          </cell>
          <cell r="AO720">
            <v>3795</v>
          </cell>
          <cell r="AP720">
            <v>3795</v>
          </cell>
        </row>
        <row r="721">
          <cell r="D721" t="str">
            <v>Sản xuất 28 đài ra đa VRS-SRS, 28 bộ thiết bị nhận dạng IFF,  gói vật tư dự phòng và gói triển khai hạ tầng (Bộ Zip thiết bị nhận dạng IFF)</v>
          </cell>
          <cell r="G721" t="str">
            <v>SXKD</v>
          </cell>
          <cell r="I721" t="str">
            <v>RD</v>
          </cell>
          <cell r="AC721">
            <v>930000</v>
          </cell>
          <cell r="AD721">
            <v>16972936</v>
          </cell>
          <cell r="AE721">
            <v>1862984</v>
          </cell>
          <cell r="AF721">
            <v>1760410</v>
          </cell>
          <cell r="AG721">
            <v>0</v>
          </cell>
          <cell r="AH721">
            <v>0</v>
          </cell>
          <cell r="AI721">
            <v>0</v>
          </cell>
          <cell r="AJ721">
            <v>0</v>
          </cell>
          <cell r="AK721">
            <v>78152</v>
          </cell>
          <cell r="AL721">
            <v>170959</v>
          </cell>
          <cell r="AM721">
            <v>14653</v>
          </cell>
          <cell r="AN721">
            <v>29308</v>
          </cell>
          <cell r="AO721">
            <v>9769</v>
          </cell>
          <cell r="AP721">
            <v>9769</v>
          </cell>
        </row>
        <row r="722">
          <cell r="D722" t="str">
            <v>Sản xuất 28 đài ra đa VRS-SRS, 28 bộ thiết bị nhận dạng IFF,  gói vật tư dự phòng và gói triển khai hạ tầng (Bộ Zip thiết bị nhận dạng IFF)</v>
          </cell>
          <cell r="G722" t="str">
            <v>SXKD</v>
          </cell>
          <cell r="I722" t="str">
            <v>RD</v>
          </cell>
          <cell r="AC722">
            <v>1047000</v>
          </cell>
          <cell r="AD722">
            <v>21902783</v>
          </cell>
          <cell r="AE722">
            <v>1644281</v>
          </cell>
          <cell r="AF722">
            <v>1568652</v>
          </cell>
          <cell r="AG722">
            <v>0</v>
          </cell>
          <cell r="AH722">
            <v>0</v>
          </cell>
          <cell r="AI722">
            <v>0</v>
          </cell>
          <cell r="AJ722">
            <v>0</v>
          </cell>
          <cell r="AK722">
            <v>57622</v>
          </cell>
          <cell r="AL722">
            <v>126049</v>
          </cell>
          <cell r="AM722">
            <v>10804</v>
          </cell>
          <cell r="AN722">
            <v>21608</v>
          </cell>
          <cell r="AO722">
            <v>7203</v>
          </cell>
          <cell r="AP722">
            <v>7203</v>
          </cell>
        </row>
        <row r="723">
          <cell r="D723" t="str">
            <v>Sản xuất 06 tổ hợp trinh sát, gây nhiễu chống phương tiện bay không người lái cấp chiến thuật BV5 và bộ ZIP vật tư dự phòng năm 2024 (Tổ hợp BV5 chống UAV)</v>
          </cell>
          <cell r="G723" t="str">
            <v>SXKD</v>
          </cell>
          <cell r="I723" t="str">
            <v>RD</v>
          </cell>
          <cell r="AC723">
            <v>1230000</v>
          </cell>
          <cell r="AD723">
            <v>89506974</v>
          </cell>
          <cell r="AE723">
            <v>33436140</v>
          </cell>
          <cell r="AF723">
            <v>32981977</v>
          </cell>
          <cell r="AG723">
            <v>0</v>
          </cell>
          <cell r="AH723">
            <v>0</v>
          </cell>
          <cell r="AI723">
            <v>0</v>
          </cell>
          <cell r="AJ723">
            <v>0</v>
          </cell>
          <cell r="AK723">
            <v>454163</v>
          </cell>
          <cell r="AL723">
            <v>993483</v>
          </cell>
          <cell r="AM723">
            <v>0</v>
          </cell>
          <cell r="AN723">
            <v>0</v>
          </cell>
          <cell r="AO723">
            <v>0</v>
          </cell>
          <cell r="AP723">
            <v>0</v>
          </cell>
        </row>
        <row r="724">
          <cell r="D724" t="str">
            <v>Sản xuất 06 tổ hợp trinh sát, gây nhiễu chống phương tiện bay không người lái cấp chiến thuật BV5 và bộ ZIP vật tư dự phòng năm 2024 (Tổ hợp BV5 chống UAV)</v>
          </cell>
          <cell r="G724" t="str">
            <v>SXKD</v>
          </cell>
          <cell r="I724" t="str">
            <v>RD</v>
          </cell>
          <cell r="AC724">
            <v>1030000</v>
          </cell>
          <cell r="AD724">
            <v>35935265</v>
          </cell>
          <cell r="AE724">
            <v>16964757</v>
          </cell>
          <cell r="AF724">
            <v>16407728</v>
          </cell>
          <cell r="AG724">
            <v>0</v>
          </cell>
          <cell r="AH724">
            <v>0</v>
          </cell>
          <cell r="AI724">
            <v>0</v>
          </cell>
          <cell r="AJ724">
            <v>0</v>
          </cell>
          <cell r="AK724">
            <v>424403</v>
          </cell>
          <cell r="AL724">
            <v>928383</v>
          </cell>
          <cell r="AM724">
            <v>79576</v>
          </cell>
          <cell r="AN724">
            <v>159151</v>
          </cell>
          <cell r="AO724">
            <v>53050</v>
          </cell>
          <cell r="AP724">
            <v>53050</v>
          </cell>
        </row>
        <row r="725">
          <cell r="D725" t="str">
            <v>Sản xuất 06 tổ hợp trinh sát, gây nhiễu chống phương tiện bay không người lái cấp chiến thuật BV5 và bộ ZIP vật tư dự phòng năm 2024 (Tổ hợp BV5 chống UAV)</v>
          </cell>
          <cell r="G725" t="str">
            <v>SXKD</v>
          </cell>
          <cell r="I725" t="str">
            <v>RD</v>
          </cell>
          <cell r="AC725">
            <v>1047000</v>
          </cell>
          <cell r="AD725">
            <v>23799705</v>
          </cell>
          <cell r="AE725">
            <v>11700706</v>
          </cell>
          <cell r="AF725">
            <v>11182623</v>
          </cell>
          <cell r="AG725">
            <v>0</v>
          </cell>
          <cell r="AH725">
            <v>0</v>
          </cell>
          <cell r="AI725">
            <v>0</v>
          </cell>
          <cell r="AJ725">
            <v>0</v>
          </cell>
          <cell r="AK725">
            <v>394730</v>
          </cell>
          <cell r="AL725">
            <v>863471</v>
          </cell>
          <cell r="AM725">
            <v>74012</v>
          </cell>
          <cell r="AN725">
            <v>148024</v>
          </cell>
          <cell r="AO725">
            <v>49341</v>
          </cell>
          <cell r="AP725">
            <v>49341</v>
          </cell>
        </row>
        <row r="726">
          <cell r="D726" t="str">
            <v>Sản xuất 06 tổ hợp trinh sát, gây nhiễu chống phương tiện bay không người lái cấp chiến thuật BV5 và bộ ZIP vật tư dự phòng năm 2024 (Tổ hợp BV5 chống UAV)</v>
          </cell>
          <cell r="G726" t="str">
            <v>SXKD</v>
          </cell>
          <cell r="I726" t="str">
            <v>RD</v>
          </cell>
          <cell r="AC726">
            <v>1030000</v>
          </cell>
          <cell r="AD726">
            <v>38986070</v>
          </cell>
          <cell r="AE726">
            <v>29275179</v>
          </cell>
          <cell r="AF726">
            <v>28345891</v>
          </cell>
          <cell r="AG726">
            <v>0</v>
          </cell>
          <cell r="AH726">
            <v>0</v>
          </cell>
          <cell r="AI726">
            <v>0</v>
          </cell>
          <cell r="AJ726">
            <v>0</v>
          </cell>
          <cell r="AK726">
            <v>708029</v>
          </cell>
          <cell r="AL726">
            <v>1548814</v>
          </cell>
          <cell r="AM726">
            <v>132755</v>
          </cell>
          <cell r="AN726">
            <v>265511</v>
          </cell>
          <cell r="AO726">
            <v>88504</v>
          </cell>
          <cell r="AP726">
            <v>88504</v>
          </cell>
        </row>
        <row r="727">
          <cell r="D727" t="str">
            <v>Sản xuất 06 tổ hợp trinh sát, gây nhiễu chống phương tiện bay không người lái cấp chiến thuật BV5 và bộ ZIP vật tư dự phòng năm 2024 (Tổ hợp BV5 chống UAV)</v>
          </cell>
          <cell r="G727" t="str">
            <v>SXKD</v>
          </cell>
          <cell r="I727" t="str">
            <v>RD</v>
          </cell>
          <cell r="AC727">
            <v>930000</v>
          </cell>
          <cell r="AD727">
            <v>25399878</v>
          </cell>
          <cell r="AE727">
            <v>17544852</v>
          </cell>
          <cell r="AF727">
            <v>16827506</v>
          </cell>
          <cell r="AG727">
            <v>0</v>
          </cell>
          <cell r="AH727">
            <v>0</v>
          </cell>
          <cell r="AI727">
            <v>0</v>
          </cell>
          <cell r="AJ727">
            <v>0</v>
          </cell>
          <cell r="AK727">
            <v>546549</v>
          </cell>
          <cell r="AL727">
            <v>1195576</v>
          </cell>
          <cell r="AM727">
            <v>102478</v>
          </cell>
          <cell r="AN727">
            <v>204956</v>
          </cell>
          <cell r="AO727">
            <v>68319</v>
          </cell>
          <cell r="AP727">
            <v>68319</v>
          </cell>
        </row>
        <row r="728">
          <cell r="D728" t="str">
            <v>Sản xuất 06 tổ hợp trinh sát, gây nhiễu chống phương tiện bay không người lái cấp chiến thuật BV5 và bộ ZIP vật tư dự phòng năm 2024 (Tổ hợp BV5 chống UAV)</v>
          </cell>
          <cell r="G728" t="str">
            <v>SXKD</v>
          </cell>
          <cell r="I728" t="str">
            <v>RD</v>
          </cell>
          <cell r="AC728">
            <v>1047000</v>
          </cell>
          <cell r="AD728">
            <v>23195590</v>
          </cell>
          <cell r="AE728">
            <v>16601980</v>
          </cell>
          <cell r="AF728">
            <v>15844782</v>
          </cell>
          <cell r="AG728">
            <v>0</v>
          </cell>
          <cell r="AH728">
            <v>0</v>
          </cell>
          <cell r="AI728">
            <v>0</v>
          </cell>
          <cell r="AJ728">
            <v>0</v>
          </cell>
          <cell r="AK728">
            <v>576913</v>
          </cell>
          <cell r="AL728">
            <v>1261997</v>
          </cell>
          <cell r="AM728">
            <v>108171</v>
          </cell>
          <cell r="AN728">
            <v>216342</v>
          </cell>
          <cell r="AO728">
            <v>72114</v>
          </cell>
          <cell r="AP728">
            <v>72114</v>
          </cell>
        </row>
        <row r="729">
          <cell r="D729" t="str">
            <v>Sản xuất 06 tổ hợp trinh sát, gây nhiễu chống phương tiện bay không người lái cấp chiến thuật BV5 và bộ ZIP vật tư dự phòng năm 2024 (Tổ hợp BV5 chống UAV)</v>
          </cell>
          <cell r="G729" t="str">
            <v>SXKD</v>
          </cell>
          <cell r="I729" t="str">
            <v>RD</v>
          </cell>
          <cell r="AC729">
            <v>1281000</v>
          </cell>
          <cell r="AD729">
            <v>27674384</v>
          </cell>
          <cell r="AE729">
            <v>5291723</v>
          </cell>
          <cell r="AF729">
            <v>5092461</v>
          </cell>
          <cell r="AG729">
            <v>0</v>
          </cell>
          <cell r="AH729">
            <v>0</v>
          </cell>
          <cell r="AI729">
            <v>0</v>
          </cell>
          <cell r="AJ729">
            <v>0</v>
          </cell>
          <cell r="AK729">
            <v>151819</v>
          </cell>
          <cell r="AL729">
            <v>332104</v>
          </cell>
          <cell r="AM729">
            <v>28466</v>
          </cell>
          <cell r="AN729">
            <v>56932</v>
          </cell>
          <cell r="AO729">
            <v>18977</v>
          </cell>
          <cell r="AP729">
            <v>18977</v>
          </cell>
        </row>
        <row r="730">
          <cell r="D730" t="str">
            <v>Sản xuất 06 tổ hợp trinh sát, gây nhiễu chống phương tiện bay không người lái cấp chiến thuật BV5 và bộ ZIP vật tư dự phòng năm 2024 (Tổ hợp BV5 chống UAV)</v>
          </cell>
          <cell r="G730" t="str">
            <v>SXKD</v>
          </cell>
          <cell r="I730" t="str">
            <v>RD</v>
          </cell>
          <cell r="AC730">
            <v>1030000</v>
          </cell>
          <cell r="AD730">
            <v>44368134</v>
          </cell>
          <cell r="AE730">
            <v>15715677</v>
          </cell>
          <cell r="AF730">
            <v>15205842</v>
          </cell>
          <cell r="AG730">
            <v>0</v>
          </cell>
          <cell r="AH730">
            <v>0</v>
          </cell>
          <cell r="AI730">
            <v>0</v>
          </cell>
          <cell r="AJ730">
            <v>0</v>
          </cell>
          <cell r="AK730">
            <v>509835</v>
          </cell>
          <cell r="AL730">
            <v>1115264</v>
          </cell>
          <cell r="AM730">
            <v>0</v>
          </cell>
          <cell r="AN730">
            <v>0</v>
          </cell>
          <cell r="AO730">
            <v>0</v>
          </cell>
          <cell r="AP730">
            <v>0</v>
          </cell>
        </row>
        <row r="731">
          <cell r="D731" t="str">
            <v>Sản xuất 06 tổ hợp trinh sát, gây nhiễu chống phương tiện bay không người lái cấp chiến thuật BV5 và bộ ZIP vật tư dự phòng năm 2024 (Tổ hợp BV5 chống UAV)</v>
          </cell>
          <cell r="G731" t="str">
            <v>SXKD</v>
          </cell>
          <cell r="I731" t="str">
            <v>RD</v>
          </cell>
          <cell r="AC731">
            <v>1030000</v>
          </cell>
          <cell r="AD731">
            <v>38184182</v>
          </cell>
          <cell r="AE731">
            <v>30230176</v>
          </cell>
          <cell r="AF731">
            <v>29301794</v>
          </cell>
          <cell r="AG731">
            <v>0</v>
          </cell>
          <cell r="AH731">
            <v>0</v>
          </cell>
          <cell r="AI731">
            <v>0</v>
          </cell>
          <cell r="AJ731">
            <v>0</v>
          </cell>
          <cell r="AK731">
            <v>707339</v>
          </cell>
          <cell r="AL731">
            <v>1547304</v>
          </cell>
          <cell r="AM731">
            <v>132626</v>
          </cell>
          <cell r="AN731">
            <v>265252</v>
          </cell>
          <cell r="AO731">
            <v>88417</v>
          </cell>
          <cell r="AP731">
            <v>88417</v>
          </cell>
        </row>
        <row r="732">
          <cell r="D732" t="str">
            <v>Sản xuất 06 tổ hợp trinh sát, gây nhiễu chống phương tiện bay không người lái cấp chiến thuật BV5 và bộ ZIP vật tư dự phòng năm 2024 (Tổ hợp BV5 chống UAV)</v>
          </cell>
          <cell r="G732" t="str">
            <v>SXKD</v>
          </cell>
          <cell r="I732" t="str">
            <v>RD</v>
          </cell>
          <cell r="AC732">
            <v>1030000</v>
          </cell>
          <cell r="AD732">
            <v>39328832</v>
          </cell>
          <cell r="AE732">
            <v>7778508</v>
          </cell>
          <cell r="AF732">
            <v>7533959</v>
          </cell>
          <cell r="AG732">
            <v>0</v>
          </cell>
          <cell r="AH732">
            <v>0</v>
          </cell>
          <cell r="AI732">
            <v>0</v>
          </cell>
          <cell r="AJ732">
            <v>0</v>
          </cell>
          <cell r="AK732">
            <v>186323</v>
          </cell>
          <cell r="AL732">
            <v>407583</v>
          </cell>
          <cell r="AM732">
            <v>34936</v>
          </cell>
          <cell r="AN732">
            <v>69871</v>
          </cell>
          <cell r="AO732">
            <v>23290</v>
          </cell>
          <cell r="AP732">
            <v>23290</v>
          </cell>
        </row>
        <row r="733">
          <cell r="D733" t="str">
            <v>Sản xuất 06 tổ hợp trinh sát, gây nhiễu chống phương tiện bay không người lái cấp chiến thuật BV5 và bộ ZIP vật tư dự phòng năm 2024 (Tổ hợp BV5 chống UAV)</v>
          </cell>
          <cell r="G733" t="str">
            <v>SXKD</v>
          </cell>
          <cell r="I733" t="str">
            <v>RD</v>
          </cell>
          <cell r="AC733">
            <v>930000</v>
          </cell>
          <cell r="AD733">
            <v>19373878</v>
          </cell>
          <cell r="AE733">
            <v>4327976</v>
          </cell>
          <cell r="AF733">
            <v>4111957</v>
          </cell>
          <cell r="AG733">
            <v>0</v>
          </cell>
          <cell r="AH733">
            <v>0</v>
          </cell>
          <cell r="AI733">
            <v>0</v>
          </cell>
          <cell r="AJ733">
            <v>0</v>
          </cell>
          <cell r="AK733">
            <v>164586</v>
          </cell>
          <cell r="AL733">
            <v>360031</v>
          </cell>
          <cell r="AM733">
            <v>30860</v>
          </cell>
          <cell r="AN733">
            <v>61720</v>
          </cell>
          <cell r="AO733">
            <v>20573</v>
          </cell>
          <cell r="AP733">
            <v>20573</v>
          </cell>
        </row>
        <row r="734">
          <cell r="D734" t="str">
            <v>Sản xuất 06 tổ hợp trinh sát, gây nhiễu chống phương tiện bay không người lái cấp chiến thuật BV5 và bộ ZIP vật tư dự phòng năm 2024 (Tổ hợp BV5 chống UAV)</v>
          </cell>
          <cell r="G734" t="str">
            <v>SXKD</v>
          </cell>
          <cell r="I734" t="str">
            <v>RD</v>
          </cell>
          <cell r="AC734">
            <v>1047000</v>
          </cell>
          <cell r="AD734">
            <v>17664784</v>
          </cell>
          <cell r="AE734">
            <v>12838678</v>
          </cell>
          <cell r="AF734">
            <v>12118616</v>
          </cell>
          <cell r="AG734">
            <v>0</v>
          </cell>
          <cell r="AH734">
            <v>0</v>
          </cell>
          <cell r="AI734">
            <v>0</v>
          </cell>
          <cell r="AJ734">
            <v>0</v>
          </cell>
          <cell r="AK734">
            <v>548619</v>
          </cell>
          <cell r="AL734">
            <v>1200104</v>
          </cell>
          <cell r="AM734">
            <v>102866</v>
          </cell>
          <cell r="AN734">
            <v>205732</v>
          </cell>
          <cell r="AO734">
            <v>68577</v>
          </cell>
          <cell r="AP734">
            <v>68577</v>
          </cell>
        </row>
        <row r="735">
          <cell r="D735" t="str">
            <v>Sản xuất 06 tổ hợp trinh sát, gây nhiễu chống phương tiện bay không người lái cấp chiến thuật BV5 và bộ ZIP vật tư dự phòng năm 2024 (Tổ hợp BV5 chống UAV)</v>
          </cell>
          <cell r="G735" t="str">
            <v>SXKD</v>
          </cell>
          <cell r="I735" t="str">
            <v>RD</v>
          </cell>
          <cell r="AC735">
            <v>930000</v>
          </cell>
          <cell r="AD735">
            <v>19499984</v>
          </cell>
          <cell r="AE735">
            <v>726812</v>
          </cell>
          <cell r="AF735">
            <v>690809</v>
          </cell>
          <cell r="AG735">
            <v>0</v>
          </cell>
          <cell r="AH735">
            <v>0</v>
          </cell>
          <cell r="AI735">
            <v>0</v>
          </cell>
          <cell r="AJ735">
            <v>0</v>
          </cell>
          <cell r="AK735">
            <v>27431</v>
          </cell>
          <cell r="AL735">
            <v>60005</v>
          </cell>
          <cell r="AM735">
            <v>5143</v>
          </cell>
          <cell r="AN735">
            <v>10287</v>
          </cell>
          <cell r="AO735">
            <v>3429</v>
          </cell>
          <cell r="AP735">
            <v>3429</v>
          </cell>
        </row>
        <row r="736">
          <cell r="D736" t="str">
            <v>Sản xuất 06 tổ hợp trinh sát, gây nhiễu chống phương tiện bay không người lái cấp chiến thuật BV5 và bộ ZIP vật tư dự phòng năm 2024 (Tổ hợp BV5 chống UAV)</v>
          </cell>
          <cell r="G736" t="str">
            <v>SXKD</v>
          </cell>
          <cell r="I736" t="str">
            <v>RD</v>
          </cell>
          <cell r="AC736">
            <v>930000</v>
          </cell>
          <cell r="AD736">
            <v>17994124</v>
          </cell>
          <cell r="AE736">
            <v>12565460</v>
          </cell>
          <cell r="AF736">
            <v>11881400</v>
          </cell>
          <cell r="AG736">
            <v>0</v>
          </cell>
          <cell r="AH736">
            <v>0</v>
          </cell>
          <cell r="AI736">
            <v>0</v>
          </cell>
          <cell r="AJ736">
            <v>0</v>
          </cell>
          <cell r="AK736">
            <v>521188</v>
          </cell>
          <cell r="AL736">
            <v>1140099</v>
          </cell>
          <cell r="AM736">
            <v>97723</v>
          </cell>
          <cell r="AN736">
            <v>195446</v>
          </cell>
          <cell r="AO736">
            <v>65149</v>
          </cell>
          <cell r="AP736">
            <v>65149</v>
          </cell>
        </row>
        <row r="737">
          <cell r="D737" t="str">
            <v>Sản xuất 06 tổ hợp trinh sát, gây nhiễu chống phương tiện bay không người lái cấp chiến thuật BV5 và bộ ZIP vật tư dự phòng năm 2024 (Tổ hợp BV5 chống UAV)</v>
          </cell>
          <cell r="G737" t="str">
            <v>SXKD</v>
          </cell>
          <cell r="I737" t="str">
            <v>RD</v>
          </cell>
          <cell r="AC737">
            <v>930000</v>
          </cell>
          <cell r="AD737">
            <v>20275656</v>
          </cell>
          <cell r="AE737">
            <v>14527235</v>
          </cell>
          <cell r="AF737">
            <v>13877593</v>
          </cell>
          <cell r="AG737">
            <v>0</v>
          </cell>
          <cell r="AH737">
            <v>0</v>
          </cell>
          <cell r="AI737">
            <v>0</v>
          </cell>
          <cell r="AJ737">
            <v>0</v>
          </cell>
          <cell r="AK737">
            <v>494965</v>
          </cell>
          <cell r="AL737">
            <v>1082736</v>
          </cell>
          <cell r="AM737">
            <v>92806</v>
          </cell>
          <cell r="AN737">
            <v>185612</v>
          </cell>
          <cell r="AO737">
            <v>61871</v>
          </cell>
          <cell r="AP737">
            <v>61871</v>
          </cell>
        </row>
        <row r="738">
          <cell r="D738" t="str">
            <v>Sản xuất 06 tổ hợp trinh sát, gây nhiễu chống phương tiện bay không người lái cấp chiến thuật BV5 và bộ ZIP vật tư dự phòng năm 2024 (Tổ hợp BV5 chống UAV)</v>
          </cell>
          <cell r="G738" t="str">
            <v>SXKD</v>
          </cell>
          <cell r="I738" t="str">
            <v>RD</v>
          </cell>
          <cell r="AC738">
            <v>930000</v>
          </cell>
          <cell r="AD738">
            <v>20994124</v>
          </cell>
          <cell r="AE738">
            <v>4750649</v>
          </cell>
          <cell r="AF738">
            <v>4534630</v>
          </cell>
          <cell r="AG738">
            <v>0</v>
          </cell>
          <cell r="AH738">
            <v>0</v>
          </cell>
          <cell r="AI738">
            <v>0</v>
          </cell>
          <cell r="AJ738">
            <v>0</v>
          </cell>
          <cell r="AK738">
            <v>164586</v>
          </cell>
          <cell r="AL738">
            <v>360031</v>
          </cell>
          <cell r="AM738">
            <v>30860</v>
          </cell>
          <cell r="AN738">
            <v>61720</v>
          </cell>
          <cell r="AO738">
            <v>20573</v>
          </cell>
          <cell r="AP738">
            <v>20573</v>
          </cell>
        </row>
        <row r="739">
          <cell r="D739" t="str">
            <v>Sản xuất 06 tổ hợp trinh sát, gây nhiễu chống phương tiện bay không người lái cấp chiến thuật BV5 và bộ ZIP vật tư dự phòng năm 2024 (Tổ hợp BV5 chống UAV)</v>
          </cell>
          <cell r="G739" t="str">
            <v>SXKD</v>
          </cell>
          <cell r="I739" t="str">
            <v>RD</v>
          </cell>
          <cell r="AC739">
            <v>930000</v>
          </cell>
          <cell r="AD739">
            <v>16385556</v>
          </cell>
          <cell r="AE739">
            <v>3572739</v>
          </cell>
          <cell r="AF739">
            <v>3367589</v>
          </cell>
          <cell r="AG739">
            <v>0</v>
          </cell>
          <cell r="AH739">
            <v>0</v>
          </cell>
          <cell r="AI739">
            <v>0</v>
          </cell>
          <cell r="AJ739">
            <v>0</v>
          </cell>
          <cell r="AK739">
            <v>156305</v>
          </cell>
          <cell r="AL739">
            <v>341917</v>
          </cell>
          <cell r="AM739">
            <v>29307</v>
          </cell>
          <cell r="AN739">
            <v>58614</v>
          </cell>
          <cell r="AO739">
            <v>19538</v>
          </cell>
          <cell r="AP739">
            <v>19538</v>
          </cell>
        </row>
        <row r="740">
          <cell r="D740" t="str">
            <v>Sản xuất 06 tổ hợp trinh sát, gây nhiễu chống phương tiện bay không người lái cấp chiến thuật BV5 và bộ ZIP vật tư dự phòng năm 2024 (Tổ hợp BV5 chống UAV)</v>
          </cell>
          <cell r="G740" t="str">
            <v>SXKD</v>
          </cell>
          <cell r="I740" t="str">
            <v>RD</v>
          </cell>
          <cell r="AC740">
            <v>1047000</v>
          </cell>
          <cell r="AD740">
            <v>20202068</v>
          </cell>
          <cell r="AE740">
            <v>15045012</v>
          </cell>
          <cell r="AF740">
            <v>14324950</v>
          </cell>
          <cell r="AG740">
            <v>0</v>
          </cell>
          <cell r="AH740">
            <v>0</v>
          </cell>
          <cell r="AI740">
            <v>0</v>
          </cell>
          <cell r="AJ740">
            <v>0</v>
          </cell>
          <cell r="AK740">
            <v>548619</v>
          </cell>
          <cell r="AL740">
            <v>1200104</v>
          </cell>
          <cell r="AM740">
            <v>102866</v>
          </cell>
          <cell r="AN740">
            <v>205732</v>
          </cell>
          <cell r="AO740">
            <v>68577</v>
          </cell>
          <cell r="AP740">
            <v>68577</v>
          </cell>
        </row>
        <row r="741">
          <cell r="D741" t="str">
            <v>Sản xuất 06 tổ hợp trinh sát, gây nhiễu chống phương tiện bay không người lái cấp chiến thuật BV5 và bộ ZIP vật tư dự phòng năm 2024 (Tổ hợp BV5 chống UAV)</v>
          </cell>
          <cell r="G741" t="str">
            <v>SXKD</v>
          </cell>
          <cell r="I741" t="str">
            <v>RD</v>
          </cell>
          <cell r="AC741">
            <v>930000</v>
          </cell>
          <cell r="AD741">
            <v>15707876</v>
          </cell>
          <cell r="AE741">
            <v>11319843</v>
          </cell>
          <cell r="AF741">
            <v>10636010</v>
          </cell>
          <cell r="AG741">
            <v>0</v>
          </cell>
          <cell r="AH741">
            <v>0</v>
          </cell>
          <cell r="AI741">
            <v>0</v>
          </cell>
          <cell r="AJ741">
            <v>0</v>
          </cell>
          <cell r="AK741">
            <v>521016</v>
          </cell>
          <cell r="AL741">
            <v>1139722</v>
          </cell>
          <cell r="AM741">
            <v>97690</v>
          </cell>
          <cell r="AN741">
            <v>195381</v>
          </cell>
          <cell r="AO741">
            <v>65127</v>
          </cell>
          <cell r="AP741">
            <v>65127</v>
          </cell>
        </row>
        <row r="742">
          <cell r="D742" t="str">
            <v>Sản xuất 06 tổ hợp trinh sát, gây nhiễu chống phương tiện bay không người lái cấp chiến thuật BV5 và bộ ZIP vật tư dự phòng năm 2024 (Tổ hợp BV5 chống UAV)</v>
          </cell>
          <cell r="G742" t="str">
            <v>SXKD</v>
          </cell>
          <cell r="I742" t="str">
            <v>RD</v>
          </cell>
          <cell r="AC742">
            <v>930000</v>
          </cell>
          <cell r="AD742">
            <v>13636736</v>
          </cell>
          <cell r="AE742">
            <v>9670887</v>
          </cell>
          <cell r="AF742">
            <v>9054985</v>
          </cell>
          <cell r="AG742">
            <v>0</v>
          </cell>
          <cell r="AH742">
            <v>0</v>
          </cell>
          <cell r="AI742">
            <v>0</v>
          </cell>
          <cell r="AJ742">
            <v>0</v>
          </cell>
          <cell r="AK742">
            <v>469259</v>
          </cell>
          <cell r="AL742">
            <v>1026504</v>
          </cell>
          <cell r="AM742">
            <v>87986</v>
          </cell>
          <cell r="AN742">
            <v>175972</v>
          </cell>
          <cell r="AO742">
            <v>58657</v>
          </cell>
          <cell r="AP742">
            <v>58657</v>
          </cell>
        </row>
        <row r="743">
          <cell r="D743" t="str">
            <v>Sản xuất 06 tổ hợp trinh sát, gây nhiễu chống phương tiện bay không người lái cấp chiến thuật BV5 và bộ ZIP vật tư dự phòng năm 2024 (Tổ hợp BV5 chống UAV)</v>
          </cell>
          <cell r="G743" t="str">
            <v>SXKD</v>
          </cell>
          <cell r="I743" t="str">
            <v>RD</v>
          </cell>
          <cell r="AC743">
            <v>930000</v>
          </cell>
          <cell r="AD743">
            <v>16385556</v>
          </cell>
          <cell r="AE743">
            <v>11909130</v>
          </cell>
          <cell r="AF743">
            <v>11225297</v>
          </cell>
          <cell r="AG743">
            <v>0</v>
          </cell>
          <cell r="AH743">
            <v>0</v>
          </cell>
          <cell r="AI743">
            <v>0</v>
          </cell>
          <cell r="AJ743">
            <v>0</v>
          </cell>
          <cell r="AK743">
            <v>521016</v>
          </cell>
          <cell r="AL743">
            <v>1139722</v>
          </cell>
          <cell r="AM743">
            <v>97690</v>
          </cell>
          <cell r="AN743">
            <v>195381</v>
          </cell>
          <cell r="AO743">
            <v>65127</v>
          </cell>
          <cell r="AP743">
            <v>65127</v>
          </cell>
        </row>
        <row r="744">
          <cell r="D744" t="str">
            <v>Sản xuất 06 tổ hợp trinh sát, gây nhiễu chống phương tiện bay không người lái cấp chiến thuật BV5 và bộ ZIP vật tư dự phòng năm 2024 (ZIP BV5 chống UAV)</v>
          </cell>
          <cell r="G744" t="str">
            <v>SXKD</v>
          </cell>
          <cell r="I744" t="str">
            <v>RD</v>
          </cell>
          <cell r="AC744">
            <v>1230000</v>
          </cell>
          <cell r="AD744">
            <v>89506974</v>
          </cell>
          <cell r="AE744">
            <v>3715127</v>
          </cell>
          <cell r="AF744">
            <v>3664664</v>
          </cell>
          <cell r="AG744">
            <v>0</v>
          </cell>
          <cell r="AH744">
            <v>0</v>
          </cell>
          <cell r="AI744">
            <v>0</v>
          </cell>
          <cell r="AJ744">
            <v>0</v>
          </cell>
          <cell r="AK744">
            <v>50463</v>
          </cell>
          <cell r="AL744">
            <v>110387</v>
          </cell>
          <cell r="AM744">
            <v>0</v>
          </cell>
          <cell r="AN744">
            <v>0</v>
          </cell>
          <cell r="AO744">
            <v>0</v>
          </cell>
          <cell r="AP744">
            <v>0</v>
          </cell>
        </row>
        <row r="745">
          <cell r="D745" t="str">
            <v>Sản xuất 06 tổ hợp trinh sát, gây nhiễu chống phương tiện bay không người lái cấp chiến thuật BV5 và bộ ZIP vật tư dự phòng năm 2024 (ZIP BV5 chống UAV)</v>
          </cell>
          <cell r="G745" t="str">
            <v>SXKD</v>
          </cell>
          <cell r="I745" t="str">
            <v>RD</v>
          </cell>
          <cell r="AC745">
            <v>1030000</v>
          </cell>
          <cell r="AD745">
            <v>35935265</v>
          </cell>
          <cell r="AE745">
            <v>2827460</v>
          </cell>
          <cell r="AF745">
            <v>2734621</v>
          </cell>
          <cell r="AG745">
            <v>0</v>
          </cell>
          <cell r="AH745">
            <v>0</v>
          </cell>
          <cell r="AI745">
            <v>0</v>
          </cell>
          <cell r="AJ745">
            <v>0</v>
          </cell>
          <cell r="AK745">
            <v>70734</v>
          </cell>
          <cell r="AL745">
            <v>154730</v>
          </cell>
          <cell r="AM745">
            <v>13263</v>
          </cell>
          <cell r="AN745">
            <v>26525</v>
          </cell>
          <cell r="AO745">
            <v>8842</v>
          </cell>
          <cell r="AP745">
            <v>8842</v>
          </cell>
        </row>
        <row r="746">
          <cell r="D746" t="str">
            <v>Sản xuất 06 tổ hợp trinh sát, gây nhiễu chống phương tiện bay không người lái cấp chiến thuật BV5 và bộ ZIP vật tư dự phòng năm 2024 (ZIP BV5 chống UAV)</v>
          </cell>
          <cell r="G746" t="str">
            <v>SXKD</v>
          </cell>
          <cell r="I746" t="str">
            <v>RD</v>
          </cell>
          <cell r="AC746">
            <v>1047000</v>
          </cell>
          <cell r="AD746">
            <v>23799705</v>
          </cell>
          <cell r="AE746">
            <v>1800109</v>
          </cell>
          <cell r="AF746">
            <v>1720404</v>
          </cell>
          <cell r="AG746">
            <v>0</v>
          </cell>
          <cell r="AH746">
            <v>0</v>
          </cell>
          <cell r="AI746">
            <v>0</v>
          </cell>
          <cell r="AJ746">
            <v>0</v>
          </cell>
          <cell r="AK746">
            <v>60728</v>
          </cell>
          <cell r="AL746">
            <v>132842</v>
          </cell>
          <cell r="AM746">
            <v>11386</v>
          </cell>
          <cell r="AN746">
            <v>22773</v>
          </cell>
          <cell r="AO746">
            <v>7591</v>
          </cell>
          <cell r="AP746">
            <v>7591</v>
          </cell>
        </row>
        <row r="747">
          <cell r="D747" t="str">
            <v>Sản xuất 06 tổ hợp trinh sát, gây nhiễu chống phương tiện bay không người lái cấp chiến thuật BV5 và bộ ZIP vật tư dự phòng năm 2024 (ZIP BV5 chống UAV)</v>
          </cell>
          <cell r="G747" t="str">
            <v>SXKD</v>
          </cell>
          <cell r="I747" t="str">
            <v>RD</v>
          </cell>
          <cell r="AC747">
            <v>1030000</v>
          </cell>
          <cell r="AD747">
            <v>38986070</v>
          </cell>
          <cell r="AE747">
            <v>4622396</v>
          </cell>
          <cell r="AF747">
            <v>4475666</v>
          </cell>
          <cell r="AG747">
            <v>0</v>
          </cell>
          <cell r="AH747">
            <v>0</v>
          </cell>
          <cell r="AI747">
            <v>0</v>
          </cell>
          <cell r="AJ747">
            <v>0</v>
          </cell>
          <cell r="AK747">
            <v>111794</v>
          </cell>
          <cell r="AL747">
            <v>244549</v>
          </cell>
          <cell r="AM747">
            <v>20962</v>
          </cell>
          <cell r="AN747">
            <v>41923</v>
          </cell>
          <cell r="AO747">
            <v>13974</v>
          </cell>
          <cell r="AP747">
            <v>13974</v>
          </cell>
        </row>
        <row r="748">
          <cell r="D748" t="str">
            <v>Sản xuất 06 tổ hợp trinh sát, gây nhiễu chống phương tiện bay không người lái cấp chiến thuật BV5 và bộ ZIP vật tư dự phòng năm 2024 (ZIP BV5 chống UAV)</v>
          </cell>
          <cell r="G748" t="str">
            <v>SXKD</v>
          </cell>
          <cell r="I748" t="str">
            <v>RD</v>
          </cell>
          <cell r="AC748">
            <v>930000</v>
          </cell>
          <cell r="AD748">
            <v>25399878</v>
          </cell>
          <cell r="AE748">
            <v>1949428</v>
          </cell>
          <cell r="AF748">
            <v>1869723</v>
          </cell>
          <cell r="AG748">
            <v>0</v>
          </cell>
          <cell r="AH748">
            <v>0</v>
          </cell>
          <cell r="AI748">
            <v>0</v>
          </cell>
          <cell r="AJ748">
            <v>0</v>
          </cell>
          <cell r="AK748">
            <v>60727</v>
          </cell>
          <cell r="AL748">
            <v>132841</v>
          </cell>
          <cell r="AM748">
            <v>11387</v>
          </cell>
          <cell r="AN748">
            <v>22773</v>
          </cell>
          <cell r="AO748">
            <v>7591</v>
          </cell>
          <cell r="AP748">
            <v>7591</v>
          </cell>
        </row>
        <row r="749">
          <cell r="D749" t="str">
            <v>Sản xuất 06 tổ hợp trinh sát, gây nhiễu chống phương tiện bay không người lái cấp chiến thuật BV5 và bộ ZIP vật tư dự phòng năm 2024 (ZIP BV5 chống UAV)</v>
          </cell>
          <cell r="G749" t="str">
            <v>SXKD</v>
          </cell>
          <cell r="I749" t="str">
            <v>RD</v>
          </cell>
          <cell r="AC749">
            <v>1047000</v>
          </cell>
          <cell r="AD749">
            <v>23195590</v>
          </cell>
          <cell r="AE749">
            <v>2621366</v>
          </cell>
          <cell r="AF749">
            <v>2501808</v>
          </cell>
          <cell r="AG749">
            <v>0</v>
          </cell>
          <cell r="AH749">
            <v>0</v>
          </cell>
          <cell r="AI749">
            <v>0</v>
          </cell>
          <cell r="AJ749">
            <v>0</v>
          </cell>
          <cell r="AK749">
            <v>91091</v>
          </cell>
          <cell r="AL749">
            <v>199262</v>
          </cell>
          <cell r="AM749">
            <v>17080</v>
          </cell>
          <cell r="AN749">
            <v>34160</v>
          </cell>
          <cell r="AO749">
            <v>11387</v>
          </cell>
          <cell r="AP749">
            <v>11387</v>
          </cell>
        </row>
        <row r="750">
          <cell r="D750" t="str">
            <v>Sản xuất 06 tổ hợp trinh sát, gây nhiễu chống phương tiện bay không người lái cấp chiến thuật BV5 và bộ ZIP vật tư dự phòng năm 2024 (ZIP BV5 chống UAV)</v>
          </cell>
          <cell r="G750" t="str">
            <v>SXKD</v>
          </cell>
          <cell r="I750" t="str">
            <v>RD</v>
          </cell>
          <cell r="AC750">
            <v>1281000</v>
          </cell>
          <cell r="AD750">
            <v>27674384</v>
          </cell>
          <cell r="AE750">
            <v>1058345</v>
          </cell>
          <cell r="AF750">
            <v>1018493</v>
          </cell>
          <cell r="AG750">
            <v>0</v>
          </cell>
          <cell r="AH750">
            <v>0</v>
          </cell>
          <cell r="AI750">
            <v>0</v>
          </cell>
          <cell r="AJ750">
            <v>0</v>
          </cell>
          <cell r="AK750">
            <v>30364</v>
          </cell>
          <cell r="AL750">
            <v>66421</v>
          </cell>
          <cell r="AM750">
            <v>5693</v>
          </cell>
          <cell r="AN750">
            <v>11386</v>
          </cell>
          <cell r="AO750">
            <v>3795</v>
          </cell>
          <cell r="AP750">
            <v>3795</v>
          </cell>
        </row>
        <row r="751">
          <cell r="D751" t="str">
            <v>Sản xuất 06 tổ hợp trinh sát, gây nhiễu chống phương tiện bay không người lái cấp chiến thuật BV5 và bộ ZIP vật tư dự phòng năm 2024 (ZIP BV5 chống UAV)</v>
          </cell>
          <cell r="G751" t="str">
            <v>SXKD</v>
          </cell>
          <cell r="I751" t="str">
            <v>RD</v>
          </cell>
          <cell r="AC751">
            <v>1030000</v>
          </cell>
          <cell r="AD751">
            <v>44368134</v>
          </cell>
          <cell r="AE751">
            <v>3492373</v>
          </cell>
          <cell r="AF751">
            <v>3379076</v>
          </cell>
          <cell r="AG751">
            <v>0</v>
          </cell>
          <cell r="AH751">
            <v>0</v>
          </cell>
          <cell r="AI751">
            <v>0</v>
          </cell>
          <cell r="AJ751">
            <v>0</v>
          </cell>
          <cell r="AK751">
            <v>113297</v>
          </cell>
          <cell r="AL751">
            <v>247837</v>
          </cell>
          <cell r="AM751">
            <v>0</v>
          </cell>
          <cell r="AN751">
            <v>0</v>
          </cell>
          <cell r="AO751">
            <v>0</v>
          </cell>
          <cell r="AP751">
            <v>0</v>
          </cell>
        </row>
        <row r="752">
          <cell r="D752" t="str">
            <v>Sản xuất 06 tổ hợp trinh sát, gây nhiễu chống phương tiện bay không người lái cấp chiến thuật BV5 và bộ ZIP vật tư dự phòng năm 2024 (ZIP BV5 chống UAV)</v>
          </cell>
          <cell r="G752" t="str">
            <v>SXKD</v>
          </cell>
          <cell r="I752" t="str">
            <v>RD</v>
          </cell>
          <cell r="AC752">
            <v>1030000</v>
          </cell>
          <cell r="AD752">
            <v>38184182</v>
          </cell>
          <cell r="AE752">
            <v>4534526</v>
          </cell>
          <cell r="AF752">
            <v>4395268</v>
          </cell>
          <cell r="AG752">
            <v>0</v>
          </cell>
          <cell r="AH752">
            <v>0</v>
          </cell>
          <cell r="AI752">
            <v>0</v>
          </cell>
          <cell r="AJ752">
            <v>0</v>
          </cell>
          <cell r="AK752">
            <v>106101</v>
          </cell>
          <cell r="AL752">
            <v>232096</v>
          </cell>
          <cell r="AM752">
            <v>19894</v>
          </cell>
          <cell r="AN752">
            <v>39788</v>
          </cell>
          <cell r="AO752">
            <v>13263</v>
          </cell>
          <cell r="AP752">
            <v>13263</v>
          </cell>
        </row>
        <row r="753">
          <cell r="D753" t="str">
            <v>Sản xuất 06 tổ hợp trinh sát, gây nhiễu chống phương tiện bay không người lái cấp chiến thuật BV5 và bộ ZIP vật tư dự phòng năm 2024 (ZIP BV5 chống UAV)</v>
          </cell>
          <cell r="G753" t="str">
            <v>SXKD</v>
          </cell>
          <cell r="I753" t="str">
            <v>RD</v>
          </cell>
          <cell r="AC753">
            <v>1030000</v>
          </cell>
          <cell r="AD753">
            <v>39328832</v>
          </cell>
          <cell r="AE753">
            <v>1555702</v>
          </cell>
          <cell r="AF753">
            <v>1506792</v>
          </cell>
          <cell r="AG753">
            <v>0</v>
          </cell>
          <cell r="AH753">
            <v>0</v>
          </cell>
          <cell r="AI753">
            <v>0</v>
          </cell>
          <cell r="AJ753">
            <v>0</v>
          </cell>
          <cell r="AK753">
            <v>37265</v>
          </cell>
          <cell r="AL753">
            <v>81517</v>
          </cell>
          <cell r="AM753">
            <v>6987</v>
          </cell>
          <cell r="AN753">
            <v>13974</v>
          </cell>
          <cell r="AO753">
            <v>4658</v>
          </cell>
          <cell r="AP753">
            <v>4658</v>
          </cell>
        </row>
        <row r="754">
          <cell r="D754" t="str">
            <v>Sản xuất 06 tổ hợp trinh sát, gây nhiễu chống phương tiện bay không người lái cấp chiến thuật BV5 và bộ ZIP vật tư dự phòng năm 2024 (ZIP BV5 chống UAV)</v>
          </cell>
          <cell r="G754" t="str">
            <v>SXKD</v>
          </cell>
          <cell r="I754" t="str">
            <v>RD</v>
          </cell>
          <cell r="AC754">
            <v>930000</v>
          </cell>
          <cell r="AD754">
            <v>19373878</v>
          </cell>
          <cell r="AE754">
            <v>721329</v>
          </cell>
          <cell r="AF754">
            <v>685326</v>
          </cell>
          <cell r="AG754">
            <v>0</v>
          </cell>
          <cell r="AH754">
            <v>0</v>
          </cell>
          <cell r="AI754">
            <v>0</v>
          </cell>
          <cell r="AJ754">
            <v>0</v>
          </cell>
          <cell r="AK754">
            <v>27431</v>
          </cell>
          <cell r="AL754">
            <v>60005</v>
          </cell>
          <cell r="AM754">
            <v>5143</v>
          </cell>
          <cell r="AN754">
            <v>10287</v>
          </cell>
          <cell r="AO754">
            <v>3429</v>
          </cell>
          <cell r="AP754">
            <v>3429</v>
          </cell>
        </row>
        <row r="755">
          <cell r="D755" t="str">
            <v>Sản xuất 06 tổ hợp trinh sát, gây nhiễu chống phương tiện bay không người lái cấp chiến thuật BV5 và bộ ZIP vật tư dự phòng năm 2024 (ZIP BV5 chống UAV)</v>
          </cell>
          <cell r="G755" t="str">
            <v>SXKD</v>
          </cell>
          <cell r="I755" t="str">
            <v>RD</v>
          </cell>
          <cell r="AC755">
            <v>1047000</v>
          </cell>
          <cell r="AD755">
            <v>17664784</v>
          </cell>
          <cell r="AE755">
            <v>1925802</v>
          </cell>
          <cell r="AF755">
            <v>1817792</v>
          </cell>
          <cell r="AG755">
            <v>0</v>
          </cell>
          <cell r="AH755">
            <v>0</v>
          </cell>
          <cell r="AI755">
            <v>0</v>
          </cell>
          <cell r="AJ755">
            <v>0</v>
          </cell>
          <cell r="AK755">
            <v>82293</v>
          </cell>
          <cell r="AL755">
            <v>180016</v>
          </cell>
          <cell r="AM755">
            <v>15430</v>
          </cell>
          <cell r="AN755">
            <v>30860</v>
          </cell>
          <cell r="AO755">
            <v>10287</v>
          </cell>
          <cell r="AP755">
            <v>10287</v>
          </cell>
        </row>
        <row r="756">
          <cell r="D756" t="str">
            <v>Sản xuất 06 tổ hợp trinh sát, gây nhiễu chống phương tiện bay không người lái cấp chiến thuật BV5 và bộ ZIP vật tư dự phòng năm 2024 (ZIP BV5 chống UAV)</v>
          </cell>
          <cell r="G756" t="str">
            <v>SXKD</v>
          </cell>
          <cell r="I756" t="str">
            <v>RD</v>
          </cell>
          <cell r="AC756">
            <v>930000</v>
          </cell>
          <cell r="AD756">
            <v>19499984</v>
          </cell>
          <cell r="AE756">
            <v>726812</v>
          </cell>
          <cell r="AF756">
            <v>690809</v>
          </cell>
          <cell r="AG756">
            <v>0</v>
          </cell>
          <cell r="AH756">
            <v>0</v>
          </cell>
          <cell r="AI756">
            <v>0</v>
          </cell>
          <cell r="AJ756">
            <v>0</v>
          </cell>
          <cell r="AK756">
            <v>27431</v>
          </cell>
          <cell r="AL756">
            <v>60005</v>
          </cell>
          <cell r="AM756">
            <v>5143</v>
          </cell>
          <cell r="AN756">
            <v>10287</v>
          </cell>
          <cell r="AO756">
            <v>3429</v>
          </cell>
          <cell r="AP756">
            <v>3429</v>
          </cell>
        </row>
        <row r="757">
          <cell r="D757" t="str">
            <v>Sản xuất 06 tổ hợp trinh sát, gây nhiễu chống phương tiện bay không người lái cấp chiến thuật BV5 và bộ ZIP vật tư dự phòng năm 2024 (ZIP BV5 chống UAV)</v>
          </cell>
          <cell r="G757" t="str">
            <v>SXKD</v>
          </cell>
          <cell r="I757" t="str">
            <v>RD</v>
          </cell>
          <cell r="AC757">
            <v>930000</v>
          </cell>
          <cell r="AD757">
            <v>17994124</v>
          </cell>
          <cell r="AE757">
            <v>1984020</v>
          </cell>
          <cell r="AF757">
            <v>1876011</v>
          </cell>
          <cell r="AG757">
            <v>0</v>
          </cell>
          <cell r="AH757">
            <v>0</v>
          </cell>
          <cell r="AI757">
            <v>0</v>
          </cell>
          <cell r="AJ757">
            <v>0</v>
          </cell>
          <cell r="AK757">
            <v>82293</v>
          </cell>
          <cell r="AL757">
            <v>180016</v>
          </cell>
          <cell r="AM757">
            <v>15430</v>
          </cell>
          <cell r="AN757">
            <v>30859</v>
          </cell>
          <cell r="AO757">
            <v>10286</v>
          </cell>
          <cell r="AP757">
            <v>10286</v>
          </cell>
        </row>
        <row r="758">
          <cell r="D758" t="str">
            <v>Sản xuất 06 tổ hợp trinh sát, gây nhiễu chống phương tiện bay không người lái cấp chiến thuật BV5 và bộ ZIP vật tư dự phòng năm 2024 (ZIP BV5 chống UAV)</v>
          </cell>
          <cell r="G758" t="str">
            <v>SXKD</v>
          </cell>
          <cell r="I758" t="str">
            <v>RD</v>
          </cell>
          <cell r="AC758">
            <v>930000</v>
          </cell>
          <cell r="AD758">
            <v>20275656</v>
          </cell>
          <cell r="AE758">
            <v>2293774</v>
          </cell>
          <cell r="AF758">
            <v>2191200</v>
          </cell>
          <cell r="AG758">
            <v>0</v>
          </cell>
          <cell r="AH758">
            <v>0</v>
          </cell>
          <cell r="AI758">
            <v>0</v>
          </cell>
          <cell r="AJ758">
            <v>0</v>
          </cell>
          <cell r="AK758">
            <v>78152</v>
          </cell>
          <cell r="AL758">
            <v>170958</v>
          </cell>
          <cell r="AM758">
            <v>14653</v>
          </cell>
          <cell r="AN758">
            <v>29307</v>
          </cell>
          <cell r="AO758">
            <v>9769</v>
          </cell>
          <cell r="AP758">
            <v>9769</v>
          </cell>
        </row>
        <row r="759">
          <cell r="D759" t="str">
            <v>Sản xuất 06 tổ hợp trinh sát, gây nhiễu chống phương tiện bay không người lái cấp chiến thuật BV5 và bộ ZIP vật tư dự phòng năm 2024 (ZIP BV5 chống UAV)</v>
          </cell>
          <cell r="G759" t="str">
            <v>SXKD</v>
          </cell>
          <cell r="I759" t="str">
            <v>RD</v>
          </cell>
          <cell r="AC759">
            <v>930000</v>
          </cell>
          <cell r="AD759">
            <v>20994124</v>
          </cell>
          <cell r="AE759">
            <v>791775</v>
          </cell>
          <cell r="AF759">
            <v>755772</v>
          </cell>
          <cell r="AG759">
            <v>0</v>
          </cell>
          <cell r="AH759">
            <v>0</v>
          </cell>
          <cell r="AI759">
            <v>0</v>
          </cell>
          <cell r="AJ759">
            <v>0</v>
          </cell>
          <cell r="AK759">
            <v>27431</v>
          </cell>
          <cell r="AL759">
            <v>60005</v>
          </cell>
          <cell r="AM759">
            <v>5143</v>
          </cell>
          <cell r="AN759">
            <v>10287</v>
          </cell>
          <cell r="AO759">
            <v>3429</v>
          </cell>
          <cell r="AP759">
            <v>3429</v>
          </cell>
        </row>
        <row r="760">
          <cell r="D760" t="str">
            <v>Sản xuất 06 tổ hợp trinh sát, gây nhiễu chống phương tiện bay không người lái cấp chiến thuật BV5 và bộ ZIP vật tư dự phòng năm 2024 (ZIP BV5 chống UAV)</v>
          </cell>
          <cell r="G760" t="str">
            <v>SXKD</v>
          </cell>
          <cell r="I760" t="str">
            <v>RD</v>
          </cell>
          <cell r="AC760">
            <v>930000</v>
          </cell>
          <cell r="AD760">
            <v>16385556</v>
          </cell>
          <cell r="AE760">
            <v>595457</v>
          </cell>
          <cell r="AF760">
            <v>561265</v>
          </cell>
          <cell r="AG760">
            <v>0</v>
          </cell>
          <cell r="AH760">
            <v>0</v>
          </cell>
          <cell r="AI760">
            <v>0</v>
          </cell>
          <cell r="AJ760">
            <v>0</v>
          </cell>
          <cell r="AK760">
            <v>26051</v>
          </cell>
          <cell r="AL760">
            <v>56986</v>
          </cell>
          <cell r="AM760">
            <v>4885</v>
          </cell>
          <cell r="AN760">
            <v>9769</v>
          </cell>
          <cell r="AO760">
            <v>3256</v>
          </cell>
          <cell r="AP760">
            <v>3256</v>
          </cell>
        </row>
        <row r="761">
          <cell r="D761" t="str">
            <v>Sản xuất 06 tổ hợp trinh sát, gây nhiễu chống phương tiện bay không người lái cấp chiến thuật BV5 và bộ ZIP vật tư dự phòng năm 2024 (ZIP BV5 chống UAV)</v>
          </cell>
          <cell r="G761" t="str">
            <v>SXKD</v>
          </cell>
          <cell r="I761" t="str">
            <v>RD</v>
          </cell>
          <cell r="AC761">
            <v>1047000</v>
          </cell>
          <cell r="AD761">
            <v>20202068</v>
          </cell>
          <cell r="AE761">
            <v>2256752</v>
          </cell>
          <cell r="AF761">
            <v>2148742</v>
          </cell>
          <cell r="AG761">
            <v>0</v>
          </cell>
          <cell r="AH761">
            <v>0</v>
          </cell>
          <cell r="AI761">
            <v>0</v>
          </cell>
          <cell r="AJ761">
            <v>0</v>
          </cell>
          <cell r="AK761">
            <v>82293</v>
          </cell>
          <cell r="AL761">
            <v>180016</v>
          </cell>
          <cell r="AM761">
            <v>15430</v>
          </cell>
          <cell r="AN761">
            <v>30860</v>
          </cell>
          <cell r="AO761">
            <v>10287</v>
          </cell>
          <cell r="AP761">
            <v>10287</v>
          </cell>
        </row>
        <row r="762">
          <cell r="D762" t="str">
            <v>Sản xuất 06 tổ hợp trinh sát, gây nhiễu chống phương tiện bay không người lái cấp chiến thuật BV5 và bộ ZIP vật tư dự phòng năm 2024 (ZIP BV5 chống UAV)</v>
          </cell>
          <cell r="G762" t="str">
            <v>SXKD</v>
          </cell>
          <cell r="I762" t="str">
            <v>RD</v>
          </cell>
          <cell r="AC762">
            <v>930000</v>
          </cell>
          <cell r="AD762">
            <v>15707876</v>
          </cell>
          <cell r="AE762">
            <v>1697977</v>
          </cell>
          <cell r="AF762">
            <v>1595402</v>
          </cell>
          <cell r="AG762">
            <v>0</v>
          </cell>
          <cell r="AH762">
            <v>0</v>
          </cell>
          <cell r="AI762">
            <v>0</v>
          </cell>
          <cell r="AJ762">
            <v>0</v>
          </cell>
          <cell r="AK762">
            <v>78152</v>
          </cell>
          <cell r="AL762">
            <v>170958</v>
          </cell>
          <cell r="AM762">
            <v>14654</v>
          </cell>
          <cell r="AN762">
            <v>29307</v>
          </cell>
          <cell r="AO762">
            <v>9769</v>
          </cell>
          <cell r="AP762">
            <v>9769</v>
          </cell>
        </row>
        <row r="763">
          <cell r="D763" t="str">
            <v>Sản xuất 06 tổ hợp trinh sát, gây nhiễu chống phương tiện bay không người lái cấp chiến thuật BV5 và bộ ZIP vật tư dự phòng năm 2024 (ZIP BV5 chống UAV)</v>
          </cell>
          <cell r="G763" t="str">
            <v>SXKD</v>
          </cell>
          <cell r="I763" t="str">
            <v>RD</v>
          </cell>
          <cell r="AC763">
            <v>930000</v>
          </cell>
          <cell r="AD763">
            <v>13636736</v>
          </cell>
          <cell r="AE763">
            <v>1450633</v>
          </cell>
          <cell r="AF763">
            <v>1358247</v>
          </cell>
          <cell r="AG763">
            <v>0</v>
          </cell>
          <cell r="AH763">
            <v>0</v>
          </cell>
          <cell r="AI763">
            <v>0</v>
          </cell>
          <cell r="AJ763">
            <v>0</v>
          </cell>
          <cell r="AK763">
            <v>70389</v>
          </cell>
          <cell r="AL763">
            <v>153976</v>
          </cell>
          <cell r="AM763">
            <v>13198</v>
          </cell>
          <cell r="AN763">
            <v>26396</v>
          </cell>
          <cell r="AO763">
            <v>8799</v>
          </cell>
          <cell r="AP763">
            <v>8799</v>
          </cell>
        </row>
        <row r="764">
          <cell r="D764" t="str">
            <v>Sản xuất 06 tổ hợp trinh sát, gây nhiễu chống phương tiện bay không người lái cấp chiến thuật BV5 và bộ ZIP vật tư dự phòng năm 2024 (ZIP BV5 chống UAV)</v>
          </cell>
          <cell r="G764" t="str">
            <v>SXKD</v>
          </cell>
          <cell r="I764" t="str">
            <v>RD</v>
          </cell>
          <cell r="AC764">
            <v>930000</v>
          </cell>
          <cell r="AD764">
            <v>16385556</v>
          </cell>
          <cell r="AE764">
            <v>1786370</v>
          </cell>
          <cell r="AF764">
            <v>1683795</v>
          </cell>
          <cell r="AG764">
            <v>0</v>
          </cell>
          <cell r="AH764">
            <v>0</v>
          </cell>
          <cell r="AI764">
            <v>0</v>
          </cell>
          <cell r="AJ764">
            <v>0</v>
          </cell>
          <cell r="AK764">
            <v>78152</v>
          </cell>
          <cell r="AL764">
            <v>170958</v>
          </cell>
          <cell r="AM764">
            <v>14654</v>
          </cell>
          <cell r="AN764">
            <v>29307</v>
          </cell>
          <cell r="AO764">
            <v>9769</v>
          </cell>
          <cell r="AP764">
            <v>9769</v>
          </cell>
        </row>
        <row r="765">
          <cell r="D765" t="str">
            <v>Sản xuất 02 xe ra đa chỉ thị mục tiêu VRS-MCX, 05 đài ra đa cảnh giới biển tầm trung cơ động VRS-MSX và gói vật tư dự phòng (Đài ra đa VRS-MSX)</v>
          </cell>
          <cell r="G765" t="str">
            <v>SXKD</v>
          </cell>
          <cell r="I765" t="str">
            <v>RD</v>
          </cell>
          <cell r="AC765">
            <v>1230000</v>
          </cell>
          <cell r="AD765">
            <v>89506974</v>
          </cell>
          <cell r="AE765">
            <v>11145380</v>
          </cell>
          <cell r="AF765">
            <v>10993992</v>
          </cell>
          <cell r="AG765">
            <v>0</v>
          </cell>
          <cell r="AH765">
            <v>0</v>
          </cell>
          <cell r="AI765">
            <v>0</v>
          </cell>
          <cell r="AJ765">
            <v>0</v>
          </cell>
          <cell r="AK765">
            <v>151388</v>
          </cell>
          <cell r="AL765">
            <v>331161</v>
          </cell>
          <cell r="AM765">
            <v>0</v>
          </cell>
          <cell r="AN765">
            <v>0</v>
          </cell>
          <cell r="AO765">
            <v>0</v>
          </cell>
          <cell r="AP765">
            <v>0</v>
          </cell>
        </row>
        <row r="766">
          <cell r="D766" t="str">
            <v>Sản xuất 02 xe ra đa chỉ thị mục tiêu VRS-MCX, 05 đài ra đa cảnh giới biển tầm trung cơ động VRS-MSX và gói vật tư dự phòng (Đài ra đa VRS-MSX)</v>
          </cell>
          <cell r="G766" t="str">
            <v>SXKD</v>
          </cell>
          <cell r="I766" t="str">
            <v>RD</v>
          </cell>
          <cell r="AC766">
            <v>1230000</v>
          </cell>
          <cell r="AD766">
            <v>71861870</v>
          </cell>
          <cell r="AE766">
            <v>23639136</v>
          </cell>
          <cell r="AF766">
            <v>23258225</v>
          </cell>
          <cell r="AG766">
            <v>0</v>
          </cell>
          <cell r="AH766">
            <v>0</v>
          </cell>
          <cell r="AI766">
            <v>0</v>
          </cell>
          <cell r="AJ766">
            <v>0</v>
          </cell>
          <cell r="AK766">
            <v>380911</v>
          </cell>
          <cell r="AL766">
            <v>833243</v>
          </cell>
          <cell r="AM766">
            <v>0</v>
          </cell>
          <cell r="AN766">
            <v>0</v>
          </cell>
          <cell r="AO766">
            <v>0</v>
          </cell>
          <cell r="AP766">
            <v>0</v>
          </cell>
        </row>
        <row r="767">
          <cell r="D767" t="str">
            <v>Sản xuất 02 xe ra đa chỉ thị mục tiêu VRS-MCX, 05 đài ra đa cảnh giới biển tầm trung cơ động VRS-MSX và gói vật tư dự phòng (Đài ra đa VRS-MSX)</v>
          </cell>
          <cell r="G767" t="str">
            <v>SXKD</v>
          </cell>
          <cell r="I767" t="str">
            <v>RD</v>
          </cell>
          <cell r="AC767">
            <v>1030000</v>
          </cell>
          <cell r="AD767">
            <v>53087992</v>
          </cell>
          <cell r="AE767">
            <v>10935815</v>
          </cell>
          <cell r="AF767">
            <v>10774889</v>
          </cell>
          <cell r="AG767">
            <v>0</v>
          </cell>
          <cell r="AH767">
            <v>0</v>
          </cell>
          <cell r="AI767">
            <v>0</v>
          </cell>
          <cell r="AJ767">
            <v>0</v>
          </cell>
          <cell r="AK767">
            <v>135517</v>
          </cell>
          <cell r="AL767">
            <v>296442</v>
          </cell>
          <cell r="AM767">
            <v>25409</v>
          </cell>
          <cell r="AN767">
            <v>50819</v>
          </cell>
          <cell r="AO767">
            <v>0</v>
          </cell>
          <cell r="AP767">
            <v>0</v>
          </cell>
        </row>
        <row r="768">
          <cell r="D768" t="str">
            <v>Sản xuất 02 xe ra đa chỉ thị mục tiêu VRS-MCX, 05 đài ra đa cảnh giới biển tầm trung cơ động VRS-MSX và gói vật tư dự phòng (Đài ra đa VRS-MSX)</v>
          </cell>
          <cell r="G768" t="str">
            <v>SXKD</v>
          </cell>
          <cell r="I768" t="str">
            <v>RD</v>
          </cell>
          <cell r="AC768">
            <v>1230000</v>
          </cell>
          <cell r="AD768">
            <v>83038437</v>
          </cell>
          <cell r="AE768">
            <v>40992036</v>
          </cell>
          <cell r="AF768">
            <v>40236649</v>
          </cell>
          <cell r="AG768">
            <v>0</v>
          </cell>
          <cell r="AH768">
            <v>0</v>
          </cell>
          <cell r="AI768">
            <v>0</v>
          </cell>
          <cell r="AJ768">
            <v>0</v>
          </cell>
          <cell r="AK768">
            <v>575533</v>
          </cell>
          <cell r="AL768">
            <v>1258977</v>
          </cell>
          <cell r="AM768">
            <v>107912</v>
          </cell>
          <cell r="AN768">
            <v>215825</v>
          </cell>
          <cell r="AO768">
            <v>71942</v>
          </cell>
          <cell r="AP768">
            <v>71942</v>
          </cell>
        </row>
        <row r="769">
          <cell r="D769" t="str">
            <v>Sản xuất 02 xe ra đa chỉ thị mục tiêu VRS-MCX, 05 đài ra đa cảnh giới biển tầm trung cơ động VRS-MSX và gói vật tư dự phòng (Đài ra đa VRS-MSX)</v>
          </cell>
          <cell r="G769" t="str">
            <v>SXKD</v>
          </cell>
          <cell r="I769" t="str">
            <v>RD</v>
          </cell>
          <cell r="AC769">
            <v>930000</v>
          </cell>
          <cell r="AD769">
            <v>22351063</v>
          </cell>
          <cell r="AE769">
            <v>846718</v>
          </cell>
          <cell r="AF769">
            <v>808904</v>
          </cell>
          <cell r="AG769">
            <v>0</v>
          </cell>
          <cell r="AH769">
            <v>0</v>
          </cell>
          <cell r="AI769">
            <v>0</v>
          </cell>
          <cell r="AJ769">
            <v>0</v>
          </cell>
          <cell r="AK769">
            <v>28811</v>
          </cell>
          <cell r="AL769">
            <v>63024</v>
          </cell>
          <cell r="AM769">
            <v>5402</v>
          </cell>
          <cell r="AN769">
            <v>10804</v>
          </cell>
          <cell r="AO769">
            <v>3601</v>
          </cell>
          <cell r="AP769">
            <v>3601</v>
          </cell>
        </row>
        <row r="770">
          <cell r="D770" t="str">
            <v>Sản xuất 02 xe ra đa chỉ thị mục tiêu VRS-MCX, 05 đài ra đa cảnh giới biển tầm trung cơ động VRS-MSX và gói vật tư dự phòng (Đài ra đa VRS-MSX)</v>
          </cell>
          <cell r="G770" t="str">
            <v>SXKD</v>
          </cell>
          <cell r="I770" t="str">
            <v>RD</v>
          </cell>
          <cell r="AC770">
            <v>930000</v>
          </cell>
          <cell r="AD770">
            <v>33163490</v>
          </cell>
          <cell r="AE770">
            <v>3907900</v>
          </cell>
          <cell r="AF770">
            <v>3775436</v>
          </cell>
          <cell r="AG770">
            <v>0</v>
          </cell>
          <cell r="AH770">
            <v>0</v>
          </cell>
          <cell r="AI770">
            <v>0</v>
          </cell>
          <cell r="AJ770">
            <v>0</v>
          </cell>
          <cell r="AK770">
            <v>100925</v>
          </cell>
          <cell r="AL770">
            <v>220774</v>
          </cell>
          <cell r="AM770">
            <v>18923</v>
          </cell>
          <cell r="AN770">
            <v>37847</v>
          </cell>
          <cell r="AO770">
            <v>12616</v>
          </cell>
          <cell r="AP770">
            <v>12616</v>
          </cell>
        </row>
        <row r="771">
          <cell r="D771" t="str">
            <v>Sản xuất 02 xe ra đa chỉ thị mục tiêu VRS-MCX, 05 đài ra đa cảnh giới biển tầm trung cơ động VRS-MSX và gói vật tư dự phòng (Đài ra đa VRS-MSX)</v>
          </cell>
          <cell r="G771" t="str">
            <v>SXKD</v>
          </cell>
          <cell r="I771" t="str">
            <v>RD</v>
          </cell>
          <cell r="AC771">
            <v>1030000</v>
          </cell>
          <cell r="AD771">
            <v>37853271</v>
          </cell>
          <cell r="AE771">
            <v>17965456</v>
          </cell>
          <cell r="AF771">
            <v>17408427</v>
          </cell>
          <cell r="AG771">
            <v>0</v>
          </cell>
          <cell r="AH771">
            <v>0</v>
          </cell>
          <cell r="AI771">
            <v>0</v>
          </cell>
          <cell r="AJ771">
            <v>0</v>
          </cell>
          <cell r="AK771">
            <v>424403</v>
          </cell>
          <cell r="AL771">
            <v>928383</v>
          </cell>
          <cell r="AM771">
            <v>79576</v>
          </cell>
          <cell r="AN771">
            <v>159151</v>
          </cell>
          <cell r="AO771">
            <v>53050</v>
          </cell>
          <cell r="AP771">
            <v>53050</v>
          </cell>
        </row>
        <row r="772">
          <cell r="D772" t="str">
            <v>Sản xuất 02 xe ra đa chỉ thị mục tiêu VRS-MCX, 05 đài ra đa cảnh giới biển tầm trung cơ động VRS-MSX và gói vật tư dự phòng (Đài ra đa VRS-MSX)</v>
          </cell>
          <cell r="G772" t="str">
            <v>SXKD</v>
          </cell>
          <cell r="I772" t="str">
            <v>RD</v>
          </cell>
          <cell r="AC772">
            <v>1030000</v>
          </cell>
          <cell r="AD772">
            <v>28981415</v>
          </cell>
          <cell r="AE772">
            <v>2232913</v>
          </cell>
          <cell r="AF772">
            <v>2144604</v>
          </cell>
          <cell r="AG772">
            <v>0</v>
          </cell>
          <cell r="AH772">
            <v>0</v>
          </cell>
          <cell r="AI772">
            <v>0</v>
          </cell>
          <cell r="AJ772">
            <v>0</v>
          </cell>
          <cell r="AK772">
            <v>67283</v>
          </cell>
          <cell r="AL772">
            <v>147183</v>
          </cell>
          <cell r="AM772">
            <v>12616</v>
          </cell>
          <cell r="AN772">
            <v>25231</v>
          </cell>
          <cell r="AO772">
            <v>8410</v>
          </cell>
          <cell r="AP772">
            <v>8410</v>
          </cell>
        </row>
        <row r="773">
          <cell r="D773" t="str">
            <v>Sản xuất 02 xe ra đa chỉ thị mục tiêu VRS-MCX, 05 đài ra đa cảnh giới biển tầm trung cơ động VRS-MSX và gói vật tư dự phòng (Đài ra đa VRS-MSX)</v>
          </cell>
          <cell r="G773" t="str">
            <v>SXKD</v>
          </cell>
          <cell r="I773" t="str">
            <v>RD</v>
          </cell>
          <cell r="AC773">
            <v>1047000</v>
          </cell>
          <cell r="AD773">
            <v>28997006</v>
          </cell>
          <cell r="AE773">
            <v>13457554</v>
          </cell>
          <cell r="AF773">
            <v>12954869</v>
          </cell>
          <cell r="AG773">
            <v>0</v>
          </cell>
          <cell r="AH773">
            <v>0</v>
          </cell>
          <cell r="AI773">
            <v>0</v>
          </cell>
          <cell r="AJ773">
            <v>0</v>
          </cell>
          <cell r="AK773">
            <v>382998</v>
          </cell>
          <cell r="AL773">
            <v>837809</v>
          </cell>
          <cell r="AM773">
            <v>71812</v>
          </cell>
          <cell r="AN773">
            <v>143624</v>
          </cell>
          <cell r="AO773">
            <v>47875</v>
          </cell>
          <cell r="AP773">
            <v>47875</v>
          </cell>
        </row>
        <row r="774">
          <cell r="D774" t="str">
            <v>Sản xuất 02 xe ra đa chỉ thị mục tiêu VRS-MCX, 05 đài ra đa cảnh giới biển tầm trung cơ động VRS-MSX và gói vật tư dự phòng (Đài ra đa VRS-MSX)</v>
          </cell>
          <cell r="G774" t="str">
            <v>SXKD</v>
          </cell>
          <cell r="I774" t="str">
            <v>RD</v>
          </cell>
          <cell r="AC774">
            <v>1030000</v>
          </cell>
          <cell r="AD774">
            <v>42198549</v>
          </cell>
          <cell r="AE774">
            <v>1680472</v>
          </cell>
          <cell r="AF774">
            <v>1631562</v>
          </cell>
          <cell r="AG774">
            <v>0</v>
          </cell>
          <cell r="AH774">
            <v>0</v>
          </cell>
          <cell r="AI774">
            <v>0</v>
          </cell>
          <cell r="AJ774">
            <v>0</v>
          </cell>
          <cell r="AK774">
            <v>37265</v>
          </cell>
          <cell r="AL774">
            <v>81517</v>
          </cell>
          <cell r="AM774">
            <v>6987</v>
          </cell>
          <cell r="AN774">
            <v>13974</v>
          </cell>
          <cell r="AO774">
            <v>4658</v>
          </cell>
          <cell r="AP774">
            <v>4658</v>
          </cell>
        </row>
        <row r="775">
          <cell r="D775" t="str">
            <v>Sản xuất 02 xe ra đa chỉ thị mục tiêu VRS-MCX, 05 đài ra đa cảnh giới biển tầm trung cơ động VRS-MSX và gói vật tư dự phòng (Đài ra đa VRS-MSX)</v>
          </cell>
          <cell r="G775" t="str">
            <v>SXKD</v>
          </cell>
          <cell r="I775" t="str">
            <v>RD</v>
          </cell>
          <cell r="AC775">
            <v>1030000</v>
          </cell>
          <cell r="AD775">
            <v>41391760</v>
          </cell>
          <cell r="AE775">
            <v>14551009</v>
          </cell>
          <cell r="AF775">
            <v>14041174</v>
          </cell>
          <cell r="AG775">
            <v>0</v>
          </cell>
          <cell r="AH775">
            <v>0</v>
          </cell>
          <cell r="AI775">
            <v>0</v>
          </cell>
          <cell r="AJ775">
            <v>0</v>
          </cell>
          <cell r="AK775">
            <v>509835</v>
          </cell>
          <cell r="AL775">
            <v>1115264</v>
          </cell>
          <cell r="AM775">
            <v>0</v>
          </cell>
          <cell r="AN775">
            <v>0</v>
          </cell>
          <cell r="AO775">
            <v>0</v>
          </cell>
          <cell r="AP775">
            <v>0</v>
          </cell>
        </row>
        <row r="776">
          <cell r="D776" t="str">
            <v>Sản xuất 02 xe ra đa chỉ thị mục tiêu VRS-MCX, 05 đài ra đa cảnh giới biển tầm trung cơ động VRS-MSX và gói vật tư dự phòng (Đài ra đa VRS-MSX)</v>
          </cell>
          <cell r="G776" t="str">
            <v>SXKD</v>
          </cell>
          <cell r="I776" t="str">
            <v>RD</v>
          </cell>
          <cell r="AC776">
            <v>930000</v>
          </cell>
          <cell r="AD776">
            <v>19947552</v>
          </cell>
          <cell r="AE776">
            <v>8906609</v>
          </cell>
          <cell r="AF776">
            <v>8452833</v>
          </cell>
          <cell r="AG776">
            <v>0</v>
          </cell>
          <cell r="AH776">
            <v>0</v>
          </cell>
          <cell r="AI776">
            <v>0</v>
          </cell>
          <cell r="AJ776">
            <v>0</v>
          </cell>
          <cell r="AK776">
            <v>345734</v>
          </cell>
          <cell r="AL776">
            <v>756292</v>
          </cell>
          <cell r="AM776">
            <v>64825</v>
          </cell>
          <cell r="AN776">
            <v>129650</v>
          </cell>
          <cell r="AO776">
            <v>43217</v>
          </cell>
          <cell r="AP776">
            <v>43217</v>
          </cell>
        </row>
        <row r="777">
          <cell r="D777" t="str">
            <v>Sản xuất 02 xe ra đa chỉ thị mục tiêu VRS-MCX, 05 đài ra đa cảnh giới biển tầm trung cơ động VRS-MSX và gói vật tư dự phòng (Đài ra đa VRS-MSX)</v>
          </cell>
          <cell r="G777" t="str">
            <v>SXKD</v>
          </cell>
          <cell r="I777" t="str">
            <v>RD</v>
          </cell>
          <cell r="AC777">
            <v>930000</v>
          </cell>
          <cell r="AD777">
            <v>20275656</v>
          </cell>
          <cell r="AE777">
            <v>3058365</v>
          </cell>
          <cell r="AF777">
            <v>2921599</v>
          </cell>
          <cell r="AG777">
            <v>0</v>
          </cell>
          <cell r="AH777">
            <v>0</v>
          </cell>
          <cell r="AI777">
            <v>0</v>
          </cell>
          <cell r="AJ777">
            <v>0</v>
          </cell>
          <cell r="AK777">
            <v>104203</v>
          </cell>
          <cell r="AL777">
            <v>227944</v>
          </cell>
          <cell r="AM777">
            <v>19538</v>
          </cell>
          <cell r="AN777">
            <v>39076</v>
          </cell>
          <cell r="AO777">
            <v>13025</v>
          </cell>
          <cell r="AP777">
            <v>13025</v>
          </cell>
        </row>
        <row r="778">
          <cell r="D778" t="str">
            <v>Sản xuất 02 xe ra đa chỉ thị mục tiêu VRS-MCX, 05 đài ra đa cảnh giới biển tầm trung cơ động VRS-MSX và gói vật tư dự phòng (Đài ra đa VRS-MSX)</v>
          </cell>
          <cell r="G778" t="str">
            <v>SXKD</v>
          </cell>
          <cell r="I778" t="str">
            <v>RD</v>
          </cell>
          <cell r="AC778">
            <v>1047000</v>
          </cell>
          <cell r="AD778">
            <v>24727989</v>
          </cell>
          <cell r="AE778">
            <v>4702072</v>
          </cell>
          <cell r="AF778">
            <v>4502810</v>
          </cell>
          <cell r="AG778">
            <v>0</v>
          </cell>
          <cell r="AH778">
            <v>0</v>
          </cell>
          <cell r="AI778">
            <v>0</v>
          </cell>
          <cell r="AJ778">
            <v>0</v>
          </cell>
          <cell r="AK778">
            <v>151819</v>
          </cell>
          <cell r="AL778">
            <v>332104</v>
          </cell>
          <cell r="AM778">
            <v>28466</v>
          </cell>
          <cell r="AN778">
            <v>56932</v>
          </cell>
          <cell r="AO778">
            <v>18977</v>
          </cell>
          <cell r="AP778">
            <v>18977</v>
          </cell>
        </row>
        <row r="779">
          <cell r="D779" t="str">
            <v>Sản xuất 02 xe ra đa chỉ thị mục tiêu VRS-MCX, 05 đài ra đa cảnh giới biển tầm trung cơ động VRS-MSX và gói vật tư dự phòng (Đài ra đa VRS-MSX)</v>
          </cell>
          <cell r="G779" t="str">
            <v>SXKD</v>
          </cell>
          <cell r="I779" t="str">
            <v>RD</v>
          </cell>
          <cell r="AC779">
            <v>1030000</v>
          </cell>
          <cell r="AD779">
            <v>47311866</v>
          </cell>
          <cell r="AE779">
            <v>22693608</v>
          </cell>
          <cell r="AF779">
            <v>22044193</v>
          </cell>
          <cell r="AG779">
            <v>0</v>
          </cell>
          <cell r="AH779">
            <v>0</v>
          </cell>
          <cell r="AI779">
            <v>0</v>
          </cell>
          <cell r="AJ779">
            <v>0</v>
          </cell>
          <cell r="AK779">
            <v>494792</v>
          </cell>
          <cell r="AL779">
            <v>1082358</v>
          </cell>
          <cell r="AM779">
            <v>92774</v>
          </cell>
          <cell r="AN779">
            <v>185547</v>
          </cell>
          <cell r="AO779">
            <v>61849</v>
          </cell>
          <cell r="AP779">
            <v>61849</v>
          </cell>
        </row>
        <row r="780">
          <cell r="D780" t="str">
            <v>Sản xuất 02 xe ra đa chỉ thị mục tiêu VRS-MCX, 05 đài ra đa cảnh giới biển tầm trung cơ động VRS-MSX và gói vật tư dự phòng (Đài ra đa VRS-MSX)</v>
          </cell>
          <cell r="G780" t="str">
            <v>SXKD</v>
          </cell>
          <cell r="I780" t="str">
            <v>RD</v>
          </cell>
          <cell r="AC780">
            <v>930000</v>
          </cell>
          <cell r="AD780">
            <v>32603768</v>
          </cell>
          <cell r="AE780">
            <v>15339573</v>
          </cell>
          <cell r="AF780">
            <v>14809715</v>
          </cell>
          <cell r="AG780">
            <v>0</v>
          </cell>
          <cell r="AH780">
            <v>0</v>
          </cell>
          <cell r="AI780">
            <v>0</v>
          </cell>
          <cell r="AJ780">
            <v>0</v>
          </cell>
          <cell r="AK780">
            <v>403701</v>
          </cell>
          <cell r="AL780">
            <v>883096</v>
          </cell>
          <cell r="AM780">
            <v>75694</v>
          </cell>
          <cell r="AN780">
            <v>151388</v>
          </cell>
          <cell r="AO780">
            <v>50463</v>
          </cell>
          <cell r="AP780">
            <v>50463</v>
          </cell>
        </row>
        <row r="781">
          <cell r="D781" t="str">
            <v>Sản xuất 02 xe ra đa chỉ thị mục tiêu VRS-MCX, 05 đài ra đa cảnh giới biển tầm trung cơ động VRS-MSX và gói vật tư dự phòng (Đài ra đa VRS-MSX)</v>
          </cell>
          <cell r="G781" t="str">
            <v>SXKD</v>
          </cell>
          <cell r="I781" t="str">
            <v>RD</v>
          </cell>
          <cell r="AC781">
            <v>1230000</v>
          </cell>
          <cell r="AD781">
            <v>69918607</v>
          </cell>
          <cell r="AE781">
            <v>8558012</v>
          </cell>
          <cell r="AF781">
            <v>8378676</v>
          </cell>
          <cell r="AG781">
            <v>0</v>
          </cell>
          <cell r="AH781">
            <v>0</v>
          </cell>
          <cell r="AI781">
            <v>0</v>
          </cell>
          <cell r="AJ781">
            <v>0</v>
          </cell>
          <cell r="AK781">
            <v>136637</v>
          </cell>
          <cell r="AL781">
            <v>298894</v>
          </cell>
          <cell r="AM781">
            <v>25619</v>
          </cell>
          <cell r="AN781">
            <v>51239</v>
          </cell>
          <cell r="AO781">
            <v>17080</v>
          </cell>
          <cell r="AP781">
            <v>17080</v>
          </cell>
        </row>
        <row r="782">
          <cell r="D782" t="str">
            <v>Sản xuất 02 xe ra đa chỉ thị mục tiêu VRS-MCX, 05 đài ra đa cảnh giới biển tầm trung cơ động VRS-MSX và gói vật tư dự phòng (Đài ra đa VRS-MSX)</v>
          </cell>
          <cell r="G782" t="str">
            <v>SXKD</v>
          </cell>
          <cell r="I782" t="str">
            <v>RD</v>
          </cell>
          <cell r="AC782">
            <v>1047000</v>
          </cell>
          <cell r="AD782">
            <v>23978241</v>
          </cell>
          <cell r="AE782">
            <v>9078167</v>
          </cell>
          <cell r="AF782">
            <v>8679642</v>
          </cell>
          <cell r="AG782">
            <v>0</v>
          </cell>
          <cell r="AH782">
            <v>0</v>
          </cell>
          <cell r="AI782">
            <v>0</v>
          </cell>
          <cell r="AJ782">
            <v>0</v>
          </cell>
          <cell r="AK782">
            <v>303638</v>
          </cell>
          <cell r="AL782">
            <v>664209</v>
          </cell>
          <cell r="AM782">
            <v>56932</v>
          </cell>
          <cell r="AN782">
            <v>113864</v>
          </cell>
          <cell r="AO782">
            <v>37955</v>
          </cell>
          <cell r="AP782">
            <v>37955</v>
          </cell>
        </row>
        <row r="783">
          <cell r="D783" t="str">
            <v>Sản xuất 02 xe ra đa chỉ thị mục tiêu VRS-MCX, 05 đài ra đa cảnh giới biển tầm trung cơ động VRS-MSX và gói vật tư dự phòng (Đài ra đa VRS-MSX)</v>
          </cell>
          <cell r="G783" t="str">
            <v>SXKD</v>
          </cell>
          <cell r="I783" t="str">
            <v>RD</v>
          </cell>
          <cell r="AC783">
            <v>930000</v>
          </cell>
          <cell r="AD783">
            <v>21492406</v>
          </cell>
          <cell r="AE783">
            <v>9657887</v>
          </cell>
          <cell r="AF783">
            <v>9179656</v>
          </cell>
          <cell r="AG783">
            <v>0</v>
          </cell>
          <cell r="AH783">
            <v>0</v>
          </cell>
          <cell r="AI783">
            <v>0</v>
          </cell>
          <cell r="AJ783">
            <v>0</v>
          </cell>
          <cell r="AK783">
            <v>364366</v>
          </cell>
          <cell r="AL783">
            <v>797050</v>
          </cell>
          <cell r="AM783">
            <v>68319</v>
          </cell>
          <cell r="AN783">
            <v>136637</v>
          </cell>
          <cell r="AO783">
            <v>45546</v>
          </cell>
          <cell r="AP783">
            <v>45546</v>
          </cell>
        </row>
        <row r="784">
          <cell r="D784" t="str">
            <v>Sản xuất 02 xe ra đa chỉ thị mục tiêu VRS-MCX, 05 đài ra đa cảnh giới biển tầm trung cơ động VRS-MSX và gói vật tư dự phòng (Đài ra đa VRS-MSX)</v>
          </cell>
          <cell r="G784" t="str">
            <v>SXKD</v>
          </cell>
          <cell r="I784" t="str">
            <v>RD</v>
          </cell>
          <cell r="AC784">
            <v>930000</v>
          </cell>
          <cell r="AD784">
            <v>30734076</v>
          </cell>
          <cell r="AE784">
            <v>14364081</v>
          </cell>
          <cell r="AF784">
            <v>13834223</v>
          </cell>
          <cell r="AG784">
            <v>0</v>
          </cell>
          <cell r="AH784">
            <v>0</v>
          </cell>
          <cell r="AI784">
            <v>0</v>
          </cell>
          <cell r="AJ784">
            <v>0</v>
          </cell>
          <cell r="AK784">
            <v>403701</v>
          </cell>
          <cell r="AL784">
            <v>883096</v>
          </cell>
          <cell r="AM784">
            <v>75694</v>
          </cell>
          <cell r="AN784">
            <v>151388</v>
          </cell>
          <cell r="AO784">
            <v>50463</v>
          </cell>
          <cell r="AP784">
            <v>50463</v>
          </cell>
        </row>
        <row r="785">
          <cell r="D785" t="str">
            <v>Sản xuất 02 xe ra đa chỉ thị mục tiêu VRS-MCX, 05 đài ra đa cảnh giới biển tầm trung cơ động VRS-MSX và gói vật tư dự phòng (Đài ra đa VRS-MSX)</v>
          </cell>
          <cell r="G785" t="str">
            <v>SXKD</v>
          </cell>
          <cell r="I785" t="str">
            <v>RD</v>
          </cell>
          <cell r="AC785">
            <v>930000</v>
          </cell>
          <cell r="AD785">
            <v>17275656</v>
          </cell>
          <cell r="AE785">
            <v>7609878</v>
          </cell>
          <cell r="AF785">
            <v>7199579</v>
          </cell>
          <cell r="AG785">
            <v>0</v>
          </cell>
          <cell r="AH785">
            <v>0</v>
          </cell>
          <cell r="AI785">
            <v>0</v>
          </cell>
          <cell r="AJ785">
            <v>0</v>
          </cell>
          <cell r="AK785">
            <v>312609</v>
          </cell>
          <cell r="AL785">
            <v>683833</v>
          </cell>
          <cell r="AM785">
            <v>58614</v>
          </cell>
          <cell r="AN785">
            <v>117229</v>
          </cell>
          <cell r="AO785">
            <v>39076</v>
          </cell>
          <cell r="AP785">
            <v>39076</v>
          </cell>
        </row>
        <row r="786">
          <cell r="D786" t="str">
            <v>Sản xuất 02 xe ra đa chỉ thị mục tiêu VRS-MCX, 05 đài ra đa cảnh giới biển tầm trung cơ động VRS-MSX và gói vật tư dự phòng (Đài ra đa VRS-MSX)</v>
          </cell>
          <cell r="G786" t="str">
            <v>SXKD</v>
          </cell>
          <cell r="I786" t="str">
            <v>RD</v>
          </cell>
          <cell r="AC786">
            <v>930000</v>
          </cell>
          <cell r="AD786">
            <v>16385556</v>
          </cell>
          <cell r="AE786">
            <v>7145478</v>
          </cell>
          <cell r="AF786">
            <v>6735179</v>
          </cell>
          <cell r="AG786">
            <v>0</v>
          </cell>
          <cell r="AH786">
            <v>0</v>
          </cell>
          <cell r="AI786">
            <v>0</v>
          </cell>
          <cell r="AJ786">
            <v>0</v>
          </cell>
          <cell r="AK786">
            <v>312609</v>
          </cell>
          <cell r="AL786">
            <v>683833</v>
          </cell>
          <cell r="AM786">
            <v>58614</v>
          </cell>
          <cell r="AN786">
            <v>117229</v>
          </cell>
          <cell r="AO786">
            <v>39076</v>
          </cell>
          <cell r="AP786">
            <v>39076</v>
          </cell>
        </row>
        <row r="787">
          <cell r="D787" t="str">
            <v>Sản xuất 02 xe ra đa chỉ thị mục tiêu VRS-MCX, 05 đài ra đa cảnh giới biển tầm trung cơ động VRS-MSX và gói vật tư dự phòng (Đài ra đa VRS-MSX)</v>
          </cell>
          <cell r="G787" t="str">
            <v>SXKD</v>
          </cell>
          <cell r="I787" t="str">
            <v>RD</v>
          </cell>
          <cell r="AC787">
            <v>1047000</v>
          </cell>
          <cell r="AD787">
            <v>14191368</v>
          </cell>
          <cell r="AE787">
            <v>5988292</v>
          </cell>
          <cell r="AF787">
            <v>5599730</v>
          </cell>
          <cell r="AG787">
            <v>0</v>
          </cell>
          <cell r="AH787">
            <v>0</v>
          </cell>
          <cell r="AI787">
            <v>0</v>
          </cell>
          <cell r="AJ787">
            <v>0</v>
          </cell>
          <cell r="AK787">
            <v>296047</v>
          </cell>
          <cell r="AL787">
            <v>647603</v>
          </cell>
          <cell r="AM787">
            <v>55509</v>
          </cell>
          <cell r="AN787">
            <v>111018</v>
          </cell>
          <cell r="AO787">
            <v>37006</v>
          </cell>
          <cell r="AP787">
            <v>37006</v>
          </cell>
        </row>
        <row r="788">
          <cell r="D788" t="str">
            <v>Sản xuất 02 xe ra đa chỉ thị mục tiêu VRS-MCX, 05 đài ra đa cảnh giới biển tầm trung cơ động VRS-MSX và gói vật tư dự phòng (Đài ra đa VRS-MSX)</v>
          </cell>
          <cell r="G788" t="str">
            <v>SXKD</v>
          </cell>
          <cell r="I788" t="str">
            <v>RD</v>
          </cell>
          <cell r="AC788">
            <v>930000</v>
          </cell>
          <cell r="AD788">
            <v>21248732</v>
          </cell>
          <cell r="AE788">
            <v>798790</v>
          </cell>
          <cell r="AF788">
            <v>760976</v>
          </cell>
          <cell r="AG788">
            <v>0</v>
          </cell>
          <cell r="AH788">
            <v>0</v>
          </cell>
          <cell r="AI788">
            <v>0</v>
          </cell>
          <cell r="AJ788">
            <v>0</v>
          </cell>
          <cell r="AK788">
            <v>28811</v>
          </cell>
          <cell r="AL788">
            <v>63024</v>
          </cell>
          <cell r="AM788">
            <v>5402</v>
          </cell>
          <cell r="AN788">
            <v>10804</v>
          </cell>
          <cell r="AO788">
            <v>3601</v>
          </cell>
          <cell r="AP788">
            <v>3601</v>
          </cell>
        </row>
        <row r="789">
          <cell r="D789" t="str">
            <v>Sản xuất 02 xe ra đa chỉ thị mục tiêu VRS-MCX, 05 đài ra đa cảnh giới biển tầm trung cơ động VRS-MSX và gói vật tư dự phòng (Đài ra đa VRS-MSX)</v>
          </cell>
          <cell r="G789" t="str">
            <v>SXKD</v>
          </cell>
          <cell r="I789" t="str">
            <v>RD</v>
          </cell>
          <cell r="AC789">
            <v>930000</v>
          </cell>
          <cell r="AD789">
            <v>21248732</v>
          </cell>
          <cell r="AE789">
            <v>9585485</v>
          </cell>
          <cell r="AF789">
            <v>9131709</v>
          </cell>
          <cell r="AG789">
            <v>0</v>
          </cell>
          <cell r="AH789">
            <v>0</v>
          </cell>
          <cell r="AI789">
            <v>0</v>
          </cell>
          <cell r="AJ789">
            <v>0</v>
          </cell>
          <cell r="AK789">
            <v>345734</v>
          </cell>
          <cell r="AL789">
            <v>756292</v>
          </cell>
          <cell r="AM789">
            <v>64825</v>
          </cell>
          <cell r="AN789">
            <v>129650</v>
          </cell>
          <cell r="AO789">
            <v>43217</v>
          </cell>
          <cell r="AP789">
            <v>43217</v>
          </cell>
        </row>
        <row r="790">
          <cell r="D790" t="str">
            <v>Sản xuất 02 xe ra đa chỉ thị mục tiêu VRS-MCX, 05 đài ra đa cảnh giới biển tầm trung cơ động VRS-MSX và gói vật tư dự phòng (Đài ra đa VRS-MSX)</v>
          </cell>
          <cell r="G790" t="str">
            <v>SXKD</v>
          </cell>
          <cell r="I790" t="str">
            <v>RD</v>
          </cell>
          <cell r="AC790">
            <v>1030000</v>
          </cell>
          <cell r="AD790">
            <v>28939060</v>
          </cell>
          <cell r="AE790">
            <v>13436191</v>
          </cell>
          <cell r="AF790">
            <v>12933506</v>
          </cell>
          <cell r="AG790">
            <v>0</v>
          </cell>
          <cell r="AH790">
            <v>0</v>
          </cell>
          <cell r="AI790">
            <v>0</v>
          </cell>
          <cell r="AJ790">
            <v>0</v>
          </cell>
          <cell r="AK790">
            <v>382998</v>
          </cell>
          <cell r="AL790">
            <v>837809</v>
          </cell>
          <cell r="AM790">
            <v>71812</v>
          </cell>
          <cell r="AN790">
            <v>143624</v>
          </cell>
          <cell r="AO790">
            <v>47875</v>
          </cell>
          <cell r="AP790">
            <v>47875</v>
          </cell>
        </row>
        <row r="791">
          <cell r="D791" t="str">
            <v>Sản xuất 02 xe ra đa chỉ thị mục tiêu VRS-MCX, 05 đài ra đa cảnh giới biển tầm trung cơ động VRS-MSX và gói vật tư dự phòng (Đài ra đa VRS-MSX)</v>
          </cell>
          <cell r="G791" t="str">
            <v>SXKD</v>
          </cell>
          <cell r="I791" t="str">
            <v>RD</v>
          </cell>
          <cell r="AC791">
            <v>930000</v>
          </cell>
          <cell r="AD791">
            <v>18316624</v>
          </cell>
          <cell r="AE791">
            <v>2701447</v>
          </cell>
          <cell r="AF791">
            <v>2557435</v>
          </cell>
          <cell r="AG791">
            <v>0</v>
          </cell>
          <cell r="AH791">
            <v>0</v>
          </cell>
          <cell r="AI791">
            <v>0</v>
          </cell>
          <cell r="AJ791">
            <v>0</v>
          </cell>
          <cell r="AK791">
            <v>109724</v>
          </cell>
          <cell r="AL791">
            <v>240021</v>
          </cell>
          <cell r="AM791">
            <v>20573</v>
          </cell>
          <cell r="AN791">
            <v>41146</v>
          </cell>
          <cell r="AO791">
            <v>13715</v>
          </cell>
          <cell r="AP791">
            <v>13715</v>
          </cell>
        </row>
        <row r="792">
          <cell r="D792" t="str">
            <v>Sản xuất 02 xe ra đa chỉ thị mục tiêu VRS-MCX, 05 đài ra đa cảnh giới biển tầm trung cơ động VRS-MSX và gói vật tư dự phòng (Đài ra đa VRS-MSX)</v>
          </cell>
          <cell r="G792" t="str">
            <v>SXKD</v>
          </cell>
          <cell r="I792" t="str">
            <v>RD</v>
          </cell>
          <cell r="AC792">
            <v>930000</v>
          </cell>
          <cell r="AD792">
            <v>26836580</v>
          </cell>
          <cell r="AE792">
            <v>12330605</v>
          </cell>
          <cell r="AF792">
            <v>11800747</v>
          </cell>
          <cell r="AG792">
            <v>0</v>
          </cell>
          <cell r="AH792">
            <v>0</v>
          </cell>
          <cell r="AI792">
            <v>0</v>
          </cell>
          <cell r="AJ792">
            <v>0</v>
          </cell>
          <cell r="AK792">
            <v>403701</v>
          </cell>
          <cell r="AL792">
            <v>883096</v>
          </cell>
          <cell r="AM792">
            <v>75694</v>
          </cell>
          <cell r="AN792">
            <v>151388</v>
          </cell>
          <cell r="AO792">
            <v>50463</v>
          </cell>
          <cell r="AP792">
            <v>50463</v>
          </cell>
        </row>
        <row r="793">
          <cell r="D793" t="str">
            <v>Sản xuất 02 xe ra đa chỉ thị mục tiêu VRS-MCX, 05 đài ra đa cảnh giới biển tầm trung cơ động VRS-MSX và gói vật tư dự phòng (Đài ra đa VRS-MSX)</v>
          </cell>
          <cell r="G793" t="str">
            <v>SXKD</v>
          </cell>
          <cell r="I793" t="str">
            <v>RD</v>
          </cell>
          <cell r="AC793">
            <v>930000</v>
          </cell>
          <cell r="AD793">
            <v>16385556</v>
          </cell>
          <cell r="AE793">
            <v>7145478</v>
          </cell>
          <cell r="AF793">
            <v>6735179</v>
          </cell>
          <cell r="AG793">
            <v>0</v>
          </cell>
          <cell r="AH793">
            <v>0</v>
          </cell>
          <cell r="AI793">
            <v>0</v>
          </cell>
          <cell r="AJ793">
            <v>0</v>
          </cell>
          <cell r="AK793">
            <v>312609</v>
          </cell>
          <cell r="AL793">
            <v>683833</v>
          </cell>
          <cell r="AM793">
            <v>58614</v>
          </cell>
          <cell r="AN793">
            <v>117229</v>
          </cell>
          <cell r="AO793">
            <v>39076</v>
          </cell>
          <cell r="AP793">
            <v>39076</v>
          </cell>
        </row>
        <row r="794">
          <cell r="D794" t="str">
            <v>Sản xuất 02 xe ra đa chỉ thị mục tiêu VRS-MCX, 05 đài ra đa cảnh giới biển tầm trung cơ động VRS-MSX và gói vật tư dự phòng (Đài ra đa VRS-MSX)</v>
          </cell>
          <cell r="G794" t="str">
            <v>SXKD</v>
          </cell>
          <cell r="I794" t="str">
            <v>RD</v>
          </cell>
          <cell r="AC794">
            <v>930000</v>
          </cell>
          <cell r="AD794">
            <v>20994124</v>
          </cell>
          <cell r="AE794">
            <v>791775</v>
          </cell>
          <cell r="AF794">
            <v>755772</v>
          </cell>
          <cell r="AG794">
            <v>0</v>
          </cell>
          <cell r="AH794">
            <v>0</v>
          </cell>
          <cell r="AI794">
            <v>0</v>
          </cell>
          <cell r="AJ794">
            <v>0</v>
          </cell>
          <cell r="AK794">
            <v>27431</v>
          </cell>
          <cell r="AL794">
            <v>60005</v>
          </cell>
          <cell r="AM794">
            <v>5143</v>
          </cell>
          <cell r="AN794">
            <v>10287</v>
          </cell>
          <cell r="AO794">
            <v>3429</v>
          </cell>
          <cell r="AP794">
            <v>3429</v>
          </cell>
        </row>
        <row r="795">
          <cell r="D795" t="str">
            <v>Sản xuất 02 xe ra đa chỉ thị mục tiêu VRS-MCX, 05 đài ra đa cảnh giới biển tầm trung cơ động VRS-MSX và gói vật tư dự phòng (Đài ra đa VRS-MSX)</v>
          </cell>
          <cell r="G795" t="str">
            <v>SXKD</v>
          </cell>
          <cell r="I795" t="str">
            <v>RD</v>
          </cell>
          <cell r="AC795">
            <v>1047000</v>
          </cell>
          <cell r="AD795">
            <v>17807056</v>
          </cell>
          <cell r="AE795">
            <v>7826087</v>
          </cell>
          <cell r="AF795">
            <v>7415788</v>
          </cell>
          <cell r="AG795">
            <v>0</v>
          </cell>
          <cell r="AH795">
            <v>0</v>
          </cell>
          <cell r="AI795">
            <v>0</v>
          </cell>
          <cell r="AJ795">
            <v>0</v>
          </cell>
          <cell r="AK795">
            <v>312609</v>
          </cell>
          <cell r="AL795">
            <v>683833</v>
          </cell>
          <cell r="AM795">
            <v>58614</v>
          </cell>
          <cell r="AN795">
            <v>117229</v>
          </cell>
          <cell r="AO795">
            <v>39076</v>
          </cell>
          <cell r="AP795">
            <v>39076</v>
          </cell>
        </row>
        <row r="796">
          <cell r="D796" t="str">
            <v>Sản xuất 02 xe ra đa chỉ thị mục tiêu VRS-MCX, 05 đài ra đa cảnh giới biển tầm trung cơ động VRS-MSX và gói vật tư dự phòng (Đài ra đa VRS-MSX)</v>
          </cell>
          <cell r="G796" t="str">
            <v>SXKD</v>
          </cell>
          <cell r="I796" t="str">
            <v>RD</v>
          </cell>
          <cell r="AC796">
            <v>930000</v>
          </cell>
          <cell r="AD796">
            <v>15796808</v>
          </cell>
          <cell r="AE796">
            <v>6886957</v>
          </cell>
          <cell r="AF796">
            <v>6498395</v>
          </cell>
          <cell r="AG796">
            <v>0</v>
          </cell>
          <cell r="AH796">
            <v>0</v>
          </cell>
          <cell r="AI796">
            <v>0</v>
          </cell>
          <cell r="AJ796">
            <v>0</v>
          </cell>
          <cell r="AK796">
            <v>296047</v>
          </cell>
          <cell r="AL796">
            <v>647603</v>
          </cell>
          <cell r="AM796">
            <v>55509</v>
          </cell>
          <cell r="AN796">
            <v>111018</v>
          </cell>
          <cell r="AO796">
            <v>37006</v>
          </cell>
          <cell r="AP796">
            <v>37006</v>
          </cell>
        </row>
        <row r="797">
          <cell r="D797" t="str">
            <v>Sản xuất 02 xe ra đa chỉ thị mục tiêu VRS-MCX, 05 đài ra đa cảnh giới biển tầm trung cơ động VRS-MSX và gói vật tư dự phòng (Đài ra đa VRS-MSX)</v>
          </cell>
          <cell r="G797" t="str">
            <v>SXKD</v>
          </cell>
          <cell r="I797" t="str">
            <v>RD</v>
          </cell>
          <cell r="AC797">
            <v>930000</v>
          </cell>
          <cell r="AD797">
            <v>14566288</v>
          </cell>
          <cell r="AE797">
            <v>1561237</v>
          </cell>
          <cell r="AF797">
            <v>1464097</v>
          </cell>
          <cell r="AG797">
            <v>0</v>
          </cell>
          <cell r="AH797">
            <v>0</v>
          </cell>
          <cell r="AI797">
            <v>0</v>
          </cell>
          <cell r="AJ797">
            <v>0</v>
          </cell>
          <cell r="AK797">
            <v>74012</v>
          </cell>
          <cell r="AL797">
            <v>161901</v>
          </cell>
          <cell r="AM797">
            <v>13877</v>
          </cell>
          <cell r="AN797">
            <v>27754</v>
          </cell>
          <cell r="AO797">
            <v>9251</v>
          </cell>
          <cell r="AP797">
            <v>9251</v>
          </cell>
        </row>
        <row r="798">
          <cell r="D798" t="str">
            <v>Sản xuất 02 xe ra đa chỉ thị mục tiêu VRS-MCX, 05 đài ra đa cảnh giới biển tầm trung cơ động VRS-MSX và gói vật tư dự phòng (Đài ra đa VRS-MSX)</v>
          </cell>
          <cell r="G798" t="str">
            <v>SXKD</v>
          </cell>
          <cell r="I798" t="str">
            <v>RD</v>
          </cell>
          <cell r="AC798">
            <v>930000</v>
          </cell>
          <cell r="AD798">
            <v>14515216</v>
          </cell>
          <cell r="AE798">
            <v>1043478</v>
          </cell>
          <cell r="AF798">
            <v>981887</v>
          </cell>
          <cell r="AG798">
            <v>0</v>
          </cell>
          <cell r="AH798">
            <v>0</v>
          </cell>
          <cell r="AI798">
            <v>0</v>
          </cell>
          <cell r="AJ798">
            <v>0</v>
          </cell>
          <cell r="AK798">
            <v>46926</v>
          </cell>
          <cell r="AL798">
            <v>102650</v>
          </cell>
          <cell r="AM798">
            <v>8799</v>
          </cell>
          <cell r="AN798">
            <v>17597</v>
          </cell>
          <cell r="AO798">
            <v>5866</v>
          </cell>
          <cell r="AP798">
            <v>5866</v>
          </cell>
        </row>
        <row r="799">
          <cell r="D799" t="str">
            <v>Sản xuất 02 xe ra đa chỉ thị mục tiêu VRS-MCX, 05 đài ra đa cảnh giới biển tầm trung cơ động VRS-MSX và gói vật tư dự phòng (Đài ra đa VRS-MSX)</v>
          </cell>
          <cell r="G799" t="str">
            <v>SXKD</v>
          </cell>
          <cell r="I799" t="str">
            <v>RD</v>
          </cell>
          <cell r="AC799">
            <v>930000</v>
          </cell>
          <cell r="AD799">
            <v>17090056</v>
          </cell>
          <cell r="AE799">
            <v>1252174</v>
          </cell>
          <cell r="AF799">
            <v>1183790</v>
          </cell>
          <cell r="AG799">
            <v>0</v>
          </cell>
          <cell r="AH799">
            <v>0</v>
          </cell>
          <cell r="AI799">
            <v>0</v>
          </cell>
          <cell r="AJ799">
            <v>0</v>
          </cell>
          <cell r="AK799">
            <v>52102</v>
          </cell>
          <cell r="AL799">
            <v>113972</v>
          </cell>
          <cell r="AM799">
            <v>9769</v>
          </cell>
          <cell r="AN799">
            <v>19538</v>
          </cell>
          <cell r="AO799">
            <v>6513</v>
          </cell>
          <cell r="AP799">
            <v>6513</v>
          </cell>
        </row>
        <row r="800">
          <cell r="D800" t="str">
            <v>Sản xuất 02 xe ra đa chỉ thị mục tiêu VRS-MCX, 05 đài ra đa cảnh giới biển tầm trung cơ động VRS-MSX và gói vật tư dự phòng (Đài ra đa VRS-MSX)</v>
          </cell>
          <cell r="G800" t="str">
            <v>SXKD</v>
          </cell>
          <cell r="I800" t="str">
            <v>RD</v>
          </cell>
          <cell r="AC800">
            <v>1047000</v>
          </cell>
          <cell r="AD800">
            <v>15363808</v>
          </cell>
          <cell r="AE800">
            <v>6600000</v>
          </cell>
          <cell r="AF800">
            <v>6211438</v>
          </cell>
          <cell r="AG800">
            <v>0</v>
          </cell>
          <cell r="AH800">
            <v>0</v>
          </cell>
          <cell r="AI800">
            <v>0</v>
          </cell>
          <cell r="AJ800">
            <v>0</v>
          </cell>
          <cell r="AK800">
            <v>296047</v>
          </cell>
          <cell r="AL800">
            <v>647603</v>
          </cell>
          <cell r="AM800">
            <v>55509</v>
          </cell>
          <cell r="AN800">
            <v>111018</v>
          </cell>
          <cell r="AO800">
            <v>37006</v>
          </cell>
          <cell r="AP800">
            <v>37006</v>
          </cell>
        </row>
        <row r="801">
          <cell r="D801" t="str">
            <v>Sản xuất 02 xe ra đa chỉ thị mục tiêu VRS-MCX, 05 đài ra đa cảnh giới biển tầm trung cơ động VRS-MSX và gói vật tư dự phòng (Xe ra đa VRS-MCX)</v>
          </cell>
          <cell r="G801" t="str">
            <v>SXKD</v>
          </cell>
          <cell r="I801" t="str">
            <v>RD</v>
          </cell>
          <cell r="AC801">
            <v>1230000</v>
          </cell>
          <cell r="AD801">
            <v>83038437</v>
          </cell>
          <cell r="AE801">
            <v>20496018</v>
          </cell>
          <cell r="AF801">
            <v>20118325</v>
          </cell>
          <cell r="AG801">
            <v>0</v>
          </cell>
          <cell r="AH801">
            <v>0</v>
          </cell>
          <cell r="AI801">
            <v>0</v>
          </cell>
          <cell r="AJ801">
            <v>0</v>
          </cell>
          <cell r="AK801">
            <v>287766</v>
          </cell>
          <cell r="AL801">
            <v>629489</v>
          </cell>
          <cell r="AM801">
            <v>53956</v>
          </cell>
          <cell r="AN801">
            <v>107912</v>
          </cell>
          <cell r="AO801">
            <v>35971</v>
          </cell>
          <cell r="AP801">
            <v>35971</v>
          </cell>
        </row>
        <row r="802">
          <cell r="D802" t="str">
            <v>Sản xuất 02 xe ra đa chỉ thị mục tiêu VRS-MCX, 05 đài ra đa cảnh giới biển tầm trung cơ động VRS-MSX và gói vật tư dự phòng (Xe ra đa VRS-MCX)</v>
          </cell>
          <cell r="G802" t="str">
            <v>SXKD</v>
          </cell>
          <cell r="I802" t="str">
            <v>RD</v>
          </cell>
          <cell r="AC802">
            <v>930000</v>
          </cell>
          <cell r="AD802">
            <v>22351063</v>
          </cell>
          <cell r="AE802">
            <v>846717</v>
          </cell>
          <cell r="AF802">
            <v>808901</v>
          </cell>
          <cell r="AG802">
            <v>0</v>
          </cell>
          <cell r="AH802">
            <v>0</v>
          </cell>
          <cell r="AI802">
            <v>0</v>
          </cell>
          <cell r="AJ802">
            <v>0</v>
          </cell>
          <cell r="AK802">
            <v>28812</v>
          </cell>
          <cell r="AL802">
            <v>63025</v>
          </cell>
          <cell r="AM802">
            <v>5402</v>
          </cell>
          <cell r="AN802">
            <v>10804</v>
          </cell>
          <cell r="AO802">
            <v>3602</v>
          </cell>
          <cell r="AP802">
            <v>3602</v>
          </cell>
        </row>
        <row r="803">
          <cell r="D803" t="str">
            <v>Sản xuất 02 xe ra đa chỉ thị mục tiêu VRS-MCX, 05 đài ra đa cảnh giới biển tầm trung cơ động VRS-MSX và gói vật tư dự phòng (Xe ra đa VRS-MCX)</v>
          </cell>
          <cell r="G803" t="str">
            <v>SXKD</v>
          </cell>
          <cell r="I803" t="str">
            <v>RD</v>
          </cell>
          <cell r="AC803">
            <v>930000</v>
          </cell>
          <cell r="AD803">
            <v>33163490</v>
          </cell>
          <cell r="AE803">
            <v>3907900</v>
          </cell>
          <cell r="AF803">
            <v>3775436</v>
          </cell>
          <cell r="AG803">
            <v>0</v>
          </cell>
          <cell r="AH803">
            <v>0</v>
          </cell>
          <cell r="AI803">
            <v>0</v>
          </cell>
          <cell r="AJ803">
            <v>0</v>
          </cell>
          <cell r="AK803">
            <v>100925</v>
          </cell>
          <cell r="AL803">
            <v>220774</v>
          </cell>
          <cell r="AM803">
            <v>18923</v>
          </cell>
          <cell r="AN803">
            <v>37847</v>
          </cell>
          <cell r="AO803">
            <v>12616</v>
          </cell>
          <cell r="AP803">
            <v>12616</v>
          </cell>
        </row>
        <row r="804">
          <cell r="D804" t="str">
            <v>Sản xuất 02 xe ra đa chỉ thị mục tiêu VRS-MCX, 05 đài ra đa cảnh giới biển tầm trung cơ động VRS-MSX và gói vật tư dự phòng (Xe ra đa VRS-MCX)</v>
          </cell>
          <cell r="G804" t="str">
            <v>SXKD</v>
          </cell>
          <cell r="I804" t="str">
            <v>RD</v>
          </cell>
          <cell r="AC804">
            <v>1030000</v>
          </cell>
          <cell r="AD804">
            <v>41094601</v>
          </cell>
          <cell r="AE804">
            <v>9794845</v>
          </cell>
          <cell r="AF804">
            <v>9501385</v>
          </cell>
          <cell r="AG804">
            <v>0</v>
          </cell>
          <cell r="AH804">
            <v>0</v>
          </cell>
          <cell r="AI804">
            <v>0</v>
          </cell>
          <cell r="AJ804">
            <v>0</v>
          </cell>
          <cell r="AK804">
            <v>223588</v>
          </cell>
          <cell r="AL804">
            <v>489099</v>
          </cell>
          <cell r="AM804">
            <v>41923</v>
          </cell>
          <cell r="AN804">
            <v>83846</v>
          </cell>
          <cell r="AO804">
            <v>27949</v>
          </cell>
          <cell r="AP804">
            <v>27949</v>
          </cell>
        </row>
        <row r="805">
          <cell r="D805" t="str">
            <v>Sản xuất 02 xe ra đa chỉ thị mục tiêu VRS-MCX, 05 đài ra đa cảnh giới biển tầm trung cơ động VRS-MSX và gói vật tư dự phòng (Xe ra đa VRS-MCX)</v>
          </cell>
          <cell r="G805" t="str">
            <v>SXKD</v>
          </cell>
          <cell r="I805" t="str">
            <v>RD</v>
          </cell>
          <cell r="AC805">
            <v>1030000</v>
          </cell>
          <cell r="AD805">
            <v>37200566</v>
          </cell>
          <cell r="AE805">
            <v>2937486</v>
          </cell>
          <cell r="AF805">
            <v>2844647</v>
          </cell>
          <cell r="AG805">
            <v>0</v>
          </cell>
          <cell r="AH805">
            <v>0</v>
          </cell>
          <cell r="AI805">
            <v>0</v>
          </cell>
          <cell r="AJ805">
            <v>0</v>
          </cell>
          <cell r="AK805">
            <v>70734</v>
          </cell>
          <cell r="AL805">
            <v>154730</v>
          </cell>
          <cell r="AM805">
            <v>13263</v>
          </cell>
          <cell r="AN805">
            <v>26525</v>
          </cell>
          <cell r="AO805">
            <v>8842</v>
          </cell>
          <cell r="AP805">
            <v>8842</v>
          </cell>
        </row>
        <row r="806">
          <cell r="D806" t="str">
            <v>Sản xuất 02 xe ra đa chỉ thị mục tiêu VRS-MCX, 05 đài ra đa cảnh giới biển tầm trung cơ động VRS-MSX và gói vật tư dự phòng (Xe ra đa VRS-MCX)</v>
          </cell>
          <cell r="G806" t="str">
            <v>SXKD</v>
          </cell>
          <cell r="I806" t="str">
            <v>RD</v>
          </cell>
          <cell r="AC806">
            <v>1030000</v>
          </cell>
          <cell r="AD806">
            <v>37853271</v>
          </cell>
          <cell r="AE806">
            <v>8982728</v>
          </cell>
          <cell r="AF806">
            <v>8704213</v>
          </cell>
          <cell r="AG806">
            <v>0</v>
          </cell>
          <cell r="AH806">
            <v>0</v>
          </cell>
          <cell r="AI806">
            <v>0</v>
          </cell>
          <cell r="AJ806">
            <v>0</v>
          </cell>
          <cell r="AK806">
            <v>212202</v>
          </cell>
          <cell r="AL806">
            <v>464191</v>
          </cell>
          <cell r="AM806">
            <v>39788</v>
          </cell>
          <cell r="AN806">
            <v>79576</v>
          </cell>
          <cell r="AO806">
            <v>26525</v>
          </cell>
          <cell r="AP806">
            <v>26525</v>
          </cell>
        </row>
        <row r="807">
          <cell r="D807" t="str">
            <v>Sản xuất 02 xe ra đa chỉ thị mục tiêu VRS-MCX, 05 đài ra đa cảnh giới biển tầm trung cơ động VRS-MSX và gói vật tư dự phòng (Xe ra đa VRS-MCX)</v>
          </cell>
          <cell r="G807" t="str">
            <v>SXKD</v>
          </cell>
          <cell r="I807" t="str">
            <v>RD</v>
          </cell>
          <cell r="AC807">
            <v>1047000</v>
          </cell>
          <cell r="AD807">
            <v>28997006</v>
          </cell>
          <cell r="AE807">
            <v>6728777</v>
          </cell>
          <cell r="AF807">
            <v>6477435</v>
          </cell>
          <cell r="AG807">
            <v>0</v>
          </cell>
          <cell r="AH807">
            <v>0</v>
          </cell>
          <cell r="AI807">
            <v>0</v>
          </cell>
          <cell r="AJ807">
            <v>0</v>
          </cell>
          <cell r="AK807">
            <v>191499</v>
          </cell>
          <cell r="AL807">
            <v>418904</v>
          </cell>
          <cell r="AM807">
            <v>35906</v>
          </cell>
          <cell r="AN807">
            <v>71812</v>
          </cell>
          <cell r="AO807">
            <v>23937</v>
          </cell>
          <cell r="AP807">
            <v>23937</v>
          </cell>
        </row>
        <row r="808">
          <cell r="D808" t="str">
            <v>Sản xuất 02 xe ra đa chỉ thị mục tiêu VRS-MCX, 05 đài ra đa cảnh giới biển tầm trung cơ động VRS-MSX và gói vật tư dự phòng (Xe ra đa VRS-MCX)</v>
          </cell>
          <cell r="G808" t="str">
            <v>SXKD</v>
          </cell>
          <cell r="I808" t="str">
            <v>RD</v>
          </cell>
          <cell r="AC808">
            <v>1030000</v>
          </cell>
          <cell r="AD808">
            <v>42198549</v>
          </cell>
          <cell r="AE808">
            <v>1680472</v>
          </cell>
          <cell r="AF808">
            <v>1631562</v>
          </cell>
          <cell r="AG808">
            <v>0</v>
          </cell>
          <cell r="AH808">
            <v>0</v>
          </cell>
          <cell r="AI808">
            <v>0</v>
          </cell>
          <cell r="AJ808">
            <v>0</v>
          </cell>
          <cell r="AK808">
            <v>37265</v>
          </cell>
          <cell r="AL808">
            <v>81517</v>
          </cell>
          <cell r="AM808">
            <v>6987</v>
          </cell>
          <cell r="AN808">
            <v>13974</v>
          </cell>
          <cell r="AO808">
            <v>4658</v>
          </cell>
          <cell r="AP808">
            <v>4658</v>
          </cell>
        </row>
        <row r="809">
          <cell r="D809" t="str">
            <v>Sản xuất 02 xe ra đa chỉ thị mục tiêu VRS-MCX, 05 đài ra đa cảnh giới biển tầm trung cơ động VRS-MSX và gói vật tư dự phòng (Xe ra đa VRS-MCX)</v>
          </cell>
          <cell r="G809" t="str">
            <v>SXKD</v>
          </cell>
          <cell r="I809" t="str">
            <v>RD</v>
          </cell>
          <cell r="AC809">
            <v>1030000</v>
          </cell>
          <cell r="AD809">
            <v>41391760</v>
          </cell>
          <cell r="AE809">
            <v>9700673</v>
          </cell>
          <cell r="AF809">
            <v>9360783</v>
          </cell>
          <cell r="AG809">
            <v>0</v>
          </cell>
          <cell r="AH809">
            <v>0</v>
          </cell>
          <cell r="AI809">
            <v>0</v>
          </cell>
          <cell r="AJ809">
            <v>0</v>
          </cell>
          <cell r="AK809">
            <v>339890</v>
          </cell>
          <cell r="AL809">
            <v>743510</v>
          </cell>
          <cell r="AM809">
            <v>0</v>
          </cell>
          <cell r="AN809">
            <v>0</v>
          </cell>
          <cell r="AO809">
            <v>0</v>
          </cell>
          <cell r="AP809">
            <v>0</v>
          </cell>
        </row>
        <row r="810">
          <cell r="D810" t="str">
            <v>Sản xuất 02 xe ra đa chỉ thị mục tiêu VRS-MCX, 05 đài ra đa cảnh giới biển tầm trung cơ động VRS-MSX và gói vật tư dự phòng (Xe ra đa VRS-MCX)</v>
          </cell>
          <cell r="G810" t="str">
            <v>SXKD</v>
          </cell>
          <cell r="I810" t="str">
            <v>RD</v>
          </cell>
          <cell r="AC810">
            <v>930000</v>
          </cell>
          <cell r="AD810">
            <v>19947552</v>
          </cell>
          <cell r="AE810">
            <v>3711087</v>
          </cell>
          <cell r="AF810">
            <v>3522014</v>
          </cell>
          <cell r="AG810">
            <v>0</v>
          </cell>
          <cell r="AH810">
            <v>0</v>
          </cell>
          <cell r="AI810">
            <v>0</v>
          </cell>
          <cell r="AJ810">
            <v>0</v>
          </cell>
          <cell r="AK810">
            <v>144056</v>
          </cell>
          <cell r="AL810">
            <v>315122</v>
          </cell>
          <cell r="AM810">
            <v>27010</v>
          </cell>
          <cell r="AN810">
            <v>54021</v>
          </cell>
          <cell r="AO810">
            <v>18007</v>
          </cell>
          <cell r="AP810">
            <v>18007</v>
          </cell>
        </row>
        <row r="811">
          <cell r="D811" t="str">
            <v>Sản xuất 02 xe ra đa chỉ thị mục tiêu VRS-MCX, 05 đài ra đa cảnh giới biển tầm trung cơ động VRS-MSX và gói vật tư dự phòng (Xe ra đa VRS-MCX)</v>
          </cell>
          <cell r="G811" t="str">
            <v>SXKD</v>
          </cell>
          <cell r="I811" t="str">
            <v>RD</v>
          </cell>
          <cell r="AC811">
            <v>930000</v>
          </cell>
          <cell r="AD811">
            <v>20275656</v>
          </cell>
          <cell r="AE811">
            <v>1529183</v>
          </cell>
          <cell r="AF811">
            <v>1460799</v>
          </cell>
          <cell r="AG811">
            <v>0</v>
          </cell>
          <cell r="AH811">
            <v>0</v>
          </cell>
          <cell r="AI811">
            <v>0</v>
          </cell>
          <cell r="AJ811">
            <v>0</v>
          </cell>
          <cell r="AK811">
            <v>52102</v>
          </cell>
          <cell r="AL811">
            <v>113972</v>
          </cell>
          <cell r="AM811">
            <v>9769</v>
          </cell>
          <cell r="AN811">
            <v>19538</v>
          </cell>
          <cell r="AO811">
            <v>6513</v>
          </cell>
          <cell r="AP811">
            <v>6513</v>
          </cell>
        </row>
        <row r="812">
          <cell r="D812" t="str">
            <v>Sản xuất 02 xe ra đa chỉ thị mục tiêu VRS-MCX, 05 đài ra đa cảnh giới biển tầm trung cơ động VRS-MSX và gói vật tư dự phòng (Xe ra đa VRS-MCX)</v>
          </cell>
          <cell r="G812" t="str">
            <v>SXKD</v>
          </cell>
          <cell r="I812" t="str">
            <v>RD</v>
          </cell>
          <cell r="AC812">
            <v>1047000</v>
          </cell>
          <cell r="AD812">
            <v>24727989</v>
          </cell>
          <cell r="AE812">
            <v>2821243</v>
          </cell>
          <cell r="AF812">
            <v>2701686</v>
          </cell>
          <cell r="AG812">
            <v>0</v>
          </cell>
          <cell r="AH812">
            <v>0</v>
          </cell>
          <cell r="AI812">
            <v>0</v>
          </cell>
          <cell r="AJ812">
            <v>0</v>
          </cell>
          <cell r="AK812">
            <v>91091</v>
          </cell>
          <cell r="AL812">
            <v>199263</v>
          </cell>
          <cell r="AM812">
            <v>17080</v>
          </cell>
          <cell r="AN812">
            <v>34159</v>
          </cell>
          <cell r="AO812">
            <v>11386</v>
          </cell>
          <cell r="AP812">
            <v>11386</v>
          </cell>
        </row>
        <row r="813">
          <cell r="D813" t="str">
            <v>Sản xuất 02 xe ra đa chỉ thị mục tiêu VRS-MCX, 05 đài ra đa cảnh giới biển tầm trung cơ động VRS-MSX và gói vật tư dự phòng (Xe ra đa VRS-MCX)</v>
          </cell>
          <cell r="G813" t="str">
            <v>SXKD</v>
          </cell>
          <cell r="I813" t="str">
            <v>RD</v>
          </cell>
          <cell r="AC813">
            <v>1030000</v>
          </cell>
          <cell r="AD813">
            <v>47311866</v>
          </cell>
          <cell r="AE813">
            <v>11346804</v>
          </cell>
          <cell r="AF813">
            <v>11022096</v>
          </cell>
          <cell r="AG813">
            <v>0</v>
          </cell>
          <cell r="AH813">
            <v>0</v>
          </cell>
          <cell r="AI813">
            <v>0</v>
          </cell>
          <cell r="AJ813">
            <v>0</v>
          </cell>
          <cell r="AK813">
            <v>247396</v>
          </cell>
          <cell r="AL813">
            <v>541179</v>
          </cell>
          <cell r="AM813">
            <v>46387</v>
          </cell>
          <cell r="AN813">
            <v>92774</v>
          </cell>
          <cell r="AO813">
            <v>30925</v>
          </cell>
          <cell r="AP813">
            <v>30925</v>
          </cell>
        </row>
        <row r="814">
          <cell r="D814" t="str">
            <v>Sản xuất 02 xe ra đa chỉ thị mục tiêu VRS-MCX, 05 đài ra đa cảnh giới biển tầm trung cơ động VRS-MSX và gói vật tư dự phòng (Xe ra đa VRS-MCX)</v>
          </cell>
          <cell r="G814" t="str">
            <v>SXKD</v>
          </cell>
          <cell r="I814" t="str">
            <v>RD</v>
          </cell>
          <cell r="AC814">
            <v>930000</v>
          </cell>
          <cell r="AD814">
            <v>32603768</v>
          </cell>
          <cell r="AE814">
            <v>7669786</v>
          </cell>
          <cell r="AF814">
            <v>7404858</v>
          </cell>
          <cell r="AG814">
            <v>0</v>
          </cell>
          <cell r="AH814">
            <v>0</v>
          </cell>
          <cell r="AI814">
            <v>0</v>
          </cell>
          <cell r="AJ814">
            <v>0</v>
          </cell>
          <cell r="AK814">
            <v>201850</v>
          </cell>
          <cell r="AL814">
            <v>441548</v>
          </cell>
          <cell r="AM814">
            <v>37847</v>
          </cell>
          <cell r="AN814">
            <v>75694</v>
          </cell>
          <cell r="AO814">
            <v>25231</v>
          </cell>
          <cell r="AP814">
            <v>25231</v>
          </cell>
        </row>
        <row r="815">
          <cell r="D815" t="str">
            <v>Sản xuất 02 xe ra đa chỉ thị mục tiêu VRS-MCX, 05 đài ra đa cảnh giới biển tầm trung cơ động VRS-MSX và gói vật tư dự phòng (Xe ra đa VRS-MCX)</v>
          </cell>
          <cell r="G815" t="str">
            <v>SXKD</v>
          </cell>
          <cell r="I815" t="str">
            <v>RD</v>
          </cell>
          <cell r="AC815">
            <v>1230000</v>
          </cell>
          <cell r="AD815">
            <v>69918607</v>
          </cell>
          <cell r="AE815">
            <v>17116023</v>
          </cell>
          <cell r="AF815">
            <v>16757351</v>
          </cell>
          <cell r="AG815">
            <v>0</v>
          </cell>
          <cell r="AH815">
            <v>0</v>
          </cell>
          <cell r="AI815">
            <v>0</v>
          </cell>
          <cell r="AJ815">
            <v>0</v>
          </cell>
          <cell r="AK815">
            <v>273274</v>
          </cell>
          <cell r="AL815">
            <v>597788</v>
          </cell>
          <cell r="AM815">
            <v>51239</v>
          </cell>
          <cell r="AN815">
            <v>102478</v>
          </cell>
          <cell r="AO815">
            <v>34159</v>
          </cell>
          <cell r="AP815">
            <v>34159</v>
          </cell>
        </row>
        <row r="816">
          <cell r="D816" t="str">
            <v>Sản xuất 02 xe ra đa chỉ thị mục tiêu VRS-MCX, 05 đài ra đa cảnh giới biển tầm trung cơ động VRS-MSX và gói vật tư dự phòng (Xe ra đa VRS-MCX)</v>
          </cell>
          <cell r="G816" t="str">
            <v>SXKD</v>
          </cell>
          <cell r="I816" t="str">
            <v>RD</v>
          </cell>
          <cell r="AC816">
            <v>1047000</v>
          </cell>
          <cell r="AD816">
            <v>25008758</v>
          </cell>
          <cell r="AE816">
            <v>2871549</v>
          </cell>
          <cell r="AF816">
            <v>2758106</v>
          </cell>
          <cell r="AG816">
            <v>0</v>
          </cell>
          <cell r="AH816">
            <v>0</v>
          </cell>
          <cell r="AI816">
            <v>0</v>
          </cell>
          <cell r="AJ816">
            <v>0</v>
          </cell>
          <cell r="AK816">
            <v>86433</v>
          </cell>
          <cell r="AL816">
            <v>189073</v>
          </cell>
          <cell r="AM816">
            <v>16206</v>
          </cell>
          <cell r="AN816">
            <v>32413</v>
          </cell>
          <cell r="AO816">
            <v>10804</v>
          </cell>
          <cell r="AP816">
            <v>10804</v>
          </cell>
        </row>
        <row r="817">
          <cell r="D817" t="str">
            <v>Sản xuất 02 xe ra đa chỉ thị mục tiêu VRS-MCX, 05 đài ra đa cảnh giới biển tầm trung cơ động VRS-MSX và gói vật tư dự phòng (Xe ra đa VRS-MCX)</v>
          </cell>
          <cell r="G817" t="str">
            <v>SXKD</v>
          </cell>
          <cell r="I817" t="str">
            <v>RD</v>
          </cell>
          <cell r="AC817">
            <v>930000</v>
          </cell>
          <cell r="AD817">
            <v>21492406</v>
          </cell>
          <cell r="AE817">
            <v>4828943</v>
          </cell>
          <cell r="AF817">
            <v>4589828</v>
          </cell>
          <cell r="AG817">
            <v>0</v>
          </cell>
          <cell r="AH817">
            <v>0</v>
          </cell>
          <cell r="AI817">
            <v>0</v>
          </cell>
          <cell r="AJ817">
            <v>0</v>
          </cell>
          <cell r="AK817">
            <v>182183</v>
          </cell>
          <cell r="AL817">
            <v>398525</v>
          </cell>
          <cell r="AM817">
            <v>34159</v>
          </cell>
          <cell r="AN817">
            <v>68319</v>
          </cell>
          <cell r="AO817">
            <v>22773</v>
          </cell>
          <cell r="AP817">
            <v>22773</v>
          </cell>
        </row>
        <row r="818">
          <cell r="D818" t="str">
            <v>Sản xuất 02 xe ra đa chỉ thị mục tiêu VRS-MCX, 05 đài ra đa cảnh giới biển tầm trung cơ động VRS-MSX và gói vật tư dự phòng (Xe ra đa VRS-MCX)</v>
          </cell>
          <cell r="G818" t="str">
            <v>SXKD</v>
          </cell>
          <cell r="I818" t="str">
            <v>RD</v>
          </cell>
          <cell r="AC818">
            <v>930000</v>
          </cell>
          <cell r="AD818">
            <v>30734076</v>
          </cell>
          <cell r="AE818">
            <v>7182041</v>
          </cell>
          <cell r="AF818">
            <v>6917113</v>
          </cell>
          <cell r="AG818">
            <v>0</v>
          </cell>
          <cell r="AH818">
            <v>0</v>
          </cell>
          <cell r="AI818">
            <v>0</v>
          </cell>
          <cell r="AJ818">
            <v>0</v>
          </cell>
          <cell r="AK818">
            <v>201850</v>
          </cell>
          <cell r="AL818">
            <v>441548</v>
          </cell>
          <cell r="AM818">
            <v>37847</v>
          </cell>
          <cell r="AN818">
            <v>75694</v>
          </cell>
          <cell r="AO818">
            <v>25231</v>
          </cell>
          <cell r="AP818">
            <v>25231</v>
          </cell>
        </row>
        <row r="819">
          <cell r="D819" t="str">
            <v>Sản xuất 02 xe ra đa chỉ thị mục tiêu VRS-MCX, 05 đài ra đa cảnh giới biển tầm trung cơ động VRS-MSX và gói vật tư dự phòng (Xe ra đa VRS-MCX)</v>
          </cell>
          <cell r="G819" t="str">
            <v>SXKD</v>
          </cell>
          <cell r="I819" t="str">
            <v>RD</v>
          </cell>
          <cell r="AC819">
            <v>930000</v>
          </cell>
          <cell r="AD819">
            <v>17275656</v>
          </cell>
          <cell r="AE819">
            <v>3804939</v>
          </cell>
          <cell r="AF819">
            <v>3599789</v>
          </cell>
          <cell r="AG819">
            <v>0</v>
          </cell>
          <cell r="AH819">
            <v>0</v>
          </cell>
          <cell r="AI819">
            <v>0</v>
          </cell>
          <cell r="AJ819">
            <v>0</v>
          </cell>
          <cell r="AK819">
            <v>156305</v>
          </cell>
          <cell r="AL819">
            <v>341917</v>
          </cell>
          <cell r="AM819">
            <v>29307</v>
          </cell>
          <cell r="AN819">
            <v>58614</v>
          </cell>
          <cell r="AO819">
            <v>19538</v>
          </cell>
          <cell r="AP819">
            <v>19538</v>
          </cell>
        </row>
        <row r="820">
          <cell r="D820" t="str">
            <v>Sản xuất 02 xe ra đa chỉ thị mục tiêu VRS-MCX, 05 đài ra đa cảnh giới biển tầm trung cơ động VRS-MSX và gói vật tư dự phòng (Xe ra đa VRS-MCX)</v>
          </cell>
          <cell r="G820" t="str">
            <v>SXKD</v>
          </cell>
          <cell r="I820" t="str">
            <v>RD</v>
          </cell>
          <cell r="AC820">
            <v>930000</v>
          </cell>
          <cell r="AD820">
            <v>16385556</v>
          </cell>
          <cell r="AE820">
            <v>3572739</v>
          </cell>
          <cell r="AF820">
            <v>3367589</v>
          </cell>
          <cell r="AG820">
            <v>0</v>
          </cell>
          <cell r="AH820">
            <v>0</v>
          </cell>
          <cell r="AI820">
            <v>0</v>
          </cell>
          <cell r="AJ820">
            <v>0</v>
          </cell>
          <cell r="AK820">
            <v>156305</v>
          </cell>
          <cell r="AL820">
            <v>341917</v>
          </cell>
          <cell r="AM820">
            <v>29307</v>
          </cell>
          <cell r="AN820">
            <v>58614</v>
          </cell>
          <cell r="AO820">
            <v>19538</v>
          </cell>
          <cell r="AP820">
            <v>19538</v>
          </cell>
        </row>
        <row r="821">
          <cell r="D821" t="str">
            <v>Sản xuất 02 xe ra đa chỉ thị mục tiêu VRS-MCX, 05 đài ra đa cảnh giới biển tầm trung cơ động VRS-MSX và gói vật tư dự phòng (Xe ra đa VRS-MCX)</v>
          </cell>
          <cell r="G821" t="str">
            <v>SXKD</v>
          </cell>
          <cell r="I821" t="str">
            <v>RD</v>
          </cell>
          <cell r="AC821">
            <v>1047000</v>
          </cell>
          <cell r="AD821">
            <v>14191368</v>
          </cell>
          <cell r="AE821">
            <v>2994146</v>
          </cell>
          <cell r="AF821">
            <v>2799865</v>
          </cell>
          <cell r="AG821">
            <v>0</v>
          </cell>
          <cell r="AH821">
            <v>0</v>
          </cell>
          <cell r="AI821">
            <v>0</v>
          </cell>
          <cell r="AJ821">
            <v>0</v>
          </cell>
          <cell r="AK821">
            <v>148024</v>
          </cell>
          <cell r="AL821">
            <v>323802</v>
          </cell>
          <cell r="AM821">
            <v>27754</v>
          </cell>
          <cell r="AN821">
            <v>55509</v>
          </cell>
          <cell r="AO821">
            <v>18503</v>
          </cell>
          <cell r="AP821">
            <v>18503</v>
          </cell>
        </row>
        <row r="822">
          <cell r="D822" t="str">
            <v>Sản xuất 02 xe ra đa chỉ thị mục tiêu VRS-MCX, 05 đài ra đa cảnh giới biển tầm trung cơ động VRS-MSX và gói vật tư dự phòng (Xe ra đa VRS-MCX)</v>
          </cell>
          <cell r="G822" t="str">
            <v>SXKD</v>
          </cell>
          <cell r="I822" t="str">
            <v>RD</v>
          </cell>
          <cell r="AC822">
            <v>930000</v>
          </cell>
          <cell r="AD822">
            <v>21248732</v>
          </cell>
          <cell r="AE822">
            <v>798790</v>
          </cell>
          <cell r="AF822">
            <v>760976</v>
          </cell>
          <cell r="AG822">
            <v>0</v>
          </cell>
          <cell r="AH822">
            <v>0</v>
          </cell>
          <cell r="AI822">
            <v>0</v>
          </cell>
          <cell r="AJ822">
            <v>0</v>
          </cell>
          <cell r="AK822">
            <v>28811</v>
          </cell>
          <cell r="AL822">
            <v>63024</v>
          </cell>
          <cell r="AM822">
            <v>5402</v>
          </cell>
          <cell r="AN822">
            <v>10804</v>
          </cell>
          <cell r="AO822">
            <v>3601</v>
          </cell>
          <cell r="AP822">
            <v>3601</v>
          </cell>
        </row>
        <row r="823">
          <cell r="D823" t="str">
            <v>Sản xuất 02 xe ra đa chỉ thị mục tiêu VRS-MCX, 05 đài ra đa cảnh giới biển tầm trung cơ động VRS-MSX và gói vật tư dự phòng (Xe ra đa VRS-MCX)</v>
          </cell>
          <cell r="G823" t="str">
            <v>SXKD</v>
          </cell>
          <cell r="I823" t="str">
            <v>RD</v>
          </cell>
          <cell r="AC823">
            <v>930000</v>
          </cell>
          <cell r="AD823">
            <v>21248732</v>
          </cell>
          <cell r="AE823">
            <v>4792743</v>
          </cell>
          <cell r="AF823">
            <v>4565855</v>
          </cell>
          <cell r="AG823">
            <v>0</v>
          </cell>
          <cell r="AH823">
            <v>0</v>
          </cell>
          <cell r="AI823">
            <v>0</v>
          </cell>
          <cell r="AJ823">
            <v>0</v>
          </cell>
          <cell r="AK823">
            <v>172867</v>
          </cell>
          <cell r="AL823">
            <v>378146</v>
          </cell>
          <cell r="AM823">
            <v>32413</v>
          </cell>
          <cell r="AN823">
            <v>64825</v>
          </cell>
          <cell r="AO823">
            <v>21608</v>
          </cell>
          <cell r="AP823">
            <v>21608</v>
          </cell>
        </row>
        <row r="824">
          <cell r="D824" t="str">
            <v>Sản xuất 02 xe ra đa chỉ thị mục tiêu VRS-MCX, 05 đài ra đa cảnh giới biển tầm trung cơ động VRS-MSX và gói vật tư dự phòng (Xe ra đa VRS-MCX)</v>
          </cell>
          <cell r="G824" t="str">
            <v>SXKD</v>
          </cell>
          <cell r="I824" t="str">
            <v>RD</v>
          </cell>
          <cell r="AC824">
            <v>1030000</v>
          </cell>
          <cell r="AD824">
            <v>28939060</v>
          </cell>
          <cell r="AE824">
            <v>6718096</v>
          </cell>
          <cell r="AF824">
            <v>6466754</v>
          </cell>
          <cell r="AG824">
            <v>0</v>
          </cell>
          <cell r="AH824">
            <v>0</v>
          </cell>
          <cell r="AI824">
            <v>0</v>
          </cell>
          <cell r="AJ824">
            <v>0</v>
          </cell>
          <cell r="AK824">
            <v>191499</v>
          </cell>
          <cell r="AL824">
            <v>418904</v>
          </cell>
          <cell r="AM824">
            <v>35906</v>
          </cell>
          <cell r="AN824">
            <v>71812</v>
          </cell>
          <cell r="AO824">
            <v>23937</v>
          </cell>
          <cell r="AP824">
            <v>23937</v>
          </cell>
        </row>
        <row r="825">
          <cell r="D825" t="str">
            <v>Sản xuất 02 xe ra đa chỉ thị mục tiêu VRS-MCX, 05 đài ra đa cảnh giới biển tầm trung cơ động VRS-MSX và gói vật tư dự phòng (Xe ra đa VRS-MCX)</v>
          </cell>
          <cell r="G825" t="str">
            <v>SXKD</v>
          </cell>
          <cell r="I825" t="str">
            <v>RD</v>
          </cell>
          <cell r="AC825">
            <v>930000</v>
          </cell>
          <cell r="AD825">
            <v>18316624</v>
          </cell>
          <cell r="AE825">
            <v>675362</v>
          </cell>
          <cell r="AF825">
            <v>639359</v>
          </cell>
          <cell r="AG825">
            <v>0</v>
          </cell>
          <cell r="AH825">
            <v>0</v>
          </cell>
          <cell r="AI825">
            <v>0</v>
          </cell>
          <cell r="AJ825">
            <v>0</v>
          </cell>
          <cell r="AK825">
            <v>27431</v>
          </cell>
          <cell r="AL825">
            <v>60005</v>
          </cell>
          <cell r="AM825">
            <v>5143</v>
          </cell>
          <cell r="AN825">
            <v>10287</v>
          </cell>
          <cell r="AO825">
            <v>3429</v>
          </cell>
          <cell r="AP825">
            <v>3429</v>
          </cell>
        </row>
        <row r="826">
          <cell r="D826" t="str">
            <v>Sản xuất 02 xe ra đa chỉ thị mục tiêu VRS-MCX, 05 đài ra đa cảnh giới biển tầm trung cơ động VRS-MSX và gói vật tư dự phòng (Xe ra đa VRS-MCX)</v>
          </cell>
          <cell r="G826" t="str">
            <v>SXKD</v>
          </cell>
          <cell r="I826" t="str">
            <v>RD</v>
          </cell>
          <cell r="AC826">
            <v>930000</v>
          </cell>
          <cell r="AD826">
            <v>26836580</v>
          </cell>
          <cell r="AE826">
            <v>6165303</v>
          </cell>
          <cell r="AF826">
            <v>5900375</v>
          </cell>
          <cell r="AG826">
            <v>0</v>
          </cell>
          <cell r="AH826">
            <v>0</v>
          </cell>
          <cell r="AI826">
            <v>0</v>
          </cell>
          <cell r="AJ826">
            <v>0</v>
          </cell>
          <cell r="AK826">
            <v>201850</v>
          </cell>
          <cell r="AL826">
            <v>441548</v>
          </cell>
          <cell r="AM826">
            <v>37847</v>
          </cell>
          <cell r="AN826">
            <v>75694</v>
          </cell>
          <cell r="AO826">
            <v>25231</v>
          </cell>
          <cell r="AP826">
            <v>25231</v>
          </cell>
        </row>
        <row r="827">
          <cell r="D827" t="str">
            <v>Sản xuất 02 xe ra đa chỉ thị mục tiêu VRS-MCX, 05 đài ra đa cảnh giới biển tầm trung cơ động VRS-MSX và gói vật tư dự phòng (Xe ra đa VRS-MCX)</v>
          </cell>
          <cell r="G827" t="str">
            <v>SXKD</v>
          </cell>
          <cell r="I827" t="str">
            <v>RD</v>
          </cell>
          <cell r="AC827">
            <v>930000</v>
          </cell>
          <cell r="AD827">
            <v>16385556</v>
          </cell>
          <cell r="AE827">
            <v>3572739</v>
          </cell>
          <cell r="AF827">
            <v>3367589</v>
          </cell>
          <cell r="AG827">
            <v>0</v>
          </cell>
          <cell r="AH827">
            <v>0</v>
          </cell>
          <cell r="AI827">
            <v>0</v>
          </cell>
          <cell r="AJ827">
            <v>0</v>
          </cell>
          <cell r="AK827">
            <v>156305</v>
          </cell>
          <cell r="AL827">
            <v>341917</v>
          </cell>
          <cell r="AM827">
            <v>29307</v>
          </cell>
          <cell r="AN827">
            <v>58614</v>
          </cell>
          <cell r="AO827">
            <v>19538</v>
          </cell>
          <cell r="AP827">
            <v>19538</v>
          </cell>
        </row>
        <row r="828">
          <cell r="D828" t="str">
            <v>Sản xuất 02 xe ra đa chỉ thị mục tiêu VRS-MCX, 05 đài ra đa cảnh giới biển tầm trung cơ động VRS-MSX và gói vật tư dự phòng (Xe ra đa VRS-MCX)</v>
          </cell>
          <cell r="G828" t="str">
            <v>SXKD</v>
          </cell>
          <cell r="I828" t="str">
            <v>RD</v>
          </cell>
          <cell r="AC828">
            <v>1047000</v>
          </cell>
          <cell r="AD828">
            <v>17807056</v>
          </cell>
          <cell r="AE828">
            <v>3913043</v>
          </cell>
          <cell r="AF828">
            <v>3707893</v>
          </cell>
          <cell r="AG828">
            <v>0</v>
          </cell>
          <cell r="AH828">
            <v>0</v>
          </cell>
          <cell r="AI828">
            <v>0</v>
          </cell>
          <cell r="AJ828">
            <v>0</v>
          </cell>
          <cell r="AK828">
            <v>156305</v>
          </cell>
          <cell r="AL828">
            <v>341917</v>
          </cell>
          <cell r="AM828">
            <v>29307</v>
          </cell>
          <cell r="AN828">
            <v>58614</v>
          </cell>
          <cell r="AO828">
            <v>19538</v>
          </cell>
          <cell r="AP828">
            <v>19538</v>
          </cell>
        </row>
        <row r="829">
          <cell r="D829" t="str">
            <v>Sản xuất 02 xe ra đa chỉ thị mục tiêu VRS-MCX, 05 đài ra đa cảnh giới biển tầm trung cơ động VRS-MSX và gói vật tư dự phòng (Xe ra đa VRS-MCX)</v>
          </cell>
          <cell r="G829" t="str">
            <v>SXKD</v>
          </cell>
          <cell r="I829" t="str">
            <v>RD</v>
          </cell>
          <cell r="AC829">
            <v>930000</v>
          </cell>
          <cell r="AD829">
            <v>15796808</v>
          </cell>
          <cell r="AE829">
            <v>3443478</v>
          </cell>
          <cell r="AF829">
            <v>3249197</v>
          </cell>
          <cell r="AG829">
            <v>0</v>
          </cell>
          <cell r="AH829">
            <v>0</v>
          </cell>
          <cell r="AI829">
            <v>0</v>
          </cell>
          <cell r="AJ829">
            <v>0</v>
          </cell>
          <cell r="AK829">
            <v>148024</v>
          </cell>
          <cell r="AL829">
            <v>323802</v>
          </cell>
          <cell r="AM829">
            <v>27754</v>
          </cell>
          <cell r="AN829">
            <v>55509</v>
          </cell>
          <cell r="AO829">
            <v>18503</v>
          </cell>
          <cell r="AP829">
            <v>18503</v>
          </cell>
        </row>
        <row r="830">
          <cell r="D830" t="str">
            <v>Sản xuất 02 xe ra đa chỉ thị mục tiêu VRS-MCX, 05 đài ra đa cảnh giới biển tầm trung cơ động VRS-MSX và gói vật tư dự phòng (Xe ra đa VRS-MCX)</v>
          </cell>
          <cell r="G830" t="str">
            <v>SXKD</v>
          </cell>
          <cell r="I830" t="str">
            <v>RD</v>
          </cell>
          <cell r="AC830">
            <v>930000</v>
          </cell>
          <cell r="AD830">
            <v>14566288</v>
          </cell>
          <cell r="AE830">
            <v>1040824</v>
          </cell>
          <cell r="AF830">
            <v>976064</v>
          </cell>
          <cell r="AG830">
            <v>0</v>
          </cell>
          <cell r="AH830">
            <v>0</v>
          </cell>
          <cell r="AI830">
            <v>0</v>
          </cell>
          <cell r="AJ830">
            <v>0</v>
          </cell>
          <cell r="AK830">
            <v>49341</v>
          </cell>
          <cell r="AL830">
            <v>107934</v>
          </cell>
          <cell r="AM830">
            <v>9251</v>
          </cell>
          <cell r="AN830">
            <v>18503</v>
          </cell>
          <cell r="AO830">
            <v>6168</v>
          </cell>
          <cell r="AP830">
            <v>6168</v>
          </cell>
        </row>
        <row r="831">
          <cell r="D831" t="str">
            <v>Sản xuất 02 xe ra đa chỉ thị mục tiêu VRS-MCX, 05 đài ra đa cảnh giới biển tầm trung cơ động VRS-MSX và gói vật tư dự phòng (Xe ra đa VRS-MCX)</v>
          </cell>
          <cell r="G831" t="str">
            <v>SXKD</v>
          </cell>
          <cell r="I831" t="str">
            <v>RD</v>
          </cell>
          <cell r="AC831">
            <v>1047000</v>
          </cell>
          <cell r="AD831">
            <v>15363808</v>
          </cell>
          <cell r="AE831">
            <v>3300000</v>
          </cell>
          <cell r="AF831">
            <v>3105719</v>
          </cell>
          <cell r="AG831">
            <v>0</v>
          </cell>
          <cell r="AH831">
            <v>0</v>
          </cell>
          <cell r="AI831">
            <v>0</v>
          </cell>
          <cell r="AJ831">
            <v>0</v>
          </cell>
          <cell r="AK831">
            <v>148024</v>
          </cell>
          <cell r="AL831">
            <v>323802</v>
          </cell>
          <cell r="AM831">
            <v>27754</v>
          </cell>
          <cell r="AN831">
            <v>55509</v>
          </cell>
          <cell r="AO831">
            <v>18503</v>
          </cell>
          <cell r="AP831">
            <v>18503</v>
          </cell>
        </row>
        <row r="832">
          <cell r="D832" t="str">
            <v>Nghiên cứu thiết kế chế tạo đài ra đa đa chức năng trên tàu chiến</v>
          </cell>
          <cell r="G832" t="str">
            <v>QPAN</v>
          </cell>
          <cell r="I832" t="str">
            <v>RD</v>
          </cell>
          <cell r="AC832">
            <v>1230000</v>
          </cell>
          <cell r="AD832">
            <v>89506974</v>
          </cell>
          <cell r="AE832">
            <v>7430253</v>
          </cell>
          <cell r="AF832">
            <v>7329328</v>
          </cell>
          <cell r="AG832">
            <v>0</v>
          </cell>
          <cell r="AH832">
            <v>0</v>
          </cell>
          <cell r="AI832">
            <v>0</v>
          </cell>
          <cell r="AJ832">
            <v>0</v>
          </cell>
          <cell r="AK832">
            <v>100925</v>
          </cell>
          <cell r="AL832">
            <v>220774</v>
          </cell>
          <cell r="AM832">
            <v>0</v>
          </cell>
          <cell r="AN832">
            <v>0</v>
          </cell>
          <cell r="AO832">
            <v>0</v>
          </cell>
          <cell r="AP832">
            <v>0</v>
          </cell>
        </row>
        <row r="833">
          <cell r="D833" t="str">
            <v>Nghiên cứu thiết kế chế tạo đài ra đa đa chức năng trên tàu chiến</v>
          </cell>
          <cell r="G833" t="str">
            <v>QPAN</v>
          </cell>
          <cell r="I833" t="str">
            <v>RD</v>
          </cell>
          <cell r="AC833">
            <v>1230000</v>
          </cell>
          <cell r="AD833">
            <v>71861870</v>
          </cell>
          <cell r="AE833">
            <v>14774460</v>
          </cell>
          <cell r="AF833">
            <v>14536390</v>
          </cell>
          <cell r="AG833">
            <v>0</v>
          </cell>
          <cell r="AH833">
            <v>0</v>
          </cell>
          <cell r="AI833">
            <v>0</v>
          </cell>
          <cell r="AJ833">
            <v>0</v>
          </cell>
          <cell r="AK833">
            <v>238070</v>
          </cell>
          <cell r="AL833">
            <v>520777</v>
          </cell>
          <cell r="AM833">
            <v>0</v>
          </cell>
          <cell r="AN833">
            <v>0</v>
          </cell>
          <cell r="AO833">
            <v>0</v>
          </cell>
          <cell r="AP833">
            <v>0</v>
          </cell>
        </row>
        <row r="834">
          <cell r="D834" t="str">
            <v>Nghiên cứu thiết kế chế tạo đài ra đa đa chức năng trên tàu chiến</v>
          </cell>
          <cell r="G834" t="str">
            <v>QPAN</v>
          </cell>
          <cell r="I834" t="str">
            <v>RD</v>
          </cell>
          <cell r="AC834">
            <v>1030000</v>
          </cell>
          <cell r="AD834">
            <v>53087992</v>
          </cell>
          <cell r="AE834">
            <v>30620281</v>
          </cell>
          <cell r="AF834">
            <v>30169689</v>
          </cell>
          <cell r="AG834">
            <v>0</v>
          </cell>
          <cell r="AH834">
            <v>0</v>
          </cell>
          <cell r="AI834">
            <v>0</v>
          </cell>
          <cell r="AJ834">
            <v>0</v>
          </cell>
          <cell r="AK834">
            <v>379446</v>
          </cell>
          <cell r="AL834">
            <v>830039</v>
          </cell>
          <cell r="AM834">
            <v>71146</v>
          </cell>
          <cell r="AN834">
            <v>142292</v>
          </cell>
          <cell r="AO834">
            <v>0</v>
          </cell>
          <cell r="AP834">
            <v>0</v>
          </cell>
        </row>
        <row r="835">
          <cell r="D835" t="str">
            <v>Nghiên cứu thiết kế chế tạo đài ra đa đa chức năng trên tàu chiến</v>
          </cell>
          <cell r="G835" t="str">
            <v>QPAN</v>
          </cell>
          <cell r="I835" t="str">
            <v>RD</v>
          </cell>
          <cell r="AC835">
            <v>1047000</v>
          </cell>
          <cell r="AD835">
            <v>23799705</v>
          </cell>
          <cell r="AE835">
            <v>4500272</v>
          </cell>
          <cell r="AF835">
            <v>4301010</v>
          </cell>
          <cell r="AG835">
            <v>0</v>
          </cell>
          <cell r="AH835">
            <v>0</v>
          </cell>
          <cell r="AI835">
            <v>0</v>
          </cell>
          <cell r="AJ835">
            <v>0</v>
          </cell>
          <cell r="AK835">
            <v>151819</v>
          </cell>
          <cell r="AL835">
            <v>332104</v>
          </cell>
          <cell r="AM835">
            <v>28466</v>
          </cell>
          <cell r="AN835">
            <v>56932</v>
          </cell>
          <cell r="AO835">
            <v>18977</v>
          </cell>
          <cell r="AP835">
            <v>18977</v>
          </cell>
        </row>
        <row r="836">
          <cell r="D836" t="str">
            <v>Nghiên cứu thiết kế chế tạo đài ra đa đa chức năng trên tàu chiến</v>
          </cell>
          <cell r="G836" t="str">
            <v>QPAN</v>
          </cell>
          <cell r="I836" t="str">
            <v>RD</v>
          </cell>
          <cell r="AC836">
            <v>1030000</v>
          </cell>
          <cell r="AD836">
            <v>37200566</v>
          </cell>
          <cell r="AE836">
            <v>17624914</v>
          </cell>
          <cell r="AF836">
            <v>17067885</v>
          </cell>
          <cell r="AG836">
            <v>0</v>
          </cell>
          <cell r="AH836">
            <v>0</v>
          </cell>
          <cell r="AI836">
            <v>0</v>
          </cell>
          <cell r="AJ836">
            <v>0</v>
          </cell>
          <cell r="AK836">
            <v>424403</v>
          </cell>
          <cell r="AL836">
            <v>928383</v>
          </cell>
          <cell r="AM836">
            <v>79576</v>
          </cell>
          <cell r="AN836">
            <v>159151</v>
          </cell>
          <cell r="AO836">
            <v>53050</v>
          </cell>
          <cell r="AP836">
            <v>53050</v>
          </cell>
        </row>
        <row r="837">
          <cell r="D837" t="str">
            <v>Nghiên cứu thiết kế chế tạo đài ra đa đa chức năng trên tàu chiến</v>
          </cell>
          <cell r="G837" t="str">
            <v>QPAN</v>
          </cell>
          <cell r="I837" t="str">
            <v>RD</v>
          </cell>
          <cell r="AC837">
            <v>1030000</v>
          </cell>
          <cell r="AD837">
            <v>28981415</v>
          </cell>
          <cell r="AE837">
            <v>17863301</v>
          </cell>
          <cell r="AF837">
            <v>17156825</v>
          </cell>
          <cell r="AG837">
            <v>0</v>
          </cell>
          <cell r="AH837">
            <v>0</v>
          </cell>
          <cell r="AI837">
            <v>0</v>
          </cell>
          <cell r="AJ837">
            <v>0</v>
          </cell>
          <cell r="AK837">
            <v>538268</v>
          </cell>
          <cell r="AL837">
            <v>1177461</v>
          </cell>
          <cell r="AM837">
            <v>100925</v>
          </cell>
          <cell r="AN837">
            <v>201850</v>
          </cell>
          <cell r="AO837">
            <v>67283</v>
          </cell>
          <cell r="AP837">
            <v>67283</v>
          </cell>
        </row>
        <row r="838">
          <cell r="D838" t="str">
            <v>Nghiên cứu thiết kế chế tạo đài ra đa đa chức năng trên tàu chiến</v>
          </cell>
          <cell r="G838" t="str">
            <v>QPAN</v>
          </cell>
          <cell r="I838" t="str">
            <v>RD</v>
          </cell>
          <cell r="AC838">
            <v>1030000</v>
          </cell>
          <cell r="AD838">
            <v>42198549</v>
          </cell>
          <cell r="AE838">
            <v>26887550</v>
          </cell>
          <cell r="AF838">
            <v>26104992</v>
          </cell>
          <cell r="AG838">
            <v>0</v>
          </cell>
          <cell r="AH838">
            <v>0</v>
          </cell>
          <cell r="AI838">
            <v>0</v>
          </cell>
          <cell r="AJ838">
            <v>0</v>
          </cell>
          <cell r="AK838">
            <v>596235</v>
          </cell>
          <cell r="AL838">
            <v>1304264</v>
          </cell>
          <cell r="AM838">
            <v>111794</v>
          </cell>
          <cell r="AN838">
            <v>223588</v>
          </cell>
          <cell r="AO838">
            <v>74529</v>
          </cell>
          <cell r="AP838">
            <v>74529</v>
          </cell>
        </row>
        <row r="839">
          <cell r="D839" t="str">
            <v>Nghiên cứu thiết kế chế tạo đài ra đa đa chức năng trên tàu chiến</v>
          </cell>
          <cell r="G839" t="str">
            <v>QPAN</v>
          </cell>
          <cell r="I839" t="str">
            <v>RD</v>
          </cell>
          <cell r="AC839">
            <v>1030000</v>
          </cell>
          <cell r="AD839">
            <v>42318713</v>
          </cell>
          <cell r="AE839">
            <v>11760852</v>
          </cell>
          <cell r="AF839">
            <v>11401047</v>
          </cell>
          <cell r="AG839">
            <v>0</v>
          </cell>
          <cell r="AH839">
            <v>0</v>
          </cell>
          <cell r="AI839">
            <v>0</v>
          </cell>
          <cell r="AJ839">
            <v>0</v>
          </cell>
          <cell r="AK839">
            <v>274137</v>
          </cell>
          <cell r="AL839">
            <v>599675</v>
          </cell>
          <cell r="AM839">
            <v>51401</v>
          </cell>
          <cell r="AN839">
            <v>102801</v>
          </cell>
          <cell r="AO839">
            <v>34267</v>
          </cell>
          <cell r="AP839">
            <v>34267</v>
          </cell>
        </row>
        <row r="840">
          <cell r="D840" t="str">
            <v>Nghiên cứu thiết kế chế tạo đài ra đa đa chức năng trên tàu chiến</v>
          </cell>
          <cell r="G840" t="str">
            <v>QPAN</v>
          </cell>
          <cell r="I840" t="str">
            <v>RD</v>
          </cell>
          <cell r="AC840">
            <v>1047000</v>
          </cell>
          <cell r="AD840">
            <v>25008758</v>
          </cell>
          <cell r="AE840">
            <v>15314926</v>
          </cell>
          <cell r="AF840">
            <v>14709893</v>
          </cell>
          <cell r="AG840">
            <v>0</v>
          </cell>
          <cell r="AH840">
            <v>0</v>
          </cell>
          <cell r="AI840">
            <v>0</v>
          </cell>
          <cell r="AJ840">
            <v>0</v>
          </cell>
          <cell r="AK840">
            <v>460978</v>
          </cell>
          <cell r="AL840">
            <v>1008390</v>
          </cell>
          <cell r="AM840">
            <v>86433</v>
          </cell>
          <cell r="AN840">
            <v>172867</v>
          </cell>
          <cell r="AO840">
            <v>57622</v>
          </cell>
          <cell r="AP840">
            <v>57622</v>
          </cell>
        </row>
        <row r="841">
          <cell r="D841" t="str">
            <v>Nghiên cứu thiết kế chế tạo đài ra đa đa chức năng trên tàu chiến</v>
          </cell>
          <cell r="G841" t="str">
            <v>QPAN</v>
          </cell>
          <cell r="I841" t="str">
            <v>RD</v>
          </cell>
          <cell r="AC841">
            <v>930000</v>
          </cell>
          <cell r="AD841">
            <v>21248732</v>
          </cell>
          <cell r="AE841">
            <v>12780647</v>
          </cell>
          <cell r="AF841">
            <v>12175614</v>
          </cell>
          <cell r="AG841">
            <v>0</v>
          </cell>
          <cell r="AH841">
            <v>0</v>
          </cell>
          <cell r="AI841">
            <v>0</v>
          </cell>
          <cell r="AJ841">
            <v>0</v>
          </cell>
          <cell r="AK841">
            <v>460978</v>
          </cell>
          <cell r="AL841">
            <v>1008390</v>
          </cell>
          <cell r="AM841">
            <v>86433</v>
          </cell>
          <cell r="AN841">
            <v>172867</v>
          </cell>
          <cell r="AO841">
            <v>57622</v>
          </cell>
          <cell r="AP841">
            <v>57622</v>
          </cell>
        </row>
        <row r="842">
          <cell r="D842" t="str">
            <v>Nghiên cứu thiết kế chế tạo đài ra đa đa chức năng trên tàu chiến</v>
          </cell>
          <cell r="G842" t="str">
            <v>QPAN</v>
          </cell>
          <cell r="I842" t="str">
            <v>RD</v>
          </cell>
          <cell r="AC842">
            <v>930000</v>
          </cell>
          <cell r="AD842">
            <v>14566288</v>
          </cell>
          <cell r="AE842">
            <v>8326595</v>
          </cell>
          <cell r="AF842">
            <v>7808512</v>
          </cell>
          <cell r="AG842">
            <v>0</v>
          </cell>
          <cell r="AH842">
            <v>0</v>
          </cell>
          <cell r="AI842">
            <v>0</v>
          </cell>
          <cell r="AJ842">
            <v>0</v>
          </cell>
          <cell r="AK842">
            <v>394730</v>
          </cell>
          <cell r="AL842">
            <v>863471</v>
          </cell>
          <cell r="AM842">
            <v>74012</v>
          </cell>
          <cell r="AN842">
            <v>148024</v>
          </cell>
          <cell r="AO842">
            <v>49341</v>
          </cell>
          <cell r="AP842">
            <v>49341</v>
          </cell>
        </row>
        <row r="843">
          <cell r="D843" t="str">
            <v>Nghiên cứu thiết kế chế tạo đài ra đa đa chức năng trên tàu chiến</v>
          </cell>
          <cell r="G843" t="str">
            <v>QPAN</v>
          </cell>
          <cell r="I843" t="str">
            <v>RD</v>
          </cell>
          <cell r="AC843">
            <v>930000</v>
          </cell>
          <cell r="AD843">
            <v>17090056</v>
          </cell>
          <cell r="AE843">
            <v>10017391</v>
          </cell>
          <cell r="AF843">
            <v>9470324</v>
          </cell>
          <cell r="AG843">
            <v>0</v>
          </cell>
          <cell r="AH843">
            <v>0</v>
          </cell>
          <cell r="AI843">
            <v>0</v>
          </cell>
          <cell r="AJ843">
            <v>0</v>
          </cell>
          <cell r="AK843">
            <v>416813</v>
          </cell>
          <cell r="AL843">
            <v>911777</v>
          </cell>
          <cell r="AM843">
            <v>78152</v>
          </cell>
          <cell r="AN843">
            <v>156305</v>
          </cell>
          <cell r="AO843">
            <v>52102</v>
          </cell>
          <cell r="AP843">
            <v>52102</v>
          </cell>
        </row>
        <row r="844">
          <cell r="D844" t="str">
            <v>Khảo sát đài ra đa ELM2084 thuộc tổ hợp Spyder của QC PK-KQ và nghiên cứu phương án chế tạo mới</v>
          </cell>
          <cell r="G844" t="str">
            <v>QPAN</v>
          </cell>
          <cell r="I844" t="str">
            <v>RD</v>
          </cell>
          <cell r="AC844">
            <v>1230000</v>
          </cell>
          <cell r="AD844">
            <v>71861870</v>
          </cell>
          <cell r="AE844">
            <v>5909784</v>
          </cell>
          <cell r="AF844">
            <v>5814556</v>
          </cell>
          <cell r="AG844">
            <v>0</v>
          </cell>
          <cell r="AH844">
            <v>0</v>
          </cell>
          <cell r="AI844">
            <v>0</v>
          </cell>
          <cell r="AJ844">
            <v>0</v>
          </cell>
          <cell r="AK844">
            <v>95228</v>
          </cell>
          <cell r="AL844">
            <v>208311</v>
          </cell>
          <cell r="AM844">
            <v>0</v>
          </cell>
          <cell r="AN844">
            <v>0</v>
          </cell>
          <cell r="AO844">
            <v>0</v>
          </cell>
          <cell r="AP844">
            <v>0</v>
          </cell>
        </row>
        <row r="845">
          <cell r="D845" t="str">
            <v>Khảo sát đài ra đa ELM2084 thuộc tổ hợp Spyder của QC PK-KQ và nghiên cứu phương án chế tạo mới</v>
          </cell>
          <cell r="G845" t="str">
            <v>QPAN</v>
          </cell>
          <cell r="I845" t="str">
            <v>RD</v>
          </cell>
          <cell r="AC845">
            <v>1030000</v>
          </cell>
          <cell r="AD845">
            <v>53087992</v>
          </cell>
          <cell r="AE845">
            <v>8748651</v>
          </cell>
          <cell r="AF845">
            <v>8619910</v>
          </cell>
          <cell r="AG845">
            <v>0</v>
          </cell>
          <cell r="AH845">
            <v>0</v>
          </cell>
          <cell r="AI845">
            <v>0</v>
          </cell>
          <cell r="AJ845">
            <v>0</v>
          </cell>
          <cell r="AK845">
            <v>108413</v>
          </cell>
          <cell r="AL845">
            <v>237154</v>
          </cell>
          <cell r="AM845">
            <v>20328</v>
          </cell>
          <cell r="AN845">
            <v>40655</v>
          </cell>
          <cell r="AO845">
            <v>0</v>
          </cell>
          <cell r="AP845">
            <v>0</v>
          </cell>
        </row>
        <row r="846">
          <cell r="D846" t="str">
            <v>Khảo sát đài ra đa ELM2084 thuộc tổ hợp Spyder của QC PK-KQ và nghiên cứu phương án chế tạo mới</v>
          </cell>
          <cell r="G846" t="str">
            <v>QPAN</v>
          </cell>
          <cell r="I846" t="str">
            <v>RD</v>
          </cell>
          <cell r="AC846">
            <v>1047000</v>
          </cell>
          <cell r="AD846">
            <v>23799705</v>
          </cell>
          <cell r="AE846">
            <v>900054</v>
          </cell>
          <cell r="AF846">
            <v>860200</v>
          </cell>
          <cell r="AG846">
            <v>0</v>
          </cell>
          <cell r="AH846">
            <v>0</v>
          </cell>
          <cell r="AI846">
            <v>0</v>
          </cell>
          <cell r="AJ846">
            <v>0</v>
          </cell>
          <cell r="AK846">
            <v>30363</v>
          </cell>
          <cell r="AL846">
            <v>66421</v>
          </cell>
          <cell r="AM846">
            <v>5694</v>
          </cell>
          <cell r="AN846">
            <v>11387</v>
          </cell>
          <cell r="AO846">
            <v>3797</v>
          </cell>
          <cell r="AP846">
            <v>3797</v>
          </cell>
        </row>
        <row r="847">
          <cell r="D847" t="str">
            <v>Khảo sát đài ra đa ELM2084 thuộc tổ hợp Spyder của QC PK-KQ và nghiên cứu phương án chế tạo mới</v>
          </cell>
          <cell r="G847" t="str">
            <v>QPAN</v>
          </cell>
          <cell r="I847" t="str">
            <v>RD</v>
          </cell>
          <cell r="AC847">
            <v>1030000</v>
          </cell>
          <cell r="AD847">
            <v>37200566</v>
          </cell>
          <cell r="AE847">
            <v>5874971</v>
          </cell>
          <cell r="AF847">
            <v>5689295</v>
          </cell>
          <cell r="AG847">
            <v>0</v>
          </cell>
          <cell r="AH847">
            <v>0</v>
          </cell>
          <cell r="AI847">
            <v>0</v>
          </cell>
          <cell r="AJ847">
            <v>0</v>
          </cell>
          <cell r="AK847">
            <v>141468</v>
          </cell>
          <cell r="AL847">
            <v>309461</v>
          </cell>
          <cell r="AM847">
            <v>26525</v>
          </cell>
          <cell r="AN847">
            <v>53050</v>
          </cell>
          <cell r="AO847">
            <v>17683</v>
          </cell>
          <cell r="AP847">
            <v>17683</v>
          </cell>
        </row>
        <row r="848">
          <cell r="D848" t="str">
            <v>Khảo sát đài ra đa ELM2084 thuộc tổ hợp Spyder của QC PK-KQ và nghiên cứu phương án chế tạo mới</v>
          </cell>
          <cell r="G848" t="str">
            <v>QPAN</v>
          </cell>
          <cell r="I848" t="str">
            <v>RD</v>
          </cell>
          <cell r="AC848">
            <v>1030000</v>
          </cell>
          <cell r="AD848">
            <v>28981415</v>
          </cell>
          <cell r="AE848">
            <v>4465825</v>
          </cell>
          <cell r="AF848">
            <v>4289206</v>
          </cell>
          <cell r="AG848">
            <v>0</v>
          </cell>
          <cell r="AH848">
            <v>0</v>
          </cell>
          <cell r="AI848">
            <v>0</v>
          </cell>
          <cell r="AJ848">
            <v>0</v>
          </cell>
          <cell r="AK848">
            <v>134567</v>
          </cell>
          <cell r="AL848">
            <v>294365</v>
          </cell>
          <cell r="AM848">
            <v>25231</v>
          </cell>
          <cell r="AN848">
            <v>50463</v>
          </cell>
          <cell r="AO848">
            <v>16821</v>
          </cell>
          <cell r="AP848">
            <v>16821</v>
          </cell>
        </row>
        <row r="849">
          <cell r="D849" t="str">
            <v>Khảo sát đài ra đa ELM2084 thuộc tổ hợp Spyder của QC PK-KQ và nghiên cứu phương án chế tạo mới</v>
          </cell>
          <cell r="G849" t="str">
            <v>QPAN</v>
          </cell>
          <cell r="I849" t="str">
            <v>RD</v>
          </cell>
          <cell r="AC849">
            <v>1030000</v>
          </cell>
          <cell r="AD849">
            <v>42198549</v>
          </cell>
          <cell r="AE849">
            <v>6721887</v>
          </cell>
          <cell r="AF849">
            <v>6526247</v>
          </cell>
          <cell r="AG849">
            <v>0</v>
          </cell>
          <cell r="AH849">
            <v>0</v>
          </cell>
          <cell r="AI849">
            <v>0</v>
          </cell>
          <cell r="AJ849">
            <v>0</v>
          </cell>
          <cell r="AK849">
            <v>149059</v>
          </cell>
          <cell r="AL849">
            <v>326066</v>
          </cell>
          <cell r="AM849">
            <v>27949</v>
          </cell>
          <cell r="AN849">
            <v>55897</v>
          </cell>
          <cell r="AO849">
            <v>18632</v>
          </cell>
          <cell r="AP849">
            <v>18632</v>
          </cell>
        </row>
        <row r="850">
          <cell r="D850" t="str">
            <v>Khảo sát đài ra đa ELM2084 thuộc tổ hợp Spyder của QC PK-KQ và nghiên cứu phương án chế tạo mới</v>
          </cell>
          <cell r="G850" t="str">
            <v>QPAN</v>
          </cell>
          <cell r="I850" t="str">
            <v>RD</v>
          </cell>
          <cell r="AC850">
            <v>1030000</v>
          </cell>
          <cell r="AD850">
            <v>42318713</v>
          </cell>
          <cell r="AE850">
            <v>6720487</v>
          </cell>
          <cell r="AF850">
            <v>6514884</v>
          </cell>
          <cell r="AG850">
            <v>0</v>
          </cell>
          <cell r="AH850">
            <v>0</v>
          </cell>
          <cell r="AI850">
            <v>0</v>
          </cell>
          <cell r="AJ850">
            <v>0</v>
          </cell>
          <cell r="AK850">
            <v>156650</v>
          </cell>
          <cell r="AL850">
            <v>342671</v>
          </cell>
          <cell r="AM850">
            <v>29372</v>
          </cell>
          <cell r="AN850">
            <v>58744</v>
          </cell>
          <cell r="AO850">
            <v>19581</v>
          </cell>
          <cell r="AP850">
            <v>19581</v>
          </cell>
        </row>
        <row r="851">
          <cell r="D851" t="str">
            <v>Khảo sát đài ra đa ELM2084 thuộc tổ hợp Spyder của QC PK-KQ và nghiên cứu phương án chế tạo mới</v>
          </cell>
          <cell r="G851" t="str">
            <v>QPAN</v>
          </cell>
          <cell r="I851" t="str">
            <v>RD</v>
          </cell>
          <cell r="AC851">
            <v>1047000</v>
          </cell>
          <cell r="AD851">
            <v>25008758</v>
          </cell>
          <cell r="AE851">
            <v>3828731</v>
          </cell>
          <cell r="AF851">
            <v>3677471</v>
          </cell>
          <cell r="AG851">
            <v>0</v>
          </cell>
          <cell r="AH851">
            <v>0</v>
          </cell>
          <cell r="AI851">
            <v>0</v>
          </cell>
          <cell r="AJ851">
            <v>0</v>
          </cell>
          <cell r="AK851">
            <v>115245</v>
          </cell>
          <cell r="AL851">
            <v>252097</v>
          </cell>
          <cell r="AM851">
            <v>21609</v>
          </cell>
          <cell r="AN851">
            <v>43216</v>
          </cell>
          <cell r="AO851">
            <v>14406</v>
          </cell>
          <cell r="AP851">
            <v>14406</v>
          </cell>
        </row>
        <row r="852">
          <cell r="D852" t="str">
            <v>Khảo sát đài ra đa ELM2084 thuộc tổ hợp Spyder của QC PK-KQ và nghiên cứu phương án chế tạo mới</v>
          </cell>
          <cell r="G852" t="str">
            <v>QPAN</v>
          </cell>
          <cell r="I852" t="str">
            <v>RD</v>
          </cell>
          <cell r="AC852">
            <v>930000</v>
          </cell>
          <cell r="AD852">
            <v>21248732</v>
          </cell>
          <cell r="AE852">
            <v>3195162</v>
          </cell>
          <cell r="AF852">
            <v>3043903</v>
          </cell>
          <cell r="AG852">
            <v>0</v>
          </cell>
          <cell r="AH852">
            <v>0</v>
          </cell>
          <cell r="AI852">
            <v>0</v>
          </cell>
          <cell r="AJ852">
            <v>0</v>
          </cell>
          <cell r="AK852">
            <v>115245</v>
          </cell>
          <cell r="AL852">
            <v>252097</v>
          </cell>
          <cell r="AM852">
            <v>21608</v>
          </cell>
          <cell r="AN852">
            <v>43217</v>
          </cell>
          <cell r="AO852">
            <v>14406</v>
          </cell>
          <cell r="AP852">
            <v>14406</v>
          </cell>
        </row>
        <row r="853">
          <cell r="D853" t="str">
            <v>Khảo sát đài ra đa ELM2084 thuộc tổ hợp Spyder của QC PK-KQ và nghiên cứu phương án chế tạo mới</v>
          </cell>
          <cell r="G853" t="str">
            <v>QPAN</v>
          </cell>
          <cell r="I853" t="str">
            <v>RD</v>
          </cell>
          <cell r="AC853">
            <v>930000</v>
          </cell>
          <cell r="AD853">
            <v>14515216</v>
          </cell>
          <cell r="AE853">
            <v>2086957</v>
          </cell>
          <cell r="AF853">
            <v>1963777</v>
          </cell>
          <cell r="AG853">
            <v>0</v>
          </cell>
          <cell r="AH853">
            <v>0</v>
          </cell>
          <cell r="AI853">
            <v>0</v>
          </cell>
          <cell r="AJ853">
            <v>0</v>
          </cell>
          <cell r="AK853">
            <v>93852</v>
          </cell>
          <cell r="AL853">
            <v>205301</v>
          </cell>
          <cell r="AM853">
            <v>17597</v>
          </cell>
          <cell r="AN853">
            <v>35194</v>
          </cell>
          <cell r="AO853">
            <v>11731</v>
          </cell>
          <cell r="AP853">
            <v>11731</v>
          </cell>
        </row>
        <row r="854">
          <cell r="D854" t="str">
            <v>Nghiên cứu, thiết kế chế tạo ra đa 3D cảnh giới phòng không chiến thuật VRS-SRS phiên bản trên xe</v>
          </cell>
          <cell r="G854" t="str">
            <v>QPAN</v>
          </cell>
          <cell r="I854" t="str">
            <v>RD</v>
          </cell>
          <cell r="AC854">
            <v>1230000</v>
          </cell>
          <cell r="AD854">
            <v>89506974</v>
          </cell>
          <cell r="AE854">
            <v>18575633</v>
          </cell>
          <cell r="AF854">
            <v>18323320</v>
          </cell>
          <cell r="AG854">
            <v>0</v>
          </cell>
          <cell r="AH854">
            <v>0</v>
          </cell>
          <cell r="AI854">
            <v>0</v>
          </cell>
          <cell r="AJ854">
            <v>0</v>
          </cell>
          <cell r="AK854">
            <v>252313</v>
          </cell>
          <cell r="AL854">
            <v>551935</v>
          </cell>
          <cell r="AM854">
            <v>0</v>
          </cell>
          <cell r="AN854">
            <v>0</v>
          </cell>
          <cell r="AO854">
            <v>0</v>
          </cell>
          <cell r="AP854">
            <v>0</v>
          </cell>
        </row>
        <row r="855">
          <cell r="D855" t="str">
            <v>Nghiên cứu, thiết kế chế tạo ra đa 3D cảnh giới phòng không chiến thuật VRS-SRS phiên bản trên xe</v>
          </cell>
          <cell r="G855" t="str">
            <v>QPAN</v>
          </cell>
          <cell r="I855" t="str">
            <v>RD</v>
          </cell>
          <cell r="AC855">
            <v>1230000</v>
          </cell>
          <cell r="AD855">
            <v>71861870</v>
          </cell>
          <cell r="AE855">
            <v>20684243</v>
          </cell>
          <cell r="AF855">
            <v>20350946</v>
          </cell>
          <cell r="AG855">
            <v>0</v>
          </cell>
          <cell r="AH855">
            <v>0</v>
          </cell>
          <cell r="AI855">
            <v>0</v>
          </cell>
          <cell r="AJ855">
            <v>0</v>
          </cell>
          <cell r="AK855">
            <v>333297</v>
          </cell>
          <cell r="AL855">
            <v>729089</v>
          </cell>
          <cell r="AM855">
            <v>0</v>
          </cell>
          <cell r="AN855">
            <v>0</v>
          </cell>
          <cell r="AO855">
            <v>0</v>
          </cell>
          <cell r="AP855">
            <v>0</v>
          </cell>
        </row>
        <row r="856">
          <cell r="D856" t="str">
            <v>Nghiên cứu, thiết kế chế tạo ra đa 3D cảnh giới phòng không chiến thuật VRS-SRS phiên bản trên xe</v>
          </cell>
          <cell r="G856" t="str">
            <v>QPAN</v>
          </cell>
          <cell r="I856" t="str">
            <v>RD</v>
          </cell>
          <cell r="AC856">
            <v>1030000</v>
          </cell>
          <cell r="AD856">
            <v>35935265</v>
          </cell>
          <cell r="AE856">
            <v>9896108</v>
          </cell>
          <cell r="AF856">
            <v>9571174</v>
          </cell>
          <cell r="AG856">
            <v>0</v>
          </cell>
          <cell r="AH856">
            <v>0</v>
          </cell>
          <cell r="AI856">
            <v>0</v>
          </cell>
          <cell r="AJ856">
            <v>0</v>
          </cell>
          <cell r="AK856">
            <v>247569</v>
          </cell>
          <cell r="AL856">
            <v>541557</v>
          </cell>
          <cell r="AM856">
            <v>46419</v>
          </cell>
          <cell r="AN856">
            <v>92838</v>
          </cell>
          <cell r="AO856">
            <v>30946</v>
          </cell>
          <cell r="AP856">
            <v>30946</v>
          </cell>
        </row>
        <row r="857">
          <cell r="D857" t="str">
            <v>Nghiên cứu, thiết kế chế tạo ra đa 3D cảnh giới phòng không chiến thuật VRS-SRS phiên bản trên xe</v>
          </cell>
          <cell r="G857" t="str">
            <v>QPAN</v>
          </cell>
          <cell r="I857" t="str">
            <v>RD</v>
          </cell>
          <cell r="AC857">
            <v>1130000</v>
          </cell>
          <cell r="AD857">
            <v>62220771</v>
          </cell>
          <cell r="AE857">
            <v>37959569</v>
          </cell>
          <cell r="AF857">
            <v>37187369</v>
          </cell>
          <cell r="AG857">
            <v>0</v>
          </cell>
          <cell r="AH857">
            <v>0</v>
          </cell>
          <cell r="AI857">
            <v>0</v>
          </cell>
          <cell r="AJ857">
            <v>0</v>
          </cell>
          <cell r="AK857">
            <v>772200</v>
          </cell>
          <cell r="AL857">
            <v>1689186</v>
          </cell>
          <cell r="AM857">
            <v>0</v>
          </cell>
          <cell r="AN857">
            <v>0</v>
          </cell>
          <cell r="AO857">
            <v>0</v>
          </cell>
          <cell r="AP857">
            <v>0</v>
          </cell>
        </row>
        <row r="858">
          <cell r="D858" t="str">
            <v>Nghiên cứu, thiết kế chế tạo ra đa 3D cảnh giới phòng không chiến thuật VRS-SRS phiên bản trên xe</v>
          </cell>
          <cell r="G858" t="str">
            <v>QPAN</v>
          </cell>
          <cell r="I858" t="str">
            <v>RD</v>
          </cell>
          <cell r="AC858">
            <v>930000</v>
          </cell>
          <cell r="AD858">
            <v>33163490</v>
          </cell>
          <cell r="AE858">
            <v>10421068</v>
          </cell>
          <cell r="AF858">
            <v>10067829</v>
          </cell>
          <cell r="AG858">
            <v>0</v>
          </cell>
          <cell r="AH858">
            <v>0</v>
          </cell>
          <cell r="AI858">
            <v>0</v>
          </cell>
          <cell r="AJ858">
            <v>0</v>
          </cell>
          <cell r="AK858">
            <v>269134</v>
          </cell>
          <cell r="AL858">
            <v>588730</v>
          </cell>
          <cell r="AM858">
            <v>50463</v>
          </cell>
          <cell r="AN858">
            <v>100925</v>
          </cell>
          <cell r="AO858">
            <v>33642</v>
          </cell>
          <cell r="AP858">
            <v>33642</v>
          </cell>
        </row>
        <row r="859">
          <cell r="D859" t="str">
            <v>Nghiên cứu, thiết kế chế tạo ra đa 3D cảnh giới phòng không chiến thuật VRS-SRS phiên bản trên xe</v>
          </cell>
          <cell r="G859" t="str">
            <v>QPAN</v>
          </cell>
          <cell r="I859" t="str">
            <v>RD</v>
          </cell>
          <cell r="AC859">
            <v>1030000</v>
          </cell>
          <cell r="AD859">
            <v>41094601</v>
          </cell>
          <cell r="AE859">
            <v>19589690</v>
          </cell>
          <cell r="AF859">
            <v>19002771</v>
          </cell>
          <cell r="AG859">
            <v>0</v>
          </cell>
          <cell r="AH859">
            <v>0</v>
          </cell>
          <cell r="AI859">
            <v>0</v>
          </cell>
          <cell r="AJ859">
            <v>0</v>
          </cell>
          <cell r="AK859">
            <v>447176</v>
          </cell>
          <cell r="AL859">
            <v>978198</v>
          </cell>
          <cell r="AM859">
            <v>83846</v>
          </cell>
          <cell r="AN859">
            <v>167691</v>
          </cell>
          <cell r="AO859">
            <v>55897</v>
          </cell>
          <cell r="AP859">
            <v>55897</v>
          </cell>
        </row>
        <row r="860">
          <cell r="D860" t="str">
            <v>Nghiên cứu, thiết kế chế tạo ra đa 3D cảnh giới phòng không chiến thuật VRS-SRS phiên bản trên xe</v>
          </cell>
          <cell r="G860" t="str">
            <v>QPAN</v>
          </cell>
          <cell r="I860" t="str">
            <v>RD</v>
          </cell>
          <cell r="AC860">
            <v>1130000</v>
          </cell>
          <cell r="AD860">
            <v>69245160</v>
          </cell>
          <cell r="AE860">
            <v>33932858</v>
          </cell>
          <cell r="AF860">
            <v>33215511</v>
          </cell>
          <cell r="AG860">
            <v>0</v>
          </cell>
          <cell r="AH860">
            <v>0</v>
          </cell>
          <cell r="AI860">
            <v>0</v>
          </cell>
          <cell r="AJ860">
            <v>0</v>
          </cell>
          <cell r="AK860">
            <v>546550</v>
          </cell>
          <cell r="AL860">
            <v>1195574</v>
          </cell>
          <cell r="AM860">
            <v>102477</v>
          </cell>
          <cell r="AN860">
            <v>204957</v>
          </cell>
          <cell r="AO860">
            <v>68320</v>
          </cell>
          <cell r="AP860">
            <v>68320</v>
          </cell>
        </row>
        <row r="861">
          <cell r="D861" t="str">
            <v>Nghiên cứu, thiết kế chế tạo ra đa 3D cảnh giới phòng không chiến thuật VRS-SRS phiên bản trên xe</v>
          </cell>
          <cell r="G861" t="str">
            <v>QPAN</v>
          </cell>
          <cell r="I861" t="str">
            <v>RD</v>
          </cell>
          <cell r="AC861">
            <v>1047000</v>
          </cell>
          <cell r="AD861">
            <v>27478356</v>
          </cell>
          <cell r="AE861">
            <v>8443477</v>
          </cell>
          <cell r="AF861">
            <v>8108355</v>
          </cell>
          <cell r="AG861">
            <v>0</v>
          </cell>
          <cell r="AH861">
            <v>0</v>
          </cell>
          <cell r="AI861">
            <v>0</v>
          </cell>
          <cell r="AJ861">
            <v>0</v>
          </cell>
          <cell r="AK861">
            <v>255331</v>
          </cell>
          <cell r="AL861">
            <v>558539</v>
          </cell>
          <cell r="AM861">
            <v>47875</v>
          </cell>
          <cell r="AN861">
            <v>95750</v>
          </cell>
          <cell r="AO861">
            <v>31916</v>
          </cell>
          <cell r="AP861">
            <v>31916</v>
          </cell>
        </row>
        <row r="862">
          <cell r="D862" t="str">
            <v>Nghiên cứu, thiết kế chế tạo ra đa 3D cảnh giới phòng không chiến thuật VRS-SRS phiên bản trên xe</v>
          </cell>
          <cell r="G862" t="str">
            <v>QPAN</v>
          </cell>
          <cell r="I862" t="str">
            <v>RD</v>
          </cell>
          <cell r="AC862">
            <v>1047000</v>
          </cell>
          <cell r="AD862">
            <v>24727989</v>
          </cell>
          <cell r="AE862">
            <v>11284974</v>
          </cell>
          <cell r="AF862">
            <v>10806743</v>
          </cell>
          <cell r="AG862">
            <v>0</v>
          </cell>
          <cell r="AH862">
            <v>0</v>
          </cell>
          <cell r="AI862">
            <v>0</v>
          </cell>
          <cell r="AJ862">
            <v>0</v>
          </cell>
          <cell r="AK862">
            <v>364366</v>
          </cell>
          <cell r="AL862">
            <v>797050</v>
          </cell>
          <cell r="AM862">
            <v>68319</v>
          </cell>
          <cell r="AN862">
            <v>136637</v>
          </cell>
          <cell r="AO862">
            <v>45546</v>
          </cell>
          <cell r="AP862">
            <v>45546</v>
          </cell>
        </row>
        <row r="863">
          <cell r="D863" t="str">
            <v>Nghiên cứu, thiết kế chế tạo ra đa 3D cảnh giới phòng không chiến thuật VRS-SRS phiên bản trên xe</v>
          </cell>
          <cell r="G863" t="str">
            <v>QPAN</v>
          </cell>
          <cell r="I863" t="str">
            <v>RD</v>
          </cell>
          <cell r="AC863">
            <v>1047000</v>
          </cell>
          <cell r="AD863">
            <v>23442633</v>
          </cell>
          <cell r="AE863">
            <v>10614353</v>
          </cell>
          <cell r="AF863">
            <v>10136122</v>
          </cell>
          <cell r="AG863">
            <v>0</v>
          </cell>
          <cell r="AH863">
            <v>0</v>
          </cell>
          <cell r="AI863">
            <v>0</v>
          </cell>
          <cell r="AJ863">
            <v>0</v>
          </cell>
          <cell r="AK863">
            <v>364366</v>
          </cell>
          <cell r="AL863">
            <v>797050</v>
          </cell>
          <cell r="AM863">
            <v>68319</v>
          </cell>
          <cell r="AN863">
            <v>136637</v>
          </cell>
          <cell r="AO863">
            <v>45546</v>
          </cell>
          <cell r="AP863">
            <v>45546</v>
          </cell>
        </row>
        <row r="864">
          <cell r="D864" t="str">
            <v>Nghiên cứu, thiết kế chế tạo ra đa 3D cảnh giới phòng không chiến thuật VRS-SRS phiên bản trên xe</v>
          </cell>
          <cell r="G864" t="str">
            <v>QPAN</v>
          </cell>
          <cell r="I864" t="str">
            <v>RD</v>
          </cell>
          <cell r="AC864">
            <v>1030000</v>
          </cell>
          <cell r="AD864">
            <v>42318713</v>
          </cell>
          <cell r="AE864">
            <v>20161462</v>
          </cell>
          <cell r="AF864">
            <v>19544654</v>
          </cell>
          <cell r="AG864">
            <v>0</v>
          </cell>
          <cell r="AH864">
            <v>0</v>
          </cell>
          <cell r="AI864">
            <v>0</v>
          </cell>
          <cell r="AJ864">
            <v>0</v>
          </cell>
          <cell r="AK864">
            <v>469949</v>
          </cell>
          <cell r="AL864">
            <v>1028014</v>
          </cell>
          <cell r="AM864">
            <v>88115</v>
          </cell>
          <cell r="AN864">
            <v>176231</v>
          </cell>
          <cell r="AO864">
            <v>58744</v>
          </cell>
          <cell r="AP864">
            <v>58744</v>
          </cell>
        </row>
        <row r="865">
          <cell r="D865" t="str">
            <v>Nghiên cứu, thiết kế chế tạo ra đa 3D cảnh giới phòng không chiến thuật VRS-SRS phiên bản trên xe</v>
          </cell>
          <cell r="G865" t="str">
            <v>QPAN</v>
          </cell>
          <cell r="I865" t="str">
            <v>RD</v>
          </cell>
          <cell r="AC865">
            <v>930000</v>
          </cell>
          <cell r="AD865">
            <v>21302512</v>
          </cell>
          <cell r="AE865">
            <v>5607901</v>
          </cell>
          <cell r="AF865">
            <v>5343198</v>
          </cell>
          <cell r="AG865">
            <v>0</v>
          </cell>
          <cell r="AH865">
            <v>0</v>
          </cell>
          <cell r="AI865">
            <v>0</v>
          </cell>
          <cell r="AJ865">
            <v>0</v>
          </cell>
          <cell r="AK865">
            <v>201678</v>
          </cell>
          <cell r="AL865">
            <v>441170</v>
          </cell>
          <cell r="AM865">
            <v>37815</v>
          </cell>
          <cell r="AN865">
            <v>75629</v>
          </cell>
          <cell r="AO865">
            <v>25210</v>
          </cell>
          <cell r="AP865">
            <v>25210</v>
          </cell>
        </row>
        <row r="866">
          <cell r="D866" t="str">
            <v>Nghiên cứu, thiết kế chế tạo ra đa 3D cảnh giới phòng không chiến thuật VRS-SRS phiên bản trên xe</v>
          </cell>
          <cell r="G866" t="str">
            <v>QPAN</v>
          </cell>
          <cell r="I866" t="str">
            <v>RD</v>
          </cell>
          <cell r="AC866">
            <v>1030000</v>
          </cell>
          <cell r="AD866">
            <v>44368134</v>
          </cell>
          <cell r="AE866">
            <v>20954236</v>
          </cell>
          <cell r="AF866">
            <v>20274456</v>
          </cell>
          <cell r="AG866">
            <v>0</v>
          </cell>
          <cell r="AH866">
            <v>0</v>
          </cell>
          <cell r="AI866">
            <v>0</v>
          </cell>
          <cell r="AJ866">
            <v>0</v>
          </cell>
          <cell r="AK866">
            <v>679780</v>
          </cell>
          <cell r="AL866">
            <v>1487019</v>
          </cell>
          <cell r="AM866">
            <v>0</v>
          </cell>
          <cell r="AN866">
            <v>0</v>
          </cell>
          <cell r="AO866">
            <v>0</v>
          </cell>
          <cell r="AP866">
            <v>0</v>
          </cell>
        </row>
        <row r="867">
          <cell r="D867" t="str">
            <v>Nghiên cứu, thiết kế chế tạo ra đa 3D cảnh giới phòng không chiến thuật VRS-SRS phiên bản trên xe</v>
          </cell>
          <cell r="G867" t="str">
            <v>QPAN</v>
          </cell>
          <cell r="I867" t="str">
            <v>RD</v>
          </cell>
          <cell r="AC867">
            <v>930000</v>
          </cell>
          <cell r="AD867">
            <v>19499984</v>
          </cell>
          <cell r="AE867">
            <v>7268122</v>
          </cell>
          <cell r="AF867">
            <v>6908092</v>
          </cell>
          <cell r="AG867">
            <v>0</v>
          </cell>
          <cell r="AH867">
            <v>0</v>
          </cell>
          <cell r="AI867">
            <v>0</v>
          </cell>
          <cell r="AJ867">
            <v>0</v>
          </cell>
          <cell r="AK867">
            <v>274309</v>
          </cell>
          <cell r="AL867">
            <v>600053</v>
          </cell>
          <cell r="AM867">
            <v>51433</v>
          </cell>
          <cell r="AN867">
            <v>102866</v>
          </cell>
          <cell r="AO867">
            <v>34288</v>
          </cell>
          <cell r="AP867">
            <v>34288</v>
          </cell>
        </row>
        <row r="868">
          <cell r="D868" t="str">
            <v>Nghiên cứu, thiết kế chế tạo ra đa 3D cảnh giới phòng không chiến thuật VRS-SRS phiên bản trên xe</v>
          </cell>
          <cell r="G868" t="str">
            <v>QPAN</v>
          </cell>
          <cell r="I868" t="str">
            <v>RD</v>
          </cell>
          <cell r="AC868">
            <v>930000</v>
          </cell>
          <cell r="AD868">
            <v>20994124</v>
          </cell>
          <cell r="AE868">
            <v>9501297</v>
          </cell>
          <cell r="AF868">
            <v>9069260</v>
          </cell>
          <cell r="AG868">
            <v>0</v>
          </cell>
          <cell r="AH868">
            <v>0</v>
          </cell>
          <cell r="AI868">
            <v>0</v>
          </cell>
          <cell r="AJ868">
            <v>0</v>
          </cell>
          <cell r="AK868">
            <v>329171</v>
          </cell>
          <cell r="AL868">
            <v>720063</v>
          </cell>
          <cell r="AM868">
            <v>61720</v>
          </cell>
          <cell r="AN868">
            <v>123439</v>
          </cell>
          <cell r="AO868">
            <v>41146</v>
          </cell>
          <cell r="AP868">
            <v>41146</v>
          </cell>
        </row>
        <row r="869">
          <cell r="D869" t="str">
            <v>Nghiên cứu, thiết kế chế tạo ra đa 3D cảnh giới phòng không chiến thuật VRS-SRS phiên bản trên xe</v>
          </cell>
          <cell r="G869" t="str">
            <v>QPAN</v>
          </cell>
          <cell r="I869" t="str">
            <v>RD</v>
          </cell>
          <cell r="AC869">
            <v>1047000</v>
          </cell>
          <cell r="AD869">
            <v>21902783</v>
          </cell>
          <cell r="AE869">
            <v>6577125</v>
          </cell>
          <cell r="AF869">
            <v>6274607</v>
          </cell>
          <cell r="AG869">
            <v>0</v>
          </cell>
          <cell r="AH869">
            <v>0</v>
          </cell>
          <cell r="AI869">
            <v>0</v>
          </cell>
          <cell r="AJ869">
            <v>0</v>
          </cell>
          <cell r="AK869">
            <v>230490</v>
          </cell>
          <cell r="AL869">
            <v>504195</v>
          </cell>
          <cell r="AM869">
            <v>43217</v>
          </cell>
          <cell r="AN869">
            <v>86433</v>
          </cell>
          <cell r="AO869">
            <v>28811</v>
          </cell>
          <cell r="AP869">
            <v>28811</v>
          </cell>
        </row>
        <row r="870">
          <cell r="D870" t="str">
            <v>Sản xuất 01 hệ thống mô phỏng huấn luyện kíp chỉ huy bay và 02 hệ thống mô phỏng huấn luyện phi công SU-30MK2 (01 hệ thống mô phỏng huấn luyện kíp chỉ huy bay)</v>
          </cell>
          <cell r="G870" t="str">
            <v>SXKD</v>
          </cell>
          <cell r="I870" t="str">
            <v>MHMP</v>
          </cell>
          <cell r="AC870">
            <v>1030000</v>
          </cell>
          <cell r="AD870">
            <v>42198549</v>
          </cell>
          <cell r="AE870">
            <v>1680472</v>
          </cell>
          <cell r="AF870">
            <v>1631562</v>
          </cell>
          <cell r="AG870">
            <v>0</v>
          </cell>
          <cell r="AH870">
            <v>0</v>
          </cell>
          <cell r="AI870">
            <v>0</v>
          </cell>
          <cell r="AJ870">
            <v>0</v>
          </cell>
          <cell r="AK870">
            <v>37265</v>
          </cell>
          <cell r="AL870">
            <v>81517</v>
          </cell>
          <cell r="AM870">
            <v>6987</v>
          </cell>
          <cell r="AN870">
            <v>13974</v>
          </cell>
          <cell r="AO870">
            <v>4658</v>
          </cell>
          <cell r="AP870">
            <v>4658</v>
          </cell>
        </row>
        <row r="871">
          <cell r="D871" t="str">
            <v>Sản xuất 01 hệ thống mô phỏng huấn luyện kíp chỉ huy bay và 02 hệ thống mô phỏng huấn luyện phi công SU-30MK2 (01 hệ thống mô phỏng huấn luyện kíp chỉ huy bay)</v>
          </cell>
          <cell r="G871" t="str">
            <v>SXKD</v>
          </cell>
          <cell r="I871" t="str">
            <v>MHMP</v>
          </cell>
          <cell r="AC871">
            <v>1030000</v>
          </cell>
          <cell r="AD871">
            <v>39674328</v>
          </cell>
          <cell r="AE871">
            <v>3141446</v>
          </cell>
          <cell r="AF871">
            <v>3043627</v>
          </cell>
          <cell r="AG871">
            <v>0</v>
          </cell>
          <cell r="AH871">
            <v>0</v>
          </cell>
          <cell r="AI871">
            <v>0</v>
          </cell>
          <cell r="AJ871">
            <v>0</v>
          </cell>
          <cell r="AK871">
            <v>74529</v>
          </cell>
          <cell r="AL871">
            <v>163033</v>
          </cell>
          <cell r="AM871">
            <v>13974</v>
          </cell>
          <cell r="AN871">
            <v>27949</v>
          </cell>
          <cell r="AO871">
            <v>9316</v>
          </cell>
          <cell r="AP871">
            <v>9316</v>
          </cell>
        </row>
        <row r="872">
          <cell r="D872" t="str">
            <v>Sản xuất 01 hệ thống mô phỏng huấn luyện kíp chỉ huy bay và 02 hệ thống mô phỏng huấn luyện phi công SU-30MK2 (02 hệ thống mô phỏng huấn luyện phi công SU-30MK2)</v>
          </cell>
          <cell r="G872" t="str">
            <v>SXKD</v>
          </cell>
          <cell r="I872" t="str">
            <v>MHMP</v>
          </cell>
          <cell r="AC872">
            <v>1030000</v>
          </cell>
          <cell r="AD872">
            <v>39674328</v>
          </cell>
          <cell r="AE872">
            <v>1570723</v>
          </cell>
          <cell r="AF872">
            <v>1521813</v>
          </cell>
          <cell r="AG872">
            <v>0</v>
          </cell>
          <cell r="AH872">
            <v>0</v>
          </cell>
          <cell r="AI872">
            <v>0</v>
          </cell>
          <cell r="AJ872">
            <v>0</v>
          </cell>
          <cell r="AK872">
            <v>37265</v>
          </cell>
          <cell r="AL872">
            <v>81517</v>
          </cell>
          <cell r="AM872">
            <v>6987</v>
          </cell>
          <cell r="AN872">
            <v>13974</v>
          </cell>
          <cell r="AO872">
            <v>4658</v>
          </cell>
          <cell r="AP872">
            <v>4658</v>
          </cell>
        </row>
        <row r="873">
          <cell r="D873" t="str">
            <v>Sản xuất 01 bộ mẫu HT mô phỏng HL bắn súng di động, phục vụ trưng bày, giới thiệu SP cho các đoàn khách thuộc BQP</v>
          </cell>
          <cell r="G873" t="str">
            <v>SXKD</v>
          </cell>
          <cell r="I873" t="str">
            <v>CKTĐH</v>
          </cell>
          <cell r="AC873">
            <v>930000</v>
          </cell>
          <cell r="AD873">
            <v>23085068</v>
          </cell>
          <cell r="AE873">
            <v>882685</v>
          </cell>
          <cell r="AF873">
            <v>846682</v>
          </cell>
          <cell r="AG873">
            <v>0</v>
          </cell>
          <cell r="AH873">
            <v>0</v>
          </cell>
          <cell r="AI873">
            <v>0</v>
          </cell>
          <cell r="AJ873">
            <v>0</v>
          </cell>
          <cell r="AK873">
            <v>27431</v>
          </cell>
          <cell r="AL873">
            <v>60005</v>
          </cell>
          <cell r="AM873">
            <v>5143</v>
          </cell>
          <cell r="AN873">
            <v>10287</v>
          </cell>
          <cell r="AO873">
            <v>3429</v>
          </cell>
          <cell r="AP873">
            <v>3429</v>
          </cell>
        </row>
        <row r="874">
          <cell r="D874" t="str">
            <v>Sản xuất 09 hệ thống mô phỏng huấn luyện kỹ-chiến thuật 
Trinh sát đặc nhiệm và ZIP kèm theo</v>
          </cell>
          <cell r="G874" t="str">
            <v>SXKD</v>
          </cell>
          <cell r="I874" t="str">
            <v>MHMP</v>
          </cell>
          <cell r="AC874">
            <v>1030000</v>
          </cell>
          <cell r="AD874">
            <v>36246120</v>
          </cell>
          <cell r="AE874">
            <v>1427245</v>
          </cell>
          <cell r="AF874">
            <v>1380826</v>
          </cell>
          <cell r="AG874">
            <v>0</v>
          </cell>
          <cell r="AH874">
            <v>0</v>
          </cell>
          <cell r="AI874">
            <v>0</v>
          </cell>
          <cell r="AJ874">
            <v>0</v>
          </cell>
          <cell r="AK874">
            <v>35367</v>
          </cell>
          <cell r="AL874">
            <v>77365</v>
          </cell>
          <cell r="AM874">
            <v>6631</v>
          </cell>
          <cell r="AN874">
            <v>13263</v>
          </cell>
          <cell r="AO874">
            <v>4421</v>
          </cell>
          <cell r="AP874">
            <v>4421</v>
          </cell>
        </row>
        <row r="875">
          <cell r="D875" t="str">
            <v>Sản xuất và cung cấp 03 hệ thống mô phỏng bắn súng cho Philippines</v>
          </cell>
          <cell r="G875" t="str">
            <v>SXKD</v>
          </cell>
          <cell r="I875" t="str">
            <v>MHMP</v>
          </cell>
          <cell r="AC875">
            <v>1030000</v>
          </cell>
          <cell r="AD875">
            <v>42023471</v>
          </cell>
          <cell r="AE875">
            <v>1672860</v>
          </cell>
          <cell r="AF875">
            <v>1623950</v>
          </cell>
          <cell r="AG875">
            <v>0</v>
          </cell>
          <cell r="AH875">
            <v>0</v>
          </cell>
          <cell r="AI875">
            <v>0</v>
          </cell>
          <cell r="AJ875">
            <v>0</v>
          </cell>
          <cell r="AK875">
            <v>37265</v>
          </cell>
          <cell r="AL875">
            <v>81517</v>
          </cell>
          <cell r="AM875">
            <v>6987</v>
          </cell>
          <cell r="AN875">
            <v>13974</v>
          </cell>
          <cell r="AO875">
            <v>4658</v>
          </cell>
          <cell r="AP875">
            <v>4658</v>
          </cell>
        </row>
        <row r="876">
          <cell r="D876" t="str">
            <v>Cung cấp 04 hệ thống Sa bàn hỗ trợ công tác chỉ huy tham mưu, tác chiến cho Cục Nhà trường/Bộ Tổng tham mưu</v>
          </cell>
          <cell r="G876" t="str">
            <v>SXKD</v>
          </cell>
          <cell r="I876" t="str">
            <v>MHMP</v>
          </cell>
          <cell r="AC876">
            <v>1030000</v>
          </cell>
          <cell r="AD876">
            <v>42198549</v>
          </cell>
          <cell r="AE876">
            <v>1680472</v>
          </cell>
          <cell r="AF876">
            <v>1631562</v>
          </cell>
          <cell r="AG876">
            <v>0</v>
          </cell>
          <cell r="AH876">
            <v>0</v>
          </cell>
          <cell r="AI876">
            <v>0</v>
          </cell>
          <cell r="AJ876">
            <v>0</v>
          </cell>
          <cell r="AK876">
            <v>37265</v>
          </cell>
          <cell r="AL876">
            <v>81517</v>
          </cell>
          <cell r="AM876">
            <v>6987</v>
          </cell>
          <cell r="AN876">
            <v>13974</v>
          </cell>
          <cell r="AO876">
            <v>4658</v>
          </cell>
          <cell r="AP876">
            <v>4658</v>
          </cell>
        </row>
        <row r="877">
          <cell r="D877" t="str">
            <v>Nghiên cứu, thiết kế nền tảng mô phỏng tàu chiến và chế tạo hệ thống mô phỏng huấn luyện tàu chiến 12418</v>
          </cell>
          <cell r="G877" t="str">
            <v>KHCN</v>
          </cell>
          <cell r="I877" t="str">
            <v>MHMP</v>
          </cell>
          <cell r="AC877">
            <v>2432000</v>
          </cell>
          <cell r="AD877">
            <v>128972079</v>
          </cell>
          <cell r="AE877">
            <v>37507306</v>
          </cell>
          <cell r="AF877">
            <v>37095043</v>
          </cell>
          <cell r="AG877">
            <v>0</v>
          </cell>
          <cell r="AH877">
            <v>0</v>
          </cell>
          <cell r="AI877">
            <v>0</v>
          </cell>
          <cell r="AJ877">
            <v>0</v>
          </cell>
          <cell r="AK877">
            <v>412263</v>
          </cell>
          <cell r="AL877">
            <v>901826</v>
          </cell>
          <cell r="AM877">
            <v>0</v>
          </cell>
          <cell r="AN877">
            <v>0</v>
          </cell>
          <cell r="AO877">
            <v>0</v>
          </cell>
          <cell r="AP877">
            <v>0</v>
          </cell>
        </row>
        <row r="878">
          <cell r="D878" t="str">
            <v>Nghiên cứu, thiết kế nền tảng mô phỏng tàu chiến và chế tạo hệ thống mô phỏng huấn luyện tàu chiến 12418</v>
          </cell>
          <cell r="G878" t="str">
            <v>KHCN</v>
          </cell>
          <cell r="I878" t="str">
            <v>MHMP</v>
          </cell>
          <cell r="AC878">
            <v>1230000</v>
          </cell>
          <cell r="AD878">
            <v>82786834</v>
          </cell>
          <cell r="AE878">
            <v>23912021</v>
          </cell>
          <cell r="AF878">
            <v>23538842</v>
          </cell>
          <cell r="AG878">
            <v>0</v>
          </cell>
          <cell r="AH878">
            <v>0</v>
          </cell>
          <cell r="AI878">
            <v>0</v>
          </cell>
          <cell r="AJ878">
            <v>0</v>
          </cell>
          <cell r="AK878">
            <v>373179</v>
          </cell>
          <cell r="AL878">
            <v>816329</v>
          </cell>
          <cell r="AM878">
            <v>0</v>
          </cell>
          <cell r="AN878">
            <v>0</v>
          </cell>
          <cell r="AO878">
            <v>0</v>
          </cell>
          <cell r="AP878">
            <v>0</v>
          </cell>
        </row>
        <row r="879">
          <cell r="D879" t="str">
            <v>Nghiên cứu, thiết kế nền tảng mô phỏng tàu chiến và chế tạo hệ thống mô phỏng huấn luyện tàu chiến 12418</v>
          </cell>
          <cell r="G879" t="str">
            <v>KHCN</v>
          </cell>
          <cell r="I879" t="str">
            <v>MHMP</v>
          </cell>
          <cell r="AC879">
            <v>1130000</v>
          </cell>
          <cell r="AD879">
            <v>68879097</v>
          </cell>
          <cell r="AE879">
            <v>53424624</v>
          </cell>
          <cell r="AF879">
            <v>52288827</v>
          </cell>
          <cell r="AG879">
            <v>0</v>
          </cell>
          <cell r="AH879">
            <v>0</v>
          </cell>
          <cell r="AI879">
            <v>0</v>
          </cell>
          <cell r="AJ879">
            <v>0</v>
          </cell>
          <cell r="AK879">
            <v>865369</v>
          </cell>
          <cell r="AL879">
            <v>1892995</v>
          </cell>
          <cell r="AM879">
            <v>162257</v>
          </cell>
          <cell r="AN879">
            <v>324513</v>
          </cell>
          <cell r="AO879">
            <v>108171</v>
          </cell>
          <cell r="AP879">
            <v>108171</v>
          </cell>
        </row>
        <row r="880">
          <cell r="D880" t="str">
            <v>Nghiên cứu, thiết kế nền tảng mô phỏng tàu chiến và chế tạo hệ thống mô phỏng huấn luyện tàu chiến 12418</v>
          </cell>
          <cell r="G880" t="str">
            <v>KHCN</v>
          </cell>
          <cell r="I880" t="str">
            <v>MHMP</v>
          </cell>
          <cell r="AC880">
            <v>1047000</v>
          </cell>
          <cell r="AD880">
            <v>23442633</v>
          </cell>
          <cell r="AE880">
            <v>9729824</v>
          </cell>
          <cell r="AF880">
            <v>9291447</v>
          </cell>
          <cell r="AG880">
            <v>0</v>
          </cell>
          <cell r="AH880">
            <v>0</v>
          </cell>
          <cell r="AI880">
            <v>0</v>
          </cell>
          <cell r="AJ880">
            <v>0</v>
          </cell>
          <cell r="AK880">
            <v>334002</v>
          </cell>
          <cell r="AL880">
            <v>730630</v>
          </cell>
          <cell r="AM880">
            <v>62625</v>
          </cell>
          <cell r="AN880">
            <v>125251</v>
          </cell>
          <cell r="AO880">
            <v>41750</v>
          </cell>
          <cell r="AP880">
            <v>41750</v>
          </cell>
        </row>
        <row r="881">
          <cell r="D881" t="str">
            <v>Nghiên cứu, thiết kế nền tảng mô phỏng tàu chiến và chế tạo hệ thống mô phỏng huấn luyện tàu chiến 12418</v>
          </cell>
          <cell r="G881" t="str">
            <v>KHCN</v>
          </cell>
          <cell r="I881" t="str">
            <v>MHMP</v>
          </cell>
          <cell r="AC881">
            <v>1030000</v>
          </cell>
          <cell r="AD881">
            <v>35627144</v>
          </cell>
          <cell r="AE881">
            <v>19604665</v>
          </cell>
          <cell r="AF881">
            <v>18954798</v>
          </cell>
          <cell r="AG881">
            <v>0</v>
          </cell>
          <cell r="AH881">
            <v>0</v>
          </cell>
          <cell r="AI881">
            <v>0</v>
          </cell>
          <cell r="AJ881">
            <v>0</v>
          </cell>
          <cell r="AK881">
            <v>495137</v>
          </cell>
          <cell r="AL881">
            <v>1083113</v>
          </cell>
          <cell r="AM881">
            <v>92838</v>
          </cell>
          <cell r="AN881">
            <v>185677</v>
          </cell>
          <cell r="AO881">
            <v>61892</v>
          </cell>
          <cell r="AP881">
            <v>61892</v>
          </cell>
        </row>
        <row r="882">
          <cell r="D882" t="str">
            <v>Nghiên cứu, thiết kế nền tảng mô phỏng tàu chiến và chế tạo hệ thống mô phỏng huấn luyện tàu chiến 12418</v>
          </cell>
          <cell r="G882" t="str">
            <v>KHCN</v>
          </cell>
          <cell r="I882" t="str">
            <v>MHMP</v>
          </cell>
          <cell r="AC882">
            <v>1030000</v>
          </cell>
          <cell r="AD882">
            <v>41826616</v>
          </cell>
          <cell r="AE882">
            <v>23300212</v>
          </cell>
          <cell r="AF882">
            <v>22615473</v>
          </cell>
          <cell r="AG882">
            <v>0</v>
          </cell>
          <cell r="AH882">
            <v>0</v>
          </cell>
          <cell r="AI882">
            <v>0</v>
          </cell>
          <cell r="AJ882">
            <v>0</v>
          </cell>
          <cell r="AK882">
            <v>521706</v>
          </cell>
          <cell r="AL882">
            <v>1141231</v>
          </cell>
          <cell r="AM882">
            <v>97820</v>
          </cell>
          <cell r="AN882">
            <v>195640</v>
          </cell>
          <cell r="AO882">
            <v>65213</v>
          </cell>
          <cell r="AP882">
            <v>65213</v>
          </cell>
        </row>
        <row r="883">
          <cell r="D883" t="str">
            <v>Nghiên cứu, thiết kế nền tảng mô phỏng tàu chiến và chế tạo hệ thống mô phỏng huấn luyện tàu chiến 12418</v>
          </cell>
          <cell r="G883" t="str">
            <v>KHCN</v>
          </cell>
          <cell r="I883" t="str">
            <v>MHMP</v>
          </cell>
          <cell r="AC883">
            <v>1030000</v>
          </cell>
          <cell r="AD883">
            <v>44198549</v>
          </cell>
          <cell r="AE883">
            <v>24743997</v>
          </cell>
          <cell r="AF883">
            <v>24059258</v>
          </cell>
          <cell r="AG883">
            <v>0</v>
          </cell>
          <cell r="AH883">
            <v>0</v>
          </cell>
          <cell r="AI883">
            <v>0</v>
          </cell>
          <cell r="AJ883">
            <v>0</v>
          </cell>
          <cell r="AK883">
            <v>521706</v>
          </cell>
          <cell r="AL883">
            <v>1141231</v>
          </cell>
          <cell r="AM883">
            <v>97820</v>
          </cell>
          <cell r="AN883">
            <v>195640</v>
          </cell>
          <cell r="AO883">
            <v>65213</v>
          </cell>
          <cell r="AP883">
            <v>65213</v>
          </cell>
        </row>
        <row r="884">
          <cell r="D884" t="str">
            <v>Nghiên cứu, thiết kế nền tảng mô phỏng tàu chiến và chế tạo hệ thống mô phỏng huấn luyện tàu chiến 12418</v>
          </cell>
          <cell r="G884" t="str">
            <v>KHCN</v>
          </cell>
          <cell r="I884" t="str">
            <v>MHMP</v>
          </cell>
          <cell r="AC884">
            <v>1030000</v>
          </cell>
          <cell r="AD884">
            <v>43458330</v>
          </cell>
          <cell r="AE884">
            <v>15617205</v>
          </cell>
          <cell r="AF884">
            <v>15177016</v>
          </cell>
          <cell r="AG884">
            <v>0</v>
          </cell>
          <cell r="AH884">
            <v>0</v>
          </cell>
          <cell r="AI884">
            <v>0</v>
          </cell>
          <cell r="AJ884">
            <v>0</v>
          </cell>
          <cell r="AK884">
            <v>335382</v>
          </cell>
          <cell r="AL884">
            <v>733649</v>
          </cell>
          <cell r="AM884">
            <v>62884</v>
          </cell>
          <cell r="AN884">
            <v>125768</v>
          </cell>
          <cell r="AO884">
            <v>41923</v>
          </cell>
          <cell r="AP884">
            <v>41923</v>
          </cell>
        </row>
        <row r="885">
          <cell r="D885" t="str">
            <v>Nghiên cứu, thiết kế nền tảng mô phỏng tàu chiến và chế tạo hệ thống mô phỏng huấn luyện tàu chiến 12418</v>
          </cell>
          <cell r="G885" t="str">
            <v>KHCN</v>
          </cell>
          <cell r="I885" t="str">
            <v>MHMP</v>
          </cell>
          <cell r="AC885">
            <v>1030000</v>
          </cell>
          <cell r="AD885">
            <v>42198549</v>
          </cell>
          <cell r="AE885">
            <v>3360944</v>
          </cell>
          <cell r="AF885">
            <v>3263125</v>
          </cell>
          <cell r="AG885">
            <v>0</v>
          </cell>
          <cell r="AH885">
            <v>0</v>
          </cell>
          <cell r="AI885">
            <v>0</v>
          </cell>
          <cell r="AJ885">
            <v>0</v>
          </cell>
          <cell r="AK885">
            <v>74529</v>
          </cell>
          <cell r="AL885">
            <v>163033</v>
          </cell>
          <cell r="AM885">
            <v>13974</v>
          </cell>
          <cell r="AN885">
            <v>27949</v>
          </cell>
          <cell r="AO885">
            <v>9316</v>
          </cell>
          <cell r="AP885">
            <v>9316</v>
          </cell>
        </row>
        <row r="886">
          <cell r="D886" t="str">
            <v>Nghiên cứu, thiết kế nền tảng mô phỏng tàu chiến và chế tạo hệ thống mô phỏng huấn luyện tàu chiến 12418</v>
          </cell>
          <cell r="G886" t="str">
            <v>KHCN</v>
          </cell>
          <cell r="I886" t="str">
            <v>MHMP</v>
          </cell>
          <cell r="AC886">
            <v>1130000</v>
          </cell>
          <cell r="AD886">
            <v>61113536</v>
          </cell>
          <cell r="AE886">
            <v>12403887</v>
          </cell>
          <cell r="AF886">
            <v>12119711</v>
          </cell>
          <cell r="AG886">
            <v>0</v>
          </cell>
          <cell r="AH886">
            <v>0</v>
          </cell>
          <cell r="AI886">
            <v>0</v>
          </cell>
          <cell r="AJ886">
            <v>0</v>
          </cell>
          <cell r="AK886">
            <v>216515</v>
          </cell>
          <cell r="AL886">
            <v>473626</v>
          </cell>
          <cell r="AM886">
            <v>40597</v>
          </cell>
          <cell r="AN886">
            <v>81193</v>
          </cell>
          <cell r="AO886">
            <v>27064</v>
          </cell>
          <cell r="AP886">
            <v>27064</v>
          </cell>
        </row>
        <row r="887">
          <cell r="D887" t="str">
            <v>Nghiên cứu, thiết kế nền tảng mô phỏng tàu chiến và chế tạo hệ thống mô phỏng huấn luyện tàu chiến 12418</v>
          </cell>
          <cell r="G887" t="str">
            <v>KHCN</v>
          </cell>
          <cell r="I887" t="str">
            <v>MHMP</v>
          </cell>
          <cell r="AC887">
            <v>1030000</v>
          </cell>
          <cell r="AD887">
            <v>33728406</v>
          </cell>
          <cell r="AE887">
            <v>7937083</v>
          </cell>
          <cell r="AF887">
            <v>7672155</v>
          </cell>
          <cell r="AG887">
            <v>0</v>
          </cell>
          <cell r="AH887">
            <v>0</v>
          </cell>
          <cell r="AI887">
            <v>0</v>
          </cell>
          <cell r="AJ887">
            <v>0</v>
          </cell>
          <cell r="AK887">
            <v>201850</v>
          </cell>
          <cell r="AL887">
            <v>441548</v>
          </cell>
          <cell r="AM887">
            <v>37847</v>
          </cell>
          <cell r="AN887">
            <v>75694</v>
          </cell>
          <cell r="AO887">
            <v>25231</v>
          </cell>
          <cell r="AP887">
            <v>25231</v>
          </cell>
        </row>
        <row r="888">
          <cell r="D888" t="str">
            <v>Nghiên cứu, thiết kế nền tảng mô phỏng tàu chiến và chế tạo hệ thống mô phỏng huấn luyện tàu chiến 12418</v>
          </cell>
          <cell r="G888" t="str">
            <v>KHCN</v>
          </cell>
          <cell r="I888" t="str">
            <v>MHMP</v>
          </cell>
          <cell r="AC888">
            <v>1030000</v>
          </cell>
          <cell r="AD888">
            <v>42557719</v>
          </cell>
          <cell r="AE888">
            <v>8480440</v>
          </cell>
          <cell r="AF888">
            <v>8235891</v>
          </cell>
          <cell r="AG888">
            <v>0</v>
          </cell>
          <cell r="AH888">
            <v>0</v>
          </cell>
          <cell r="AI888">
            <v>0</v>
          </cell>
          <cell r="AJ888">
            <v>0</v>
          </cell>
          <cell r="AK888">
            <v>186323</v>
          </cell>
          <cell r="AL888">
            <v>407583</v>
          </cell>
          <cell r="AM888">
            <v>34936</v>
          </cell>
          <cell r="AN888">
            <v>69871</v>
          </cell>
          <cell r="AO888">
            <v>23290</v>
          </cell>
          <cell r="AP888">
            <v>23290</v>
          </cell>
        </row>
        <row r="889">
          <cell r="D889" t="str">
            <v>Nghiên cứu, thiết kế nền tảng mô phỏng tàu chiến và chế tạo hệ thống mô phỏng huấn luyện tàu chiến 12418</v>
          </cell>
          <cell r="G889" t="str">
            <v>KHCN</v>
          </cell>
          <cell r="I889" t="str">
            <v>MHMP</v>
          </cell>
          <cell r="AC889">
            <v>1030000</v>
          </cell>
          <cell r="AD889">
            <v>44198549</v>
          </cell>
          <cell r="AE889">
            <v>10604570</v>
          </cell>
          <cell r="AF889">
            <v>10311110</v>
          </cell>
          <cell r="AG889">
            <v>0</v>
          </cell>
          <cell r="AH889">
            <v>0</v>
          </cell>
          <cell r="AI889">
            <v>0</v>
          </cell>
          <cell r="AJ889">
            <v>0</v>
          </cell>
          <cell r="AK889">
            <v>223588</v>
          </cell>
          <cell r="AL889">
            <v>489099</v>
          </cell>
          <cell r="AM889">
            <v>41923</v>
          </cell>
          <cell r="AN889">
            <v>83846</v>
          </cell>
          <cell r="AO889">
            <v>27949</v>
          </cell>
          <cell r="AP889">
            <v>27949</v>
          </cell>
        </row>
        <row r="890">
          <cell r="D890" t="str">
            <v>Nghiên cứu, thiết kế nền tảng mô phỏng tàu chiến và chế tạo hệ thống mô phỏng huấn luyện tàu chiến 12418</v>
          </cell>
          <cell r="G890" t="str">
            <v>KHCN</v>
          </cell>
          <cell r="I890" t="str">
            <v>MHMP</v>
          </cell>
          <cell r="AC890">
            <v>930000</v>
          </cell>
          <cell r="AD890">
            <v>15796808</v>
          </cell>
          <cell r="AE890">
            <v>5165217</v>
          </cell>
          <cell r="AF890">
            <v>4873796</v>
          </cell>
          <cell r="AG890">
            <v>0</v>
          </cell>
          <cell r="AH890">
            <v>0</v>
          </cell>
          <cell r="AI890">
            <v>0</v>
          </cell>
          <cell r="AJ890">
            <v>0</v>
          </cell>
          <cell r="AK890">
            <v>222035</v>
          </cell>
          <cell r="AL890">
            <v>485703</v>
          </cell>
          <cell r="AM890">
            <v>41632</v>
          </cell>
          <cell r="AN890">
            <v>83263</v>
          </cell>
          <cell r="AO890">
            <v>27754</v>
          </cell>
          <cell r="AP890">
            <v>27754</v>
          </cell>
        </row>
        <row r="891">
          <cell r="D891" t="str">
            <v>Nghiên cứu, thiết kế nền tảng mô phỏng tàu chiến và chế tạo hệ thống mô phỏng huấn luyện tàu chiến 12418</v>
          </cell>
          <cell r="G891" t="str">
            <v>KHCN</v>
          </cell>
          <cell r="I891" t="str">
            <v>MHMP</v>
          </cell>
          <cell r="AC891">
            <v>1030000</v>
          </cell>
          <cell r="AD891">
            <v>44198549</v>
          </cell>
          <cell r="AE891">
            <v>24743997</v>
          </cell>
          <cell r="AF891">
            <v>24059258</v>
          </cell>
          <cell r="AG891">
            <v>0</v>
          </cell>
          <cell r="AH891">
            <v>0</v>
          </cell>
          <cell r="AI891">
            <v>0</v>
          </cell>
          <cell r="AJ891">
            <v>0</v>
          </cell>
          <cell r="AK891">
            <v>521706</v>
          </cell>
          <cell r="AL891">
            <v>1141231</v>
          </cell>
          <cell r="AM891">
            <v>97820</v>
          </cell>
          <cell r="AN891">
            <v>195640</v>
          </cell>
          <cell r="AO891">
            <v>65213</v>
          </cell>
          <cell r="AP891">
            <v>65213</v>
          </cell>
        </row>
        <row r="892">
          <cell r="D892" t="str">
            <v>Nghiên cứu, thiết kế nền tảng mô phỏng tàu chiến và chế tạo hệ thống mô phỏng huấn luyện tàu chiến 12418</v>
          </cell>
          <cell r="G892" t="str">
            <v>KHCN</v>
          </cell>
          <cell r="I892" t="str">
            <v>MHMP</v>
          </cell>
          <cell r="AC892">
            <v>1030000</v>
          </cell>
          <cell r="AD892">
            <v>38357727</v>
          </cell>
          <cell r="AE892">
            <v>21188715</v>
          </cell>
          <cell r="AF892">
            <v>20503976</v>
          </cell>
          <cell r="AG892">
            <v>0</v>
          </cell>
          <cell r="AH892">
            <v>0</v>
          </cell>
          <cell r="AI892">
            <v>0</v>
          </cell>
          <cell r="AJ892">
            <v>0</v>
          </cell>
          <cell r="AK892">
            <v>521706</v>
          </cell>
          <cell r="AL892">
            <v>1141231</v>
          </cell>
          <cell r="AM892">
            <v>97820</v>
          </cell>
          <cell r="AN892">
            <v>195640</v>
          </cell>
          <cell r="AO892">
            <v>65213</v>
          </cell>
          <cell r="AP892">
            <v>65213</v>
          </cell>
        </row>
        <row r="893">
          <cell r="D893" t="str">
            <v>Nghiên cứu, thiết kế nền tảng mô phỏng tàu chiến và chế tạo hệ thống mô phỏng huấn luyện tàu chiến 12418</v>
          </cell>
          <cell r="G893" t="str">
            <v>KHCN</v>
          </cell>
          <cell r="I893" t="str">
            <v>MHMP</v>
          </cell>
          <cell r="AC893">
            <v>1147000</v>
          </cell>
          <cell r="AD893">
            <v>31427007</v>
          </cell>
          <cell r="AE893">
            <v>17047792</v>
          </cell>
          <cell r="AF893">
            <v>16429625</v>
          </cell>
          <cell r="AG893">
            <v>0</v>
          </cell>
          <cell r="AH893">
            <v>0</v>
          </cell>
          <cell r="AI893">
            <v>0</v>
          </cell>
          <cell r="AJ893">
            <v>0</v>
          </cell>
          <cell r="AK893">
            <v>470984</v>
          </cell>
          <cell r="AL893">
            <v>1030278</v>
          </cell>
          <cell r="AM893">
            <v>88310</v>
          </cell>
          <cell r="AN893">
            <v>176619</v>
          </cell>
          <cell r="AO893">
            <v>58873</v>
          </cell>
          <cell r="AP893">
            <v>58873</v>
          </cell>
        </row>
        <row r="894">
          <cell r="D894" t="str">
            <v>Nghiên cứu, thiết kế nền tảng mô phỏng tàu chiến và chế tạo hệ thống mô phỏng huấn luyện tàu chiến 12418</v>
          </cell>
          <cell r="G894" t="str">
            <v>KHCN</v>
          </cell>
          <cell r="I894" t="str">
            <v>MHMP</v>
          </cell>
          <cell r="AC894">
            <v>1030000</v>
          </cell>
          <cell r="AD894">
            <v>39525095</v>
          </cell>
          <cell r="AE894">
            <v>6279237</v>
          </cell>
          <cell r="AF894">
            <v>6093561</v>
          </cell>
          <cell r="AG894">
            <v>0</v>
          </cell>
          <cell r="AH894">
            <v>0</v>
          </cell>
          <cell r="AI894">
            <v>0</v>
          </cell>
          <cell r="AJ894">
            <v>0</v>
          </cell>
          <cell r="AK894">
            <v>141468</v>
          </cell>
          <cell r="AL894">
            <v>309461</v>
          </cell>
          <cell r="AM894">
            <v>26525</v>
          </cell>
          <cell r="AN894">
            <v>53050</v>
          </cell>
          <cell r="AO894">
            <v>17683</v>
          </cell>
          <cell r="AP894">
            <v>17683</v>
          </cell>
        </row>
        <row r="895">
          <cell r="D895" t="str">
            <v>Nghiên cứu, thiết kế nền tảng mô phỏng tàu chiến và chế tạo hệ thống mô phỏng huấn luyện tàu chiến 12418</v>
          </cell>
          <cell r="G895" t="str">
            <v>KHCN</v>
          </cell>
          <cell r="I895" t="str">
            <v>MHMP</v>
          </cell>
          <cell r="AC895">
            <v>1030000</v>
          </cell>
          <cell r="AD895">
            <v>42023471</v>
          </cell>
          <cell r="AE895">
            <v>8364299</v>
          </cell>
          <cell r="AF895">
            <v>8119750</v>
          </cell>
          <cell r="AG895">
            <v>0</v>
          </cell>
          <cell r="AH895">
            <v>0</v>
          </cell>
          <cell r="AI895">
            <v>0</v>
          </cell>
          <cell r="AJ895">
            <v>0</v>
          </cell>
          <cell r="AK895">
            <v>186323</v>
          </cell>
          <cell r="AL895">
            <v>407583</v>
          </cell>
          <cell r="AM895">
            <v>34936</v>
          </cell>
          <cell r="AN895">
            <v>69871</v>
          </cell>
          <cell r="AO895">
            <v>23290</v>
          </cell>
          <cell r="AP895">
            <v>23290</v>
          </cell>
        </row>
        <row r="896">
          <cell r="D896" t="str">
            <v>Nghiên cứu, thiết kế nền tảng mô phỏng tàu chiến và chế tạo hệ thống mô phỏng huấn luyện tàu chiến 12418</v>
          </cell>
          <cell r="G896" t="str">
            <v>KHCN</v>
          </cell>
          <cell r="I896" t="str">
            <v>MHMP</v>
          </cell>
          <cell r="AC896">
            <v>930000</v>
          </cell>
          <cell r="AD896">
            <v>24816840</v>
          </cell>
          <cell r="AE896">
            <v>10392838</v>
          </cell>
          <cell r="AF896">
            <v>9932043</v>
          </cell>
          <cell r="AG896">
            <v>0</v>
          </cell>
          <cell r="AH896">
            <v>0</v>
          </cell>
          <cell r="AI896">
            <v>0</v>
          </cell>
          <cell r="AJ896">
            <v>0</v>
          </cell>
          <cell r="AK896">
            <v>351082</v>
          </cell>
          <cell r="AL896">
            <v>767991</v>
          </cell>
          <cell r="AM896">
            <v>65828</v>
          </cell>
          <cell r="AN896">
            <v>131656</v>
          </cell>
          <cell r="AO896">
            <v>43885</v>
          </cell>
          <cell r="AP896">
            <v>43885</v>
          </cell>
        </row>
        <row r="897">
          <cell r="D897" t="str">
            <v>Nghiên cứu, thiết kế nền tảng mô phỏng tàu chiến và chế tạo hệ thống mô phỏng huấn luyện tàu chiến 12418</v>
          </cell>
          <cell r="G897" t="str">
            <v>KHCN</v>
          </cell>
          <cell r="I897" t="str">
            <v>MHMP</v>
          </cell>
          <cell r="AC897">
            <v>930000</v>
          </cell>
          <cell r="AD897">
            <v>23940052</v>
          </cell>
          <cell r="AE897">
            <v>10023676</v>
          </cell>
          <cell r="AF897">
            <v>9585299</v>
          </cell>
          <cell r="AG897">
            <v>0</v>
          </cell>
          <cell r="AH897">
            <v>0</v>
          </cell>
          <cell r="AI897">
            <v>0</v>
          </cell>
          <cell r="AJ897">
            <v>0</v>
          </cell>
          <cell r="AK897">
            <v>334002</v>
          </cell>
          <cell r="AL897">
            <v>730630</v>
          </cell>
          <cell r="AM897">
            <v>62625</v>
          </cell>
          <cell r="AN897">
            <v>125251</v>
          </cell>
          <cell r="AO897">
            <v>41750</v>
          </cell>
          <cell r="AP897">
            <v>41750</v>
          </cell>
        </row>
        <row r="898">
          <cell r="D898" t="str">
            <v>Nghiên cứu, thiết kế nền tảng mô phỏng tàu chiến và chế tạo hệ thống mô phỏng huấn luyện tàu chiến 12418</v>
          </cell>
          <cell r="G898" t="str">
            <v>KHCN</v>
          </cell>
          <cell r="I898" t="str">
            <v>MHMP</v>
          </cell>
          <cell r="AC898">
            <v>1030000</v>
          </cell>
          <cell r="AD898">
            <v>35206110</v>
          </cell>
          <cell r="AE898">
            <v>12483857</v>
          </cell>
          <cell r="AF898">
            <v>12086464</v>
          </cell>
          <cell r="AG898">
            <v>0</v>
          </cell>
          <cell r="AH898">
            <v>0</v>
          </cell>
          <cell r="AI898">
            <v>0</v>
          </cell>
          <cell r="AJ898">
            <v>0</v>
          </cell>
          <cell r="AK898">
            <v>302776</v>
          </cell>
          <cell r="AL898">
            <v>662322</v>
          </cell>
          <cell r="AM898">
            <v>56770</v>
          </cell>
          <cell r="AN898">
            <v>113541</v>
          </cell>
          <cell r="AO898">
            <v>37847</v>
          </cell>
          <cell r="AP898">
            <v>37847</v>
          </cell>
        </row>
        <row r="899">
          <cell r="D899" t="str">
            <v>Nghiên cứu, thiết kế nền tảng mô phỏng tàu chiến và chế tạo hệ thống mô phỏng huấn luyện tàu chiến 12418</v>
          </cell>
          <cell r="G899" t="str">
            <v>KHCN</v>
          </cell>
          <cell r="I899" t="str">
            <v>MHMP</v>
          </cell>
          <cell r="AC899">
            <v>930000</v>
          </cell>
          <cell r="AD899">
            <v>28254600</v>
          </cell>
          <cell r="AE899">
            <v>11981238</v>
          </cell>
          <cell r="AF899">
            <v>11495536</v>
          </cell>
          <cell r="AG899">
            <v>0</v>
          </cell>
          <cell r="AH899">
            <v>0</v>
          </cell>
          <cell r="AI899">
            <v>0</v>
          </cell>
          <cell r="AJ899">
            <v>0</v>
          </cell>
          <cell r="AK899">
            <v>370059</v>
          </cell>
          <cell r="AL899">
            <v>809504</v>
          </cell>
          <cell r="AM899">
            <v>69386</v>
          </cell>
          <cell r="AN899">
            <v>138772</v>
          </cell>
          <cell r="AO899">
            <v>46257</v>
          </cell>
          <cell r="AP899">
            <v>46257</v>
          </cell>
        </row>
        <row r="900">
          <cell r="D900" t="str">
            <v>Nghiên cứu, thiết kế nền tảng mô phỏng tàu chiến và chế tạo hệ thống mô phỏng huấn luyện tàu chiến 12418</v>
          </cell>
          <cell r="G900" t="str">
            <v>KHCN</v>
          </cell>
          <cell r="I900" t="str">
            <v>MHMP</v>
          </cell>
          <cell r="AC900">
            <v>1030000</v>
          </cell>
          <cell r="AD900">
            <v>34904370</v>
          </cell>
          <cell r="AE900">
            <v>12365785</v>
          </cell>
          <cell r="AF900">
            <v>11968392</v>
          </cell>
          <cell r="AG900">
            <v>0</v>
          </cell>
          <cell r="AH900">
            <v>0</v>
          </cell>
          <cell r="AI900">
            <v>0</v>
          </cell>
          <cell r="AJ900">
            <v>0</v>
          </cell>
          <cell r="AK900">
            <v>302776</v>
          </cell>
          <cell r="AL900">
            <v>662322</v>
          </cell>
          <cell r="AM900">
            <v>56770</v>
          </cell>
          <cell r="AN900">
            <v>113541</v>
          </cell>
          <cell r="AO900">
            <v>37847</v>
          </cell>
          <cell r="AP900">
            <v>37847</v>
          </cell>
        </row>
        <row r="901">
          <cell r="D901" t="str">
            <v>Nghiên cứu, thiết kế nền tảng mô phỏng tàu chiến và chế tạo hệ thống mô phỏng huấn luyện tàu chiến 12418</v>
          </cell>
          <cell r="G901" t="str">
            <v>KHCN</v>
          </cell>
          <cell r="I901" t="str">
            <v>MHMP</v>
          </cell>
          <cell r="AC901">
            <v>1030000</v>
          </cell>
          <cell r="AD901">
            <v>36561534</v>
          </cell>
          <cell r="AE901">
            <v>8645753</v>
          </cell>
          <cell r="AF901">
            <v>8367238</v>
          </cell>
          <cell r="AG901">
            <v>0</v>
          </cell>
          <cell r="AH901">
            <v>0</v>
          </cell>
          <cell r="AI901">
            <v>0</v>
          </cell>
          <cell r="AJ901">
            <v>0</v>
          </cell>
          <cell r="AK901">
            <v>212202</v>
          </cell>
          <cell r="AL901">
            <v>464191</v>
          </cell>
          <cell r="AM901">
            <v>39788</v>
          </cell>
          <cell r="AN901">
            <v>79576</v>
          </cell>
          <cell r="AO901">
            <v>26525</v>
          </cell>
          <cell r="AP901">
            <v>26525</v>
          </cell>
        </row>
        <row r="902">
          <cell r="D902" t="str">
            <v>Nghiên cứu, thiết kế nền tảng mô phỏng tàu chiến và chế tạo hệ thống mô phỏng huấn luyện tàu chiến 12418</v>
          </cell>
          <cell r="G902" t="str">
            <v>KHCN</v>
          </cell>
          <cell r="I902" t="str">
            <v>MHMP</v>
          </cell>
          <cell r="AC902">
            <v>930000</v>
          </cell>
          <cell r="AD902">
            <v>27992970</v>
          </cell>
          <cell r="AE902">
            <v>9700454</v>
          </cell>
          <cell r="AF902">
            <v>9303061</v>
          </cell>
          <cell r="AG902">
            <v>0</v>
          </cell>
          <cell r="AH902">
            <v>0</v>
          </cell>
          <cell r="AI902">
            <v>0</v>
          </cell>
          <cell r="AJ902">
            <v>0</v>
          </cell>
          <cell r="AK902">
            <v>302776</v>
          </cell>
          <cell r="AL902">
            <v>662322</v>
          </cell>
          <cell r="AM902">
            <v>56770</v>
          </cell>
          <cell r="AN902">
            <v>113541</v>
          </cell>
          <cell r="AO902">
            <v>37847</v>
          </cell>
          <cell r="AP902">
            <v>37847</v>
          </cell>
        </row>
        <row r="903">
          <cell r="D903" t="str">
            <v>Nghiên cứu, thiết kế nền tảng mô phỏng tàu chiến và chế tạo hệ thống mô phỏng huấn luyện tàu chiến 12418</v>
          </cell>
          <cell r="G903" t="str">
            <v>KHCN</v>
          </cell>
          <cell r="I903" t="str">
            <v>MHMP</v>
          </cell>
          <cell r="AC903">
            <v>930000</v>
          </cell>
          <cell r="AD903">
            <v>24610989</v>
          </cell>
          <cell r="AE903">
            <v>5642487</v>
          </cell>
          <cell r="AF903">
            <v>5403372</v>
          </cell>
          <cell r="AG903">
            <v>0</v>
          </cell>
          <cell r="AH903">
            <v>0</v>
          </cell>
          <cell r="AI903">
            <v>0</v>
          </cell>
          <cell r="AJ903">
            <v>0</v>
          </cell>
          <cell r="AK903">
            <v>182183</v>
          </cell>
          <cell r="AL903">
            <v>398525</v>
          </cell>
          <cell r="AM903">
            <v>34159</v>
          </cell>
          <cell r="AN903">
            <v>68319</v>
          </cell>
          <cell r="AO903">
            <v>22773</v>
          </cell>
          <cell r="AP903">
            <v>22773</v>
          </cell>
        </row>
        <row r="904">
          <cell r="D904" t="str">
            <v>Sản xuất 04 đài Ra đa 3D cảnh giới tầm trung băng S VRS-MRS và 01 gói vật tư dự phòng (04 đài Ra đa 3D cảnh giới tầm trung băng S VRS-MRS)</v>
          </cell>
          <cell r="G904" t="str">
            <v>SXKD</v>
          </cell>
          <cell r="I904" t="str">
            <v>TTSX</v>
          </cell>
          <cell r="AC904">
            <v>1730000</v>
          </cell>
          <cell r="AD904">
            <v>113306987</v>
          </cell>
          <cell r="AE904">
            <v>18700007</v>
          </cell>
          <cell r="AF904">
            <v>18410905</v>
          </cell>
          <cell r="AG904">
            <v>0</v>
          </cell>
          <cell r="AH904">
            <v>0</v>
          </cell>
          <cell r="AI904">
            <v>0</v>
          </cell>
          <cell r="AJ904">
            <v>0</v>
          </cell>
          <cell r="AK904">
            <v>289102</v>
          </cell>
          <cell r="AL904">
            <v>632410</v>
          </cell>
          <cell r="AM904">
            <v>0</v>
          </cell>
          <cell r="AN904">
            <v>0</v>
          </cell>
          <cell r="AO904">
            <v>0</v>
          </cell>
          <cell r="AP904">
            <v>0</v>
          </cell>
        </row>
        <row r="905">
          <cell r="D905" t="str">
            <v>Sản xuất 04 đài Ra đa 3D cảnh giới tầm trung băng S VRS-MRS và 01 gói vật tư dự phòng (04 đài Ra đa 3D cảnh giới tầm trung băng S VRS-MRS)</v>
          </cell>
          <cell r="G905" t="str">
            <v>SXKD</v>
          </cell>
          <cell r="I905" t="str">
            <v>TTSX</v>
          </cell>
          <cell r="AC905">
            <v>1047000</v>
          </cell>
          <cell r="AD905">
            <v>20021378</v>
          </cell>
          <cell r="AE905">
            <v>17121074</v>
          </cell>
          <cell r="AF905">
            <v>16293002</v>
          </cell>
          <cell r="AG905">
            <v>0</v>
          </cell>
          <cell r="AH905">
            <v>0</v>
          </cell>
          <cell r="AI905">
            <v>0</v>
          </cell>
          <cell r="AJ905">
            <v>0</v>
          </cell>
          <cell r="AK905">
            <v>630912</v>
          </cell>
          <cell r="AL905">
            <v>1380120</v>
          </cell>
          <cell r="AM905">
            <v>118296</v>
          </cell>
          <cell r="AN905">
            <v>236592</v>
          </cell>
          <cell r="AO905">
            <v>78864</v>
          </cell>
          <cell r="AP905">
            <v>78864</v>
          </cell>
        </row>
        <row r="906">
          <cell r="D906" t="str">
            <v>Sản xuất 04 đài Ra đa 3D cảnh giới tầm trung băng S VRS-MRS và 01 gói vật tư dự phòng (04 đài Ra đa 3D cảnh giới tầm trung băng S VRS-MRS)</v>
          </cell>
          <cell r="G906" t="str">
            <v>SXKD</v>
          </cell>
          <cell r="I906" t="str">
            <v>TTSX</v>
          </cell>
          <cell r="AC906">
            <v>930000</v>
          </cell>
          <cell r="AD906">
            <v>15968157</v>
          </cell>
          <cell r="AE906">
            <v>13371349</v>
          </cell>
          <cell r="AF906">
            <v>12626605</v>
          </cell>
          <cell r="AG906">
            <v>0</v>
          </cell>
          <cell r="AH906">
            <v>0</v>
          </cell>
          <cell r="AI906">
            <v>0</v>
          </cell>
          <cell r="AJ906">
            <v>0</v>
          </cell>
          <cell r="AK906">
            <v>567424</v>
          </cell>
          <cell r="AL906">
            <v>1241240</v>
          </cell>
          <cell r="AM906">
            <v>106392</v>
          </cell>
          <cell r="AN906">
            <v>212784</v>
          </cell>
          <cell r="AO906">
            <v>70928</v>
          </cell>
          <cell r="AP906">
            <v>70928</v>
          </cell>
        </row>
        <row r="907">
          <cell r="D907" t="str">
            <v>Sản xuất 04 đài Ra đa 3D cảnh giới tầm trung băng S VRS-MRS và 01 gói vật tư dự phòng (04 đài Ra đa 3D cảnh giới tầm trung băng S VRS-MRS)</v>
          </cell>
          <cell r="G907" t="str">
            <v>SXKD</v>
          </cell>
          <cell r="I907" t="str">
            <v>TTSX</v>
          </cell>
          <cell r="AC907">
            <v>930000</v>
          </cell>
          <cell r="AD907">
            <v>29603768</v>
          </cell>
          <cell r="AE907">
            <v>10330767</v>
          </cell>
          <cell r="AF907">
            <v>9933374</v>
          </cell>
          <cell r="AG907">
            <v>0</v>
          </cell>
          <cell r="AH907">
            <v>0</v>
          </cell>
          <cell r="AI907">
            <v>0</v>
          </cell>
          <cell r="AJ907">
            <v>0</v>
          </cell>
          <cell r="AK907">
            <v>302776</v>
          </cell>
          <cell r="AL907">
            <v>662322</v>
          </cell>
          <cell r="AM907">
            <v>56770</v>
          </cell>
          <cell r="AN907">
            <v>113541</v>
          </cell>
          <cell r="AO907">
            <v>37847</v>
          </cell>
          <cell r="AP907">
            <v>37847</v>
          </cell>
        </row>
        <row r="908">
          <cell r="D908" t="str">
            <v>Sản xuất 04 đài Ra đa 3D cảnh giới tầm trung băng S VRS-MRS và 01 gói vật tư dự phòng (04 đài Ra đa 3D cảnh giới tầm trung băng S VRS-MRS)</v>
          </cell>
          <cell r="G908" t="str">
            <v>SXKD</v>
          </cell>
          <cell r="I908" t="str">
            <v>TTSX</v>
          </cell>
          <cell r="AC908">
            <v>930000</v>
          </cell>
          <cell r="AD908">
            <v>20731958</v>
          </cell>
          <cell r="AE908">
            <v>9315864</v>
          </cell>
          <cell r="AF908">
            <v>8862088</v>
          </cell>
          <cell r="AG908">
            <v>0</v>
          </cell>
          <cell r="AH908">
            <v>0</v>
          </cell>
          <cell r="AI908">
            <v>0</v>
          </cell>
          <cell r="AJ908">
            <v>0</v>
          </cell>
          <cell r="AK908">
            <v>345734</v>
          </cell>
          <cell r="AL908">
            <v>756292</v>
          </cell>
          <cell r="AM908">
            <v>64825</v>
          </cell>
          <cell r="AN908">
            <v>129650</v>
          </cell>
          <cell r="AO908">
            <v>43217</v>
          </cell>
          <cell r="AP908">
            <v>43217</v>
          </cell>
        </row>
        <row r="909">
          <cell r="D909" t="str">
            <v>Sản xuất 04 đài Ra đa 3D cảnh giới tầm trung băng S VRS-MRS và 01 gói vật tư dự phòng (04 đài Ra đa 3D cảnh giới tầm trung băng S VRS-MRS)</v>
          </cell>
          <cell r="G909" t="str">
            <v>SXKD</v>
          </cell>
          <cell r="I909" t="str">
            <v>TTSX</v>
          </cell>
          <cell r="AC909">
            <v>1030000</v>
          </cell>
          <cell r="AD909">
            <v>22263772</v>
          </cell>
          <cell r="AE909">
            <v>10062897</v>
          </cell>
          <cell r="AF909">
            <v>9609121</v>
          </cell>
          <cell r="AG909">
            <v>0</v>
          </cell>
          <cell r="AH909">
            <v>0</v>
          </cell>
          <cell r="AI909">
            <v>0</v>
          </cell>
          <cell r="AJ909">
            <v>0</v>
          </cell>
          <cell r="AK909">
            <v>345734</v>
          </cell>
          <cell r="AL909">
            <v>756292</v>
          </cell>
          <cell r="AM909">
            <v>64825</v>
          </cell>
          <cell r="AN909">
            <v>129650</v>
          </cell>
          <cell r="AO909">
            <v>43217</v>
          </cell>
          <cell r="AP909">
            <v>43217</v>
          </cell>
        </row>
        <row r="910">
          <cell r="D910" t="str">
            <v>Sản xuất 04 đài Ra đa 3D cảnh giới tầm trung băng S VRS-MRS và 01 gói vật tư dự phòng (04 đài Ra đa 3D cảnh giới tầm trung băng S VRS-MRS)</v>
          </cell>
          <cell r="G910" t="str">
            <v>SXKD</v>
          </cell>
          <cell r="I910" t="str">
            <v>TTSX</v>
          </cell>
          <cell r="AC910">
            <v>1047000</v>
          </cell>
          <cell r="AD910">
            <v>22001394</v>
          </cell>
          <cell r="AE910">
            <v>4109334</v>
          </cell>
          <cell r="AF910">
            <v>3910072</v>
          </cell>
          <cell r="AG910">
            <v>0</v>
          </cell>
          <cell r="AH910">
            <v>0</v>
          </cell>
          <cell r="AI910">
            <v>0</v>
          </cell>
          <cell r="AJ910">
            <v>0</v>
          </cell>
          <cell r="AK910">
            <v>151819</v>
          </cell>
          <cell r="AL910">
            <v>332104</v>
          </cell>
          <cell r="AM910">
            <v>28466</v>
          </cell>
          <cell r="AN910">
            <v>56932</v>
          </cell>
          <cell r="AO910">
            <v>18977</v>
          </cell>
          <cell r="AP910">
            <v>18977</v>
          </cell>
        </row>
        <row r="911">
          <cell r="D911" t="str">
            <v>Sản xuất 28 đài ra đa VRS-SRS, 28 bộ thiết bị nhận dạng IFF,  gói vật tư dự phòng và gói triển khai hạ tầng (Đài ra đa VRS-SRS)</v>
          </cell>
          <cell r="G911" t="str">
            <v>SXKD</v>
          </cell>
          <cell r="I911" t="str">
            <v>TTSX</v>
          </cell>
          <cell r="AC911">
            <v>1230000</v>
          </cell>
          <cell r="AD911">
            <v>87733789</v>
          </cell>
          <cell r="AE911">
            <v>7213530</v>
          </cell>
          <cell r="AF911">
            <v>7086950</v>
          </cell>
          <cell r="AG911">
            <v>0</v>
          </cell>
          <cell r="AH911">
            <v>0</v>
          </cell>
          <cell r="AI911">
            <v>0</v>
          </cell>
          <cell r="AJ911">
            <v>0</v>
          </cell>
          <cell r="AK911">
            <v>126580</v>
          </cell>
          <cell r="AL911">
            <v>276893</v>
          </cell>
          <cell r="AM911">
            <v>0</v>
          </cell>
          <cell r="AN911">
            <v>0</v>
          </cell>
          <cell r="AO911">
            <v>0</v>
          </cell>
          <cell r="AP911">
            <v>0</v>
          </cell>
        </row>
        <row r="912">
          <cell r="D912" t="str">
            <v>Sản xuất 28 đài ra đa VRS-SRS, 28 bộ thiết bị nhận dạng IFF,  gói vật tư dự phòng và gói triển khai hạ tầng (Đài ra đa VRS-SRS)</v>
          </cell>
          <cell r="G912" t="str">
            <v>SXKD</v>
          </cell>
          <cell r="I912" t="str">
            <v>TTSX</v>
          </cell>
          <cell r="AC912">
            <v>930000</v>
          </cell>
          <cell r="AD912">
            <v>27734076</v>
          </cell>
          <cell r="AE912">
            <v>3199716</v>
          </cell>
          <cell r="AF912">
            <v>3067252</v>
          </cell>
          <cell r="AG912">
            <v>0</v>
          </cell>
          <cell r="AH912">
            <v>0</v>
          </cell>
          <cell r="AI912">
            <v>0</v>
          </cell>
          <cell r="AJ912">
            <v>0</v>
          </cell>
          <cell r="AK912">
            <v>100925</v>
          </cell>
          <cell r="AL912">
            <v>220774</v>
          </cell>
          <cell r="AM912">
            <v>18923</v>
          </cell>
          <cell r="AN912">
            <v>37847</v>
          </cell>
          <cell r="AO912">
            <v>12616</v>
          </cell>
          <cell r="AP912">
            <v>12616</v>
          </cell>
        </row>
        <row r="913">
          <cell r="D913" t="str">
            <v>Sản xuất 28 đài ra đa VRS-SRS, 28 bộ thiết bị nhận dạng IFF,  gói vật tư dự phòng và gói triển khai hạ tầng (Đài ra đa VRS-SRS)</v>
          </cell>
          <cell r="G913" t="str">
            <v>SXKD</v>
          </cell>
          <cell r="I913" t="str">
            <v>TTSX</v>
          </cell>
          <cell r="AC913">
            <v>930000</v>
          </cell>
          <cell r="AD913">
            <v>18154084</v>
          </cell>
          <cell r="AE913">
            <v>4009769</v>
          </cell>
          <cell r="AF913">
            <v>3793750</v>
          </cell>
          <cell r="AG913">
            <v>0</v>
          </cell>
          <cell r="AH913">
            <v>0</v>
          </cell>
          <cell r="AI913">
            <v>0</v>
          </cell>
          <cell r="AJ913">
            <v>0</v>
          </cell>
          <cell r="AK913">
            <v>164586</v>
          </cell>
          <cell r="AL913">
            <v>360031</v>
          </cell>
          <cell r="AM913">
            <v>30860</v>
          </cell>
          <cell r="AN913">
            <v>61720</v>
          </cell>
          <cell r="AO913">
            <v>20573</v>
          </cell>
          <cell r="AP913">
            <v>20573</v>
          </cell>
        </row>
        <row r="914">
          <cell r="D914" t="str">
            <v>Sản xuất 28 đài ra đa VRS-SRS, 28 bộ thiết bị nhận dạng IFF,  gói vật tư dự phòng và gói triển khai hạ tầng (Đài ra đa VRS-SRS)</v>
          </cell>
          <cell r="G914" t="str">
            <v>SXKD</v>
          </cell>
          <cell r="I914" t="str">
            <v>TTSX</v>
          </cell>
          <cell r="AC914">
            <v>1047000</v>
          </cell>
          <cell r="AD914">
            <v>22001394</v>
          </cell>
          <cell r="AE914">
            <v>1643734</v>
          </cell>
          <cell r="AF914">
            <v>1564029</v>
          </cell>
          <cell r="AG914">
            <v>0</v>
          </cell>
          <cell r="AH914">
            <v>0</v>
          </cell>
          <cell r="AI914">
            <v>0</v>
          </cell>
          <cell r="AJ914">
            <v>0</v>
          </cell>
          <cell r="AK914">
            <v>60728</v>
          </cell>
          <cell r="AL914">
            <v>132842</v>
          </cell>
          <cell r="AM914">
            <v>11386</v>
          </cell>
          <cell r="AN914">
            <v>22773</v>
          </cell>
          <cell r="AO914">
            <v>7591</v>
          </cell>
          <cell r="AP914">
            <v>7591</v>
          </cell>
        </row>
        <row r="915">
          <cell r="D915" t="str">
            <v>Sản xuất 28 đài ra đa VRS-SRS, 28 bộ thiết bị nhận dạng IFF,  gói vật tư dự phòng và gói triển khai hạ tầng (Bộ Zip cho đài RD VRS SRS)</v>
          </cell>
          <cell r="G915" t="str">
            <v>SXKD</v>
          </cell>
          <cell r="I915" t="str">
            <v>TTSX</v>
          </cell>
          <cell r="AC915">
            <v>930000</v>
          </cell>
          <cell r="AD915">
            <v>27734076</v>
          </cell>
          <cell r="AE915">
            <v>2133144</v>
          </cell>
          <cell r="AF915">
            <v>2044835</v>
          </cell>
          <cell r="AG915">
            <v>0</v>
          </cell>
          <cell r="AH915">
            <v>0</v>
          </cell>
          <cell r="AI915">
            <v>0</v>
          </cell>
          <cell r="AJ915">
            <v>0</v>
          </cell>
          <cell r="AK915">
            <v>67283</v>
          </cell>
          <cell r="AL915">
            <v>147183</v>
          </cell>
          <cell r="AM915">
            <v>12616</v>
          </cell>
          <cell r="AN915">
            <v>25231</v>
          </cell>
          <cell r="AO915">
            <v>8410</v>
          </cell>
          <cell r="AP915">
            <v>8410</v>
          </cell>
        </row>
        <row r="916">
          <cell r="D916" t="str">
            <v>Sản xuất 28 đài ra đa VRS-SRS, 28 bộ thiết bị nhận dạng IFF,  gói vật tư dự phòng và gói triển khai hạ tầng (Bộ Zip cho đài RD VRS SRS)</v>
          </cell>
          <cell r="G916" t="str">
            <v>SXKD</v>
          </cell>
          <cell r="I916" t="str">
            <v>TTSX</v>
          </cell>
          <cell r="AC916">
            <v>930000</v>
          </cell>
          <cell r="AD916">
            <v>18154084</v>
          </cell>
          <cell r="AE916">
            <v>1336590</v>
          </cell>
          <cell r="AF916">
            <v>1264583</v>
          </cell>
          <cell r="AG916">
            <v>0</v>
          </cell>
          <cell r="AH916">
            <v>0</v>
          </cell>
          <cell r="AI916">
            <v>0</v>
          </cell>
          <cell r="AJ916">
            <v>0</v>
          </cell>
          <cell r="AK916">
            <v>54862</v>
          </cell>
          <cell r="AL916">
            <v>120010</v>
          </cell>
          <cell r="AM916">
            <v>10287</v>
          </cell>
          <cell r="AN916">
            <v>20573</v>
          </cell>
          <cell r="AO916">
            <v>6858</v>
          </cell>
          <cell r="AP916">
            <v>6858</v>
          </cell>
        </row>
        <row r="917">
          <cell r="D917" t="str">
            <v>Sản xuất 28 đài ra đa VRS-SRS, 28 bộ thiết bị nhận dạng IFF,  gói vật tư dự phòng và gói triển khai hạ tầng (Bộ thiết bị nhận dạng IFF)</v>
          </cell>
          <cell r="G917" t="str">
            <v>SXKD</v>
          </cell>
          <cell r="I917" t="str">
            <v>TTSX</v>
          </cell>
          <cell r="AC917">
            <v>1230000</v>
          </cell>
          <cell r="AD917">
            <v>87733789</v>
          </cell>
          <cell r="AE917">
            <v>7213530</v>
          </cell>
          <cell r="AF917">
            <v>7086950</v>
          </cell>
          <cell r="AG917">
            <v>0</v>
          </cell>
          <cell r="AH917">
            <v>0</v>
          </cell>
          <cell r="AI917">
            <v>0</v>
          </cell>
          <cell r="AJ917">
            <v>0</v>
          </cell>
          <cell r="AK917">
            <v>126580</v>
          </cell>
          <cell r="AL917">
            <v>276893</v>
          </cell>
          <cell r="AM917">
            <v>0</v>
          </cell>
          <cell r="AN917">
            <v>0</v>
          </cell>
          <cell r="AO917">
            <v>0</v>
          </cell>
          <cell r="AP917">
            <v>0</v>
          </cell>
        </row>
        <row r="918">
          <cell r="D918" t="str">
            <v>Sản xuất 28 đài ra đa VRS-SRS, 28 bộ thiết bị nhận dạng IFF,  gói vật tư dự phòng và gói triển khai hạ tầng (Bộ thiết bị nhận dạng IFF)</v>
          </cell>
          <cell r="G918" t="str">
            <v>SXKD</v>
          </cell>
          <cell r="I918" t="str">
            <v>TTSX</v>
          </cell>
          <cell r="AC918">
            <v>930000</v>
          </cell>
          <cell r="AD918">
            <v>27734076</v>
          </cell>
          <cell r="AE918">
            <v>3199716</v>
          </cell>
          <cell r="AF918">
            <v>3067252</v>
          </cell>
          <cell r="AG918">
            <v>0</v>
          </cell>
          <cell r="AH918">
            <v>0</v>
          </cell>
          <cell r="AI918">
            <v>0</v>
          </cell>
          <cell r="AJ918">
            <v>0</v>
          </cell>
          <cell r="AK918">
            <v>100925</v>
          </cell>
          <cell r="AL918">
            <v>220774</v>
          </cell>
          <cell r="AM918">
            <v>18923</v>
          </cell>
          <cell r="AN918">
            <v>37847</v>
          </cell>
          <cell r="AO918">
            <v>12616</v>
          </cell>
          <cell r="AP918">
            <v>12616</v>
          </cell>
        </row>
        <row r="919">
          <cell r="D919" t="str">
            <v>Sản xuất 28 đài ra đa VRS-SRS, 28 bộ thiết bị nhận dạng IFF,  gói vật tư dự phòng và gói triển khai hạ tầng (Bộ thiết bị nhận dạng IFF)</v>
          </cell>
          <cell r="G919" t="str">
            <v>SXKD</v>
          </cell>
          <cell r="I919" t="str">
            <v>TTSX</v>
          </cell>
          <cell r="AC919">
            <v>930000</v>
          </cell>
          <cell r="AD919">
            <v>18154084</v>
          </cell>
          <cell r="AE919">
            <v>2673179</v>
          </cell>
          <cell r="AF919">
            <v>2529167</v>
          </cell>
          <cell r="AG919">
            <v>0</v>
          </cell>
          <cell r="AH919">
            <v>0</v>
          </cell>
          <cell r="AI919">
            <v>0</v>
          </cell>
          <cell r="AJ919">
            <v>0</v>
          </cell>
          <cell r="AK919">
            <v>109724</v>
          </cell>
          <cell r="AL919">
            <v>240021</v>
          </cell>
          <cell r="AM919">
            <v>20573</v>
          </cell>
          <cell r="AN919">
            <v>41146</v>
          </cell>
          <cell r="AO919">
            <v>13715</v>
          </cell>
          <cell r="AP919">
            <v>13715</v>
          </cell>
        </row>
        <row r="920">
          <cell r="D920" t="str">
            <v>Sản xuất 28 đài ra đa VRS-SRS, 28 bộ thiết bị nhận dạng IFF,  gói vật tư dự phòng và gói triển khai hạ tầng (Bộ thiết bị nhận dạng IFF)</v>
          </cell>
          <cell r="G920" t="str">
            <v>SXKD</v>
          </cell>
          <cell r="I920" t="str">
            <v>TTSX</v>
          </cell>
          <cell r="AC920">
            <v>1047000</v>
          </cell>
          <cell r="AD920">
            <v>22001394</v>
          </cell>
          <cell r="AE920">
            <v>1643734</v>
          </cell>
          <cell r="AF920">
            <v>1564029</v>
          </cell>
          <cell r="AG920">
            <v>0</v>
          </cell>
          <cell r="AH920">
            <v>0</v>
          </cell>
          <cell r="AI920">
            <v>0</v>
          </cell>
          <cell r="AJ920">
            <v>0</v>
          </cell>
          <cell r="AK920">
            <v>60728</v>
          </cell>
          <cell r="AL920">
            <v>132842</v>
          </cell>
          <cell r="AM920">
            <v>11386</v>
          </cell>
          <cell r="AN920">
            <v>22773</v>
          </cell>
          <cell r="AO920">
            <v>7591</v>
          </cell>
          <cell r="AP920">
            <v>7591</v>
          </cell>
        </row>
        <row r="921">
          <cell r="D921" t="str">
            <v>Sản xuất 28 đài ra đa VRS-SRS, 28 bộ thiết bị nhận dạng IFF,  gói vật tư dự phòng và gói triển khai hạ tầng (Bộ Zip thiết bị nhận dạng IFF)</v>
          </cell>
          <cell r="G921" t="str">
            <v>SXKD</v>
          </cell>
          <cell r="I921" t="str">
            <v>TTSX</v>
          </cell>
          <cell r="AC921">
            <v>930000</v>
          </cell>
          <cell r="AD921">
            <v>27734076</v>
          </cell>
          <cell r="AE921">
            <v>1066572</v>
          </cell>
          <cell r="AF921">
            <v>1022417</v>
          </cell>
          <cell r="AG921">
            <v>0</v>
          </cell>
          <cell r="AH921">
            <v>0</v>
          </cell>
          <cell r="AI921">
            <v>0</v>
          </cell>
          <cell r="AJ921">
            <v>0</v>
          </cell>
          <cell r="AK921">
            <v>33642</v>
          </cell>
          <cell r="AL921">
            <v>73591</v>
          </cell>
          <cell r="AM921">
            <v>6308</v>
          </cell>
          <cell r="AN921">
            <v>12616</v>
          </cell>
          <cell r="AO921">
            <v>4205</v>
          </cell>
          <cell r="AP921">
            <v>4205</v>
          </cell>
        </row>
        <row r="922">
          <cell r="D922" t="str">
            <v>Sản xuất 28 đài ra đa VRS-SRS, 28 bộ thiết bị nhận dạng IFF,  gói vật tư dự phòng và gói triển khai hạ tầng (Bộ Zip thiết bị nhận dạng IFF)</v>
          </cell>
          <cell r="G922" t="str">
            <v>SXKD</v>
          </cell>
          <cell r="I922" t="str">
            <v>TTSX</v>
          </cell>
          <cell r="AC922">
            <v>930000</v>
          </cell>
          <cell r="AD922">
            <v>18154084</v>
          </cell>
          <cell r="AE922">
            <v>1336590</v>
          </cell>
          <cell r="AF922">
            <v>1264583</v>
          </cell>
          <cell r="AG922">
            <v>0</v>
          </cell>
          <cell r="AH922">
            <v>0</v>
          </cell>
          <cell r="AI922">
            <v>0</v>
          </cell>
          <cell r="AJ922">
            <v>0</v>
          </cell>
          <cell r="AK922">
            <v>54862</v>
          </cell>
          <cell r="AL922">
            <v>120010</v>
          </cell>
          <cell r="AM922">
            <v>10287</v>
          </cell>
          <cell r="AN922">
            <v>20573</v>
          </cell>
          <cell r="AO922">
            <v>6858</v>
          </cell>
          <cell r="AP922">
            <v>6858</v>
          </cell>
        </row>
        <row r="923">
          <cell r="D923" t="str">
            <v>Sản xuất 31 đài quang điện tử VEE - LRA và gói vật tư dự phòng (Đài quang điện tử VEE-LRA)</v>
          </cell>
          <cell r="G923" t="str">
            <v>SXKD</v>
          </cell>
          <cell r="I923" t="str">
            <v>TTSX</v>
          </cell>
          <cell r="AC923">
            <v>1730000</v>
          </cell>
          <cell r="AD923">
            <v>113306987</v>
          </cell>
          <cell r="AE923">
            <v>18700007</v>
          </cell>
          <cell r="AF923">
            <v>18410905</v>
          </cell>
          <cell r="AG923">
            <v>0</v>
          </cell>
          <cell r="AH923">
            <v>0</v>
          </cell>
          <cell r="AI923">
            <v>0</v>
          </cell>
          <cell r="AJ923">
            <v>0</v>
          </cell>
          <cell r="AK923">
            <v>289102</v>
          </cell>
          <cell r="AL923">
            <v>632410</v>
          </cell>
          <cell r="AM923">
            <v>0</v>
          </cell>
          <cell r="AN923">
            <v>0</v>
          </cell>
          <cell r="AO923">
            <v>0</v>
          </cell>
          <cell r="AP923">
            <v>0</v>
          </cell>
        </row>
        <row r="924">
          <cell r="D924" t="str">
            <v>Sản xuất 31 đài quang điện tử VEE - LRA và gói vật tư dự phòng (Đài quang điện tử VEE-LRA)</v>
          </cell>
          <cell r="G924" t="str">
            <v>SXKD</v>
          </cell>
          <cell r="I924" t="str">
            <v>TTSX</v>
          </cell>
          <cell r="AC924">
            <v>1030000</v>
          </cell>
          <cell r="AD924">
            <v>32935265</v>
          </cell>
          <cell r="AE924">
            <v>15399540</v>
          </cell>
          <cell r="AF924">
            <v>14842511</v>
          </cell>
          <cell r="AG924">
            <v>0</v>
          </cell>
          <cell r="AH924">
            <v>0</v>
          </cell>
          <cell r="AI924">
            <v>0</v>
          </cell>
          <cell r="AJ924">
            <v>0</v>
          </cell>
          <cell r="AK924">
            <v>424403</v>
          </cell>
          <cell r="AL924">
            <v>928383</v>
          </cell>
          <cell r="AM924">
            <v>79576</v>
          </cell>
          <cell r="AN924">
            <v>159151</v>
          </cell>
          <cell r="AO924">
            <v>53050</v>
          </cell>
          <cell r="AP924">
            <v>53050</v>
          </cell>
        </row>
        <row r="925">
          <cell r="D925" t="str">
            <v>Sản xuất 31 đài quang điện tử VEE - LRA và gói vật tư dự phòng (Đài quang điện tử VEE-LRA)</v>
          </cell>
          <cell r="G925" t="str">
            <v>SXKD</v>
          </cell>
          <cell r="I925" t="str">
            <v>TTSX</v>
          </cell>
          <cell r="AC925">
            <v>930000</v>
          </cell>
          <cell r="AD925">
            <v>20731958</v>
          </cell>
          <cell r="AE925">
            <v>5434254</v>
          </cell>
          <cell r="AF925">
            <v>5169551</v>
          </cell>
          <cell r="AG925">
            <v>0</v>
          </cell>
          <cell r="AH925">
            <v>0</v>
          </cell>
          <cell r="AI925">
            <v>0</v>
          </cell>
          <cell r="AJ925">
            <v>0</v>
          </cell>
          <cell r="AK925">
            <v>201678</v>
          </cell>
          <cell r="AL925">
            <v>441170</v>
          </cell>
          <cell r="AM925">
            <v>37815</v>
          </cell>
          <cell r="AN925">
            <v>75629</v>
          </cell>
          <cell r="AO925">
            <v>25210</v>
          </cell>
          <cell r="AP925">
            <v>25210</v>
          </cell>
        </row>
        <row r="926">
          <cell r="D926" t="str">
            <v>Sản xuất 31 đài quang điện tử VEE - LRA và gói vật tư dự phòng (Đài quang điện tử VEE-LRA)</v>
          </cell>
          <cell r="G926" t="str">
            <v>SXKD</v>
          </cell>
          <cell r="I926" t="str">
            <v>TTSX</v>
          </cell>
          <cell r="AC926">
            <v>1047000</v>
          </cell>
          <cell r="AD926">
            <v>13670346</v>
          </cell>
          <cell r="AE926">
            <v>1919675</v>
          </cell>
          <cell r="AF926">
            <v>1796495</v>
          </cell>
          <cell r="AG926">
            <v>0</v>
          </cell>
          <cell r="AH926">
            <v>0</v>
          </cell>
          <cell r="AI926">
            <v>0</v>
          </cell>
          <cell r="AJ926">
            <v>0</v>
          </cell>
          <cell r="AK926">
            <v>93852</v>
          </cell>
          <cell r="AL926">
            <v>205301</v>
          </cell>
          <cell r="AM926">
            <v>17597</v>
          </cell>
          <cell r="AN926">
            <v>35194</v>
          </cell>
          <cell r="AO926">
            <v>11731</v>
          </cell>
          <cell r="AP926">
            <v>11731</v>
          </cell>
        </row>
        <row r="927">
          <cell r="D927" t="str">
            <v>Sản xuất 31 đài quang điện tử VEE - LRA và gói vật tư dự phòng (Bộ ZIP VEE-LRA)</v>
          </cell>
          <cell r="G927" t="str">
            <v>SXKD</v>
          </cell>
          <cell r="I927" t="str">
            <v>TTSX</v>
          </cell>
          <cell r="AC927">
            <v>1730000</v>
          </cell>
          <cell r="AD927">
            <v>113306987</v>
          </cell>
          <cell r="AE927">
            <v>4675002</v>
          </cell>
          <cell r="AF927">
            <v>4602727</v>
          </cell>
          <cell r="AG927">
            <v>0</v>
          </cell>
          <cell r="AH927">
            <v>0</v>
          </cell>
          <cell r="AI927">
            <v>0</v>
          </cell>
          <cell r="AJ927">
            <v>0</v>
          </cell>
          <cell r="AK927">
            <v>72275</v>
          </cell>
          <cell r="AL927">
            <v>158103</v>
          </cell>
          <cell r="AM927">
            <v>0</v>
          </cell>
          <cell r="AN927">
            <v>0</v>
          </cell>
          <cell r="AO927">
            <v>0</v>
          </cell>
          <cell r="AP927">
            <v>0</v>
          </cell>
        </row>
        <row r="928">
          <cell r="D928" t="str">
            <v>Sản xuất 31 đài quang điện tử VEE - LRA và gói vật tư dự phòng (Bộ ZIP VEE-LRA)</v>
          </cell>
          <cell r="G928" t="str">
            <v>SXKD</v>
          </cell>
          <cell r="I928" t="str">
            <v>TTSX</v>
          </cell>
          <cell r="AC928">
            <v>1030000</v>
          </cell>
          <cell r="AD928">
            <v>32935265</v>
          </cell>
          <cell r="AE928">
            <v>2566590</v>
          </cell>
          <cell r="AF928">
            <v>2473751</v>
          </cell>
          <cell r="AG928">
            <v>0</v>
          </cell>
          <cell r="AH928">
            <v>0</v>
          </cell>
          <cell r="AI928">
            <v>0</v>
          </cell>
          <cell r="AJ928">
            <v>0</v>
          </cell>
          <cell r="AK928">
            <v>70734</v>
          </cell>
          <cell r="AL928">
            <v>154730</v>
          </cell>
          <cell r="AM928">
            <v>13263</v>
          </cell>
          <cell r="AN928">
            <v>26525</v>
          </cell>
          <cell r="AO928">
            <v>8842</v>
          </cell>
          <cell r="AP928">
            <v>8842</v>
          </cell>
        </row>
        <row r="929">
          <cell r="D929" t="str">
            <v>Sản xuất 31 đài quang điện tử VEE - LRA và gói vật tư dự phòng (Bộ ZIP VEE-LRA)</v>
          </cell>
          <cell r="G929" t="str">
            <v>SXKD</v>
          </cell>
          <cell r="I929" t="str">
            <v>TTSX</v>
          </cell>
          <cell r="AC929">
            <v>930000</v>
          </cell>
          <cell r="AD929">
            <v>20731958</v>
          </cell>
          <cell r="AE929">
            <v>1552644</v>
          </cell>
          <cell r="AF929">
            <v>1477015</v>
          </cell>
          <cell r="AG929">
            <v>0</v>
          </cell>
          <cell r="AH929">
            <v>0</v>
          </cell>
          <cell r="AI929">
            <v>0</v>
          </cell>
          <cell r="AJ929">
            <v>0</v>
          </cell>
          <cell r="AK929">
            <v>57622</v>
          </cell>
          <cell r="AL929">
            <v>126049</v>
          </cell>
          <cell r="AM929">
            <v>10804</v>
          </cell>
          <cell r="AN929">
            <v>21608</v>
          </cell>
          <cell r="AO929">
            <v>7203</v>
          </cell>
          <cell r="AP929">
            <v>7203</v>
          </cell>
        </row>
        <row r="930">
          <cell r="D930" t="str">
            <v>Sản xuất 31 đài quang điện tử VEE - LRA và gói vật tư dự phòng (Bộ ZIP VEE-LRA)</v>
          </cell>
          <cell r="G930" t="str">
            <v>SXKD</v>
          </cell>
          <cell r="I930" t="str">
            <v>TTSX</v>
          </cell>
          <cell r="AC930">
            <v>1047000</v>
          </cell>
          <cell r="AD930">
            <v>13670346</v>
          </cell>
          <cell r="AE930">
            <v>479919</v>
          </cell>
          <cell r="AF930">
            <v>449124</v>
          </cell>
          <cell r="AG930">
            <v>0</v>
          </cell>
          <cell r="AH930">
            <v>0</v>
          </cell>
          <cell r="AI930">
            <v>0</v>
          </cell>
          <cell r="AJ930">
            <v>0</v>
          </cell>
          <cell r="AK930">
            <v>23463</v>
          </cell>
          <cell r="AL930">
            <v>51325</v>
          </cell>
          <cell r="AM930">
            <v>4399</v>
          </cell>
          <cell r="AN930">
            <v>8799</v>
          </cell>
          <cell r="AO930">
            <v>2933</v>
          </cell>
          <cell r="AP930">
            <v>2933</v>
          </cell>
        </row>
        <row r="931">
          <cell r="D931" t="str">
            <v>Sản xuất 02 xe ra đa chỉ thị mục tiêu VRS-MCX, 05 đài ra đa cảnh giới biển tầm trung cơ động VRS-MSX và gói vật tư dự phòng (Xe ra đa VRS-MCX)</v>
          </cell>
          <cell r="G931" t="str">
            <v>SXKD</v>
          </cell>
          <cell r="I931" t="str">
            <v>TTSX</v>
          </cell>
          <cell r="AC931">
            <v>1030000</v>
          </cell>
          <cell r="AD931">
            <v>51120531</v>
          </cell>
          <cell r="AE931">
            <v>8226913</v>
          </cell>
          <cell r="AF931">
            <v>8010441</v>
          </cell>
          <cell r="AG931">
            <v>0</v>
          </cell>
          <cell r="AH931">
            <v>0</v>
          </cell>
          <cell r="AI931">
            <v>0</v>
          </cell>
          <cell r="AJ931">
            <v>0</v>
          </cell>
          <cell r="AK931">
            <v>164931</v>
          </cell>
          <cell r="AL931">
            <v>360786</v>
          </cell>
          <cell r="AM931">
            <v>30925</v>
          </cell>
          <cell r="AN931">
            <v>61849</v>
          </cell>
          <cell r="AO931">
            <v>20616</v>
          </cell>
          <cell r="AP931">
            <v>20616</v>
          </cell>
        </row>
        <row r="932">
          <cell r="D932" t="str">
            <v>Sản xuất 02 xe ra đa chỉ thị mục tiêu VRS-MCX, 05 đài ra đa cảnh giới biển tầm trung cơ động VRS-MSX và gói vật tư dự phòng (Xe ra đa VRS-MCX)</v>
          </cell>
          <cell r="G932" t="str">
            <v>SXKD</v>
          </cell>
          <cell r="I932" t="str">
            <v>TTSX</v>
          </cell>
          <cell r="AC932">
            <v>1130000</v>
          </cell>
          <cell r="AD932">
            <v>51659283</v>
          </cell>
          <cell r="AE932">
            <v>16753147</v>
          </cell>
          <cell r="AF932">
            <v>16405972</v>
          </cell>
          <cell r="AG932">
            <v>0</v>
          </cell>
          <cell r="AH932">
            <v>0</v>
          </cell>
          <cell r="AI932">
            <v>0</v>
          </cell>
          <cell r="AJ932">
            <v>0</v>
          </cell>
          <cell r="AK932">
            <v>292358</v>
          </cell>
          <cell r="AL932">
            <v>639532</v>
          </cell>
          <cell r="AM932">
            <v>54817</v>
          </cell>
          <cell r="AN932">
            <v>109634</v>
          </cell>
          <cell r="AO932">
            <v>0</v>
          </cell>
          <cell r="AP932">
            <v>0</v>
          </cell>
        </row>
        <row r="933">
          <cell r="D933" t="str">
            <v>Sản xuất 02 xe ra đa chỉ thị mục tiêu VRS-MCX, 05 đài ra đa cảnh giới biển tầm trung cơ động VRS-MSX và gói vật tư dự phòng (Xe ra đa VRS-MCX)</v>
          </cell>
          <cell r="G933" t="str">
            <v>SXKD</v>
          </cell>
          <cell r="I933" t="str">
            <v>TTSX</v>
          </cell>
          <cell r="AC933">
            <v>930000</v>
          </cell>
          <cell r="AD933">
            <v>29328464</v>
          </cell>
          <cell r="AE933">
            <v>9087146</v>
          </cell>
          <cell r="AF933">
            <v>8733907</v>
          </cell>
          <cell r="AG933">
            <v>0</v>
          </cell>
          <cell r="AH933">
            <v>0</v>
          </cell>
          <cell r="AI933">
            <v>0</v>
          </cell>
          <cell r="AJ933">
            <v>0</v>
          </cell>
          <cell r="AK933">
            <v>269134</v>
          </cell>
          <cell r="AL933">
            <v>588730</v>
          </cell>
          <cell r="AM933">
            <v>50463</v>
          </cell>
          <cell r="AN933">
            <v>100925</v>
          </cell>
          <cell r="AO933">
            <v>33642</v>
          </cell>
          <cell r="AP933">
            <v>33642</v>
          </cell>
        </row>
        <row r="934">
          <cell r="D934" t="str">
            <v>Sản xuất 02 xe ra đa chỉ thị mục tiêu VRS-MCX, 05 đài ra đa cảnh giới biển tầm trung cơ động VRS-MSX và gói vật tư dự phòng (Xe ra đa VRS-MCX)</v>
          </cell>
          <cell r="G934" t="str">
            <v>SXKD</v>
          </cell>
          <cell r="I934" t="str">
            <v>TTSX</v>
          </cell>
          <cell r="AC934">
            <v>1398000</v>
          </cell>
          <cell r="AD934">
            <v>20237532</v>
          </cell>
          <cell r="AE934">
            <v>1468955</v>
          </cell>
          <cell r="AF934">
            <v>1393326</v>
          </cell>
          <cell r="AG934">
            <v>0</v>
          </cell>
          <cell r="AH934">
            <v>0</v>
          </cell>
          <cell r="AI934">
            <v>0</v>
          </cell>
          <cell r="AJ934">
            <v>0</v>
          </cell>
          <cell r="AK934">
            <v>57622</v>
          </cell>
          <cell r="AL934">
            <v>126049</v>
          </cell>
          <cell r="AM934">
            <v>10804</v>
          </cell>
          <cell r="AN934">
            <v>21608</v>
          </cell>
          <cell r="AO934">
            <v>7203</v>
          </cell>
          <cell r="AP934">
            <v>7203</v>
          </cell>
        </row>
        <row r="935">
          <cell r="D935" t="str">
            <v>Sản xuất 02 xe ra đa chỉ thị mục tiêu VRS-MCX, 05 đài ra đa cảnh giới biển tầm trung cơ động VRS-MSX và gói vật tư dự phòng (Xe ra đa VRS-MCX)</v>
          </cell>
          <cell r="G935" t="str">
            <v>SXKD</v>
          </cell>
          <cell r="I935" t="str">
            <v>TTSX</v>
          </cell>
          <cell r="AC935">
            <v>1047000</v>
          </cell>
          <cell r="AD935">
            <v>13670346</v>
          </cell>
          <cell r="AE935">
            <v>479919</v>
          </cell>
          <cell r="AF935">
            <v>449124</v>
          </cell>
          <cell r="AG935">
            <v>0</v>
          </cell>
          <cell r="AH935">
            <v>0</v>
          </cell>
          <cell r="AI935">
            <v>0</v>
          </cell>
          <cell r="AJ935">
            <v>0</v>
          </cell>
          <cell r="AK935">
            <v>23463</v>
          </cell>
          <cell r="AL935">
            <v>51325</v>
          </cell>
          <cell r="AM935">
            <v>4399</v>
          </cell>
          <cell r="AN935">
            <v>8799</v>
          </cell>
          <cell r="AO935">
            <v>2933</v>
          </cell>
          <cell r="AP935">
            <v>2933</v>
          </cell>
        </row>
        <row r="936">
          <cell r="D936" t="str">
            <v>Sản xuất 02 xe ra đa chỉ thị mục tiêu VRS-MCX, 05 đài ra đa cảnh giới biển tầm trung cơ động VRS-MSX và gói vật tư dự phòng (Đài ra đa VRS-MSX)</v>
          </cell>
          <cell r="G936" t="str">
            <v>SXKD</v>
          </cell>
          <cell r="I936" t="str">
            <v>TTSX</v>
          </cell>
          <cell r="AC936">
            <v>1730000</v>
          </cell>
          <cell r="AD936">
            <v>113306987</v>
          </cell>
          <cell r="AE936">
            <v>18700007</v>
          </cell>
          <cell r="AF936">
            <v>18410905</v>
          </cell>
          <cell r="AG936">
            <v>0</v>
          </cell>
          <cell r="AH936">
            <v>0</v>
          </cell>
          <cell r="AI936">
            <v>0</v>
          </cell>
          <cell r="AJ936">
            <v>0</v>
          </cell>
          <cell r="AK936">
            <v>289102</v>
          </cell>
          <cell r="AL936">
            <v>632410</v>
          </cell>
          <cell r="AM936">
            <v>0</v>
          </cell>
          <cell r="AN936">
            <v>0</v>
          </cell>
          <cell r="AO936">
            <v>0</v>
          </cell>
          <cell r="AP936">
            <v>0</v>
          </cell>
        </row>
        <row r="937">
          <cell r="D937" t="str">
            <v>Sản xuất 02 xe ra đa chỉ thị mục tiêu VRS-MCX, 05 đài ra đa cảnh giới biển tầm trung cơ động VRS-MSX và gói vật tư dự phòng (Đài ra đa VRS-MSX)</v>
          </cell>
          <cell r="G937" t="str">
            <v>SXKD</v>
          </cell>
          <cell r="I937" t="str">
            <v>TTSX</v>
          </cell>
          <cell r="AC937">
            <v>1030000</v>
          </cell>
          <cell r="AD937">
            <v>51120531</v>
          </cell>
          <cell r="AE937">
            <v>20567281</v>
          </cell>
          <cell r="AF937">
            <v>20026102</v>
          </cell>
          <cell r="AG937">
            <v>0</v>
          </cell>
          <cell r="AH937">
            <v>0</v>
          </cell>
          <cell r="AI937">
            <v>0</v>
          </cell>
          <cell r="AJ937">
            <v>0</v>
          </cell>
          <cell r="AK937">
            <v>412327</v>
          </cell>
          <cell r="AL937">
            <v>901965</v>
          </cell>
          <cell r="AM937">
            <v>77311</v>
          </cell>
          <cell r="AN937">
            <v>154623</v>
          </cell>
          <cell r="AO937">
            <v>51541</v>
          </cell>
          <cell r="AP937">
            <v>51541</v>
          </cell>
        </row>
        <row r="938">
          <cell r="D938" t="str">
            <v>Sản xuất 02 xe ra đa chỉ thị mục tiêu VRS-MCX, 05 đài ra đa cảnh giới biển tầm trung cơ động VRS-MSX và gói vật tư dự phòng (Đài ra đa VRS-MSX)</v>
          </cell>
          <cell r="G938" t="str">
            <v>SXKD</v>
          </cell>
          <cell r="I938" t="str">
            <v>TTSX</v>
          </cell>
          <cell r="AC938">
            <v>1130000</v>
          </cell>
          <cell r="AD938">
            <v>51659283</v>
          </cell>
          <cell r="AE938">
            <v>4188287</v>
          </cell>
          <cell r="AF938">
            <v>4101494</v>
          </cell>
          <cell r="AG938">
            <v>0</v>
          </cell>
          <cell r="AH938">
            <v>0</v>
          </cell>
          <cell r="AI938">
            <v>0</v>
          </cell>
          <cell r="AJ938">
            <v>0</v>
          </cell>
          <cell r="AK938">
            <v>73089</v>
          </cell>
          <cell r="AL938">
            <v>159883</v>
          </cell>
          <cell r="AM938">
            <v>13704</v>
          </cell>
          <cell r="AN938">
            <v>27409</v>
          </cell>
          <cell r="AO938">
            <v>0</v>
          </cell>
          <cell r="AP938">
            <v>0</v>
          </cell>
        </row>
        <row r="939">
          <cell r="D939" t="str">
            <v>Sản xuất 02 xe ra đa chỉ thị mục tiêu VRS-MCX, 05 đài ra đa cảnh giới biển tầm trung cơ động VRS-MSX và gói vật tư dự phòng (Đài ra đa VRS-MSX)</v>
          </cell>
          <cell r="G939" t="str">
            <v>SXKD</v>
          </cell>
          <cell r="I939" t="str">
            <v>TTSX</v>
          </cell>
          <cell r="AC939">
            <v>930000</v>
          </cell>
          <cell r="AD939">
            <v>29328464</v>
          </cell>
          <cell r="AE939">
            <v>2271786</v>
          </cell>
          <cell r="AF939">
            <v>2183477</v>
          </cell>
          <cell r="AG939">
            <v>0</v>
          </cell>
          <cell r="AH939">
            <v>0</v>
          </cell>
          <cell r="AI939">
            <v>0</v>
          </cell>
          <cell r="AJ939">
            <v>0</v>
          </cell>
          <cell r="AK939">
            <v>67283</v>
          </cell>
          <cell r="AL939">
            <v>147183</v>
          </cell>
          <cell r="AM939">
            <v>12616</v>
          </cell>
          <cell r="AN939">
            <v>25231</v>
          </cell>
          <cell r="AO939">
            <v>8410</v>
          </cell>
          <cell r="AP939">
            <v>8410</v>
          </cell>
        </row>
        <row r="940">
          <cell r="D940" t="str">
            <v>Sản xuất 02 xe ra đa chỉ thị mục tiêu VRS-MCX, 05 đài ra đa cảnh giới biển tầm trung cơ động VRS-MSX và gói vật tư dự phòng (Đài ra đa VRS-MSX)</v>
          </cell>
          <cell r="G940" t="str">
            <v>SXKD</v>
          </cell>
          <cell r="I940" t="str">
            <v>TTSX</v>
          </cell>
          <cell r="AC940">
            <v>1398000</v>
          </cell>
          <cell r="AD940">
            <v>20237532</v>
          </cell>
          <cell r="AE940">
            <v>5141342</v>
          </cell>
          <cell r="AF940">
            <v>4876639</v>
          </cell>
          <cell r="AG940">
            <v>0</v>
          </cell>
          <cell r="AH940">
            <v>0</v>
          </cell>
          <cell r="AI940">
            <v>0</v>
          </cell>
          <cell r="AJ940">
            <v>0</v>
          </cell>
          <cell r="AK940">
            <v>201678</v>
          </cell>
          <cell r="AL940">
            <v>441170</v>
          </cell>
          <cell r="AM940">
            <v>37815</v>
          </cell>
          <cell r="AN940">
            <v>75629</v>
          </cell>
          <cell r="AO940">
            <v>25210</v>
          </cell>
          <cell r="AP940">
            <v>25210</v>
          </cell>
        </row>
        <row r="941">
          <cell r="D941" t="str">
            <v>Sản xuất 02 xe ra đa chỉ thị mục tiêu VRS-MCX, 05 đài ra đa cảnh giới biển tầm trung cơ động VRS-MSX và gói vật tư dự phòng (Đài ra đa VRS-MSX)</v>
          </cell>
          <cell r="G941" t="str">
            <v>SXKD</v>
          </cell>
          <cell r="I941" t="str">
            <v>TTSX</v>
          </cell>
          <cell r="AC941">
            <v>1047000</v>
          </cell>
          <cell r="AD941">
            <v>13670346</v>
          </cell>
          <cell r="AE941">
            <v>1919675</v>
          </cell>
          <cell r="AF941">
            <v>1796495</v>
          </cell>
          <cell r="AG941">
            <v>0</v>
          </cell>
          <cell r="AH941">
            <v>0</v>
          </cell>
          <cell r="AI941">
            <v>0</v>
          </cell>
          <cell r="AJ941">
            <v>0</v>
          </cell>
          <cell r="AK941">
            <v>93852</v>
          </cell>
          <cell r="AL941">
            <v>205301</v>
          </cell>
          <cell r="AM941">
            <v>17597</v>
          </cell>
          <cell r="AN941">
            <v>35194</v>
          </cell>
          <cell r="AO941">
            <v>11731</v>
          </cell>
          <cell r="AP941">
            <v>11731</v>
          </cell>
        </row>
        <row r="942">
          <cell r="D942" t="str">
            <v>Cung cấp 500 bộ Kính ngắm ảnh nhiệt VEE-W01 cho Bộ Quốc phòng</v>
          </cell>
          <cell r="G942" t="str">
            <v>SXKD</v>
          </cell>
          <cell r="I942" t="str">
            <v>TTSX</v>
          </cell>
          <cell r="AC942">
            <v>1030000</v>
          </cell>
          <cell r="AD942">
            <v>32935265</v>
          </cell>
          <cell r="AE942">
            <v>11549655</v>
          </cell>
          <cell r="AF942">
            <v>11131883</v>
          </cell>
          <cell r="AG942">
            <v>0</v>
          </cell>
          <cell r="AH942">
            <v>0</v>
          </cell>
          <cell r="AI942">
            <v>0</v>
          </cell>
          <cell r="AJ942">
            <v>0</v>
          </cell>
          <cell r="AK942">
            <v>318303</v>
          </cell>
          <cell r="AL942">
            <v>696287</v>
          </cell>
          <cell r="AM942">
            <v>59681</v>
          </cell>
          <cell r="AN942">
            <v>119364</v>
          </cell>
          <cell r="AO942">
            <v>39788</v>
          </cell>
          <cell r="AP942">
            <v>39788</v>
          </cell>
        </row>
        <row r="943">
          <cell r="D943" t="str">
            <v>Cung cấp 500 bộ Kính ngắm ảnh nhiệt VEE-W01 cho Bộ Quốc phòng</v>
          </cell>
          <cell r="G943" t="str">
            <v>SXKD</v>
          </cell>
          <cell r="I943" t="str">
            <v>TTSX</v>
          </cell>
          <cell r="AC943">
            <v>930000</v>
          </cell>
          <cell r="AD943">
            <v>20731958</v>
          </cell>
          <cell r="AE943">
            <v>1552644</v>
          </cell>
          <cell r="AF943">
            <v>1477016</v>
          </cell>
          <cell r="AG943">
            <v>0</v>
          </cell>
          <cell r="AH943">
            <v>0</v>
          </cell>
          <cell r="AI943">
            <v>0</v>
          </cell>
          <cell r="AJ943">
            <v>0</v>
          </cell>
          <cell r="AK943">
            <v>57622</v>
          </cell>
          <cell r="AL943">
            <v>126049</v>
          </cell>
          <cell r="AM943">
            <v>10804</v>
          </cell>
          <cell r="AN943">
            <v>21609</v>
          </cell>
          <cell r="AO943">
            <v>7202</v>
          </cell>
          <cell r="AP943">
            <v>7202</v>
          </cell>
        </row>
        <row r="944">
          <cell r="D944" t="str">
            <v>Cung cấp 500 bộ Kính ngắm ảnh nhiệt VEE-W01 cho Bộ Quốc phòng</v>
          </cell>
          <cell r="G944" t="str">
            <v>SXKD</v>
          </cell>
          <cell r="I944" t="str">
            <v>TTSX</v>
          </cell>
          <cell r="AC944">
            <v>1047000</v>
          </cell>
          <cell r="AD944">
            <v>13670346</v>
          </cell>
          <cell r="AE944">
            <v>1919675</v>
          </cell>
          <cell r="AF944">
            <v>1796495</v>
          </cell>
          <cell r="AG944">
            <v>0</v>
          </cell>
          <cell r="AH944">
            <v>0</v>
          </cell>
          <cell r="AI944">
            <v>0</v>
          </cell>
          <cell r="AJ944">
            <v>0</v>
          </cell>
          <cell r="AK944">
            <v>93852</v>
          </cell>
          <cell r="AL944">
            <v>205301</v>
          </cell>
          <cell r="AM944">
            <v>17597</v>
          </cell>
          <cell r="AN944">
            <v>35194</v>
          </cell>
          <cell r="AO944">
            <v>11731</v>
          </cell>
          <cell r="AP944">
            <v>11731</v>
          </cell>
        </row>
        <row r="945">
          <cell r="D945" t="str">
            <v>Sản xuất và cung cấp 3050 máy thu phát vô tuyến điện VRH911/S1, đồng bộ phụ kiện và vật tư dự phòng năm 2024 (Máy thu phát vô tuyến điện VRH911/S1)</v>
          </cell>
          <cell r="G945" t="str">
            <v>SXKD</v>
          </cell>
          <cell r="I945" t="str">
            <v>TTSX</v>
          </cell>
          <cell r="AC945">
            <v>1230000</v>
          </cell>
          <cell r="AD945">
            <v>87733789</v>
          </cell>
          <cell r="AE945">
            <v>14427061</v>
          </cell>
          <cell r="AF945">
            <v>14173902</v>
          </cell>
          <cell r="AG945">
            <v>0</v>
          </cell>
          <cell r="AH945">
            <v>0</v>
          </cell>
          <cell r="AI945">
            <v>0</v>
          </cell>
          <cell r="AJ945">
            <v>0</v>
          </cell>
          <cell r="AK945">
            <v>253159</v>
          </cell>
          <cell r="AL945">
            <v>553786</v>
          </cell>
          <cell r="AM945">
            <v>0</v>
          </cell>
          <cell r="AN945">
            <v>0</v>
          </cell>
          <cell r="AO945">
            <v>0</v>
          </cell>
          <cell r="AP945">
            <v>0</v>
          </cell>
        </row>
        <row r="946">
          <cell r="D946" t="str">
            <v>Sản xuất và cung cấp 3050 máy thu phát vô tuyến điện VRH911/S1, đồng bộ phụ kiện và vật tư dự phòng năm 2024 (Máy thu phát vô tuyến điện VRH911/S1)</v>
          </cell>
          <cell r="G946" t="str">
            <v>SXKD</v>
          </cell>
          <cell r="I946" t="str">
            <v>TTSX</v>
          </cell>
          <cell r="AC946">
            <v>1130000</v>
          </cell>
          <cell r="AD946">
            <v>53276870</v>
          </cell>
          <cell r="AE946">
            <v>14813817</v>
          </cell>
          <cell r="AF946">
            <v>14380189</v>
          </cell>
          <cell r="AG946">
            <v>0</v>
          </cell>
          <cell r="AH946">
            <v>0</v>
          </cell>
          <cell r="AI946">
            <v>0</v>
          </cell>
          <cell r="AJ946">
            <v>0</v>
          </cell>
          <cell r="AK946">
            <v>433628</v>
          </cell>
          <cell r="AL946">
            <v>948562</v>
          </cell>
          <cell r="AM946">
            <v>0</v>
          </cell>
          <cell r="AN946">
            <v>0</v>
          </cell>
          <cell r="AO946">
            <v>0</v>
          </cell>
          <cell r="AP946">
            <v>0</v>
          </cell>
        </row>
        <row r="947">
          <cell r="D947" t="str">
            <v>Sản xuất và cung cấp 3050 máy thu phát vô tuyến điện VRH911/S1, đồng bộ phụ kiện và vật tư dự phòng năm 2024 (Máy thu phát vô tuyến điện VRH911/S1)</v>
          </cell>
          <cell r="G947" t="str">
            <v>SXKD</v>
          </cell>
          <cell r="I947" t="str">
            <v>TTSX</v>
          </cell>
          <cell r="AC947">
            <v>930000</v>
          </cell>
          <cell r="AD947">
            <v>27734076</v>
          </cell>
          <cell r="AE947">
            <v>4266288</v>
          </cell>
          <cell r="AF947">
            <v>4089669</v>
          </cell>
          <cell r="AG947">
            <v>0</v>
          </cell>
          <cell r="AH947">
            <v>0</v>
          </cell>
          <cell r="AI947">
            <v>0</v>
          </cell>
          <cell r="AJ947">
            <v>0</v>
          </cell>
          <cell r="AK947">
            <v>134567</v>
          </cell>
          <cell r="AL947">
            <v>294365</v>
          </cell>
          <cell r="AM947">
            <v>25231</v>
          </cell>
          <cell r="AN947">
            <v>50463</v>
          </cell>
          <cell r="AO947">
            <v>16821</v>
          </cell>
          <cell r="AP947">
            <v>16821</v>
          </cell>
        </row>
        <row r="948">
          <cell r="D948" t="str">
            <v>Sản xuất và cung cấp 3050 máy thu phát vô tuyến điện VRH911/S1, đồng bộ phụ kiện và vật tư dự phòng năm 2024 (Máy thu phát vô tuyến điện VRH911/S1)</v>
          </cell>
          <cell r="G948" t="str">
            <v>SXKD</v>
          </cell>
          <cell r="I948" t="str">
            <v>TTSX</v>
          </cell>
          <cell r="AC948">
            <v>1130000</v>
          </cell>
          <cell r="AD948">
            <v>51659283</v>
          </cell>
          <cell r="AE948">
            <v>14659004</v>
          </cell>
          <cell r="AF948">
            <v>14355226</v>
          </cell>
          <cell r="AG948">
            <v>0</v>
          </cell>
          <cell r="AH948">
            <v>0</v>
          </cell>
          <cell r="AI948">
            <v>0</v>
          </cell>
          <cell r="AJ948">
            <v>0</v>
          </cell>
          <cell r="AK948">
            <v>255813</v>
          </cell>
          <cell r="AL948">
            <v>559591</v>
          </cell>
          <cell r="AM948">
            <v>47965</v>
          </cell>
          <cell r="AN948">
            <v>95930</v>
          </cell>
          <cell r="AO948">
            <v>0</v>
          </cell>
          <cell r="AP948">
            <v>0</v>
          </cell>
        </row>
        <row r="949">
          <cell r="D949" t="str">
            <v>Sản xuất và cung cấp 3050 máy thu phát vô tuyến điện VRH911/S1, đồng bộ phụ kiện và vật tư dự phòng năm 2024 (Máy thu phát vô tuyến điện VRH911/S1)</v>
          </cell>
          <cell r="G949" t="str">
            <v>SXKD</v>
          </cell>
          <cell r="I949" t="str">
            <v>TTSX</v>
          </cell>
          <cell r="AC949">
            <v>1030000</v>
          </cell>
          <cell r="AD949">
            <v>40215871</v>
          </cell>
          <cell r="AE949">
            <v>10959572</v>
          </cell>
          <cell r="AF949">
            <v>10563034</v>
          </cell>
          <cell r="AG949">
            <v>0</v>
          </cell>
          <cell r="AH949">
            <v>0</v>
          </cell>
          <cell r="AI949">
            <v>0</v>
          </cell>
          <cell r="AJ949">
            <v>0</v>
          </cell>
          <cell r="AK949">
            <v>396538</v>
          </cell>
          <cell r="AL949">
            <v>867428</v>
          </cell>
          <cell r="AM949">
            <v>0</v>
          </cell>
          <cell r="AN949">
            <v>0</v>
          </cell>
          <cell r="AO949">
            <v>0</v>
          </cell>
          <cell r="AP949">
            <v>0</v>
          </cell>
        </row>
        <row r="950">
          <cell r="D950" t="str">
            <v>Sản xuất và cung cấp 3050 máy thu phát vô tuyến điện VRH911/S1, đồng bộ phụ kiện và vật tư dự phòng năm 2024 (Máy thu phát vô tuyến điện VRH911/S1)</v>
          </cell>
          <cell r="G950" t="str">
            <v>SXKD</v>
          </cell>
          <cell r="I950" t="str">
            <v>TTSX</v>
          </cell>
          <cell r="AC950">
            <v>1147000</v>
          </cell>
          <cell r="AD950">
            <v>24395736</v>
          </cell>
          <cell r="AE950">
            <v>9216209</v>
          </cell>
          <cell r="AF950">
            <v>8817684</v>
          </cell>
          <cell r="AG950">
            <v>0</v>
          </cell>
          <cell r="AH950">
            <v>0</v>
          </cell>
          <cell r="AI950">
            <v>0</v>
          </cell>
          <cell r="AJ950">
            <v>0</v>
          </cell>
          <cell r="AK950">
            <v>303638</v>
          </cell>
          <cell r="AL950">
            <v>664209</v>
          </cell>
          <cell r="AM950">
            <v>56932</v>
          </cell>
          <cell r="AN950">
            <v>113864</v>
          </cell>
          <cell r="AO950">
            <v>37955</v>
          </cell>
          <cell r="AP950">
            <v>37955</v>
          </cell>
        </row>
        <row r="951">
          <cell r="D951" t="str">
            <v>Sản xuất và cung cấp 3050 máy thu phát vô tuyến điện VRH911/S1, đồng bộ phụ kiện và vật tư dự phòng năm 2024 (Máy thu phát vô tuyến điện VRH911/S1)</v>
          </cell>
          <cell r="G951" t="str">
            <v>SXKD</v>
          </cell>
          <cell r="I951" t="str">
            <v>TTSX</v>
          </cell>
          <cell r="AC951">
            <v>930000</v>
          </cell>
          <cell r="AD951">
            <v>18154084</v>
          </cell>
          <cell r="AE951">
            <v>4678063</v>
          </cell>
          <cell r="AF951">
            <v>4426041</v>
          </cell>
          <cell r="AG951">
            <v>0</v>
          </cell>
          <cell r="AH951">
            <v>0</v>
          </cell>
          <cell r="AI951">
            <v>0</v>
          </cell>
          <cell r="AJ951">
            <v>0</v>
          </cell>
          <cell r="AK951">
            <v>192017</v>
          </cell>
          <cell r="AL951">
            <v>420037</v>
          </cell>
          <cell r="AM951">
            <v>36003</v>
          </cell>
          <cell r="AN951">
            <v>72006</v>
          </cell>
          <cell r="AO951">
            <v>24002</v>
          </cell>
          <cell r="AP951">
            <v>24002</v>
          </cell>
        </row>
        <row r="952">
          <cell r="D952" t="str">
            <v>Sản xuất và cung cấp 3050 máy thu phát vô tuyến điện VRH911/S1, đồng bộ phụ kiện và vật tư dự phòng năm 2024 (Máy thu phát vô tuyến điện VRH911/S1)</v>
          </cell>
          <cell r="G952" t="str">
            <v>SXKD</v>
          </cell>
          <cell r="I952" t="str">
            <v>TTSX</v>
          </cell>
          <cell r="AC952">
            <v>1047000</v>
          </cell>
          <cell r="AD952">
            <v>22001394</v>
          </cell>
          <cell r="AE952">
            <v>3287467</v>
          </cell>
          <cell r="AF952">
            <v>3128057</v>
          </cell>
          <cell r="AG952">
            <v>0</v>
          </cell>
          <cell r="AH952">
            <v>0</v>
          </cell>
          <cell r="AI952">
            <v>0</v>
          </cell>
          <cell r="AJ952">
            <v>0</v>
          </cell>
          <cell r="AK952">
            <v>121455</v>
          </cell>
          <cell r="AL952">
            <v>265683</v>
          </cell>
          <cell r="AM952">
            <v>22773</v>
          </cell>
          <cell r="AN952">
            <v>45546</v>
          </cell>
          <cell r="AO952">
            <v>15182</v>
          </cell>
          <cell r="AP952">
            <v>15182</v>
          </cell>
        </row>
        <row r="953">
          <cell r="D953" t="str">
            <v>Sản xuất và cung cấp 3050 máy thu phát vô tuyến điện VRH911/S1, đồng bộ phụ kiện và vật tư dự phòng năm 2024 (ZIP Máy thu phát vô tuyến điện VRH911/S1)</v>
          </cell>
          <cell r="G953" t="str">
            <v>SXKD</v>
          </cell>
          <cell r="I953" t="str">
            <v>TTSX</v>
          </cell>
          <cell r="AC953">
            <v>1230000</v>
          </cell>
          <cell r="AD953">
            <v>87733789</v>
          </cell>
          <cell r="AE953">
            <v>3606765</v>
          </cell>
          <cell r="AF953">
            <v>3543475</v>
          </cell>
          <cell r="AG953">
            <v>0</v>
          </cell>
          <cell r="AH953">
            <v>0</v>
          </cell>
          <cell r="AI953">
            <v>0</v>
          </cell>
          <cell r="AJ953">
            <v>0</v>
          </cell>
          <cell r="AK953">
            <v>63290</v>
          </cell>
          <cell r="AL953">
            <v>138447</v>
          </cell>
          <cell r="AM953">
            <v>0</v>
          </cell>
          <cell r="AN953">
            <v>0</v>
          </cell>
          <cell r="AO953">
            <v>0</v>
          </cell>
          <cell r="AP953">
            <v>0</v>
          </cell>
        </row>
        <row r="954">
          <cell r="D954" t="str">
            <v>Sản xuất và cung cấp 3050 máy thu phát vô tuyến điện VRH911/S1, đồng bộ phụ kiện và vật tư dự phòng năm 2024 (ZIP Máy thu phát vô tuyến điện VRH911/S1)</v>
          </cell>
          <cell r="G954" t="str">
            <v>SXKD</v>
          </cell>
          <cell r="I954" t="str">
            <v>TTSX</v>
          </cell>
          <cell r="AC954">
            <v>1130000</v>
          </cell>
          <cell r="AD954">
            <v>53276870</v>
          </cell>
          <cell r="AE954">
            <v>4232519</v>
          </cell>
          <cell r="AF954">
            <v>4108625</v>
          </cell>
          <cell r="AG954">
            <v>0</v>
          </cell>
          <cell r="AH954">
            <v>0</v>
          </cell>
          <cell r="AI954">
            <v>0</v>
          </cell>
          <cell r="AJ954">
            <v>0</v>
          </cell>
          <cell r="AK954">
            <v>123894</v>
          </cell>
          <cell r="AL954">
            <v>271018</v>
          </cell>
          <cell r="AM954">
            <v>0</v>
          </cell>
          <cell r="AN954">
            <v>0</v>
          </cell>
          <cell r="AO954">
            <v>0</v>
          </cell>
          <cell r="AP954">
            <v>0</v>
          </cell>
        </row>
        <row r="955">
          <cell r="D955" t="str">
            <v>Sản xuất và cung cấp 3050 máy thu phát vô tuyến điện VRH911/S1, đồng bộ phụ kiện và vật tư dự phòng năm 2024 (ZIP Máy thu phát vô tuyến điện VRH911/S1)</v>
          </cell>
          <cell r="G955" t="str">
            <v>SXKD</v>
          </cell>
          <cell r="I955" t="str">
            <v>TTSX</v>
          </cell>
          <cell r="AC955">
            <v>930000</v>
          </cell>
          <cell r="AD955">
            <v>27734076</v>
          </cell>
          <cell r="AE955">
            <v>1066572</v>
          </cell>
          <cell r="AF955">
            <v>1022417</v>
          </cell>
          <cell r="AG955">
            <v>0</v>
          </cell>
          <cell r="AH955">
            <v>0</v>
          </cell>
          <cell r="AI955">
            <v>0</v>
          </cell>
          <cell r="AJ955">
            <v>0</v>
          </cell>
          <cell r="AK955">
            <v>33642</v>
          </cell>
          <cell r="AL955">
            <v>73591</v>
          </cell>
          <cell r="AM955">
            <v>6308</v>
          </cell>
          <cell r="AN955">
            <v>12616</v>
          </cell>
          <cell r="AO955">
            <v>4205</v>
          </cell>
          <cell r="AP955">
            <v>4205</v>
          </cell>
        </row>
        <row r="956">
          <cell r="D956" t="str">
            <v>Sản xuất và cung cấp 3050 máy thu phát vô tuyến điện VRH911/S1, đồng bộ phụ kiện và vật tư dự phòng năm 2024 (ZIP Máy thu phát vô tuyến điện VRH911/S1)</v>
          </cell>
          <cell r="G956" t="str">
            <v>SXKD</v>
          </cell>
          <cell r="I956" t="str">
            <v>TTSX</v>
          </cell>
          <cell r="AC956">
            <v>1130000</v>
          </cell>
          <cell r="AD956">
            <v>51659283</v>
          </cell>
          <cell r="AE956">
            <v>4188287</v>
          </cell>
          <cell r="AF956">
            <v>4101494</v>
          </cell>
          <cell r="AG956">
            <v>0</v>
          </cell>
          <cell r="AH956">
            <v>0</v>
          </cell>
          <cell r="AI956">
            <v>0</v>
          </cell>
          <cell r="AJ956">
            <v>0</v>
          </cell>
          <cell r="AK956">
            <v>73089</v>
          </cell>
          <cell r="AL956">
            <v>159883</v>
          </cell>
          <cell r="AM956">
            <v>13704</v>
          </cell>
          <cell r="AN956">
            <v>27409</v>
          </cell>
          <cell r="AO956">
            <v>0</v>
          </cell>
          <cell r="AP956">
            <v>0</v>
          </cell>
        </row>
        <row r="957">
          <cell r="D957" t="str">
            <v>Sản xuất và cung cấp 3050 máy thu phát vô tuyến điện VRH911/S1, đồng bộ phụ kiện và vật tư dự phòng năm 2024 (ZIP Máy thu phát vô tuyến điện VRH911/S1)</v>
          </cell>
          <cell r="G957" t="str">
            <v>SXKD</v>
          </cell>
          <cell r="I957" t="str">
            <v>TTSX</v>
          </cell>
          <cell r="AC957">
            <v>1030000</v>
          </cell>
          <cell r="AD957">
            <v>40215871</v>
          </cell>
          <cell r="AE957">
            <v>3131306</v>
          </cell>
          <cell r="AF957">
            <v>3018009</v>
          </cell>
          <cell r="AG957">
            <v>0</v>
          </cell>
          <cell r="AH957">
            <v>0</v>
          </cell>
          <cell r="AI957">
            <v>0</v>
          </cell>
          <cell r="AJ957">
            <v>0</v>
          </cell>
          <cell r="AK957">
            <v>113297</v>
          </cell>
          <cell r="AL957">
            <v>247837</v>
          </cell>
          <cell r="AM957">
            <v>0</v>
          </cell>
          <cell r="AN957">
            <v>0</v>
          </cell>
          <cell r="AO957">
            <v>0</v>
          </cell>
          <cell r="AP957">
            <v>0</v>
          </cell>
        </row>
        <row r="958">
          <cell r="D958" t="str">
            <v>Sản xuất và cung cấp 3050 máy thu phát vô tuyến điện VRH911/S1, đồng bộ phụ kiện và vật tư dự phòng năm 2024 (ZIP Máy thu phát vô tuyến điện VRH911/S1)</v>
          </cell>
          <cell r="G958" t="str">
            <v>SXKD</v>
          </cell>
          <cell r="I958" t="str">
            <v>TTSX</v>
          </cell>
          <cell r="AC958">
            <v>1147000</v>
          </cell>
          <cell r="AD958">
            <v>24395736</v>
          </cell>
          <cell r="AE958">
            <v>3686483</v>
          </cell>
          <cell r="AF958">
            <v>3527073</v>
          </cell>
          <cell r="AG958">
            <v>0</v>
          </cell>
          <cell r="AH958">
            <v>0</v>
          </cell>
          <cell r="AI958">
            <v>0</v>
          </cell>
          <cell r="AJ958">
            <v>0</v>
          </cell>
          <cell r="AK958">
            <v>121455</v>
          </cell>
          <cell r="AL958">
            <v>265683</v>
          </cell>
          <cell r="AM958">
            <v>22773</v>
          </cell>
          <cell r="AN958">
            <v>45546</v>
          </cell>
          <cell r="AO958">
            <v>15182</v>
          </cell>
          <cell r="AP958">
            <v>15182</v>
          </cell>
        </row>
        <row r="959">
          <cell r="D959" t="str">
            <v>Sản xuất và cung cấp 3050 máy thu phát vô tuyến điện VRH911/S1, đồng bộ phụ kiện và vật tư dự phòng năm 2024 (ZIP Máy thu phát vô tuyến điện VRH911/S1)</v>
          </cell>
          <cell r="G959" t="str">
            <v>SXKD</v>
          </cell>
          <cell r="I959" t="str">
            <v>TTSX</v>
          </cell>
          <cell r="AC959">
            <v>930000</v>
          </cell>
          <cell r="AD959">
            <v>18154084</v>
          </cell>
          <cell r="AE959">
            <v>1336589</v>
          </cell>
          <cell r="AF959">
            <v>1264584</v>
          </cell>
          <cell r="AG959">
            <v>0</v>
          </cell>
          <cell r="AH959">
            <v>0</v>
          </cell>
          <cell r="AI959">
            <v>0</v>
          </cell>
          <cell r="AJ959">
            <v>0</v>
          </cell>
          <cell r="AK959">
            <v>54861</v>
          </cell>
          <cell r="AL959">
            <v>120011</v>
          </cell>
          <cell r="AM959">
            <v>10286</v>
          </cell>
          <cell r="AN959">
            <v>20574</v>
          </cell>
          <cell r="AO959">
            <v>6858</v>
          </cell>
          <cell r="AP959">
            <v>6858</v>
          </cell>
        </row>
        <row r="960">
          <cell r="D960" t="str">
            <v>Sản xuất và cung cấp 3050 máy thu phát vô tuyến điện VRH911/S1, đồng bộ phụ kiện và vật tư dự phòng năm 2024 (ZIP Máy thu phát vô tuyến điện VRH911/S1)</v>
          </cell>
          <cell r="G960" t="str">
            <v>SXKD</v>
          </cell>
          <cell r="I960" t="str">
            <v>TTSX</v>
          </cell>
          <cell r="AC960">
            <v>1047000</v>
          </cell>
          <cell r="AD960">
            <v>22001394</v>
          </cell>
          <cell r="AE960">
            <v>821867</v>
          </cell>
          <cell r="AF960">
            <v>782015</v>
          </cell>
          <cell r="AG960">
            <v>0</v>
          </cell>
          <cell r="AH960">
            <v>0</v>
          </cell>
          <cell r="AI960">
            <v>0</v>
          </cell>
          <cell r="AJ960">
            <v>0</v>
          </cell>
          <cell r="AK960">
            <v>30364</v>
          </cell>
          <cell r="AL960">
            <v>66421</v>
          </cell>
          <cell r="AM960">
            <v>5693</v>
          </cell>
          <cell r="AN960">
            <v>11386</v>
          </cell>
          <cell r="AO960">
            <v>3795</v>
          </cell>
          <cell r="AP960">
            <v>3795</v>
          </cell>
        </row>
        <row r="961">
          <cell r="D961" t="str">
            <v>Sản xuất và cung cấp 160 máy thông tin đa băng cấp chiến dịch VRP712/S, đồng bộ phụ kiện và zip năm 2024 (Máy thông tin đa băng cấp chiến dịch VRP712/S)</v>
          </cell>
          <cell r="G961" t="str">
            <v>SXKD</v>
          </cell>
          <cell r="I961" t="str">
            <v>TTSX</v>
          </cell>
          <cell r="AC961">
            <v>1730000</v>
          </cell>
          <cell r="AD961">
            <v>113306987</v>
          </cell>
          <cell r="AE961">
            <v>18700007</v>
          </cell>
          <cell r="AF961">
            <v>18410905</v>
          </cell>
          <cell r="AG961">
            <v>0</v>
          </cell>
          <cell r="AH961">
            <v>0</v>
          </cell>
          <cell r="AI961">
            <v>0</v>
          </cell>
          <cell r="AJ961">
            <v>0</v>
          </cell>
          <cell r="AK961">
            <v>289102</v>
          </cell>
          <cell r="AL961">
            <v>632410</v>
          </cell>
          <cell r="AM961">
            <v>0</v>
          </cell>
          <cell r="AN961">
            <v>0</v>
          </cell>
          <cell r="AO961">
            <v>0</v>
          </cell>
          <cell r="AP961">
            <v>0</v>
          </cell>
        </row>
        <row r="962">
          <cell r="D962" t="str">
            <v>Sản xuất và cung cấp 160 máy thông tin đa băng cấp chiến dịch VRP712/S, đồng bộ phụ kiện và zip năm 2024 (Máy thông tin đa băng cấp chiến dịch VRP712/S)</v>
          </cell>
          <cell r="G962" t="str">
            <v>SXKD</v>
          </cell>
          <cell r="I962" t="str">
            <v>TTSX</v>
          </cell>
          <cell r="AC962">
            <v>1030000</v>
          </cell>
          <cell r="AD962">
            <v>36328832</v>
          </cell>
          <cell r="AE962">
            <v>14252668</v>
          </cell>
          <cell r="AF962">
            <v>13763569</v>
          </cell>
          <cell r="AG962">
            <v>0</v>
          </cell>
          <cell r="AH962">
            <v>0</v>
          </cell>
          <cell r="AI962">
            <v>0</v>
          </cell>
          <cell r="AJ962">
            <v>0</v>
          </cell>
          <cell r="AK962">
            <v>372647</v>
          </cell>
          <cell r="AL962">
            <v>815165</v>
          </cell>
          <cell r="AM962">
            <v>69871</v>
          </cell>
          <cell r="AN962">
            <v>139743</v>
          </cell>
          <cell r="AO962">
            <v>46581</v>
          </cell>
          <cell r="AP962">
            <v>46581</v>
          </cell>
        </row>
        <row r="963">
          <cell r="D963" t="str">
            <v>Sản xuất và cung cấp 160 máy thông tin đa băng cấp chiến dịch VRP712/S, đồng bộ phụ kiện và zip năm 2024 (Máy thông tin đa băng cấp chiến dịch VRP712/S)</v>
          </cell>
          <cell r="G963" t="str">
            <v>SXKD</v>
          </cell>
          <cell r="I963" t="str">
            <v>TTSX</v>
          </cell>
          <cell r="AC963">
            <v>1030000</v>
          </cell>
          <cell r="AD963">
            <v>22263772</v>
          </cell>
          <cell r="AE963">
            <v>7547173</v>
          </cell>
          <cell r="AF963">
            <v>7206841</v>
          </cell>
          <cell r="AG963">
            <v>0</v>
          </cell>
          <cell r="AH963">
            <v>0</v>
          </cell>
          <cell r="AI963">
            <v>0</v>
          </cell>
          <cell r="AJ963">
            <v>0</v>
          </cell>
          <cell r="AK963">
            <v>259300</v>
          </cell>
          <cell r="AL963">
            <v>567219</v>
          </cell>
          <cell r="AM963">
            <v>48619</v>
          </cell>
          <cell r="AN963">
            <v>97238</v>
          </cell>
          <cell r="AO963">
            <v>32413</v>
          </cell>
          <cell r="AP963">
            <v>32413</v>
          </cell>
        </row>
        <row r="964">
          <cell r="D964" t="str">
            <v>Sản xuất và cung cấp 160 máy thông tin đa băng cấp chiến dịch VRP712/S, đồng bộ phụ kiện và zip năm 2024 (ZIP Máy thông tin đa băng cấp chiến dịch VRP712/S)</v>
          </cell>
          <cell r="G964" t="str">
            <v>SXKD</v>
          </cell>
          <cell r="I964" t="str">
            <v>TTSX</v>
          </cell>
          <cell r="AC964">
            <v>1730000</v>
          </cell>
          <cell r="AD964">
            <v>113306987</v>
          </cell>
          <cell r="AE964">
            <v>4675002</v>
          </cell>
          <cell r="AF964">
            <v>4602727</v>
          </cell>
          <cell r="AG964">
            <v>0</v>
          </cell>
          <cell r="AH964">
            <v>0</v>
          </cell>
          <cell r="AI964">
            <v>0</v>
          </cell>
          <cell r="AJ964">
            <v>0</v>
          </cell>
          <cell r="AK964">
            <v>72275</v>
          </cell>
          <cell r="AL964">
            <v>158103</v>
          </cell>
          <cell r="AM964">
            <v>0</v>
          </cell>
          <cell r="AN964">
            <v>0</v>
          </cell>
          <cell r="AO964">
            <v>0</v>
          </cell>
          <cell r="AP964">
            <v>0</v>
          </cell>
        </row>
        <row r="965">
          <cell r="D965" t="str">
            <v>Sản xuất và cung cấp 160 máy thông tin đa băng cấp chiến dịch VRP712/S, đồng bộ phụ kiện và zip năm 2024 (ZIP Máy thông tin đa băng cấp chiến dịch VRP712/S)</v>
          </cell>
          <cell r="G965" t="str">
            <v>SXKD</v>
          </cell>
          <cell r="I965" t="str">
            <v>TTSX</v>
          </cell>
          <cell r="AC965">
            <v>1030000</v>
          </cell>
          <cell r="AD965">
            <v>36328832</v>
          </cell>
          <cell r="AE965">
            <v>5701067</v>
          </cell>
          <cell r="AF965">
            <v>5505427</v>
          </cell>
          <cell r="AG965">
            <v>0</v>
          </cell>
          <cell r="AH965">
            <v>0</v>
          </cell>
          <cell r="AI965">
            <v>0</v>
          </cell>
          <cell r="AJ965">
            <v>0</v>
          </cell>
          <cell r="AK965">
            <v>149059</v>
          </cell>
          <cell r="AL965">
            <v>326066</v>
          </cell>
          <cell r="AM965">
            <v>27949</v>
          </cell>
          <cell r="AN965">
            <v>55897</v>
          </cell>
          <cell r="AO965">
            <v>18632</v>
          </cell>
          <cell r="AP965">
            <v>18632</v>
          </cell>
        </row>
        <row r="966">
          <cell r="D966" t="str">
            <v>Sản xuất và cung cấp 160 máy thông tin đa băng cấp chiến dịch VRP712/S, đồng bộ phụ kiện và zip năm 2024 (ZIP Máy thông tin đa băng cấp chiến dịch VRP712/S)</v>
          </cell>
          <cell r="G966" t="str">
            <v>SXKD</v>
          </cell>
          <cell r="I966" t="str">
            <v>TTSX</v>
          </cell>
          <cell r="AC966">
            <v>1030000</v>
          </cell>
          <cell r="AD966">
            <v>22263772</v>
          </cell>
          <cell r="AE966">
            <v>1677150</v>
          </cell>
          <cell r="AF966">
            <v>1601522</v>
          </cell>
          <cell r="AG966">
            <v>0</v>
          </cell>
          <cell r="AH966">
            <v>0</v>
          </cell>
          <cell r="AI966">
            <v>0</v>
          </cell>
          <cell r="AJ966">
            <v>0</v>
          </cell>
          <cell r="AK966">
            <v>57622</v>
          </cell>
          <cell r="AL966">
            <v>126049</v>
          </cell>
          <cell r="AM966">
            <v>10804</v>
          </cell>
          <cell r="AN966">
            <v>21608</v>
          </cell>
          <cell r="AO966">
            <v>7202</v>
          </cell>
          <cell r="AP966">
            <v>7202</v>
          </cell>
        </row>
        <row r="967">
          <cell r="D967" t="str">
            <v>Chế tạo 28 đài radar cảnh giới biển tầm trung VRS-CSX</v>
          </cell>
          <cell r="G967" t="str">
            <v>SXKD</v>
          </cell>
          <cell r="I967" t="str">
            <v>TTSX</v>
          </cell>
          <cell r="AC967">
            <v>1230000</v>
          </cell>
          <cell r="AD967">
            <v>87733789</v>
          </cell>
          <cell r="AE967">
            <v>18033826</v>
          </cell>
          <cell r="AF967">
            <v>17717377</v>
          </cell>
          <cell r="AG967">
            <v>0</v>
          </cell>
          <cell r="AH967">
            <v>0</v>
          </cell>
          <cell r="AI967">
            <v>0</v>
          </cell>
          <cell r="AJ967">
            <v>0</v>
          </cell>
          <cell r="AK967">
            <v>316449</v>
          </cell>
          <cell r="AL967">
            <v>692233</v>
          </cell>
          <cell r="AM967">
            <v>0</v>
          </cell>
          <cell r="AN967">
            <v>0</v>
          </cell>
          <cell r="AO967">
            <v>0</v>
          </cell>
          <cell r="AP967">
            <v>0</v>
          </cell>
        </row>
        <row r="968">
          <cell r="D968" t="str">
            <v>Chế tạo 28 đài radar cảnh giới biển tầm trung VRS-CSX</v>
          </cell>
          <cell r="G968" t="str">
            <v>SXKD</v>
          </cell>
          <cell r="I968" t="str">
            <v>TTSX</v>
          </cell>
          <cell r="AC968">
            <v>1030000</v>
          </cell>
          <cell r="AD968">
            <v>51120531</v>
          </cell>
          <cell r="AE968">
            <v>18510553</v>
          </cell>
          <cell r="AF968">
            <v>18023492</v>
          </cell>
          <cell r="AG968">
            <v>0</v>
          </cell>
          <cell r="AH968">
            <v>0</v>
          </cell>
          <cell r="AI968">
            <v>0</v>
          </cell>
          <cell r="AJ968">
            <v>0</v>
          </cell>
          <cell r="AK968">
            <v>371094</v>
          </cell>
          <cell r="AL968">
            <v>811769</v>
          </cell>
          <cell r="AM968">
            <v>69580</v>
          </cell>
          <cell r="AN968">
            <v>139160</v>
          </cell>
          <cell r="AO968">
            <v>46387</v>
          </cell>
          <cell r="AP968">
            <v>46387</v>
          </cell>
        </row>
        <row r="969">
          <cell r="D969" t="str">
            <v>Chế tạo 28 đài radar cảnh giới biển tầm trung VRS-CSX</v>
          </cell>
          <cell r="G969" t="str">
            <v>SXKD</v>
          </cell>
          <cell r="I969" t="str">
            <v>TTSX</v>
          </cell>
          <cell r="AC969">
            <v>1130000</v>
          </cell>
          <cell r="AD969">
            <v>51659283</v>
          </cell>
          <cell r="AE969">
            <v>8376573</v>
          </cell>
          <cell r="AF969">
            <v>8202985</v>
          </cell>
          <cell r="AG969">
            <v>0</v>
          </cell>
          <cell r="AH969">
            <v>0</v>
          </cell>
          <cell r="AI969">
            <v>0</v>
          </cell>
          <cell r="AJ969">
            <v>0</v>
          </cell>
          <cell r="AK969">
            <v>146179</v>
          </cell>
          <cell r="AL969">
            <v>319766</v>
          </cell>
          <cell r="AM969">
            <v>27409</v>
          </cell>
          <cell r="AN969">
            <v>54816</v>
          </cell>
          <cell r="AO969">
            <v>0</v>
          </cell>
          <cell r="AP969">
            <v>0</v>
          </cell>
        </row>
        <row r="970">
          <cell r="D970" t="str">
            <v>Chế tạo 28 đài radar cảnh giới biển tầm trung VRS-CSX</v>
          </cell>
          <cell r="G970" t="str">
            <v>SXKD</v>
          </cell>
          <cell r="I970" t="str">
            <v>TTSX</v>
          </cell>
          <cell r="AC970">
            <v>930000</v>
          </cell>
          <cell r="AD970">
            <v>29328464</v>
          </cell>
          <cell r="AE970">
            <v>4543573</v>
          </cell>
          <cell r="AF970">
            <v>4366954</v>
          </cell>
          <cell r="AG970">
            <v>0</v>
          </cell>
          <cell r="AH970">
            <v>0</v>
          </cell>
          <cell r="AI970">
            <v>0</v>
          </cell>
          <cell r="AJ970">
            <v>0</v>
          </cell>
          <cell r="AK970">
            <v>134567</v>
          </cell>
          <cell r="AL970">
            <v>294365</v>
          </cell>
          <cell r="AM970">
            <v>25231</v>
          </cell>
          <cell r="AN970">
            <v>50463</v>
          </cell>
          <cell r="AO970">
            <v>16821</v>
          </cell>
          <cell r="AP970">
            <v>16821</v>
          </cell>
        </row>
        <row r="971">
          <cell r="D971" t="str">
            <v>Chế tạo 28 đài radar cảnh giới biển tầm trung VRS-CSX</v>
          </cell>
          <cell r="G971" t="str">
            <v>SXKD</v>
          </cell>
          <cell r="I971" t="str">
            <v>TTSX</v>
          </cell>
          <cell r="AC971">
            <v>930000</v>
          </cell>
          <cell r="AD971">
            <v>13583668</v>
          </cell>
          <cell r="AE971">
            <v>11056796</v>
          </cell>
          <cell r="AF971">
            <v>10343300</v>
          </cell>
          <cell r="AG971">
            <v>0</v>
          </cell>
          <cell r="AH971">
            <v>0</v>
          </cell>
          <cell r="AI971">
            <v>0</v>
          </cell>
          <cell r="AJ971">
            <v>0</v>
          </cell>
          <cell r="AK971">
            <v>543616</v>
          </cell>
          <cell r="AL971">
            <v>1189160</v>
          </cell>
          <cell r="AM971">
            <v>101928</v>
          </cell>
          <cell r="AN971">
            <v>203856</v>
          </cell>
          <cell r="AO971">
            <v>67952</v>
          </cell>
          <cell r="AP971">
            <v>67952</v>
          </cell>
        </row>
        <row r="972">
          <cell r="D972" t="str">
            <v>Chế tạo 28 đài radar cảnh giới biển tầm trung VRS-CSX</v>
          </cell>
          <cell r="G972" t="str">
            <v>SXKD</v>
          </cell>
          <cell r="I972" t="str">
            <v>TTSX</v>
          </cell>
          <cell r="AC972">
            <v>1047000</v>
          </cell>
          <cell r="AD972">
            <v>13670346</v>
          </cell>
          <cell r="AE972">
            <v>4319267</v>
          </cell>
          <cell r="AF972">
            <v>4042109</v>
          </cell>
          <cell r="AG972">
            <v>0</v>
          </cell>
          <cell r="AH972">
            <v>0</v>
          </cell>
          <cell r="AI972">
            <v>0</v>
          </cell>
          <cell r="AJ972">
            <v>0</v>
          </cell>
          <cell r="AK972">
            <v>211166</v>
          </cell>
          <cell r="AL972">
            <v>461927</v>
          </cell>
          <cell r="AM972">
            <v>39595</v>
          </cell>
          <cell r="AN972">
            <v>79188</v>
          </cell>
          <cell r="AO972">
            <v>26397</v>
          </cell>
          <cell r="AP972">
            <v>26397</v>
          </cell>
        </row>
        <row r="973">
          <cell r="D973" t="str">
            <v>Sản xuất 06 tổ hợp trinh sát, gây nhiễu chống phương tiện bay không người lái cấp chiến thuật BV5 và bộ ZIP vật tư dự phòng năm 2024 (Tổ hợp BV5 chống UAV)</v>
          </cell>
          <cell r="G973" t="str">
            <v>SXKD</v>
          </cell>
          <cell r="I973" t="str">
            <v>TTSX</v>
          </cell>
          <cell r="AC973">
            <v>1730000</v>
          </cell>
          <cell r="AD973">
            <v>113306987</v>
          </cell>
          <cell r="AE973">
            <v>23375011</v>
          </cell>
          <cell r="AF973">
            <v>23013633</v>
          </cell>
          <cell r="AG973">
            <v>0</v>
          </cell>
          <cell r="AH973">
            <v>0</v>
          </cell>
          <cell r="AI973">
            <v>0</v>
          </cell>
          <cell r="AJ973">
            <v>0</v>
          </cell>
          <cell r="AK973">
            <v>361378</v>
          </cell>
          <cell r="AL973">
            <v>790514</v>
          </cell>
          <cell r="AM973">
            <v>0</v>
          </cell>
          <cell r="AN973">
            <v>0</v>
          </cell>
          <cell r="AO973">
            <v>0</v>
          </cell>
          <cell r="AP973">
            <v>0</v>
          </cell>
        </row>
        <row r="974">
          <cell r="D974" t="str">
            <v>Sản xuất 06 tổ hợp trinh sát, gây nhiễu chống phương tiện bay không người lái cấp chiến thuật BV5 và bộ ZIP vật tư dự phòng năm 2024 (Tổ hợp BV5 chống UAV)</v>
          </cell>
          <cell r="G974" t="str">
            <v>SXKD</v>
          </cell>
          <cell r="I974" t="str">
            <v>TTSX</v>
          </cell>
          <cell r="AC974">
            <v>1030000</v>
          </cell>
          <cell r="AD974">
            <v>36328832</v>
          </cell>
          <cell r="AE974">
            <v>12827401</v>
          </cell>
          <cell r="AF974">
            <v>12387212</v>
          </cell>
          <cell r="AG974">
            <v>0</v>
          </cell>
          <cell r="AH974">
            <v>0</v>
          </cell>
          <cell r="AI974">
            <v>0</v>
          </cell>
          <cell r="AJ974">
            <v>0</v>
          </cell>
          <cell r="AK974">
            <v>335382</v>
          </cell>
          <cell r="AL974">
            <v>733649</v>
          </cell>
          <cell r="AM974">
            <v>62884</v>
          </cell>
          <cell r="AN974">
            <v>125768</v>
          </cell>
          <cell r="AO974">
            <v>41923</v>
          </cell>
          <cell r="AP974">
            <v>41923</v>
          </cell>
        </row>
        <row r="975">
          <cell r="D975" t="str">
            <v>Sản xuất 06 tổ hợp trinh sát, gây nhiễu chống phương tiện bay không người lái cấp chiến thuật BV5 và bộ ZIP vật tư dự phòng năm 2024 (Tổ hợp BV5 chống UAV)</v>
          </cell>
          <cell r="G975" t="str">
            <v>SXKD</v>
          </cell>
          <cell r="I975" t="str">
            <v>TTSX</v>
          </cell>
          <cell r="AC975">
            <v>930000</v>
          </cell>
          <cell r="AD975">
            <v>29328464</v>
          </cell>
          <cell r="AE975">
            <v>10223039</v>
          </cell>
          <cell r="AF975">
            <v>9825646</v>
          </cell>
          <cell r="AG975">
            <v>0</v>
          </cell>
          <cell r="AH975">
            <v>0</v>
          </cell>
          <cell r="AI975">
            <v>0</v>
          </cell>
          <cell r="AJ975">
            <v>0</v>
          </cell>
          <cell r="AK975">
            <v>302776</v>
          </cell>
          <cell r="AL975">
            <v>662322</v>
          </cell>
          <cell r="AM975">
            <v>56770</v>
          </cell>
          <cell r="AN975">
            <v>113541</v>
          </cell>
          <cell r="AO975">
            <v>37847</v>
          </cell>
          <cell r="AP975">
            <v>37847</v>
          </cell>
        </row>
        <row r="976">
          <cell r="D976" t="str">
            <v>Sản xuất 06 tổ hợp trinh sát, gây nhiễu chống phương tiện bay không người lái cấp chiến thuật BV5 và bộ ZIP vật tư dự phòng năm 2024 (Tổ hợp BV5 chống UAV)</v>
          </cell>
          <cell r="G976" t="str">
            <v>SXKD</v>
          </cell>
          <cell r="I976" t="str">
            <v>TTSX</v>
          </cell>
          <cell r="AC976">
            <v>930000</v>
          </cell>
          <cell r="AD976">
            <v>29603768</v>
          </cell>
          <cell r="AE976">
            <v>16070081</v>
          </cell>
          <cell r="AF976">
            <v>15451914</v>
          </cell>
          <cell r="AG976">
            <v>0</v>
          </cell>
          <cell r="AH976">
            <v>0</v>
          </cell>
          <cell r="AI976">
            <v>0</v>
          </cell>
          <cell r="AJ976">
            <v>0</v>
          </cell>
          <cell r="AK976">
            <v>470984</v>
          </cell>
          <cell r="AL976">
            <v>1030278</v>
          </cell>
          <cell r="AM976">
            <v>88310</v>
          </cell>
          <cell r="AN976">
            <v>176619</v>
          </cell>
          <cell r="AO976">
            <v>58873</v>
          </cell>
          <cell r="AP976">
            <v>58873</v>
          </cell>
        </row>
        <row r="977">
          <cell r="D977" t="str">
            <v>Sản xuất 06 tổ hợp trinh sát, gây nhiễu chống phương tiện bay không người lái cấp chiến thuật BV5 và bộ ZIP vật tư dự phòng năm 2024 (Tổ hợp BV5 chống UAV)</v>
          </cell>
          <cell r="G977" t="str">
            <v>SXKD</v>
          </cell>
          <cell r="I977" t="str">
            <v>TTSX</v>
          </cell>
          <cell r="AC977">
            <v>1398000</v>
          </cell>
          <cell r="AD977">
            <v>20237532</v>
          </cell>
          <cell r="AE977">
            <v>10282683</v>
          </cell>
          <cell r="AF977">
            <v>9753279</v>
          </cell>
          <cell r="AG977">
            <v>0</v>
          </cell>
          <cell r="AH977">
            <v>0</v>
          </cell>
          <cell r="AI977">
            <v>0</v>
          </cell>
          <cell r="AJ977">
            <v>0</v>
          </cell>
          <cell r="AK977">
            <v>403356</v>
          </cell>
          <cell r="AL977">
            <v>882341</v>
          </cell>
          <cell r="AM977">
            <v>75629</v>
          </cell>
          <cell r="AN977">
            <v>151259</v>
          </cell>
          <cell r="AO977">
            <v>50419</v>
          </cell>
          <cell r="AP977">
            <v>50419</v>
          </cell>
        </row>
        <row r="978">
          <cell r="D978" t="str">
            <v>Sản xuất 06 tổ hợp trinh sát, gây nhiễu chống phương tiện bay không người lái cấp chiến thuật BV5 và bộ ZIP vật tư dự phòng năm 2024 (Tổ hợp BV5 chống UAV)</v>
          </cell>
          <cell r="G978" t="str">
            <v>SXKD</v>
          </cell>
          <cell r="I978" t="str">
            <v>CKTĐH</v>
          </cell>
          <cell r="AC978">
            <v>1030000</v>
          </cell>
          <cell r="AD978">
            <v>35986070</v>
          </cell>
          <cell r="AE978">
            <v>32438374</v>
          </cell>
          <cell r="AF978">
            <v>31313446</v>
          </cell>
          <cell r="AG978">
            <v>0</v>
          </cell>
          <cell r="AH978">
            <v>0</v>
          </cell>
          <cell r="AI978">
            <v>0</v>
          </cell>
          <cell r="AJ978">
            <v>0</v>
          </cell>
          <cell r="AK978">
            <v>857088</v>
          </cell>
          <cell r="AL978">
            <v>1874880</v>
          </cell>
          <cell r="AM978">
            <v>160704</v>
          </cell>
          <cell r="AN978">
            <v>321408</v>
          </cell>
          <cell r="AO978">
            <v>107136</v>
          </cell>
          <cell r="AP978">
            <v>107136</v>
          </cell>
        </row>
        <row r="979">
          <cell r="D979" t="str">
            <v>Sản xuất 2000 hệ thống thông tin (bao gồm máy VRU812/S 50W và VIS) kèm vật tư dự phòng và Lắp đặt trên xe tăng thiết giáp, xe đặc chủng năm 2024 (Máy thông tin vô tuyến điện VRU812/S – 50W)</v>
          </cell>
          <cell r="G979" t="str">
            <v>SXKD</v>
          </cell>
          <cell r="I979" t="str">
            <v>TTSX</v>
          </cell>
          <cell r="AC979">
            <v>1230000</v>
          </cell>
          <cell r="AD979">
            <v>87733789</v>
          </cell>
          <cell r="AE979">
            <v>14427061</v>
          </cell>
          <cell r="AF979">
            <v>14173902</v>
          </cell>
          <cell r="AG979">
            <v>0</v>
          </cell>
          <cell r="AH979">
            <v>0</v>
          </cell>
          <cell r="AI979">
            <v>0</v>
          </cell>
          <cell r="AJ979">
            <v>0</v>
          </cell>
          <cell r="AK979">
            <v>253159</v>
          </cell>
          <cell r="AL979">
            <v>553786</v>
          </cell>
          <cell r="AM979">
            <v>0</v>
          </cell>
          <cell r="AN979">
            <v>0</v>
          </cell>
          <cell r="AO979">
            <v>0</v>
          </cell>
          <cell r="AP979">
            <v>0</v>
          </cell>
        </row>
        <row r="980">
          <cell r="D980" t="str">
            <v>Sản xuất 2000 hệ thống thông tin (bao gồm máy VRU812/S 50W và VIS) kèm vật tư dự phòng và Lắp đặt trên xe tăng thiết giáp, xe đặc chủng năm 2024 (Máy thông tin vô tuyến điện VRU812/S – 50W)</v>
          </cell>
          <cell r="G980" t="str">
            <v>SXKD</v>
          </cell>
          <cell r="I980" t="str">
            <v>TTSX</v>
          </cell>
          <cell r="AC980">
            <v>1130000</v>
          </cell>
          <cell r="AD980">
            <v>53276870</v>
          </cell>
          <cell r="AE980">
            <v>29627634</v>
          </cell>
          <cell r="AF980">
            <v>28760377</v>
          </cell>
          <cell r="AG980">
            <v>0</v>
          </cell>
          <cell r="AH980">
            <v>0</v>
          </cell>
          <cell r="AI980">
            <v>0</v>
          </cell>
          <cell r="AJ980">
            <v>0</v>
          </cell>
          <cell r="AK980">
            <v>867257</v>
          </cell>
          <cell r="AL980">
            <v>1897125</v>
          </cell>
          <cell r="AM980">
            <v>0</v>
          </cell>
          <cell r="AN980">
            <v>0</v>
          </cell>
          <cell r="AO980">
            <v>0</v>
          </cell>
          <cell r="AP980">
            <v>0</v>
          </cell>
        </row>
        <row r="981">
          <cell r="D981" t="str">
            <v>Sản xuất 2000 hệ thống thông tin (bao gồm máy VRU812/S 50W và VIS) kèm vật tư dự phòng và Lắp đặt trên xe tăng thiết giáp, xe đặc chủng năm 2024 (Máy thông tin vô tuyến điện VRU812/S – 50W)</v>
          </cell>
          <cell r="G981" t="str">
            <v>SXKD</v>
          </cell>
          <cell r="I981" t="str">
            <v>TTSX</v>
          </cell>
          <cell r="AC981">
            <v>930000</v>
          </cell>
          <cell r="AD981">
            <v>27734076</v>
          </cell>
          <cell r="AE981">
            <v>4266288</v>
          </cell>
          <cell r="AF981">
            <v>4089669</v>
          </cell>
          <cell r="AG981">
            <v>0</v>
          </cell>
          <cell r="AH981">
            <v>0</v>
          </cell>
          <cell r="AI981">
            <v>0</v>
          </cell>
          <cell r="AJ981">
            <v>0</v>
          </cell>
          <cell r="AK981">
            <v>134567</v>
          </cell>
          <cell r="AL981">
            <v>294365</v>
          </cell>
          <cell r="AM981">
            <v>25231</v>
          </cell>
          <cell r="AN981">
            <v>50463</v>
          </cell>
          <cell r="AO981">
            <v>16821</v>
          </cell>
          <cell r="AP981">
            <v>16821</v>
          </cell>
        </row>
        <row r="982">
          <cell r="D982" t="str">
            <v>Sản xuất 2000 hệ thống thông tin (bao gồm máy VRU812/S 50W và VIS) kèm vật tư dự phòng và Lắp đặt trên xe tăng thiết giáp, xe đặc chủng năm 2024 (Máy thông tin vô tuyến điện VRU812/S – 50W)</v>
          </cell>
          <cell r="G982" t="str">
            <v>SXKD</v>
          </cell>
          <cell r="I982" t="str">
            <v>TTSX</v>
          </cell>
          <cell r="AC982">
            <v>1030000</v>
          </cell>
          <cell r="AD982">
            <v>40215871</v>
          </cell>
          <cell r="AE982">
            <v>10959572</v>
          </cell>
          <cell r="AF982">
            <v>10563034</v>
          </cell>
          <cell r="AG982">
            <v>0</v>
          </cell>
          <cell r="AH982">
            <v>0</v>
          </cell>
          <cell r="AI982">
            <v>0</v>
          </cell>
          <cell r="AJ982">
            <v>0</v>
          </cell>
          <cell r="AK982">
            <v>396538</v>
          </cell>
          <cell r="AL982">
            <v>867428</v>
          </cell>
          <cell r="AM982">
            <v>0</v>
          </cell>
          <cell r="AN982">
            <v>0</v>
          </cell>
          <cell r="AO982">
            <v>0</v>
          </cell>
          <cell r="AP982">
            <v>0</v>
          </cell>
        </row>
        <row r="983">
          <cell r="D983" t="str">
            <v>Sản xuất 2000 hệ thống thông tin (bao gồm máy VRU812/S 50W và VIS) kèm vật tư dự phòng và Lắp đặt trên xe tăng thiết giáp, xe đặc chủng năm 2024 (Máy thông tin vô tuyến điện VRU812/S – 50W)</v>
          </cell>
          <cell r="G983" t="str">
            <v>SXKD</v>
          </cell>
          <cell r="I983" t="str">
            <v>TTSX</v>
          </cell>
          <cell r="AC983">
            <v>1147000</v>
          </cell>
          <cell r="AD983">
            <v>24395736</v>
          </cell>
          <cell r="AE983">
            <v>3686483</v>
          </cell>
          <cell r="AF983">
            <v>3527073</v>
          </cell>
          <cell r="AG983">
            <v>0</v>
          </cell>
          <cell r="AH983">
            <v>0</v>
          </cell>
          <cell r="AI983">
            <v>0</v>
          </cell>
          <cell r="AJ983">
            <v>0</v>
          </cell>
          <cell r="AK983">
            <v>121455</v>
          </cell>
          <cell r="AL983">
            <v>265683</v>
          </cell>
          <cell r="AM983">
            <v>22773</v>
          </cell>
          <cell r="AN983">
            <v>45546</v>
          </cell>
          <cell r="AO983">
            <v>15182</v>
          </cell>
          <cell r="AP983">
            <v>15182</v>
          </cell>
        </row>
        <row r="984">
          <cell r="D984" t="str">
            <v>Sản xuất 2000 hệ thống thông tin (bao gồm máy VRU812/S 50W và VIS) kèm vật tư dự phòng và Lắp đặt trên xe tăng thiết giáp, xe đặc chủng năm 2024 (Máy thông tin vô tuyến điện VRU812/S – 50W)</v>
          </cell>
          <cell r="G984" t="str">
            <v>SXKD</v>
          </cell>
          <cell r="I984" t="str">
            <v>TTSX</v>
          </cell>
          <cell r="AC984">
            <v>1047000</v>
          </cell>
          <cell r="AD984">
            <v>22001394</v>
          </cell>
          <cell r="AE984">
            <v>3287467</v>
          </cell>
          <cell r="AF984">
            <v>3128057</v>
          </cell>
          <cell r="AG984">
            <v>0</v>
          </cell>
          <cell r="AH984">
            <v>0</v>
          </cell>
          <cell r="AI984">
            <v>0</v>
          </cell>
          <cell r="AJ984">
            <v>0</v>
          </cell>
          <cell r="AK984">
            <v>121455</v>
          </cell>
          <cell r="AL984">
            <v>265683</v>
          </cell>
          <cell r="AM984">
            <v>22773</v>
          </cell>
          <cell r="AN984">
            <v>45546</v>
          </cell>
          <cell r="AO984">
            <v>15182</v>
          </cell>
          <cell r="AP984">
            <v>15182</v>
          </cell>
        </row>
        <row r="985">
          <cell r="D985"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985" t="str">
            <v>SXKD</v>
          </cell>
          <cell r="I985" t="str">
            <v>TTSX</v>
          </cell>
          <cell r="AC985">
            <v>1230000</v>
          </cell>
          <cell r="AD985">
            <v>87733789</v>
          </cell>
          <cell r="AE985">
            <v>10820296</v>
          </cell>
          <cell r="AF985">
            <v>10630426</v>
          </cell>
          <cell r="AG985">
            <v>0</v>
          </cell>
          <cell r="AH985">
            <v>0</v>
          </cell>
          <cell r="AI985">
            <v>0</v>
          </cell>
          <cell r="AJ985">
            <v>0</v>
          </cell>
          <cell r="AK985">
            <v>189870</v>
          </cell>
          <cell r="AL985">
            <v>415340</v>
          </cell>
          <cell r="AM985">
            <v>0</v>
          </cell>
          <cell r="AN985">
            <v>0</v>
          </cell>
          <cell r="AO985">
            <v>0</v>
          </cell>
          <cell r="AP985">
            <v>0</v>
          </cell>
        </row>
        <row r="986">
          <cell r="D986"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986" t="str">
            <v>SXKD</v>
          </cell>
          <cell r="I986" t="str">
            <v>TTSX</v>
          </cell>
          <cell r="AC986">
            <v>930000</v>
          </cell>
          <cell r="AD986">
            <v>27734076</v>
          </cell>
          <cell r="AE986">
            <v>3199716</v>
          </cell>
          <cell r="AF986">
            <v>3067252</v>
          </cell>
          <cell r="AG986">
            <v>0</v>
          </cell>
          <cell r="AH986">
            <v>0</v>
          </cell>
          <cell r="AI986">
            <v>0</v>
          </cell>
          <cell r="AJ986">
            <v>0</v>
          </cell>
          <cell r="AK986">
            <v>100925</v>
          </cell>
          <cell r="AL986">
            <v>220774</v>
          </cell>
          <cell r="AM986">
            <v>18923</v>
          </cell>
          <cell r="AN986">
            <v>37847</v>
          </cell>
          <cell r="AO986">
            <v>12616</v>
          </cell>
          <cell r="AP986">
            <v>12616</v>
          </cell>
        </row>
        <row r="987">
          <cell r="D987"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987" t="str">
            <v>SXKD</v>
          </cell>
          <cell r="I987" t="str">
            <v>TTSX</v>
          </cell>
          <cell r="AC987">
            <v>1030000</v>
          </cell>
          <cell r="AD987">
            <v>40215871</v>
          </cell>
          <cell r="AE987">
            <v>6262613</v>
          </cell>
          <cell r="AF987">
            <v>6036020</v>
          </cell>
          <cell r="AG987">
            <v>0</v>
          </cell>
          <cell r="AH987">
            <v>0</v>
          </cell>
          <cell r="AI987">
            <v>0</v>
          </cell>
          <cell r="AJ987">
            <v>0</v>
          </cell>
          <cell r="AK987">
            <v>226593</v>
          </cell>
          <cell r="AL987">
            <v>495673</v>
          </cell>
          <cell r="AM987">
            <v>0</v>
          </cell>
          <cell r="AN987">
            <v>0</v>
          </cell>
          <cell r="AO987">
            <v>0</v>
          </cell>
          <cell r="AP987">
            <v>0</v>
          </cell>
        </row>
        <row r="988">
          <cell r="D988"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988" t="str">
            <v>SXKD</v>
          </cell>
          <cell r="I988" t="str">
            <v>TTSX</v>
          </cell>
          <cell r="AC988">
            <v>1147000</v>
          </cell>
          <cell r="AD988">
            <v>24395736</v>
          </cell>
          <cell r="AE988">
            <v>2764863</v>
          </cell>
          <cell r="AF988">
            <v>2645306</v>
          </cell>
          <cell r="AG988">
            <v>0</v>
          </cell>
          <cell r="AH988">
            <v>0</v>
          </cell>
          <cell r="AI988">
            <v>0</v>
          </cell>
          <cell r="AJ988">
            <v>0</v>
          </cell>
          <cell r="AK988">
            <v>91091</v>
          </cell>
          <cell r="AL988">
            <v>199263</v>
          </cell>
          <cell r="AM988">
            <v>17080</v>
          </cell>
          <cell r="AN988">
            <v>34159</v>
          </cell>
          <cell r="AO988">
            <v>11386</v>
          </cell>
          <cell r="AP988">
            <v>11386</v>
          </cell>
        </row>
        <row r="989">
          <cell r="D989" t="str">
            <v>Sản xuất 2000 hệ thống thông tin (bao gồm máy VRU812/S 50W và VIS) kèm vật tư dự phòng và Lắp đặt trên xe tăng thiết giáp, xe đặc chủng năm 2024 (Bộ vật tư dự phòng máy thông tin vô tuyến điện VRU812/S – 50W phiên bản 2024)</v>
          </cell>
          <cell r="G989" t="str">
            <v>SXKD</v>
          </cell>
          <cell r="I989" t="str">
            <v>TTSX</v>
          </cell>
          <cell r="AC989">
            <v>1047000</v>
          </cell>
          <cell r="AD989">
            <v>22001394</v>
          </cell>
          <cell r="AE989">
            <v>2465601</v>
          </cell>
          <cell r="AF989">
            <v>2346044</v>
          </cell>
          <cell r="AG989">
            <v>0</v>
          </cell>
          <cell r="AH989">
            <v>0</v>
          </cell>
          <cell r="AI989">
            <v>0</v>
          </cell>
          <cell r="AJ989">
            <v>0</v>
          </cell>
          <cell r="AK989">
            <v>91091</v>
          </cell>
          <cell r="AL989">
            <v>199263</v>
          </cell>
          <cell r="AM989">
            <v>17080</v>
          </cell>
          <cell r="AN989">
            <v>34159</v>
          </cell>
          <cell r="AO989">
            <v>11386</v>
          </cell>
          <cell r="AP989">
            <v>11386</v>
          </cell>
        </row>
        <row r="990">
          <cell r="D990" t="str">
            <v>Sản xuất 2000 hệ thống thông tin (bao gồm máy VRU812/S 50W và VIS) kèm vật tư dự phòng và Lắp đặt trên xe tăng thiết giáp, xe đặc chủng năm 2024 (Bộ thông thoại số VIS)</v>
          </cell>
          <cell r="G990" t="str">
            <v>SXKD</v>
          </cell>
          <cell r="I990" t="str">
            <v>TTSX</v>
          </cell>
          <cell r="AC990">
            <v>1230000</v>
          </cell>
          <cell r="AD990">
            <v>87733789</v>
          </cell>
          <cell r="AE990">
            <v>7213531</v>
          </cell>
          <cell r="AF990">
            <v>7086951</v>
          </cell>
          <cell r="AG990">
            <v>0</v>
          </cell>
          <cell r="AH990">
            <v>0</v>
          </cell>
          <cell r="AI990">
            <v>0</v>
          </cell>
          <cell r="AJ990">
            <v>0</v>
          </cell>
          <cell r="AK990">
            <v>126580</v>
          </cell>
          <cell r="AL990">
            <v>276894</v>
          </cell>
          <cell r="AM990">
            <v>0</v>
          </cell>
          <cell r="AN990">
            <v>0</v>
          </cell>
          <cell r="AO990">
            <v>0</v>
          </cell>
          <cell r="AP990">
            <v>0</v>
          </cell>
        </row>
        <row r="991">
          <cell r="D991" t="str">
            <v>Sản xuất 2000 hệ thống thông tin (bao gồm máy VRU812/S 50W và VIS) kèm vật tư dự phòng và Lắp đặt trên xe tăng thiết giáp, xe đặc chủng năm 2024 (Bộ thông thoại số VIS)</v>
          </cell>
          <cell r="G991" t="str">
            <v>SXKD</v>
          </cell>
          <cell r="I991" t="str">
            <v>TTSX</v>
          </cell>
          <cell r="AC991">
            <v>930000</v>
          </cell>
          <cell r="AD991">
            <v>27734076</v>
          </cell>
          <cell r="AE991">
            <v>2133144</v>
          </cell>
          <cell r="AF991">
            <v>2044833</v>
          </cell>
          <cell r="AG991">
            <v>0</v>
          </cell>
          <cell r="AH991">
            <v>0</v>
          </cell>
          <cell r="AI991">
            <v>0</v>
          </cell>
          <cell r="AJ991">
            <v>0</v>
          </cell>
          <cell r="AK991">
            <v>67284</v>
          </cell>
          <cell r="AL991">
            <v>147183</v>
          </cell>
          <cell r="AM991">
            <v>12617</v>
          </cell>
          <cell r="AN991">
            <v>25230</v>
          </cell>
          <cell r="AO991">
            <v>8410</v>
          </cell>
          <cell r="AP991">
            <v>8410</v>
          </cell>
        </row>
        <row r="992">
          <cell r="D992" t="str">
            <v>Sản xuất 2000 hệ thống thông tin (bao gồm máy VRU812/S 50W và VIS) kèm vật tư dự phòng và Lắp đặt trên xe tăng thiết giáp, xe đặc chủng năm 2024 (Bộ thông thoại số VIS)</v>
          </cell>
          <cell r="G992" t="str">
            <v>SXKD</v>
          </cell>
          <cell r="I992" t="str">
            <v>TTSX</v>
          </cell>
          <cell r="AC992">
            <v>1030000</v>
          </cell>
          <cell r="AD992">
            <v>40215871</v>
          </cell>
          <cell r="AE992">
            <v>3131306</v>
          </cell>
          <cell r="AF992">
            <v>3018009</v>
          </cell>
          <cell r="AG992">
            <v>0</v>
          </cell>
          <cell r="AH992">
            <v>0</v>
          </cell>
          <cell r="AI992">
            <v>0</v>
          </cell>
          <cell r="AJ992">
            <v>0</v>
          </cell>
          <cell r="AK992">
            <v>113297</v>
          </cell>
          <cell r="AL992">
            <v>247837</v>
          </cell>
          <cell r="AM992">
            <v>0</v>
          </cell>
          <cell r="AN992">
            <v>0</v>
          </cell>
          <cell r="AO992">
            <v>0</v>
          </cell>
          <cell r="AP992">
            <v>0</v>
          </cell>
        </row>
        <row r="993">
          <cell r="D993" t="str">
            <v>Sản xuất 2000 hệ thống thông tin (bao gồm máy VRU812/S 50W và VIS) kèm vật tư dự phòng và Lắp đặt trên xe tăng thiết giáp, xe đặc chủng năm 2024 (Bộ thông thoại số VIS)</v>
          </cell>
          <cell r="G993" t="str">
            <v>SXKD</v>
          </cell>
          <cell r="I993" t="str">
            <v>TTSX</v>
          </cell>
          <cell r="AC993">
            <v>1147000</v>
          </cell>
          <cell r="AD993">
            <v>24395736</v>
          </cell>
          <cell r="AE993">
            <v>1843242</v>
          </cell>
          <cell r="AF993">
            <v>1763536</v>
          </cell>
          <cell r="AG993">
            <v>0</v>
          </cell>
          <cell r="AH993">
            <v>0</v>
          </cell>
          <cell r="AI993">
            <v>0</v>
          </cell>
          <cell r="AJ993">
            <v>0</v>
          </cell>
          <cell r="AK993">
            <v>60729</v>
          </cell>
          <cell r="AL993">
            <v>132842</v>
          </cell>
          <cell r="AM993">
            <v>11386</v>
          </cell>
          <cell r="AN993">
            <v>22773</v>
          </cell>
          <cell r="AO993">
            <v>7591</v>
          </cell>
          <cell r="AP993">
            <v>7591</v>
          </cell>
        </row>
        <row r="994">
          <cell r="D994" t="str">
            <v>Sản xuất 2000 hệ thống thông tin (bao gồm máy VRU812/S 50W và VIS) kèm vật tư dự phòng và Lắp đặt trên xe tăng thiết giáp, xe đặc chủng năm 2024 (Bộ thông thoại số VIS)</v>
          </cell>
          <cell r="G994" t="str">
            <v>SXKD</v>
          </cell>
          <cell r="I994" t="str">
            <v>TTSX</v>
          </cell>
          <cell r="AC994">
            <v>1047000</v>
          </cell>
          <cell r="AD994">
            <v>22001394</v>
          </cell>
          <cell r="AE994">
            <v>1643734</v>
          </cell>
          <cell r="AF994">
            <v>1564027</v>
          </cell>
          <cell r="AG994">
            <v>0</v>
          </cell>
          <cell r="AH994">
            <v>0</v>
          </cell>
          <cell r="AI994">
            <v>0</v>
          </cell>
          <cell r="AJ994">
            <v>0</v>
          </cell>
          <cell r="AK994">
            <v>60728</v>
          </cell>
          <cell r="AL994">
            <v>132842</v>
          </cell>
          <cell r="AM994">
            <v>11387</v>
          </cell>
          <cell r="AN994">
            <v>22773</v>
          </cell>
          <cell r="AO994">
            <v>7592</v>
          </cell>
          <cell r="AP994">
            <v>7592</v>
          </cell>
        </row>
        <row r="995">
          <cell r="D995" t="str">
            <v>Sản xuất 2000 hệ thống thông tin (bao gồm máy VRU812/S 50W và VIS) kèm vật tư dự phòng và Lắp đặt trên xe tăng thiết giáp, xe đặc chủng năm 2024 (Bộ vật tư dự phòng Bộ thông thoại số VIS phiên bản 2024)</v>
          </cell>
          <cell r="G995" t="str">
            <v>SXKD</v>
          </cell>
          <cell r="I995" t="str">
            <v>TTSX</v>
          </cell>
          <cell r="AC995">
            <v>1030000</v>
          </cell>
          <cell r="AD995">
            <v>40215871</v>
          </cell>
          <cell r="AE995">
            <v>1565654</v>
          </cell>
          <cell r="AF995">
            <v>1509005</v>
          </cell>
          <cell r="AG995">
            <v>0</v>
          </cell>
          <cell r="AH995">
            <v>0</v>
          </cell>
          <cell r="AI995">
            <v>0</v>
          </cell>
          <cell r="AJ995">
            <v>0</v>
          </cell>
          <cell r="AK995">
            <v>56649</v>
          </cell>
          <cell r="AL995">
            <v>123917</v>
          </cell>
          <cell r="AM995">
            <v>0</v>
          </cell>
          <cell r="AN995">
            <v>0</v>
          </cell>
          <cell r="AO995">
            <v>0</v>
          </cell>
          <cell r="AP995">
            <v>0</v>
          </cell>
        </row>
        <row r="996">
          <cell r="D996" t="str">
            <v>Hệ thống cảnh giới và bảo vệ vùng trời quốc gia VQ2 giai đoạn 2</v>
          </cell>
          <cell r="G996" t="str">
            <v>Bảo hành</v>
          </cell>
          <cell r="I996" t="str">
            <v>DVSBH</v>
          </cell>
          <cell r="AC996">
            <v>1730000</v>
          </cell>
          <cell r="AD996">
            <v>90783778</v>
          </cell>
          <cell r="AE996">
            <v>7450922</v>
          </cell>
          <cell r="AF996">
            <v>7330764</v>
          </cell>
          <cell r="AG996">
            <v>0</v>
          </cell>
          <cell r="AH996">
            <v>0</v>
          </cell>
          <cell r="AI996">
            <v>0</v>
          </cell>
          <cell r="AJ996">
            <v>0</v>
          </cell>
          <cell r="AK996">
            <v>120158</v>
          </cell>
          <cell r="AL996">
            <v>262846</v>
          </cell>
          <cell r="AM996">
            <v>0</v>
          </cell>
          <cell r="AN996">
            <v>0</v>
          </cell>
          <cell r="AO996">
            <v>0</v>
          </cell>
          <cell r="AP996">
            <v>0</v>
          </cell>
        </row>
        <row r="997">
          <cell r="D997" t="str">
            <v>Hệ thống cảnh giới và bảo vệ vùng trời quốc gia VQ2 giai đoạn 2</v>
          </cell>
          <cell r="G997" t="str">
            <v>Bảo hành</v>
          </cell>
          <cell r="I997" t="str">
            <v>DVSBH</v>
          </cell>
          <cell r="AC997">
            <v>1230000</v>
          </cell>
          <cell r="AD997">
            <v>66918607</v>
          </cell>
          <cell r="AE997">
            <v>5444472</v>
          </cell>
          <cell r="AF997">
            <v>5324915</v>
          </cell>
          <cell r="AG997">
            <v>0</v>
          </cell>
          <cell r="AH997">
            <v>0</v>
          </cell>
          <cell r="AI997">
            <v>0</v>
          </cell>
          <cell r="AJ997">
            <v>0</v>
          </cell>
          <cell r="AK997">
            <v>91091</v>
          </cell>
          <cell r="AL997">
            <v>199263</v>
          </cell>
          <cell r="AM997">
            <v>17080</v>
          </cell>
          <cell r="AN997">
            <v>34159</v>
          </cell>
          <cell r="AO997">
            <v>11386</v>
          </cell>
          <cell r="AP997">
            <v>11386</v>
          </cell>
        </row>
        <row r="998">
          <cell r="D998" t="str">
            <v>Hệ thống cảnh giới và bảo vệ vùng trời quốc gia VQ2 giai đoạn 2</v>
          </cell>
          <cell r="G998" t="str">
            <v>Bảo hành</v>
          </cell>
          <cell r="I998" t="str">
            <v>DVSBH</v>
          </cell>
          <cell r="AC998">
            <v>1047000</v>
          </cell>
          <cell r="AD998">
            <v>24112143</v>
          </cell>
          <cell r="AE998">
            <v>1827277</v>
          </cell>
          <cell r="AF998">
            <v>1747572</v>
          </cell>
          <cell r="AG998">
            <v>0</v>
          </cell>
          <cell r="AH998">
            <v>0</v>
          </cell>
          <cell r="AI998">
            <v>0</v>
          </cell>
          <cell r="AJ998">
            <v>0</v>
          </cell>
          <cell r="AK998">
            <v>60728</v>
          </cell>
          <cell r="AL998">
            <v>132842</v>
          </cell>
          <cell r="AM998">
            <v>11386</v>
          </cell>
          <cell r="AN998">
            <v>22773</v>
          </cell>
          <cell r="AO998">
            <v>7591</v>
          </cell>
          <cell r="AP998">
            <v>7591</v>
          </cell>
        </row>
        <row r="999">
          <cell r="D999" t="str">
            <v>Hệ thống cảnh giới và bảo vệ vùng trời quốc gia VQ2 giai đoạn 2</v>
          </cell>
          <cell r="G999" t="str">
            <v>Bảo hành</v>
          </cell>
          <cell r="I999" t="str">
            <v>DVSBH</v>
          </cell>
          <cell r="AC999">
            <v>1130000</v>
          </cell>
          <cell r="AD999">
            <v>46691305</v>
          </cell>
          <cell r="AE999">
            <v>24256526</v>
          </cell>
          <cell r="AF999">
            <v>23588317</v>
          </cell>
          <cell r="AG999">
            <v>0</v>
          </cell>
          <cell r="AH999">
            <v>0</v>
          </cell>
          <cell r="AI999">
            <v>0</v>
          </cell>
          <cell r="AJ999">
            <v>0</v>
          </cell>
          <cell r="AK999">
            <v>509112</v>
          </cell>
          <cell r="AL999">
            <v>1113682</v>
          </cell>
          <cell r="AM999">
            <v>95458</v>
          </cell>
          <cell r="AN999">
            <v>190917</v>
          </cell>
          <cell r="AO999">
            <v>63639</v>
          </cell>
          <cell r="AP999">
            <v>63639</v>
          </cell>
        </row>
        <row r="1000">
          <cell r="D1000" t="str">
            <v>Hệ thống cảnh giới và bảo vệ vùng trời quốc gia VQ2 giai đoạn 2</v>
          </cell>
          <cell r="G1000" t="str">
            <v>Bảo hành</v>
          </cell>
          <cell r="I1000" t="str">
            <v>DVSBH</v>
          </cell>
          <cell r="AC1000">
            <v>930000</v>
          </cell>
          <cell r="AD1000">
            <v>28518964</v>
          </cell>
          <cell r="AE1000">
            <v>2201395</v>
          </cell>
          <cell r="AF1000">
            <v>2113086</v>
          </cell>
          <cell r="AG1000">
            <v>0</v>
          </cell>
          <cell r="AH1000">
            <v>0</v>
          </cell>
          <cell r="AI1000">
            <v>0</v>
          </cell>
          <cell r="AJ1000">
            <v>0</v>
          </cell>
          <cell r="AK1000">
            <v>67283</v>
          </cell>
          <cell r="AL1000">
            <v>147183</v>
          </cell>
          <cell r="AM1000">
            <v>12616</v>
          </cell>
          <cell r="AN1000">
            <v>25231</v>
          </cell>
          <cell r="AO1000">
            <v>8410</v>
          </cell>
          <cell r="AP1000">
            <v>8410</v>
          </cell>
        </row>
        <row r="1001">
          <cell r="D1001" t="str">
            <v>Hệ thống cảnh giới và bảo vệ vùng trời quốc gia VQ2 giai đoạn 2</v>
          </cell>
          <cell r="G1001" t="str">
            <v>Bảo hành</v>
          </cell>
          <cell r="I1001" t="str">
            <v>DVSBH</v>
          </cell>
          <cell r="AC1001">
            <v>1030000</v>
          </cell>
          <cell r="AD1001">
            <v>31904370</v>
          </cell>
          <cell r="AE1001">
            <v>19896661</v>
          </cell>
          <cell r="AF1001">
            <v>19190185</v>
          </cell>
          <cell r="AG1001">
            <v>0</v>
          </cell>
          <cell r="AH1001">
            <v>0</v>
          </cell>
          <cell r="AI1001">
            <v>0</v>
          </cell>
          <cell r="AJ1001">
            <v>0</v>
          </cell>
          <cell r="AK1001">
            <v>538268</v>
          </cell>
          <cell r="AL1001">
            <v>1177461</v>
          </cell>
          <cell r="AM1001">
            <v>100925</v>
          </cell>
          <cell r="AN1001">
            <v>201850</v>
          </cell>
          <cell r="AO1001">
            <v>67283</v>
          </cell>
          <cell r="AP1001">
            <v>67283</v>
          </cell>
        </row>
        <row r="1002">
          <cell r="D1002" t="str">
            <v>Hệ thống cảnh giới và bảo vệ vùng trời quốc gia VQ2 giai đoạn 2</v>
          </cell>
          <cell r="G1002" t="str">
            <v>Bảo hành</v>
          </cell>
          <cell r="I1002" t="str">
            <v>DVSBH</v>
          </cell>
          <cell r="AC1002">
            <v>930000</v>
          </cell>
          <cell r="AD1002">
            <v>19543335</v>
          </cell>
          <cell r="AE1002">
            <v>8695713</v>
          </cell>
          <cell r="AF1002">
            <v>8241937</v>
          </cell>
          <cell r="AG1002">
            <v>0</v>
          </cell>
          <cell r="AH1002">
            <v>0</v>
          </cell>
          <cell r="AI1002">
            <v>0</v>
          </cell>
          <cell r="AJ1002">
            <v>0</v>
          </cell>
          <cell r="AK1002">
            <v>345734</v>
          </cell>
          <cell r="AL1002">
            <v>756292</v>
          </cell>
          <cell r="AM1002">
            <v>64825</v>
          </cell>
          <cell r="AN1002">
            <v>129650</v>
          </cell>
          <cell r="AO1002">
            <v>43217</v>
          </cell>
          <cell r="AP1002">
            <v>43217</v>
          </cell>
        </row>
        <row r="1003">
          <cell r="D1003" t="str">
            <v>Hệ thống cảnh giới và bảo vệ vùng trời quốc gia VQ2 giai đoạn 2</v>
          </cell>
          <cell r="G1003" t="str">
            <v>Bảo hành</v>
          </cell>
          <cell r="I1003" t="str">
            <v>DVSBH</v>
          </cell>
          <cell r="AC1003">
            <v>930000</v>
          </cell>
          <cell r="AD1003">
            <v>28254600</v>
          </cell>
          <cell r="AE1003">
            <v>13070442</v>
          </cell>
          <cell r="AF1003">
            <v>12540584</v>
          </cell>
          <cell r="AG1003">
            <v>0</v>
          </cell>
          <cell r="AH1003">
            <v>0</v>
          </cell>
          <cell r="AI1003">
            <v>0</v>
          </cell>
          <cell r="AJ1003">
            <v>0</v>
          </cell>
          <cell r="AK1003">
            <v>403701</v>
          </cell>
          <cell r="AL1003">
            <v>883096</v>
          </cell>
          <cell r="AM1003">
            <v>75694</v>
          </cell>
          <cell r="AN1003">
            <v>151388</v>
          </cell>
          <cell r="AO1003">
            <v>50463</v>
          </cell>
          <cell r="AP1003">
            <v>50463</v>
          </cell>
        </row>
        <row r="1004">
          <cell r="D1004" t="str">
            <v>Hệ thống cảnh giới và bảo vệ vùng trời quốc gia VQ2 giai đoạn 2</v>
          </cell>
          <cell r="G1004" t="str">
            <v>Bảo hành</v>
          </cell>
          <cell r="I1004" t="str">
            <v>DVSBH</v>
          </cell>
          <cell r="AC1004">
            <v>930000</v>
          </cell>
          <cell r="AD1004">
            <v>27992970</v>
          </cell>
          <cell r="AE1004">
            <v>4311313</v>
          </cell>
          <cell r="AF1004">
            <v>4134694</v>
          </cell>
          <cell r="AG1004">
            <v>0</v>
          </cell>
          <cell r="AH1004">
            <v>0</v>
          </cell>
          <cell r="AI1004">
            <v>0</v>
          </cell>
          <cell r="AJ1004">
            <v>0</v>
          </cell>
          <cell r="AK1004">
            <v>134567</v>
          </cell>
          <cell r="AL1004">
            <v>294365</v>
          </cell>
          <cell r="AM1004">
            <v>25231</v>
          </cell>
          <cell r="AN1004">
            <v>50463</v>
          </cell>
          <cell r="AO1004">
            <v>16821</v>
          </cell>
          <cell r="AP1004">
            <v>16821</v>
          </cell>
        </row>
        <row r="1005">
          <cell r="D1005" t="str">
            <v>Hệ thống cảnh giới và bảo vệ vùng trời quốc gia VQ2 giai đoạn 2</v>
          </cell>
          <cell r="G1005" t="str">
            <v>Bảo hành</v>
          </cell>
          <cell r="I1005" t="str">
            <v>DVSBH</v>
          </cell>
          <cell r="AC1005">
            <v>1030000</v>
          </cell>
          <cell r="AD1005">
            <v>33878771</v>
          </cell>
          <cell r="AE1005">
            <v>2648634</v>
          </cell>
          <cell r="AF1005">
            <v>2555795</v>
          </cell>
          <cell r="AG1005">
            <v>0</v>
          </cell>
          <cell r="AH1005">
            <v>0</v>
          </cell>
          <cell r="AI1005">
            <v>0</v>
          </cell>
          <cell r="AJ1005">
            <v>0</v>
          </cell>
          <cell r="AK1005">
            <v>70734</v>
          </cell>
          <cell r="AL1005">
            <v>154730</v>
          </cell>
          <cell r="AM1005">
            <v>13263</v>
          </cell>
          <cell r="AN1005">
            <v>26525</v>
          </cell>
          <cell r="AO1005">
            <v>8842</v>
          </cell>
          <cell r="AP1005">
            <v>8842</v>
          </cell>
        </row>
        <row r="1006">
          <cell r="D1006" t="str">
            <v xml:space="preserve">Sản xuất, triển khai hệ thống tự động hóa chỉ huy cho Quân chủng hải quân giai đoạn II </v>
          </cell>
          <cell r="G1006" t="str">
            <v>Bảo hành</v>
          </cell>
          <cell r="I1006" t="str">
            <v>DVSBH</v>
          </cell>
          <cell r="AC1006">
            <v>1730000</v>
          </cell>
          <cell r="AD1006">
            <v>90783778</v>
          </cell>
          <cell r="AE1006">
            <v>11176383</v>
          </cell>
          <cell r="AF1006">
            <v>10996146</v>
          </cell>
          <cell r="AG1006">
            <v>0</v>
          </cell>
          <cell r="AH1006">
            <v>0</v>
          </cell>
          <cell r="AI1006">
            <v>0</v>
          </cell>
          <cell r="AJ1006">
            <v>0</v>
          </cell>
          <cell r="AK1006">
            <v>180237</v>
          </cell>
          <cell r="AL1006">
            <v>394268</v>
          </cell>
          <cell r="AM1006">
            <v>0</v>
          </cell>
          <cell r="AN1006">
            <v>0</v>
          </cell>
          <cell r="AO1006">
            <v>0</v>
          </cell>
          <cell r="AP1006">
            <v>0</v>
          </cell>
        </row>
        <row r="1007">
          <cell r="D1007" t="str">
            <v xml:space="preserve">Sản xuất, triển khai hệ thống tự động hóa chỉ huy cho Quân chủng hải quân giai đoạn II </v>
          </cell>
          <cell r="G1007" t="str">
            <v>Bảo hành</v>
          </cell>
          <cell r="I1007" t="str">
            <v>DVSBH</v>
          </cell>
          <cell r="AC1007">
            <v>1230000</v>
          </cell>
          <cell r="AD1007">
            <v>66918607</v>
          </cell>
          <cell r="AE1007">
            <v>8166707</v>
          </cell>
          <cell r="AF1007">
            <v>7987371</v>
          </cell>
          <cell r="AG1007">
            <v>0</v>
          </cell>
          <cell r="AH1007">
            <v>0</v>
          </cell>
          <cell r="AI1007">
            <v>0</v>
          </cell>
          <cell r="AJ1007">
            <v>0</v>
          </cell>
          <cell r="AK1007">
            <v>136637</v>
          </cell>
          <cell r="AL1007">
            <v>298894</v>
          </cell>
          <cell r="AM1007">
            <v>25619</v>
          </cell>
          <cell r="AN1007">
            <v>51239</v>
          </cell>
          <cell r="AO1007">
            <v>17080</v>
          </cell>
          <cell r="AP1007">
            <v>17080</v>
          </cell>
        </row>
        <row r="1008">
          <cell r="D1008" t="str">
            <v xml:space="preserve">Sản xuất, triển khai hệ thống tự động hóa chỉ huy cho Quân chủng hải quân giai đoạn II </v>
          </cell>
          <cell r="G1008" t="str">
            <v>Bảo hành</v>
          </cell>
          <cell r="I1008" t="str">
            <v>DVSBH</v>
          </cell>
          <cell r="AC1008">
            <v>1047000</v>
          </cell>
          <cell r="AD1008">
            <v>24112143</v>
          </cell>
          <cell r="AE1008">
            <v>2740916</v>
          </cell>
          <cell r="AF1008">
            <v>2621359</v>
          </cell>
          <cell r="AG1008">
            <v>0</v>
          </cell>
          <cell r="AH1008">
            <v>0</v>
          </cell>
          <cell r="AI1008">
            <v>0</v>
          </cell>
          <cell r="AJ1008">
            <v>0</v>
          </cell>
          <cell r="AK1008">
            <v>91091</v>
          </cell>
          <cell r="AL1008">
            <v>199263</v>
          </cell>
          <cell r="AM1008">
            <v>17080</v>
          </cell>
          <cell r="AN1008">
            <v>34159</v>
          </cell>
          <cell r="AO1008">
            <v>11386</v>
          </cell>
          <cell r="AP1008">
            <v>11386</v>
          </cell>
        </row>
        <row r="1009">
          <cell r="D1009" t="str">
            <v xml:space="preserve">Sản xuất, triển khai hệ thống tự động hóa chỉ huy cho Quân chủng hải quân giai đoạn II </v>
          </cell>
          <cell r="G1009" t="str">
            <v>Bảo hành</v>
          </cell>
          <cell r="I1009" t="str">
            <v>DVSBH</v>
          </cell>
          <cell r="AC1009">
            <v>1030000</v>
          </cell>
          <cell r="AD1009">
            <v>25186896</v>
          </cell>
          <cell r="AE1009">
            <v>1922212</v>
          </cell>
          <cell r="AF1009">
            <v>1842507</v>
          </cell>
          <cell r="AG1009">
            <v>0</v>
          </cell>
          <cell r="AH1009">
            <v>0</v>
          </cell>
          <cell r="AI1009">
            <v>0</v>
          </cell>
          <cell r="AJ1009">
            <v>0</v>
          </cell>
          <cell r="AK1009">
            <v>60728</v>
          </cell>
          <cell r="AL1009">
            <v>132842</v>
          </cell>
          <cell r="AM1009">
            <v>11386</v>
          </cell>
          <cell r="AN1009">
            <v>22773</v>
          </cell>
          <cell r="AO1009">
            <v>7591</v>
          </cell>
          <cell r="AP1009">
            <v>7591</v>
          </cell>
        </row>
        <row r="1010">
          <cell r="D1010" t="str">
            <v xml:space="preserve">Sản xuất, triển khai hệ thống tự động hóa chỉ huy cho Quân chủng hải quân giai đoạn II </v>
          </cell>
          <cell r="G1010" t="str">
            <v>Bảo hành</v>
          </cell>
          <cell r="I1010" t="str">
            <v>DVSBH</v>
          </cell>
          <cell r="AC1010">
            <v>1130000</v>
          </cell>
          <cell r="AD1010">
            <v>46691305</v>
          </cell>
          <cell r="AE1010">
            <v>18658867</v>
          </cell>
          <cell r="AF1010">
            <v>18144860</v>
          </cell>
          <cell r="AG1010">
            <v>0</v>
          </cell>
          <cell r="AH1010">
            <v>0</v>
          </cell>
          <cell r="AI1010">
            <v>0</v>
          </cell>
          <cell r="AJ1010">
            <v>0</v>
          </cell>
          <cell r="AK1010">
            <v>391624</v>
          </cell>
          <cell r="AL1010">
            <v>856678</v>
          </cell>
          <cell r="AM1010">
            <v>73430</v>
          </cell>
          <cell r="AN1010">
            <v>146859</v>
          </cell>
          <cell r="AO1010">
            <v>48953</v>
          </cell>
          <cell r="AP1010">
            <v>48953</v>
          </cell>
        </row>
        <row r="1011">
          <cell r="D1011" t="str">
            <v xml:space="preserve">Sản xuất, triển khai hệ thống tự động hóa chỉ huy cho Quân chủng hải quân giai đoạn II </v>
          </cell>
          <cell r="G1011" t="str">
            <v>Bảo hành</v>
          </cell>
          <cell r="I1011" t="str">
            <v>DVSBH</v>
          </cell>
          <cell r="AC1011">
            <v>930000</v>
          </cell>
          <cell r="AD1011">
            <v>28518964</v>
          </cell>
          <cell r="AE1011">
            <v>2201395</v>
          </cell>
          <cell r="AF1011">
            <v>2113086</v>
          </cell>
          <cell r="AG1011">
            <v>0</v>
          </cell>
          <cell r="AH1011">
            <v>0</v>
          </cell>
          <cell r="AI1011">
            <v>0</v>
          </cell>
          <cell r="AJ1011">
            <v>0</v>
          </cell>
          <cell r="AK1011">
            <v>67283</v>
          </cell>
          <cell r="AL1011">
            <v>147183</v>
          </cell>
          <cell r="AM1011">
            <v>12616</v>
          </cell>
          <cell r="AN1011">
            <v>25231</v>
          </cell>
          <cell r="AO1011">
            <v>8410</v>
          </cell>
          <cell r="AP1011">
            <v>8410</v>
          </cell>
        </row>
        <row r="1012">
          <cell r="D1012" t="str">
            <v xml:space="preserve">Sản xuất, triển khai hệ thống tự động hóa chỉ huy cho Quân chủng hải quân giai đoạn II </v>
          </cell>
          <cell r="G1012" t="str">
            <v>Bảo hành</v>
          </cell>
          <cell r="I1012" t="str">
            <v>DVSBH</v>
          </cell>
          <cell r="AC1012">
            <v>1030000</v>
          </cell>
          <cell r="AD1012">
            <v>31904370</v>
          </cell>
          <cell r="AE1012">
            <v>8704789</v>
          </cell>
          <cell r="AF1012">
            <v>8395705</v>
          </cell>
          <cell r="AG1012">
            <v>0</v>
          </cell>
          <cell r="AH1012">
            <v>0</v>
          </cell>
          <cell r="AI1012">
            <v>0</v>
          </cell>
          <cell r="AJ1012">
            <v>0</v>
          </cell>
          <cell r="AK1012">
            <v>235492</v>
          </cell>
          <cell r="AL1012">
            <v>515139</v>
          </cell>
          <cell r="AM1012">
            <v>44155</v>
          </cell>
          <cell r="AN1012">
            <v>88310</v>
          </cell>
          <cell r="AO1012">
            <v>29437</v>
          </cell>
          <cell r="AP1012">
            <v>29437</v>
          </cell>
        </row>
        <row r="1013">
          <cell r="D1013" t="str">
            <v xml:space="preserve">Sản xuất, triển khai hệ thống tự động hóa chỉ huy cho Quân chủng hải quân giai đoạn II </v>
          </cell>
          <cell r="G1013" t="str">
            <v>Bảo hành</v>
          </cell>
          <cell r="I1013" t="str">
            <v>DVSBH</v>
          </cell>
          <cell r="AC1013">
            <v>930000</v>
          </cell>
          <cell r="AD1013">
            <v>19543335</v>
          </cell>
          <cell r="AE1013">
            <v>6521785</v>
          </cell>
          <cell r="AF1013">
            <v>6181453</v>
          </cell>
          <cell r="AG1013">
            <v>0</v>
          </cell>
          <cell r="AH1013">
            <v>0</v>
          </cell>
          <cell r="AI1013">
            <v>0</v>
          </cell>
          <cell r="AJ1013">
            <v>0</v>
          </cell>
          <cell r="AK1013">
            <v>259300</v>
          </cell>
          <cell r="AL1013">
            <v>567219</v>
          </cell>
          <cell r="AM1013">
            <v>48619</v>
          </cell>
          <cell r="AN1013">
            <v>97238</v>
          </cell>
          <cell r="AO1013">
            <v>32413</v>
          </cell>
          <cell r="AP1013">
            <v>32413</v>
          </cell>
        </row>
        <row r="1014">
          <cell r="D1014" t="str">
            <v xml:space="preserve">Sản xuất, triển khai hệ thống tự động hóa chỉ huy cho Quân chủng hải quân giai đoạn II </v>
          </cell>
          <cell r="G1014" t="str">
            <v>Bảo hành</v>
          </cell>
          <cell r="I1014" t="str">
            <v>DVSBH</v>
          </cell>
          <cell r="AC1014">
            <v>1030000</v>
          </cell>
          <cell r="AD1014">
            <v>30728406</v>
          </cell>
          <cell r="AE1014">
            <v>14308949</v>
          </cell>
          <cell r="AF1014">
            <v>13779091</v>
          </cell>
          <cell r="AG1014">
            <v>0</v>
          </cell>
          <cell r="AH1014">
            <v>0</v>
          </cell>
          <cell r="AI1014">
            <v>0</v>
          </cell>
          <cell r="AJ1014">
            <v>0</v>
          </cell>
          <cell r="AK1014">
            <v>403701</v>
          </cell>
          <cell r="AL1014">
            <v>883096</v>
          </cell>
          <cell r="AM1014">
            <v>75694</v>
          </cell>
          <cell r="AN1014">
            <v>151388</v>
          </cell>
          <cell r="AO1014">
            <v>50463</v>
          </cell>
          <cell r="AP1014">
            <v>50463</v>
          </cell>
        </row>
        <row r="1015">
          <cell r="D1015" t="str">
            <v xml:space="preserve">Sản xuất, triển khai hệ thống tự động hóa chỉ huy cho Quân chủng hải quân giai đoạn II </v>
          </cell>
          <cell r="G1015" t="str">
            <v>Bảo hành</v>
          </cell>
          <cell r="I1015" t="str">
            <v>DVSBH</v>
          </cell>
          <cell r="AC1015">
            <v>930000</v>
          </cell>
          <cell r="AD1015">
            <v>28254600</v>
          </cell>
          <cell r="AE1015">
            <v>5446017</v>
          </cell>
          <cell r="AF1015">
            <v>5225243</v>
          </cell>
          <cell r="AG1015">
            <v>0</v>
          </cell>
          <cell r="AH1015">
            <v>0</v>
          </cell>
          <cell r="AI1015">
            <v>0</v>
          </cell>
          <cell r="AJ1015">
            <v>0</v>
          </cell>
          <cell r="AK1015">
            <v>168209</v>
          </cell>
          <cell r="AL1015">
            <v>367957</v>
          </cell>
          <cell r="AM1015">
            <v>31539</v>
          </cell>
          <cell r="AN1015">
            <v>63078</v>
          </cell>
          <cell r="AO1015">
            <v>21026</v>
          </cell>
          <cell r="AP1015">
            <v>21026</v>
          </cell>
        </row>
        <row r="1016">
          <cell r="D1016" t="str">
            <v xml:space="preserve">Sản xuất, triển khai hệ thống tự động hóa chỉ huy cho Quân chủng hải quân giai đoạn II </v>
          </cell>
          <cell r="G1016" t="str">
            <v>Bảo hành</v>
          </cell>
          <cell r="I1016" t="str">
            <v>DVSBH</v>
          </cell>
          <cell r="AC1016">
            <v>930000</v>
          </cell>
          <cell r="AD1016">
            <v>27992970</v>
          </cell>
          <cell r="AE1016">
            <v>18323080</v>
          </cell>
          <cell r="AF1016">
            <v>17572448</v>
          </cell>
          <cell r="AG1016">
            <v>0</v>
          </cell>
          <cell r="AH1016">
            <v>0</v>
          </cell>
          <cell r="AI1016">
            <v>0</v>
          </cell>
          <cell r="AJ1016">
            <v>0</v>
          </cell>
          <cell r="AK1016">
            <v>571910</v>
          </cell>
          <cell r="AL1016">
            <v>1251052</v>
          </cell>
          <cell r="AM1016">
            <v>107233</v>
          </cell>
          <cell r="AN1016">
            <v>214466</v>
          </cell>
          <cell r="AO1016">
            <v>71489</v>
          </cell>
          <cell r="AP1016">
            <v>71489</v>
          </cell>
        </row>
        <row r="1017">
          <cell r="D1017" t="str">
            <v xml:space="preserve">Sản xuất, triển khai hệ thống tự động hóa chỉ huy cho Quân chủng hải quân giai đoạn II </v>
          </cell>
          <cell r="G1017" t="str">
            <v>Bảo hành</v>
          </cell>
          <cell r="I1017" t="str">
            <v>DVSBH</v>
          </cell>
          <cell r="AC1017">
            <v>1030000</v>
          </cell>
          <cell r="AD1017">
            <v>33878771</v>
          </cell>
          <cell r="AE1017">
            <v>13243170</v>
          </cell>
          <cell r="AF1017">
            <v>12778978</v>
          </cell>
          <cell r="AG1017">
            <v>0</v>
          </cell>
          <cell r="AH1017">
            <v>0</v>
          </cell>
          <cell r="AI1017">
            <v>0</v>
          </cell>
          <cell r="AJ1017">
            <v>0</v>
          </cell>
          <cell r="AK1017">
            <v>353670</v>
          </cell>
          <cell r="AL1017">
            <v>773652</v>
          </cell>
          <cell r="AM1017">
            <v>66313</v>
          </cell>
          <cell r="AN1017">
            <v>132626</v>
          </cell>
          <cell r="AO1017">
            <v>44209</v>
          </cell>
          <cell r="AP1017">
            <v>44209</v>
          </cell>
        </row>
        <row r="1018">
          <cell r="D1018" t="str">
            <v xml:space="preserve">Sản xuất, triển khai hệ thống tự động hóa chỉ huy cho Quân chủng hải quân giai đoạn II </v>
          </cell>
          <cell r="G1018" t="str">
            <v>Bảo hành</v>
          </cell>
          <cell r="I1018" t="str">
            <v>DVSBH</v>
          </cell>
          <cell r="AC1018">
            <v>1230000</v>
          </cell>
          <cell r="AD1018">
            <v>58933579</v>
          </cell>
          <cell r="AE1018">
            <v>41427939</v>
          </cell>
          <cell r="AF1018">
            <v>39897115</v>
          </cell>
          <cell r="AG1018">
            <v>0</v>
          </cell>
          <cell r="AH1018">
            <v>0</v>
          </cell>
          <cell r="AI1018">
            <v>0</v>
          </cell>
          <cell r="AJ1018">
            <v>0</v>
          </cell>
          <cell r="AK1018">
            <v>1530824</v>
          </cell>
          <cell r="AL1018">
            <v>3348678</v>
          </cell>
          <cell r="AM1018">
            <v>0</v>
          </cell>
          <cell r="AN1018">
            <v>0</v>
          </cell>
          <cell r="AO1018">
            <v>0</v>
          </cell>
          <cell r="AP1018">
            <v>0</v>
          </cell>
        </row>
        <row r="1019">
          <cell r="D1019" t="str">
            <v>SX 14 đài Ra đa VRS-SRS và 10 bộ zip</v>
          </cell>
          <cell r="G1019" t="str">
            <v>Bảo hành</v>
          </cell>
          <cell r="I1019" t="str">
            <v>DVSBH</v>
          </cell>
          <cell r="AC1019">
            <v>1730000</v>
          </cell>
          <cell r="AD1019">
            <v>90783778</v>
          </cell>
          <cell r="AE1019">
            <v>7450922</v>
          </cell>
          <cell r="AF1019">
            <v>7330764</v>
          </cell>
          <cell r="AG1019">
            <v>0</v>
          </cell>
          <cell r="AH1019">
            <v>0</v>
          </cell>
          <cell r="AI1019">
            <v>0</v>
          </cell>
          <cell r="AJ1019">
            <v>0</v>
          </cell>
          <cell r="AK1019">
            <v>120158</v>
          </cell>
          <cell r="AL1019">
            <v>262846</v>
          </cell>
          <cell r="AM1019">
            <v>0</v>
          </cell>
          <cell r="AN1019">
            <v>0</v>
          </cell>
          <cell r="AO1019">
            <v>0</v>
          </cell>
          <cell r="AP1019">
            <v>0</v>
          </cell>
        </row>
        <row r="1020">
          <cell r="D1020" t="str">
            <v>SX 14 đài Ra đa VRS-SRS và 10 bộ zip</v>
          </cell>
          <cell r="G1020" t="str">
            <v>Bảo hành</v>
          </cell>
          <cell r="I1020" t="str">
            <v>DVSBH</v>
          </cell>
          <cell r="AC1020">
            <v>1230000</v>
          </cell>
          <cell r="AD1020">
            <v>66918607</v>
          </cell>
          <cell r="AE1020">
            <v>10888943</v>
          </cell>
          <cell r="AF1020">
            <v>10649828</v>
          </cell>
          <cell r="AG1020">
            <v>0</v>
          </cell>
          <cell r="AH1020">
            <v>0</v>
          </cell>
          <cell r="AI1020">
            <v>0</v>
          </cell>
          <cell r="AJ1020">
            <v>0</v>
          </cell>
          <cell r="AK1020">
            <v>182183</v>
          </cell>
          <cell r="AL1020">
            <v>398525</v>
          </cell>
          <cell r="AM1020">
            <v>34159</v>
          </cell>
          <cell r="AN1020">
            <v>68319</v>
          </cell>
          <cell r="AO1020">
            <v>22773</v>
          </cell>
          <cell r="AP1020">
            <v>22773</v>
          </cell>
        </row>
        <row r="1021">
          <cell r="D1021" t="str">
            <v>SX 14 đài Ra đa VRS-SRS và 10 bộ zip</v>
          </cell>
          <cell r="G1021" t="str">
            <v>Bảo hành</v>
          </cell>
          <cell r="I1021" t="str">
            <v>DVSBH</v>
          </cell>
          <cell r="AC1021">
            <v>1047000</v>
          </cell>
          <cell r="AD1021">
            <v>24112143</v>
          </cell>
          <cell r="AE1021">
            <v>1827277</v>
          </cell>
          <cell r="AF1021">
            <v>1747572</v>
          </cell>
          <cell r="AG1021">
            <v>0</v>
          </cell>
          <cell r="AH1021">
            <v>0</v>
          </cell>
          <cell r="AI1021">
            <v>0</v>
          </cell>
          <cell r="AJ1021">
            <v>0</v>
          </cell>
          <cell r="AK1021">
            <v>60728</v>
          </cell>
          <cell r="AL1021">
            <v>132842</v>
          </cell>
          <cell r="AM1021">
            <v>11386</v>
          </cell>
          <cell r="AN1021">
            <v>22773</v>
          </cell>
          <cell r="AO1021">
            <v>7591</v>
          </cell>
          <cell r="AP1021">
            <v>7591</v>
          </cell>
        </row>
        <row r="1022">
          <cell r="D1022" t="str">
            <v>SX 14 đài Ra đa VRS-SRS và 10 bộ zip</v>
          </cell>
          <cell r="G1022" t="str">
            <v>Bảo hành</v>
          </cell>
          <cell r="I1022" t="str">
            <v>DVSBH</v>
          </cell>
          <cell r="AC1022">
            <v>1130000</v>
          </cell>
          <cell r="AD1022">
            <v>50221549</v>
          </cell>
          <cell r="AE1022">
            <v>13909906</v>
          </cell>
          <cell r="AF1022">
            <v>13486932</v>
          </cell>
          <cell r="AG1022">
            <v>0</v>
          </cell>
          <cell r="AH1022">
            <v>0</v>
          </cell>
          <cell r="AI1022">
            <v>0</v>
          </cell>
          <cell r="AJ1022">
            <v>0</v>
          </cell>
          <cell r="AK1022">
            <v>422974</v>
          </cell>
          <cell r="AL1022">
            <v>925256</v>
          </cell>
          <cell r="AM1022">
            <v>0</v>
          </cell>
          <cell r="AN1022">
            <v>0</v>
          </cell>
          <cell r="AO1022">
            <v>0</v>
          </cell>
          <cell r="AP1022">
            <v>0</v>
          </cell>
        </row>
        <row r="1023">
          <cell r="D1023" t="str">
            <v>SX 14 đài Ra đa VRS-SRS và 10 bộ zip</v>
          </cell>
          <cell r="G1023" t="str">
            <v>Bảo hành</v>
          </cell>
          <cell r="I1023" t="str">
            <v>DVSBH</v>
          </cell>
          <cell r="AC1023">
            <v>1030000</v>
          </cell>
          <cell r="AD1023">
            <v>38991662</v>
          </cell>
          <cell r="AE1023">
            <v>12400297</v>
          </cell>
          <cell r="AF1023">
            <v>12060932</v>
          </cell>
          <cell r="AG1023">
            <v>0</v>
          </cell>
          <cell r="AH1023">
            <v>0</v>
          </cell>
          <cell r="AI1023">
            <v>0</v>
          </cell>
          <cell r="AJ1023">
            <v>0</v>
          </cell>
          <cell r="AK1023">
            <v>285781</v>
          </cell>
          <cell r="AL1023">
            <v>625146</v>
          </cell>
          <cell r="AM1023">
            <v>53584</v>
          </cell>
          <cell r="AN1023">
            <v>107168</v>
          </cell>
          <cell r="AO1023">
            <v>0</v>
          </cell>
          <cell r="AP1023">
            <v>0</v>
          </cell>
        </row>
        <row r="1024">
          <cell r="D1024" t="str">
            <v>SX 14 đài Ra đa VRS-SRS và 10 bộ zip</v>
          </cell>
          <cell r="G1024" t="str">
            <v>Bảo hành</v>
          </cell>
          <cell r="I1024" t="str">
            <v>DVSBH</v>
          </cell>
          <cell r="AC1024">
            <v>1281000</v>
          </cell>
          <cell r="AD1024">
            <v>17369655</v>
          </cell>
          <cell r="AE1024">
            <v>2473686</v>
          </cell>
          <cell r="AF1024">
            <v>2328767</v>
          </cell>
          <cell r="AG1024">
            <v>0</v>
          </cell>
          <cell r="AH1024">
            <v>0</v>
          </cell>
          <cell r="AI1024">
            <v>0</v>
          </cell>
          <cell r="AJ1024">
            <v>0</v>
          </cell>
          <cell r="AK1024">
            <v>110414</v>
          </cell>
          <cell r="AL1024">
            <v>241530</v>
          </cell>
          <cell r="AM1024">
            <v>20703</v>
          </cell>
          <cell r="AN1024">
            <v>41405</v>
          </cell>
          <cell r="AO1024">
            <v>13802</v>
          </cell>
          <cell r="AP1024">
            <v>13802</v>
          </cell>
        </row>
        <row r="1025">
          <cell r="D1025" t="str">
            <v>SX 14 đài Ra đa VRS-SRS và 10 bộ zip</v>
          </cell>
          <cell r="G1025" t="str">
            <v>Bảo hành</v>
          </cell>
          <cell r="I1025" t="str">
            <v>DVSBH</v>
          </cell>
          <cell r="AC1025">
            <v>930000</v>
          </cell>
          <cell r="AD1025">
            <v>23617970</v>
          </cell>
          <cell r="AE1025">
            <v>5142613</v>
          </cell>
          <cell r="AF1025">
            <v>4824259</v>
          </cell>
          <cell r="AG1025">
            <v>0</v>
          </cell>
          <cell r="AH1025">
            <v>0</v>
          </cell>
          <cell r="AI1025">
            <v>0</v>
          </cell>
          <cell r="AJ1025">
            <v>0</v>
          </cell>
          <cell r="AK1025">
            <v>318354</v>
          </cell>
          <cell r="AL1025">
            <v>696399</v>
          </cell>
          <cell r="AM1025">
            <v>0</v>
          </cell>
          <cell r="AN1025">
            <v>0</v>
          </cell>
          <cell r="AO1025">
            <v>0</v>
          </cell>
          <cell r="AP1025">
            <v>0</v>
          </cell>
        </row>
        <row r="1026">
          <cell r="D1026" t="str">
            <v>SX 14 đài Ra đa VRS-SRS và 10 bộ zip</v>
          </cell>
          <cell r="G1026" t="str">
            <v>Bảo hành</v>
          </cell>
          <cell r="I1026" t="str">
            <v>DVSBH</v>
          </cell>
          <cell r="AC1026">
            <v>1030000</v>
          </cell>
          <cell r="AD1026">
            <v>25186896</v>
          </cell>
          <cell r="AE1026">
            <v>3844424</v>
          </cell>
          <cell r="AF1026">
            <v>3685014</v>
          </cell>
          <cell r="AG1026">
            <v>0</v>
          </cell>
          <cell r="AH1026">
            <v>0</v>
          </cell>
          <cell r="AI1026">
            <v>0</v>
          </cell>
          <cell r="AJ1026">
            <v>0</v>
          </cell>
          <cell r="AK1026">
            <v>121455</v>
          </cell>
          <cell r="AL1026">
            <v>265683</v>
          </cell>
          <cell r="AM1026">
            <v>22773</v>
          </cell>
          <cell r="AN1026">
            <v>45546</v>
          </cell>
          <cell r="AO1026">
            <v>15182</v>
          </cell>
          <cell r="AP1026">
            <v>15182</v>
          </cell>
        </row>
        <row r="1027">
          <cell r="D1027" t="str">
            <v>SX 14 đài Ra đa VRS-SRS và 10 bộ zip</v>
          </cell>
          <cell r="G1027" t="str">
            <v>Bảo hành</v>
          </cell>
          <cell r="I1027" t="str">
            <v>DVSBH</v>
          </cell>
          <cell r="AC1027">
            <v>930000</v>
          </cell>
          <cell r="AD1027">
            <v>24548256</v>
          </cell>
          <cell r="AE1027">
            <v>16794804</v>
          </cell>
          <cell r="AF1027">
            <v>16081651</v>
          </cell>
          <cell r="AG1027">
            <v>0</v>
          </cell>
          <cell r="AH1027">
            <v>0</v>
          </cell>
          <cell r="AI1027">
            <v>0</v>
          </cell>
          <cell r="AJ1027">
            <v>0</v>
          </cell>
          <cell r="AK1027">
            <v>600550</v>
          </cell>
          <cell r="AL1027">
            <v>1313704</v>
          </cell>
          <cell r="AM1027">
            <v>112603</v>
          </cell>
          <cell r="AN1027">
            <v>225207</v>
          </cell>
          <cell r="AO1027">
            <v>0</v>
          </cell>
          <cell r="AP1027">
            <v>0</v>
          </cell>
        </row>
        <row r="1028">
          <cell r="D1028" t="str">
            <v>SX 40 bộ thiết bị nhận dạng và 16 bộ zip</v>
          </cell>
          <cell r="G1028" t="str">
            <v>Bảo hành</v>
          </cell>
          <cell r="I1028" t="str">
            <v>DVSBH</v>
          </cell>
          <cell r="AC1028">
            <v>1730000</v>
          </cell>
          <cell r="AD1028">
            <v>90783778</v>
          </cell>
          <cell r="AE1028">
            <v>3725461</v>
          </cell>
          <cell r="AF1028">
            <v>3665382</v>
          </cell>
          <cell r="AG1028">
            <v>0</v>
          </cell>
          <cell r="AH1028">
            <v>0</v>
          </cell>
          <cell r="AI1028">
            <v>0</v>
          </cell>
          <cell r="AJ1028">
            <v>0</v>
          </cell>
          <cell r="AK1028">
            <v>60079</v>
          </cell>
          <cell r="AL1028">
            <v>131423</v>
          </cell>
          <cell r="AM1028">
            <v>0</v>
          </cell>
          <cell r="AN1028">
            <v>0</v>
          </cell>
          <cell r="AO1028">
            <v>0</v>
          </cell>
          <cell r="AP1028">
            <v>0</v>
          </cell>
        </row>
        <row r="1029">
          <cell r="D1029" t="str">
            <v>SX 40 bộ thiết bị nhận dạng và 16 bộ zip</v>
          </cell>
          <cell r="G1029" t="str">
            <v>Bảo hành</v>
          </cell>
          <cell r="I1029" t="str">
            <v>DVSBH</v>
          </cell>
          <cell r="AC1029">
            <v>1230000</v>
          </cell>
          <cell r="AD1029">
            <v>66918607</v>
          </cell>
          <cell r="AE1029">
            <v>5444472</v>
          </cell>
          <cell r="AF1029">
            <v>5324915</v>
          </cell>
          <cell r="AG1029">
            <v>0</v>
          </cell>
          <cell r="AH1029">
            <v>0</v>
          </cell>
          <cell r="AI1029">
            <v>0</v>
          </cell>
          <cell r="AJ1029">
            <v>0</v>
          </cell>
          <cell r="AK1029">
            <v>91091</v>
          </cell>
          <cell r="AL1029">
            <v>199263</v>
          </cell>
          <cell r="AM1029">
            <v>17080</v>
          </cell>
          <cell r="AN1029">
            <v>34159</v>
          </cell>
          <cell r="AO1029">
            <v>11386</v>
          </cell>
          <cell r="AP1029">
            <v>11386</v>
          </cell>
        </row>
        <row r="1030">
          <cell r="D1030" t="str">
            <v>SX 40 bộ thiết bị nhận dạng và 16 bộ zip</v>
          </cell>
          <cell r="G1030" t="str">
            <v>Bảo hành</v>
          </cell>
          <cell r="I1030" t="str">
            <v>DVSBH</v>
          </cell>
          <cell r="AC1030">
            <v>1047000</v>
          </cell>
          <cell r="AD1030">
            <v>24112143</v>
          </cell>
          <cell r="AE1030">
            <v>913639</v>
          </cell>
          <cell r="AF1030">
            <v>873787</v>
          </cell>
          <cell r="AG1030">
            <v>0</v>
          </cell>
          <cell r="AH1030">
            <v>0</v>
          </cell>
          <cell r="AI1030">
            <v>0</v>
          </cell>
          <cell r="AJ1030">
            <v>0</v>
          </cell>
          <cell r="AK1030">
            <v>30364</v>
          </cell>
          <cell r="AL1030">
            <v>66421</v>
          </cell>
          <cell r="AM1030">
            <v>5693</v>
          </cell>
          <cell r="AN1030">
            <v>11386</v>
          </cell>
          <cell r="AO1030">
            <v>3795</v>
          </cell>
          <cell r="AP1030">
            <v>3795</v>
          </cell>
        </row>
        <row r="1031">
          <cell r="D1031" t="str">
            <v>SX 40 bộ thiết bị nhận dạng và 16 bộ zip</v>
          </cell>
          <cell r="G1031" t="str">
            <v>Bảo hành</v>
          </cell>
          <cell r="I1031" t="str">
            <v>DVSBH</v>
          </cell>
          <cell r="AC1031">
            <v>1130000</v>
          </cell>
          <cell r="AD1031">
            <v>50221549</v>
          </cell>
          <cell r="AE1031">
            <v>5961388</v>
          </cell>
          <cell r="AF1031">
            <v>5780113</v>
          </cell>
          <cell r="AG1031">
            <v>0</v>
          </cell>
          <cell r="AH1031">
            <v>0</v>
          </cell>
          <cell r="AI1031">
            <v>0</v>
          </cell>
          <cell r="AJ1031">
            <v>0</v>
          </cell>
          <cell r="AK1031">
            <v>181275</v>
          </cell>
          <cell r="AL1031">
            <v>396538</v>
          </cell>
          <cell r="AM1031">
            <v>0</v>
          </cell>
          <cell r="AN1031">
            <v>0</v>
          </cell>
          <cell r="AO1031">
            <v>0</v>
          </cell>
          <cell r="AP1031">
            <v>0</v>
          </cell>
        </row>
        <row r="1032">
          <cell r="D1032" t="str">
            <v>SX 40 bộ thiết bị nhận dạng và 16 bộ zip</v>
          </cell>
          <cell r="G1032" t="str">
            <v>Bảo hành</v>
          </cell>
          <cell r="I1032" t="str">
            <v>DVSBH</v>
          </cell>
          <cell r="AC1032">
            <v>1030000</v>
          </cell>
          <cell r="AD1032">
            <v>38991662</v>
          </cell>
          <cell r="AE1032">
            <v>10850260</v>
          </cell>
          <cell r="AF1032">
            <v>10553315</v>
          </cell>
          <cell r="AG1032">
            <v>0</v>
          </cell>
          <cell r="AH1032">
            <v>0</v>
          </cell>
          <cell r="AI1032">
            <v>0</v>
          </cell>
          <cell r="AJ1032">
            <v>0</v>
          </cell>
          <cell r="AK1032">
            <v>250059</v>
          </cell>
          <cell r="AL1032">
            <v>547003</v>
          </cell>
          <cell r="AM1032">
            <v>46886</v>
          </cell>
          <cell r="AN1032">
            <v>93772</v>
          </cell>
          <cell r="AO1032">
            <v>0</v>
          </cell>
          <cell r="AP1032">
            <v>0</v>
          </cell>
        </row>
        <row r="1033">
          <cell r="D1033" t="str">
            <v>SX 40 bộ thiết bị nhận dạng và 16 bộ zip</v>
          </cell>
          <cell r="G1033" t="str">
            <v>Bảo hành</v>
          </cell>
          <cell r="I1033" t="str">
            <v>DVSBH</v>
          </cell>
          <cell r="AC1033">
            <v>1281000</v>
          </cell>
          <cell r="AD1033">
            <v>17369655</v>
          </cell>
          <cell r="AE1033">
            <v>3092108</v>
          </cell>
          <cell r="AF1033">
            <v>2910961</v>
          </cell>
          <cell r="AG1033">
            <v>0</v>
          </cell>
          <cell r="AH1033">
            <v>0</v>
          </cell>
          <cell r="AI1033">
            <v>0</v>
          </cell>
          <cell r="AJ1033">
            <v>0</v>
          </cell>
          <cell r="AK1033">
            <v>138017</v>
          </cell>
          <cell r="AL1033">
            <v>301913</v>
          </cell>
          <cell r="AM1033">
            <v>25878</v>
          </cell>
          <cell r="AN1033">
            <v>51757</v>
          </cell>
          <cell r="AO1033">
            <v>17252</v>
          </cell>
          <cell r="AP1033">
            <v>17252</v>
          </cell>
        </row>
        <row r="1034">
          <cell r="D1034" t="str">
            <v>SX 40 bộ thiết bị nhận dạng và 16 bộ zip</v>
          </cell>
          <cell r="G1034" t="str">
            <v>Bảo hành</v>
          </cell>
          <cell r="I1034" t="str">
            <v>DVSBH</v>
          </cell>
          <cell r="AC1034">
            <v>930000</v>
          </cell>
          <cell r="AD1034">
            <v>23617970</v>
          </cell>
          <cell r="AE1034">
            <v>4285511</v>
          </cell>
          <cell r="AF1034">
            <v>4020216</v>
          </cell>
          <cell r="AG1034">
            <v>0</v>
          </cell>
          <cell r="AH1034">
            <v>0</v>
          </cell>
          <cell r="AI1034">
            <v>0</v>
          </cell>
          <cell r="AJ1034">
            <v>0</v>
          </cell>
          <cell r="AK1034">
            <v>265295</v>
          </cell>
          <cell r="AL1034">
            <v>580333</v>
          </cell>
          <cell r="AM1034">
            <v>0</v>
          </cell>
          <cell r="AN1034">
            <v>0</v>
          </cell>
          <cell r="AO1034">
            <v>0</v>
          </cell>
          <cell r="AP1034">
            <v>0</v>
          </cell>
        </row>
        <row r="1035">
          <cell r="D1035" t="str">
            <v>SX 40 bộ thiết bị nhận dạng và 16 bộ zip</v>
          </cell>
          <cell r="G1035" t="str">
            <v>Bảo hành</v>
          </cell>
          <cell r="I1035" t="str">
            <v>DVSBH</v>
          </cell>
          <cell r="AC1035">
            <v>1030000</v>
          </cell>
          <cell r="AD1035">
            <v>25186896</v>
          </cell>
          <cell r="AE1035">
            <v>2883318</v>
          </cell>
          <cell r="AF1035">
            <v>2763761</v>
          </cell>
          <cell r="AG1035">
            <v>0</v>
          </cell>
          <cell r="AH1035">
            <v>0</v>
          </cell>
          <cell r="AI1035">
            <v>0</v>
          </cell>
          <cell r="AJ1035">
            <v>0</v>
          </cell>
          <cell r="AK1035">
            <v>91091</v>
          </cell>
          <cell r="AL1035">
            <v>199263</v>
          </cell>
          <cell r="AM1035">
            <v>17080</v>
          </cell>
          <cell r="AN1035">
            <v>34159</v>
          </cell>
          <cell r="AO1035">
            <v>11386</v>
          </cell>
          <cell r="AP1035">
            <v>11386</v>
          </cell>
        </row>
        <row r="1036">
          <cell r="D1036" t="str">
            <v>SX 11 bộ đài Quang điện tử tầm xa VEE-LRA và 13 ZIP năm 2021</v>
          </cell>
          <cell r="G1036" t="str">
            <v>Bảo hành</v>
          </cell>
          <cell r="I1036" t="str">
            <v>DVSBH</v>
          </cell>
          <cell r="AC1036">
            <v>1730000</v>
          </cell>
          <cell r="AD1036">
            <v>90783778</v>
          </cell>
          <cell r="AE1036">
            <v>14901843</v>
          </cell>
          <cell r="AF1036">
            <v>14661527</v>
          </cell>
          <cell r="AG1036">
            <v>0</v>
          </cell>
          <cell r="AH1036">
            <v>0</v>
          </cell>
          <cell r="AI1036">
            <v>0</v>
          </cell>
          <cell r="AJ1036">
            <v>0</v>
          </cell>
          <cell r="AK1036">
            <v>240316</v>
          </cell>
          <cell r="AL1036">
            <v>525691</v>
          </cell>
          <cell r="AM1036">
            <v>0</v>
          </cell>
          <cell r="AN1036">
            <v>0</v>
          </cell>
          <cell r="AO1036">
            <v>0</v>
          </cell>
          <cell r="AP1036">
            <v>0</v>
          </cell>
        </row>
        <row r="1037">
          <cell r="D1037" t="str">
            <v>SX 11 bộ đài Quang điện tử tầm xa VEE-LRA và 13 ZIP năm 2021</v>
          </cell>
          <cell r="G1037" t="str">
            <v>Bảo hành</v>
          </cell>
          <cell r="I1037" t="str">
            <v>DVSBH</v>
          </cell>
          <cell r="AC1037">
            <v>1230000</v>
          </cell>
          <cell r="AD1037">
            <v>66918607</v>
          </cell>
          <cell r="AE1037">
            <v>13611179</v>
          </cell>
          <cell r="AF1037">
            <v>13312285</v>
          </cell>
          <cell r="AG1037">
            <v>0</v>
          </cell>
          <cell r="AH1037">
            <v>0</v>
          </cell>
          <cell r="AI1037">
            <v>0</v>
          </cell>
          <cell r="AJ1037">
            <v>0</v>
          </cell>
          <cell r="AK1037">
            <v>227729</v>
          </cell>
          <cell r="AL1037">
            <v>498157</v>
          </cell>
          <cell r="AM1037">
            <v>42699</v>
          </cell>
          <cell r="AN1037">
            <v>85398</v>
          </cell>
          <cell r="AO1037">
            <v>28466</v>
          </cell>
          <cell r="AP1037">
            <v>28466</v>
          </cell>
        </row>
        <row r="1038">
          <cell r="D1038" t="str">
            <v>SX 11 bộ đài Quang điện tử tầm xa VEE-LRA và 13 ZIP năm 2021</v>
          </cell>
          <cell r="G1038" t="str">
            <v>Bảo hành</v>
          </cell>
          <cell r="I1038" t="str">
            <v>DVSBH</v>
          </cell>
          <cell r="AC1038">
            <v>1047000</v>
          </cell>
          <cell r="AD1038">
            <v>24112143</v>
          </cell>
          <cell r="AE1038">
            <v>3654554</v>
          </cell>
          <cell r="AF1038">
            <v>3495144</v>
          </cell>
          <cell r="AG1038">
            <v>0</v>
          </cell>
          <cell r="AH1038">
            <v>0</v>
          </cell>
          <cell r="AI1038">
            <v>0</v>
          </cell>
          <cell r="AJ1038">
            <v>0</v>
          </cell>
          <cell r="AK1038">
            <v>121455</v>
          </cell>
          <cell r="AL1038">
            <v>265683</v>
          </cell>
          <cell r="AM1038">
            <v>22773</v>
          </cell>
          <cell r="AN1038">
            <v>45546</v>
          </cell>
          <cell r="AO1038">
            <v>15182</v>
          </cell>
          <cell r="AP1038">
            <v>15182</v>
          </cell>
        </row>
        <row r="1039">
          <cell r="D1039" t="str">
            <v>SX 11 bộ đài Quang điện tử tầm xa VEE-LRA và 13 ZIP năm 2021</v>
          </cell>
          <cell r="G1039" t="str">
            <v>Bảo hành</v>
          </cell>
          <cell r="I1039" t="str">
            <v>DVSBH</v>
          </cell>
          <cell r="AC1039">
            <v>1130000</v>
          </cell>
          <cell r="AD1039">
            <v>50221549</v>
          </cell>
          <cell r="AE1039">
            <v>5961388</v>
          </cell>
          <cell r="AF1039">
            <v>5780113</v>
          </cell>
          <cell r="AG1039">
            <v>0</v>
          </cell>
          <cell r="AH1039">
            <v>0</v>
          </cell>
          <cell r="AI1039">
            <v>0</v>
          </cell>
          <cell r="AJ1039">
            <v>0</v>
          </cell>
          <cell r="AK1039">
            <v>181275</v>
          </cell>
          <cell r="AL1039">
            <v>396538</v>
          </cell>
          <cell r="AM1039">
            <v>0</v>
          </cell>
          <cell r="AN1039">
            <v>0</v>
          </cell>
          <cell r="AO1039">
            <v>0</v>
          </cell>
          <cell r="AP1039">
            <v>0</v>
          </cell>
        </row>
        <row r="1040">
          <cell r="D1040" t="str">
            <v>SX 11 bộ đài Quang điện tử tầm xa VEE-LRA và 13 ZIP năm 2021</v>
          </cell>
          <cell r="G1040" t="str">
            <v>Bảo hành</v>
          </cell>
          <cell r="I1040" t="str">
            <v>DVSBH</v>
          </cell>
          <cell r="AC1040">
            <v>1030000</v>
          </cell>
          <cell r="AD1040">
            <v>38991662</v>
          </cell>
          <cell r="AE1040">
            <v>6200148</v>
          </cell>
          <cell r="AF1040">
            <v>6030465</v>
          </cell>
          <cell r="AG1040">
            <v>0</v>
          </cell>
          <cell r="AH1040">
            <v>0</v>
          </cell>
          <cell r="AI1040">
            <v>0</v>
          </cell>
          <cell r="AJ1040">
            <v>0</v>
          </cell>
          <cell r="AK1040">
            <v>142891</v>
          </cell>
          <cell r="AL1040">
            <v>312573</v>
          </cell>
          <cell r="AM1040">
            <v>26792</v>
          </cell>
          <cell r="AN1040">
            <v>53584</v>
          </cell>
          <cell r="AO1040">
            <v>0</v>
          </cell>
          <cell r="AP1040">
            <v>0</v>
          </cell>
        </row>
        <row r="1041">
          <cell r="D1041" t="str">
            <v>SX 11 bộ đài Quang điện tử tầm xa VEE-LRA và 13 ZIP năm 2021</v>
          </cell>
          <cell r="G1041" t="str">
            <v>Bảo hành</v>
          </cell>
          <cell r="I1041" t="str">
            <v>DVSBH</v>
          </cell>
          <cell r="AC1041">
            <v>1281000</v>
          </cell>
          <cell r="AD1041">
            <v>17369655</v>
          </cell>
          <cell r="AE1041">
            <v>1236843</v>
          </cell>
          <cell r="AF1041">
            <v>1164384</v>
          </cell>
          <cell r="AG1041">
            <v>0</v>
          </cell>
          <cell r="AH1041">
            <v>0</v>
          </cell>
          <cell r="AI1041">
            <v>0</v>
          </cell>
          <cell r="AJ1041">
            <v>0</v>
          </cell>
          <cell r="AK1041">
            <v>55207</v>
          </cell>
          <cell r="AL1041">
            <v>120765</v>
          </cell>
          <cell r="AM1041">
            <v>10351</v>
          </cell>
          <cell r="AN1041">
            <v>20703</v>
          </cell>
          <cell r="AO1041">
            <v>6901</v>
          </cell>
          <cell r="AP1041">
            <v>6901</v>
          </cell>
        </row>
        <row r="1042">
          <cell r="D1042" t="str">
            <v>SX 11 bộ đài Quang điện tử tầm xa VEE-LRA và 13 ZIP năm 2021</v>
          </cell>
          <cell r="G1042" t="str">
            <v>Bảo hành</v>
          </cell>
          <cell r="I1042" t="str">
            <v>DVSBH</v>
          </cell>
          <cell r="AC1042">
            <v>930000</v>
          </cell>
          <cell r="AD1042">
            <v>23617970</v>
          </cell>
          <cell r="AE1042">
            <v>857102</v>
          </cell>
          <cell r="AF1042">
            <v>804043</v>
          </cell>
          <cell r="AG1042">
            <v>0</v>
          </cell>
          <cell r="AH1042">
            <v>0</v>
          </cell>
          <cell r="AI1042">
            <v>0</v>
          </cell>
          <cell r="AJ1042">
            <v>0</v>
          </cell>
          <cell r="AK1042">
            <v>53059</v>
          </cell>
          <cell r="AL1042">
            <v>116067</v>
          </cell>
          <cell r="AM1042">
            <v>0</v>
          </cell>
          <cell r="AN1042">
            <v>0</v>
          </cell>
          <cell r="AO1042">
            <v>0</v>
          </cell>
          <cell r="AP1042">
            <v>0</v>
          </cell>
        </row>
        <row r="1043">
          <cell r="D1043" t="str">
            <v>SX 11 bộ đài Quang điện tử tầm xa VEE-LRA và 13 ZIP năm 2021</v>
          </cell>
          <cell r="G1043" t="str">
            <v>Bảo hành</v>
          </cell>
          <cell r="I1043" t="str">
            <v>DVSBH</v>
          </cell>
          <cell r="AC1043">
            <v>1030000</v>
          </cell>
          <cell r="AD1043">
            <v>25186896</v>
          </cell>
          <cell r="AE1043">
            <v>2883318</v>
          </cell>
          <cell r="AF1043">
            <v>2763761</v>
          </cell>
          <cell r="AG1043">
            <v>0</v>
          </cell>
          <cell r="AH1043">
            <v>0</v>
          </cell>
          <cell r="AI1043">
            <v>0</v>
          </cell>
          <cell r="AJ1043">
            <v>0</v>
          </cell>
          <cell r="AK1043">
            <v>91091</v>
          </cell>
          <cell r="AL1043">
            <v>199263</v>
          </cell>
          <cell r="AM1043">
            <v>17080</v>
          </cell>
          <cell r="AN1043">
            <v>34159</v>
          </cell>
          <cell r="AO1043">
            <v>11386</v>
          </cell>
          <cell r="AP1043">
            <v>11386</v>
          </cell>
        </row>
        <row r="1044">
          <cell r="D1044" t="str">
            <v>SX 11 bộ đài Quang điện tử tầm xa VEE-LRA và 13 ZIP năm 2021</v>
          </cell>
          <cell r="G1044" t="str">
            <v>Bảo hành</v>
          </cell>
          <cell r="I1044" t="str">
            <v>DVSBH</v>
          </cell>
          <cell r="AC1044">
            <v>930000</v>
          </cell>
          <cell r="AD1044">
            <v>27734076</v>
          </cell>
          <cell r="AE1044">
            <v>19198296</v>
          </cell>
          <cell r="AF1044">
            <v>18403510</v>
          </cell>
          <cell r="AG1044">
            <v>0</v>
          </cell>
          <cell r="AH1044">
            <v>0</v>
          </cell>
          <cell r="AI1044">
            <v>0</v>
          </cell>
          <cell r="AJ1044">
            <v>0</v>
          </cell>
          <cell r="AK1044">
            <v>605551</v>
          </cell>
          <cell r="AL1044">
            <v>1324643</v>
          </cell>
          <cell r="AM1044">
            <v>113541</v>
          </cell>
          <cell r="AN1044">
            <v>227082</v>
          </cell>
          <cell r="AO1044">
            <v>75694</v>
          </cell>
          <cell r="AP1044">
            <v>75694</v>
          </cell>
        </row>
        <row r="1045">
          <cell r="D1045" t="str">
            <v>SX 11 bộ đài Quang điện tử tầm xa VEE-LRA và 13 ZIP năm 2021</v>
          </cell>
          <cell r="G1045" t="str">
            <v>Bảo hành</v>
          </cell>
          <cell r="I1045" t="str">
            <v>DVSBH</v>
          </cell>
          <cell r="AC1045">
            <v>1866000</v>
          </cell>
          <cell r="AD1045">
            <v>24261633</v>
          </cell>
          <cell r="AE1045">
            <v>12383412</v>
          </cell>
          <cell r="AF1045">
            <v>11825476</v>
          </cell>
          <cell r="AG1045">
            <v>0</v>
          </cell>
          <cell r="AH1045">
            <v>0</v>
          </cell>
          <cell r="AI1045">
            <v>0</v>
          </cell>
          <cell r="AJ1045">
            <v>0</v>
          </cell>
          <cell r="AK1045">
            <v>425094</v>
          </cell>
          <cell r="AL1045">
            <v>929892</v>
          </cell>
          <cell r="AM1045">
            <v>79705</v>
          </cell>
          <cell r="AN1045">
            <v>159410</v>
          </cell>
          <cell r="AO1045">
            <v>53137</v>
          </cell>
          <cell r="AP1045">
            <v>53137</v>
          </cell>
        </row>
        <row r="1046">
          <cell r="D1046" t="str">
            <v>Sản xuất 05 hệ thống trinh sát điện tử thông minh V-ELINT18 năm 2021 (Hệ thống trinh sát điện tử thông minh V-ELINT18)</v>
          </cell>
          <cell r="G1046" t="str">
            <v>Bảo hành</v>
          </cell>
          <cell r="I1046" t="str">
            <v>DVSBH</v>
          </cell>
          <cell r="AC1046">
            <v>1730000</v>
          </cell>
          <cell r="AD1046">
            <v>90783778</v>
          </cell>
          <cell r="AE1046">
            <v>7450922</v>
          </cell>
          <cell r="AF1046">
            <v>7330764</v>
          </cell>
          <cell r="AG1046">
            <v>0</v>
          </cell>
          <cell r="AH1046">
            <v>0</v>
          </cell>
          <cell r="AI1046">
            <v>0</v>
          </cell>
          <cell r="AJ1046">
            <v>0</v>
          </cell>
          <cell r="AK1046">
            <v>120158</v>
          </cell>
          <cell r="AL1046">
            <v>262846</v>
          </cell>
          <cell r="AM1046">
            <v>0</v>
          </cell>
          <cell r="AN1046">
            <v>0</v>
          </cell>
          <cell r="AO1046">
            <v>0</v>
          </cell>
          <cell r="AP1046">
            <v>0</v>
          </cell>
        </row>
        <row r="1047">
          <cell r="D1047" t="str">
            <v>Sản xuất 05 hệ thống trinh sát điện tử thông minh V-ELINT18 năm 2021 (Hệ thống trinh sát điện tử thông minh V-ELINT18)</v>
          </cell>
          <cell r="G1047" t="str">
            <v>Bảo hành</v>
          </cell>
          <cell r="I1047" t="str">
            <v>DVSBH</v>
          </cell>
          <cell r="AC1047">
            <v>1047000</v>
          </cell>
          <cell r="AD1047">
            <v>24112143</v>
          </cell>
          <cell r="AE1047">
            <v>1827277</v>
          </cell>
          <cell r="AF1047">
            <v>1747572</v>
          </cell>
          <cell r="AG1047">
            <v>0</v>
          </cell>
          <cell r="AH1047">
            <v>0</v>
          </cell>
          <cell r="AI1047">
            <v>0</v>
          </cell>
          <cell r="AJ1047">
            <v>0</v>
          </cell>
          <cell r="AK1047">
            <v>60728</v>
          </cell>
          <cell r="AL1047">
            <v>132842</v>
          </cell>
          <cell r="AM1047">
            <v>11386</v>
          </cell>
          <cell r="AN1047">
            <v>22773</v>
          </cell>
          <cell r="AO1047">
            <v>7591</v>
          </cell>
          <cell r="AP1047">
            <v>7591</v>
          </cell>
        </row>
        <row r="1048">
          <cell r="D1048" t="str">
            <v>Sản xuất 05 hệ thống trinh sát điện tử thông minh V-ELINT18 năm 2021 (Hệ thống trinh sát điện tử thông minh V-ELINT18)</v>
          </cell>
          <cell r="G1048" t="str">
            <v>Bảo hành</v>
          </cell>
          <cell r="I1048" t="str">
            <v>DVSBH</v>
          </cell>
          <cell r="AC1048">
            <v>1130000</v>
          </cell>
          <cell r="AD1048">
            <v>50221549</v>
          </cell>
          <cell r="AE1048">
            <v>3974259</v>
          </cell>
          <cell r="AF1048">
            <v>3853409</v>
          </cell>
          <cell r="AG1048">
            <v>0</v>
          </cell>
          <cell r="AH1048">
            <v>0</v>
          </cell>
          <cell r="AI1048">
            <v>0</v>
          </cell>
          <cell r="AJ1048">
            <v>0</v>
          </cell>
          <cell r="AK1048">
            <v>120850</v>
          </cell>
          <cell r="AL1048">
            <v>264359</v>
          </cell>
          <cell r="AM1048">
            <v>0</v>
          </cell>
          <cell r="AN1048">
            <v>0</v>
          </cell>
          <cell r="AO1048">
            <v>0</v>
          </cell>
          <cell r="AP1048">
            <v>0</v>
          </cell>
        </row>
        <row r="1049">
          <cell r="D1049" t="str">
            <v>Sản xuất 05 hệ thống trinh sát điện tử thông minh V-ELINT18 năm 2021 (Hệ thống trinh sát điện tử thông minh V-ELINT18)</v>
          </cell>
          <cell r="G1049" t="str">
            <v>Bảo hành</v>
          </cell>
          <cell r="I1049" t="str">
            <v>DVSBH</v>
          </cell>
          <cell r="AC1049">
            <v>1030000</v>
          </cell>
          <cell r="AD1049">
            <v>32206110</v>
          </cell>
          <cell r="AE1049">
            <v>7539963</v>
          </cell>
          <cell r="AF1049">
            <v>7275035</v>
          </cell>
          <cell r="AG1049">
            <v>0</v>
          </cell>
          <cell r="AH1049">
            <v>0</v>
          </cell>
          <cell r="AI1049">
            <v>0</v>
          </cell>
          <cell r="AJ1049">
            <v>0</v>
          </cell>
          <cell r="AK1049">
            <v>201850</v>
          </cell>
          <cell r="AL1049">
            <v>441548</v>
          </cell>
          <cell r="AM1049">
            <v>37847</v>
          </cell>
          <cell r="AN1049">
            <v>75694</v>
          </cell>
          <cell r="AO1049">
            <v>25231</v>
          </cell>
          <cell r="AP1049">
            <v>25231</v>
          </cell>
        </row>
        <row r="1050">
          <cell r="D1050" t="str">
            <v>Sản xuất 05 hệ thống trinh sát điện tử thông minh V-ELINT18 năm 2021 (Hệ thống trinh sát điện tử thông minh V-ELINT18)</v>
          </cell>
          <cell r="G1050" t="str">
            <v>Bảo hành</v>
          </cell>
          <cell r="I1050" t="str">
            <v>DVSBH</v>
          </cell>
          <cell r="AC1050">
            <v>930000</v>
          </cell>
          <cell r="AD1050">
            <v>20924275</v>
          </cell>
          <cell r="AE1050">
            <v>6277469</v>
          </cell>
          <cell r="AF1050">
            <v>5974952</v>
          </cell>
          <cell r="AG1050">
            <v>0</v>
          </cell>
          <cell r="AH1050">
            <v>0</v>
          </cell>
          <cell r="AI1050">
            <v>0</v>
          </cell>
          <cell r="AJ1050">
            <v>0</v>
          </cell>
          <cell r="AK1050">
            <v>230489</v>
          </cell>
          <cell r="AL1050">
            <v>504195</v>
          </cell>
          <cell r="AM1050">
            <v>43217</v>
          </cell>
          <cell r="AN1050">
            <v>86433</v>
          </cell>
          <cell r="AO1050">
            <v>28811</v>
          </cell>
          <cell r="AP1050">
            <v>28811</v>
          </cell>
        </row>
        <row r="1051">
          <cell r="D1051" t="str">
            <v>Sản xuất 05 hệ thống trinh sát điện tử thông minh V-ELINT18 năm 2021 (Hệ thống trinh sát điện tử thông minh V-ELINT18)</v>
          </cell>
          <cell r="G1051" t="str">
            <v>Bảo hành</v>
          </cell>
          <cell r="I1051" t="str">
            <v>DVSBH</v>
          </cell>
          <cell r="AC1051">
            <v>1030000</v>
          </cell>
          <cell r="AD1051">
            <v>25186896</v>
          </cell>
          <cell r="AE1051">
            <v>1922212</v>
          </cell>
          <cell r="AF1051">
            <v>1842507</v>
          </cell>
          <cell r="AG1051">
            <v>0</v>
          </cell>
          <cell r="AH1051">
            <v>0</v>
          </cell>
          <cell r="AI1051">
            <v>0</v>
          </cell>
          <cell r="AJ1051">
            <v>0</v>
          </cell>
          <cell r="AK1051">
            <v>60728</v>
          </cell>
          <cell r="AL1051">
            <v>132842</v>
          </cell>
          <cell r="AM1051">
            <v>11386</v>
          </cell>
          <cell r="AN1051">
            <v>22773</v>
          </cell>
          <cell r="AO1051">
            <v>7591</v>
          </cell>
          <cell r="AP1051">
            <v>7591</v>
          </cell>
        </row>
        <row r="1052">
          <cell r="D1052" t="str">
            <v>Sản xuất 04 đài Ra đa 3D cảnh giới tầm trung băng S VRS-MRS và 01 gói vật tư dự phòng (04 đài Ra đa 3D cảnh giới tầm trung băng S VRS-MRS)</v>
          </cell>
          <cell r="G1052" t="str">
            <v>SXKD</v>
          </cell>
          <cell r="I1052" t="str">
            <v>DVSBH</v>
          </cell>
          <cell r="AC1052">
            <v>1730000</v>
          </cell>
          <cell r="AD1052">
            <v>90783778</v>
          </cell>
          <cell r="AE1052">
            <v>7450922</v>
          </cell>
          <cell r="AF1052">
            <v>7330764</v>
          </cell>
          <cell r="AG1052">
            <v>0</v>
          </cell>
          <cell r="AH1052">
            <v>0</v>
          </cell>
          <cell r="AI1052">
            <v>0</v>
          </cell>
          <cell r="AJ1052">
            <v>0</v>
          </cell>
          <cell r="AK1052">
            <v>120158</v>
          </cell>
          <cell r="AL1052">
            <v>262846</v>
          </cell>
          <cell r="AM1052">
            <v>0</v>
          </cell>
          <cell r="AN1052">
            <v>0</v>
          </cell>
          <cell r="AO1052">
            <v>0</v>
          </cell>
          <cell r="AP1052">
            <v>0</v>
          </cell>
        </row>
        <row r="1053">
          <cell r="D1053" t="str">
            <v>Sản xuất 04 đài Ra đa 3D cảnh giới tầm trung băng S VRS-MRS và 01 gói vật tư dự phòng (04 đài Ra đa 3D cảnh giới tầm trung băng S VRS-MRS)</v>
          </cell>
          <cell r="G1053" t="str">
            <v>SXKD</v>
          </cell>
          <cell r="I1053" t="str">
            <v>DVSBH</v>
          </cell>
          <cell r="AC1053">
            <v>1230000</v>
          </cell>
          <cell r="AD1053">
            <v>66918607</v>
          </cell>
          <cell r="AE1053">
            <v>8166707</v>
          </cell>
          <cell r="AF1053">
            <v>7987371</v>
          </cell>
          <cell r="AG1053">
            <v>0</v>
          </cell>
          <cell r="AH1053">
            <v>0</v>
          </cell>
          <cell r="AI1053">
            <v>0</v>
          </cell>
          <cell r="AJ1053">
            <v>0</v>
          </cell>
          <cell r="AK1053">
            <v>136637</v>
          </cell>
          <cell r="AL1053">
            <v>298894</v>
          </cell>
          <cell r="AM1053">
            <v>25619</v>
          </cell>
          <cell r="AN1053">
            <v>51239</v>
          </cell>
          <cell r="AO1053">
            <v>17080</v>
          </cell>
          <cell r="AP1053">
            <v>17080</v>
          </cell>
        </row>
        <row r="1054">
          <cell r="D1054" t="str">
            <v>Sản xuất 04 đài Ra đa 3D cảnh giới tầm trung băng S VRS-MRS và 01 gói vật tư dự phòng (04 đài Ra đa 3D cảnh giới tầm trung băng S VRS-MRS)</v>
          </cell>
          <cell r="G1054" t="str">
            <v>SXKD</v>
          </cell>
          <cell r="I1054" t="str">
            <v>DVSBH</v>
          </cell>
          <cell r="AC1054">
            <v>1047000</v>
          </cell>
          <cell r="AD1054">
            <v>24112143</v>
          </cell>
          <cell r="AE1054">
            <v>1827277</v>
          </cell>
          <cell r="AF1054">
            <v>1747572</v>
          </cell>
          <cell r="AG1054">
            <v>0</v>
          </cell>
          <cell r="AH1054">
            <v>0</v>
          </cell>
          <cell r="AI1054">
            <v>0</v>
          </cell>
          <cell r="AJ1054">
            <v>0</v>
          </cell>
          <cell r="AK1054">
            <v>60728</v>
          </cell>
          <cell r="AL1054">
            <v>132842</v>
          </cell>
          <cell r="AM1054">
            <v>11386</v>
          </cell>
          <cell r="AN1054">
            <v>22773</v>
          </cell>
          <cell r="AO1054">
            <v>7591</v>
          </cell>
          <cell r="AP1054">
            <v>7591</v>
          </cell>
        </row>
        <row r="1055">
          <cell r="D1055" t="str">
            <v>Sản xuất 04 đài Ra đa 3D cảnh giới tầm trung băng S VRS-MRS và 01 gói vật tư dự phòng (04 đài Ra đa 3D cảnh giới tầm trung băng S VRS-MRS)</v>
          </cell>
          <cell r="G1055" t="str">
            <v>SXKD</v>
          </cell>
          <cell r="I1055" t="str">
            <v>DVSBH</v>
          </cell>
          <cell r="AC1055">
            <v>1130000</v>
          </cell>
          <cell r="AD1055">
            <v>50221549</v>
          </cell>
          <cell r="AE1055">
            <v>15897037</v>
          </cell>
          <cell r="AF1055">
            <v>15413638</v>
          </cell>
          <cell r="AG1055">
            <v>0</v>
          </cell>
          <cell r="AH1055">
            <v>0</v>
          </cell>
          <cell r="AI1055">
            <v>0</v>
          </cell>
          <cell r="AJ1055">
            <v>0</v>
          </cell>
          <cell r="AK1055">
            <v>483399</v>
          </cell>
          <cell r="AL1055">
            <v>1057437</v>
          </cell>
          <cell r="AM1055">
            <v>0</v>
          </cell>
          <cell r="AN1055">
            <v>0</v>
          </cell>
          <cell r="AO1055">
            <v>0</v>
          </cell>
          <cell r="AP1055">
            <v>0</v>
          </cell>
        </row>
        <row r="1056">
          <cell r="D1056" t="str">
            <v>Sản xuất 04 đài Ra đa 3D cảnh giới tầm trung băng S VRS-MRS và 01 gói vật tư dự phòng (04 đài Ra đa 3D cảnh giới tầm trung băng S VRS-MRS)</v>
          </cell>
          <cell r="G1056" t="str">
            <v>SXKD</v>
          </cell>
          <cell r="I1056" t="str">
            <v>DVSBH</v>
          </cell>
          <cell r="AC1056">
            <v>1281000</v>
          </cell>
          <cell r="AD1056">
            <v>17369655</v>
          </cell>
          <cell r="AE1056">
            <v>4328951</v>
          </cell>
          <cell r="AF1056">
            <v>4075344</v>
          </cell>
          <cell r="AG1056">
            <v>0</v>
          </cell>
          <cell r="AH1056">
            <v>0</v>
          </cell>
          <cell r="AI1056">
            <v>0</v>
          </cell>
          <cell r="AJ1056">
            <v>0</v>
          </cell>
          <cell r="AK1056">
            <v>193224</v>
          </cell>
          <cell r="AL1056">
            <v>422678</v>
          </cell>
          <cell r="AM1056">
            <v>36230</v>
          </cell>
          <cell r="AN1056">
            <v>72459</v>
          </cell>
          <cell r="AO1056">
            <v>24153</v>
          </cell>
          <cell r="AP1056">
            <v>24153</v>
          </cell>
        </row>
        <row r="1057">
          <cell r="D1057" t="str">
            <v>Sản xuất 04 đài Ra đa 3D cảnh giới tầm trung băng S VRS-MRS và 01 gói vật tư dự phòng (04 đài Ra đa 3D cảnh giới tầm trung băng S VRS-MRS)</v>
          </cell>
          <cell r="G1057" t="str">
            <v>SXKD</v>
          </cell>
          <cell r="I1057" t="str">
            <v>DVSBH</v>
          </cell>
          <cell r="AC1057">
            <v>1030000</v>
          </cell>
          <cell r="AD1057">
            <v>25186896</v>
          </cell>
          <cell r="AE1057">
            <v>3844424</v>
          </cell>
          <cell r="AF1057">
            <v>3685014</v>
          </cell>
          <cell r="AG1057">
            <v>0</v>
          </cell>
          <cell r="AH1057">
            <v>0</v>
          </cell>
          <cell r="AI1057">
            <v>0</v>
          </cell>
          <cell r="AJ1057">
            <v>0</v>
          </cell>
          <cell r="AK1057">
            <v>121455</v>
          </cell>
          <cell r="AL1057">
            <v>265683</v>
          </cell>
          <cell r="AM1057">
            <v>22773</v>
          </cell>
          <cell r="AN1057">
            <v>45546</v>
          </cell>
          <cell r="AO1057">
            <v>15182</v>
          </cell>
          <cell r="AP1057">
            <v>15182</v>
          </cell>
        </row>
        <row r="1058">
          <cell r="D1058" t="str">
            <v>Sản xuất 04 đài Ra đa 3D cảnh giới tầm trung băng S VRS-MRS và 01 gói vật tư dự phòng (04 đài Ra đa 3D cảnh giới tầm trung băng S VRS-MRS)</v>
          </cell>
          <cell r="G1058" t="str">
            <v>SXKD</v>
          </cell>
          <cell r="I1058" t="str">
            <v>DVSBH</v>
          </cell>
          <cell r="AC1058">
            <v>1615000</v>
          </cell>
          <cell r="AD1058">
            <v>39576662</v>
          </cell>
          <cell r="AE1058">
            <v>13950334</v>
          </cell>
          <cell r="AF1058">
            <v>13568548</v>
          </cell>
          <cell r="AG1058">
            <v>0</v>
          </cell>
          <cell r="AH1058">
            <v>0</v>
          </cell>
          <cell r="AI1058">
            <v>0</v>
          </cell>
          <cell r="AJ1058">
            <v>0</v>
          </cell>
          <cell r="AK1058">
            <v>321504</v>
          </cell>
          <cell r="AL1058">
            <v>703290</v>
          </cell>
          <cell r="AM1058">
            <v>60282</v>
          </cell>
          <cell r="AN1058">
            <v>120564</v>
          </cell>
          <cell r="AO1058">
            <v>0</v>
          </cell>
          <cell r="AP1058">
            <v>0</v>
          </cell>
        </row>
        <row r="1059">
          <cell r="D1059" t="str">
            <v>Sản xuất 21 Hệ thống MP huấn luyện kíp xe tăng T54B/T55 (TT SBH)</v>
          </cell>
          <cell r="G1059" t="str">
            <v>Bảo hành</v>
          </cell>
          <cell r="I1059" t="str">
            <v>DVSBH</v>
          </cell>
          <cell r="AC1059">
            <v>1730000</v>
          </cell>
          <cell r="AD1059">
            <v>90783778</v>
          </cell>
          <cell r="AE1059">
            <v>3725461</v>
          </cell>
          <cell r="AF1059">
            <v>3665382</v>
          </cell>
          <cell r="AG1059">
            <v>0</v>
          </cell>
          <cell r="AH1059">
            <v>0</v>
          </cell>
          <cell r="AI1059">
            <v>0</v>
          </cell>
          <cell r="AJ1059">
            <v>0</v>
          </cell>
          <cell r="AK1059">
            <v>60079</v>
          </cell>
          <cell r="AL1059">
            <v>131423</v>
          </cell>
          <cell r="AM1059">
            <v>0</v>
          </cell>
          <cell r="AN1059">
            <v>0</v>
          </cell>
          <cell r="AO1059">
            <v>0</v>
          </cell>
          <cell r="AP1059">
            <v>0</v>
          </cell>
        </row>
        <row r="1060">
          <cell r="D1060" t="str">
            <v>Sản xuất 21 Hệ thống MP huấn luyện kíp xe tăng T54B/T55 (TT SBH)</v>
          </cell>
          <cell r="G1060" t="str">
            <v>Bảo hành</v>
          </cell>
          <cell r="I1060" t="str">
            <v>DVSBH</v>
          </cell>
          <cell r="AC1060">
            <v>1047000</v>
          </cell>
          <cell r="AD1060">
            <v>24112143</v>
          </cell>
          <cell r="AE1060">
            <v>913639</v>
          </cell>
          <cell r="AF1060">
            <v>873787</v>
          </cell>
          <cell r="AG1060">
            <v>0</v>
          </cell>
          <cell r="AH1060">
            <v>0</v>
          </cell>
          <cell r="AI1060">
            <v>0</v>
          </cell>
          <cell r="AJ1060">
            <v>0</v>
          </cell>
          <cell r="AK1060">
            <v>30364</v>
          </cell>
          <cell r="AL1060">
            <v>66421</v>
          </cell>
          <cell r="AM1060">
            <v>5693</v>
          </cell>
          <cell r="AN1060">
            <v>11386</v>
          </cell>
          <cell r="AO1060">
            <v>3795</v>
          </cell>
          <cell r="AP1060">
            <v>3795</v>
          </cell>
        </row>
        <row r="1061">
          <cell r="D1061" t="str">
            <v>Sản xuất 21 Hệ thống MP huấn luyện kíp xe tăng T54B/T55 (TT SBH)</v>
          </cell>
          <cell r="G1061" t="str">
            <v>Bảo hành</v>
          </cell>
          <cell r="I1061" t="str">
            <v>DVSBH</v>
          </cell>
          <cell r="AC1061">
            <v>1030000</v>
          </cell>
          <cell r="AD1061">
            <v>32206110</v>
          </cell>
          <cell r="AE1061">
            <v>6283302</v>
          </cell>
          <cell r="AF1061">
            <v>6062528</v>
          </cell>
          <cell r="AG1061">
            <v>0</v>
          </cell>
          <cell r="AH1061">
            <v>0</v>
          </cell>
          <cell r="AI1061">
            <v>0</v>
          </cell>
          <cell r="AJ1061">
            <v>0</v>
          </cell>
          <cell r="AK1061">
            <v>168209</v>
          </cell>
          <cell r="AL1061">
            <v>367957</v>
          </cell>
          <cell r="AM1061">
            <v>31539</v>
          </cell>
          <cell r="AN1061">
            <v>63078</v>
          </cell>
          <cell r="AO1061">
            <v>21026</v>
          </cell>
          <cell r="AP1061">
            <v>21026</v>
          </cell>
        </row>
        <row r="1062">
          <cell r="D1062" t="str">
            <v>Sản xuất 21 Hệ thống MP huấn luyện kíp xe tăng T54B/T55 (TT SBH)</v>
          </cell>
          <cell r="G1062" t="str">
            <v>Bảo hành</v>
          </cell>
          <cell r="I1062" t="str">
            <v>DVSBH</v>
          </cell>
          <cell r="AC1062">
            <v>930000</v>
          </cell>
          <cell r="AD1062">
            <v>28518964</v>
          </cell>
          <cell r="AE1062">
            <v>7704883</v>
          </cell>
          <cell r="AF1062">
            <v>7395799</v>
          </cell>
          <cell r="AG1062">
            <v>0</v>
          </cell>
          <cell r="AH1062">
            <v>0</v>
          </cell>
          <cell r="AI1062">
            <v>0</v>
          </cell>
          <cell r="AJ1062">
            <v>0</v>
          </cell>
          <cell r="AK1062">
            <v>235492</v>
          </cell>
          <cell r="AL1062">
            <v>515139</v>
          </cell>
          <cell r="AM1062">
            <v>44155</v>
          </cell>
          <cell r="AN1062">
            <v>88310</v>
          </cell>
          <cell r="AO1062">
            <v>29437</v>
          </cell>
          <cell r="AP1062">
            <v>29437</v>
          </cell>
        </row>
        <row r="1063">
          <cell r="D1063" t="str">
            <v>Sản xuất 21 Hệ thống MP huấn luyện kíp xe tăng T54B/T55 (TT SBH)</v>
          </cell>
          <cell r="G1063" t="str">
            <v>Bảo hành</v>
          </cell>
          <cell r="I1063" t="str">
            <v>DVSBH</v>
          </cell>
          <cell r="AC1063">
            <v>930000</v>
          </cell>
          <cell r="AD1063">
            <v>19543335</v>
          </cell>
          <cell r="AE1063">
            <v>1449285</v>
          </cell>
          <cell r="AF1063">
            <v>1373657</v>
          </cell>
          <cell r="AG1063">
            <v>0</v>
          </cell>
          <cell r="AH1063">
            <v>0</v>
          </cell>
          <cell r="AI1063">
            <v>0</v>
          </cell>
          <cell r="AJ1063">
            <v>0</v>
          </cell>
          <cell r="AK1063">
            <v>57622</v>
          </cell>
          <cell r="AL1063">
            <v>126049</v>
          </cell>
          <cell r="AM1063">
            <v>10804</v>
          </cell>
          <cell r="AN1063">
            <v>21608</v>
          </cell>
          <cell r="AO1063">
            <v>7202</v>
          </cell>
          <cell r="AP1063">
            <v>7202</v>
          </cell>
        </row>
        <row r="1064">
          <cell r="D1064" t="str">
            <v>Sản xuất 21 Hệ thống MP huấn luyện kíp xe tăng T54B/T55 (TT SBH)</v>
          </cell>
          <cell r="G1064" t="str">
            <v>Bảo hành</v>
          </cell>
          <cell r="I1064" t="str">
            <v>DVSBH</v>
          </cell>
          <cell r="AC1064">
            <v>1030000</v>
          </cell>
          <cell r="AD1064">
            <v>30728406</v>
          </cell>
          <cell r="AE1064">
            <v>2384825</v>
          </cell>
          <cell r="AF1064">
            <v>2296516</v>
          </cell>
          <cell r="AG1064">
            <v>0</v>
          </cell>
          <cell r="AH1064">
            <v>0</v>
          </cell>
          <cell r="AI1064">
            <v>0</v>
          </cell>
          <cell r="AJ1064">
            <v>0</v>
          </cell>
          <cell r="AK1064">
            <v>67283</v>
          </cell>
          <cell r="AL1064">
            <v>147183</v>
          </cell>
          <cell r="AM1064">
            <v>12616</v>
          </cell>
          <cell r="AN1064">
            <v>25231</v>
          </cell>
          <cell r="AO1064">
            <v>8410</v>
          </cell>
          <cell r="AP1064">
            <v>8410</v>
          </cell>
        </row>
        <row r="1065">
          <cell r="D1065" t="str">
            <v>Sản xuất 21 Hệ thống MP huấn luyện kíp xe tăng T54B/T55 (TT SBH)</v>
          </cell>
          <cell r="G1065" t="str">
            <v>Bảo hành</v>
          </cell>
          <cell r="I1065" t="str">
            <v>DVSBH</v>
          </cell>
          <cell r="AC1065">
            <v>930000</v>
          </cell>
          <cell r="AD1065">
            <v>27992970</v>
          </cell>
          <cell r="AE1065">
            <v>2155657</v>
          </cell>
          <cell r="AF1065">
            <v>2067348</v>
          </cell>
          <cell r="AG1065">
            <v>0</v>
          </cell>
          <cell r="AH1065">
            <v>0</v>
          </cell>
          <cell r="AI1065">
            <v>0</v>
          </cell>
          <cell r="AJ1065">
            <v>0</v>
          </cell>
          <cell r="AK1065">
            <v>67283</v>
          </cell>
          <cell r="AL1065">
            <v>147183</v>
          </cell>
          <cell r="AM1065">
            <v>12616</v>
          </cell>
          <cell r="AN1065">
            <v>25231</v>
          </cell>
          <cell r="AO1065">
            <v>8410</v>
          </cell>
          <cell r="AP1065">
            <v>8410</v>
          </cell>
        </row>
        <row r="1066">
          <cell r="D1066" t="str">
            <v>Sản xuất 21 Hệ thống MP huấn luyện kíp xe tăng T54B/T55 (TT SBH)</v>
          </cell>
          <cell r="G1066" t="str">
            <v>Bảo hành</v>
          </cell>
          <cell r="I1066" t="str">
            <v>DVSBH</v>
          </cell>
          <cell r="AC1066">
            <v>1030000</v>
          </cell>
          <cell r="AD1066">
            <v>33878771</v>
          </cell>
          <cell r="AE1066">
            <v>2648634</v>
          </cell>
          <cell r="AF1066">
            <v>2555795</v>
          </cell>
          <cell r="AG1066">
            <v>0</v>
          </cell>
          <cell r="AH1066">
            <v>0</v>
          </cell>
          <cell r="AI1066">
            <v>0</v>
          </cell>
          <cell r="AJ1066">
            <v>0</v>
          </cell>
          <cell r="AK1066">
            <v>70734</v>
          </cell>
          <cell r="AL1066">
            <v>154730</v>
          </cell>
          <cell r="AM1066">
            <v>13263</v>
          </cell>
          <cell r="AN1066">
            <v>26525</v>
          </cell>
          <cell r="AO1066">
            <v>8842</v>
          </cell>
          <cell r="AP1066">
            <v>8842</v>
          </cell>
        </row>
        <row r="1067">
          <cell r="D1067" t="str">
            <v>Sản xuất 21 Hệ thống MP huấn luyện kíp xe tăng T54B/T55 (TT SBH)</v>
          </cell>
          <cell r="G1067" t="str">
            <v>Bảo hành</v>
          </cell>
          <cell r="I1067" t="str">
            <v>DVSBH</v>
          </cell>
          <cell r="AC1067">
            <v>1230000</v>
          </cell>
          <cell r="AD1067">
            <v>58933579</v>
          </cell>
          <cell r="AE1067">
            <v>11507761</v>
          </cell>
          <cell r="AF1067">
            <v>11082532</v>
          </cell>
          <cell r="AG1067">
            <v>0</v>
          </cell>
          <cell r="AH1067">
            <v>0</v>
          </cell>
          <cell r="AI1067">
            <v>0</v>
          </cell>
          <cell r="AJ1067">
            <v>0</v>
          </cell>
          <cell r="AK1067">
            <v>425229</v>
          </cell>
          <cell r="AL1067">
            <v>930188</v>
          </cell>
          <cell r="AM1067">
            <v>0</v>
          </cell>
          <cell r="AN1067">
            <v>0</v>
          </cell>
          <cell r="AO1067">
            <v>0</v>
          </cell>
          <cell r="AP1067">
            <v>0</v>
          </cell>
        </row>
        <row r="1068">
          <cell r="D1068" t="str">
            <v>Sản xuất 21 Hệ thống MP huấn luyện kíp xe tăng T54B/T55 (TT SBH)</v>
          </cell>
          <cell r="G1068" t="str">
            <v>Bảo hành</v>
          </cell>
          <cell r="I1068" t="str">
            <v>DVSBH</v>
          </cell>
          <cell r="AC1068">
            <v>930000</v>
          </cell>
          <cell r="AD1068">
            <v>27734076</v>
          </cell>
          <cell r="AE1068">
            <v>5332860</v>
          </cell>
          <cell r="AF1068">
            <v>5112086</v>
          </cell>
          <cell r="AG1068">
            <v>0</v>
          </cell>
          <cell r="AH1068">
            <v>0</v>
          </cell>
          <cell r="AI1068">
            <v>0</v>
          </cell>
          <cell r="AJ1068">
            <v>0</v>
          </cell>
          <cell r="AK1068">
            <v>168209</v>
          </cell>
          <cell r="AL1068">
            <v>367957</v>
          </cell>
          <cell r="AM1068">
            <v>31539</v>
          </cell>
          <cell r="AN1068">
            <v>63078</v>
          </cell>
          <cell r="AO1068">
            <v>21026</v>
          </cell>
          <cell r="AP1068">
            <v>21026</v>
          </cell>
        </row>
        <row r="1069">
          <cell r="D1069" t="str">
            <v>Sản xuất 21 Hệ thống MP huấn luyện kíp xe tăng T54B/T55 (TT SBH)</v>
          </cell>
          <cell r="G1069" t="str">
            <v>Bảo hành</v>
          </cell>
          <cell r="I1069" t="str">
            <v>DVSBH</v>
          </cell>
          <cell r="AC1069">
            <v>1866000</v>
          </cell>
          <cell r="AD1069">
            <v>24261633</v>
          </cell>
          <cell r="AE1069">
            <v>4422647</v>
          </cell>
          <cell r="AF1069">
            <v>4223385</v>
          </cell>
          <cell r="AG1069">
            <v>0</v>
          </cell>
          <cell r="AH1069">
            <v>0</v>
          </cell>
          <cell r="AI1069">
            <v>0</v>
          </cell>
          <cell r="AJ1069">
            <v>0</v>
          </cell>
          <cell r="AK1069">
            <v>151819</v>
          </cell>
          <cell r="AL1069">
            <v>332104</v>
          </cell>
          <cell r="AM1069">
            <v>28466</v>
          </cell>
          <cell r="AN1069">
            <v>56932</v>
          </cell>
          <cell r="AO1069">
            <v>18977</v>
          </cell>
          <cell r="AP1069">
            <v>18977</v>
          </cell>
        </row>
        <row r="1070">
          <cell r="D1070" t="str">
            <v>Sản xuất 21 Hệ thống MP huấn luyện kíp xe tăng T54B/T55 (TT SBH)</v>
          </cell>
          <cell r="G1070" t="str">
            <v>Bảo hành</v>
          </cell>
          <cell r="I1070" t="str">
            <v>DVSBH</v>
          </cell>
          <cell r="AC1070">
            <v>930000</v>
          </cell>
          <cell r="AD1070">
            <v>24548256</v>
          </cell>
          <cell r="AE1070">
            <v>4665223</v>
          </cell>
          <cell r="AF1070">
            <v>4467124</v>
          </cell>
          <cell r="AG1070">
            <v>0</v>
          </cell>
          <cell r="AH1070">
            <v>0</v>
          </cell>
          <cell r="AI1070">
            <v>0</v>
          </cell>
          <cell r="AJ1070">
            <v>0</v>
          </cell>
          <cell r="AK1070">
            <v>166820</v>
          </cell>
          <cell r="AL1070">
            <v>364918</v>
          </cell>
          <cell r="AM1070">
            <v>31279</v>
          </cell>
          <cell r="AN1070">
            <v>62557</v>
          </cell>
          <cell r="AO1070">
            <v>0</v>
          </cell>
          <cell r="AP1070">
            <v>0</v>
          </cell>
        </row>
        <row r="1071">
          <cell r="D1071" t="str">
            <v>Lắp đặt tích hợp trang bị truyền dẫn số chuyển tiếp nhảy tần VHCR/10G (Triển khai lắp đặt cho tuyến cố định)</v>
          </cell>
          <cell r="G1071" t="str">
            <v>SXKD</v>
          </cell>
          <cell r="I1071" t="str">
            <v>DVSBH</v>
          </cell>
          <cell r="AC1071">
            <v>1730000</v>
          </cell>
          <cell r="AD1071">
            <v>90783778</v>
          </cell>
          <cell r="AE1071">
            <v>3725461</v>
          </cell>
          <cell r="AF1071">
            <v>3665382</v>
          </cell>
          <cell r="AG1071">
            <v>0</v>
          </cell>
          <cell r="AH1071">
            <v>0</v>
          </cell>
          <cell r="AI1071">
            <v>0</v>
          </cell>
          <cell r="AJ1071">
            <v>0</v>
          </cell>
          <cell r="AK1071">
            <v>60079</v>
          </cell>
          <cell r="AL1071">
            <v>131423</v>
          </cell>
          <cell r="AM1071">
            <v>0</v>
          </cell>
          <cell r="AN1071">
            <v>0</v>
          </cell>
          <cell r="AO1071">
            <v>0</v>
          </cell>
          <cell r="AP1071">
            <v>0</v>
          </cell>
        </row>
        <row r="1072">
          <cell r="D1072" t="str">
            <v>Lắp đặt tích hợp trang bị truyền dẫn số chuyển tiếp nhảy tần VHCR/10G (Triển khai lắp đặt cho tuyến cố định)</v>
          </cell>
          <cell r="G1072" t="str">
            <v>SXKD</v>
          </cell>
          <cell r="I1072" t="str">
            <v>DVSBH</v>
          </cell>
          <cell r="AC1072">
            <v>1047000</v>
          </cell>
          <cell r="AD1072">
            <v>24112143</v>
          </cell>
          <cell r="AE1072">
            <v>913639</v>
          </cell>
          <cell r="AF1072">
            <v>873787</v>
          </cell>
          <cell r="AG1072">
            <v>0</v>
          </cell>
          <cell r="AH1072">
            <v>0</v>
          </cell>
          <cell r="AI1072">
            <v>0</v>
          </cell>
          <cell r="AJ1072">
            <v>0</v>
          </cell>
          <cell r="AK1072">
            <v>30364</v>
          </cell>
          <cell r="AL1072">
            <v>66421</v>
          </cell>
          <cell r="AM1072">
            <v>5693</v>
          </cell>
          <cell r="AN1072">
            <v>11386</v>
          </cell>
          <cell r="AO1072">
            <v>3795</v>
          </cell>
          <cell r="AP1072">
            <v>3795</v>
          </cell>
        </row>
        <row r="1073">
          <cell r="D1073" t="str">
            <v>Lắp đặt tích hợp trang bị truyền dẫn số chuyển tiếp nhảy tần VHCR/10G (Triển khai lắp đặt cho tuyến cố định)</v>
          </cell>
          <cell r="G1073" t="str">
            <v>SXKD</v>
          </cell>
          <cell r="I1073" t="str">
            <v>DVSBH</v>
          </cell>
          <cell r="AC1073">
            <v>1030000</v>
          </cell>
          <cell r="AD1073">
            <v>38991662</v>
          </cell>
          <cell r="AE1073">
            <v>6200148</v>
          </cell>
          <cell r="AF1073">
            <v>6030466</v>
          </cell>
          <cell r="AG1073">
            <v>0</v>
          </cell>
          <cell r="AH1073">
            <v>0</v>
          </cell>
          <cell r="AI1073">
            <v>0</v>
          </cell>
          <cell r="AJ1073">
            <v>0</v>
          </cell>
          <cell r="AK1073">
            <v>142890</v>
          </cell>
          <cell r="AL1073">
            <v>312574</v>
          </cell>
          <cell r="AM1073">
            <v>26792</v>
          </cell>
          <cell r="AN1073">
            <v>53584</v>
          </cell>
          <cell r="AO1073">
            <v>0</v>
          </cell>
          <cell r="AP1073">
            <v>0</v>
          </cell>
        </row>
        <row r="1074">
          <cell r="D1074" t="str">
            <v>Lắp đặt tích hợp trang bị truyền dẫn số chuyển tiếp nhảy tần VHCR/10G (Triển khai lắp đặt cho tuyến cố định)</v>
          </cell>
          <cell r="G1074" t="str">
            <v>SXKD</v>
          </cell>
          <cell r="I1074" t="str">
            <v>DVSBH</v>
          </cell>
          <cell r="AC1074">
            <v>1030000</v>
          </cell>
          <cell r="AD1074">
            <v>32206110</v>
          </cell>
          <cell r="AE1074">
            <v>7539963</v>
          </cell>
          <cell r="AF1074">
            <v>7275035</v>
          </cell>
          <cell r="AG1074">
            <v>0</v>
          </cell>
          <cell r="AH1074">
            <v>0</v>
          </cell>
          <cell r="AI1074">
            <v>0</v>
          </cell>
          <cell r="AJ1074">
            <v>0</v>
          </cell>
          <cell r="AK1074">
            <v>201850</v>
          </cell>
          <cell r="AL1074">
            <v>441548</v>
          </cell>
          <cell r="AM1074">
            <v>37847</v>
          </cell>
          <cell r="AN1074">
            <v>75694</v>
          </cell>
          <cell r="AO1074">
            <v>25231</v>
          </cell>
          <cell r="AP1074">
            <v>25231</v>
          </cell>
        </row>
        <row r="1075">
          <cell r="D1075" t="str">
            <v>Lắp đặt tích hợp trang bị truyền dẫn số chuyển tiếp nhảy tần VHCR/10G (Triển khai lắp đặt cho tuyến cố định)</v>
          </cell>
          <cell r="G1075" t="str">
            <v>SXKD</v>
          </cell>
          <cell r="I1075" t="str">
            <v>DVSBH</v>
          </cell>
          <cell r="AC1075">
            <v>930000</v>
          </cell>
          <cell r="AD1075">
            <v>20924275</v>
          </cell>
          <cell r="AE1075">
            <v>7062152</v>
          </cell>
          <cell r="AF1075">
            <v>6721820</v>
          </cell>
          <cell r="AG1075">
            <v>0</v>
          </cell>
          <cell r="AH1075">
            <v>0</v>
          </cell>
          <cell r="AI1075">
            <v>0</v>
          </cell>
          <cell r="AJ1075">
            <v>0</v>
          </cell>
          <cell r="AK1075">
            <v>259300</v>
          </cell>
          <cell r="AL1075">
            <v>567219</v>
          </cell>
          <cell r="AM1075">
            <v>48619</v>
          </cell>
          <cell r="AN1075">
            <v>97238</v>
          </cell>
          <cell r="AO1075">
            <v>32413</v>
          </cell>
          <cell r="AP1075">
            <v>32413</v>
          </cell>
        </row>
        <row r="1076">
          <cell r="D1076" t="str">
            <v>Lắp đặt tích hợp trang bị truyền dẫn số chuyển tiếp nhảy tần VHCR/10G (Triển khai lắp đặt cho tuyến cố định)</v>
          </cell>
          <cell r="G1076" t="str">
            <v>SXKD</v>
          </cell>
          <cell r="I1076" t="str">
            <v>DVSBH</v>
          </cell>
          <cell r="AC1076">
            <v>1030000</v>
          </cell>
          <cell r="AD1076">
            <v>25186896</v>
          </cell>
          <cell r="AE1076">
            <v>2883318</v>
          </cell>
          <cell r="AF1076">
            <v>2763761</v>
          </cell>
          <cell r="AG1076">
            <v>0</v>
          </cell>
          <cell r="AH1076">
            <v>0</v>
          </cell>
          <cell r="AI1076">
            <v>0</v>
          </cell>
          <cell r="AJ1076">
            <v>0</v>
          </cell>
          <cell r="AK1076">
            <v>91091</v>
          </cell>
          <cell r="AL1076">
            <v>199263</v>
          </cell>
          <cell r="AM1076">
            <v>17080</v>
          </cell>
          <cell r="AN1076">
            <v>34159</v>
          </cell>
          <cell r="AO1076">
            <v>11386</v>
          </cell>
          <cell r="AP1076">
            <v>11386</v>
          </cell>
        </row>
        <row r="1077">
          <cell r="D1077" t="str">
            <v>Lắp đặt tích hợp trang bị truyền dẫn số chuyển tiếp nhảy tần VHCR/10G (Triển khai lắp đặt cho tuyến cố định)</v>
          </cell>
          <cell r="G1077" t="str">
            <v>SXKD</v>
          </cell>
          <cell r="I1077" t="str">
            <v>DVSBH</v>
          </cell>
          <cell r="AC1077">
            <v>1615000</v>
          </cell>
          <cell r="AD1077">
            <v>39576662</v>
          </cell>
          <cell r="AE1077">
            <v>13950334</v>
          </cell>
          <cell r="AF1077">
            <v>13568548</v>
          </cell>
          <cell r="AG1077">
            <v>0</v>
          </cell>
          <cell r="AH1077">
            <v>0</v>
          </cell>
          <cell r="AI1077">
            <v>0</v>
          </cell>
          <cell r="AJ1077">
            <v>0</v>
          </cell>
          <cell r="AK1077">
            <v>321504</v>
          </cell>
          <cell r="AL1077">
            <v>703290</v>
          </cell>
          <cell r="AM1077">
            <v>60282</v>
          </cell>
          <cell r="AN1077">
            <v>120564</v>
          </cell>
          <cell r="AO1077">
            <v>0</v>
          </cell>
          <cell r="AP1077">
            <v>0</v>
          </cell>
        </row>
        <row r="1078">
          <cell r="D1078" t="str">
            <v>Sản xuất và cung cấp 03 tổ hợp máy bay không người lái UAV 1.6</v>
          </cell>
          <cell r="G1078" t="str">
            <v>SXKD</v>
          </cell>
          <cell r="I1078" t="str">
            <v>DVSBH</v>
          </cell>
          <cell r="AC1078">
            <v>930000</v>
          </cell>
          <cell r="AD1078">
            <v>34371876</v>
          </cell>
          <cell r="AE1078">
            <v>8272612</v>
          </cell>
          <cell r="AF1078">
            <v>7490930</v>
          </cell>
          <cell r="AG1078">
            <v>0</v>
          </cell>
          <cell r="AH1078">
            <v>0</v>
          </cell>
          <cell r="AI1078">
            <v>0</v>
          </cell>
          <cell r="AJ1078">
            <v>0</v>
          </cell>
          <cell r="AK1078">
            <v>781682</v>
          </cell>
          <cell r="AL1078">
            <v>1709930</v>
          </cell>
          <cell r="AM1078">
            <v>0</v>
          </cell>
          <cell r="AN1078">
            <v>0</v>
          </cell>
          <cell r="AO1078">
            <v>0</v>
          </cell>
          <cell r="AP1078">
            <v>0</v>
          </cell>
        </row>
        <row r="1079">
          <cell r="D1079" t="str">
            <v>Diễn tập QC24-14SRS-11LRA</v>
          </cell>
          <cell r="G1079" t="str">
            <v>QPAN</v>
          </cell>
          <cell r="I1079" t="str">
            <v>DVSBH</v>
          </cell>
          <cell r="AC1079">
            <v>1281000</v>
          </cell>
          <cell r="AD1079">
            <v>17369655</v>
          </cell>
          <cell r="AE1079">
            <v>3092107</v>
          </cell>
          <cell r="AF1079">
            <v>2910959</v>
          </cell>
          <cell r="AG1079">
            <v>0</v>
          </cell>
          <cell r="AH1079">
            <v>0</v>
          </cell>
          <cell r="AI1079">
            <v>0</v>
          </cell>
          <cell r="AJ1079">
            <v>0</v>
          </cell>
          <cell r="AK1079">
            <v>138018</v>
          </cell>
          <cell r="AL1079">
            <v>301914</v>
          </cell>
          <cell r="AM1079">
            <v>25878</v>
          </cell>
          <cell r="AN1079">
            <v>51756</v>
          </cell>
          <cell r="AO1079">
            <v>17252</v>
          </cell>
          <cell r="AP1079">
            <v>17252</v>
          </cell>
        </row>
        <row r="1080">
          <cell r="D1080" t="str">
            <v>Diễn tập QC24-14SRS-11LRA</v>
          </cell>
          <cell r="G1080" t="str">
            <v>QPAN</v>
          </cell>
          <cell r="I1080" t="str">
            <v>DVSBH</v>
          </cell>
          <cell r="AC1080">
            <v>930000</v>
          </cell>
          <cell r="AD1080">
            <v>23617970</v>
          </cell>
          <cell r="AE1080">
            <v>9428124</v>
          </cell>
          <cell r="AF1080">
            <v>8844475</v>
          </cell>
          <cell r="AG1080">
            <v>0</v>
          </cell>
          <cell r="AH1080">
            <v>0</v>
          </cell>
          <cell r="AI1080">
            <v>0</v>
          </cell>
          <cell r="AJ1080">
            <v>0</v>
          </cell>
          <cell r="AK1080">
            <v>583649</v>
          </cell>
          <cell r="AL1080">
            <v>1276732</v>
          </cell>
          <cell r="AM1080">
            <v>0</v>
          </cell>
          <cell r="AN1080">
            <v>0</v>
          </cell>
          <cell r="AO1080">
            <v>0</v>
          </cell>
          <cell r="AP1080">
            <v>0</v>
          </cell>
        </row>
        <row r="1081">
          <cell r="D1081" t="str">
            <v>Diễn tập QC24-14SRS-11LRA</v>
          </cell>
          <cell r="G1081" t="str">
            <v>QPAN</v>
          </cell>
          <cell r="I1081" t="str">
            <v>DVSBH</v>
          </cell>
          <cell r="AC1081">
            <v>930000</v>
          </cell>
          <cell r="AD1081">
            <v>28518964</v>
          </cell>
          <cell r="AE1081">
            <v>3302093</v>
          </cell>
          <cell r="AF1081">
            <v>3169629</v>
          </cell>
          <cell r="AG1081">
            <v>0</v>
          </cell>
          <cell r="AH1081">
            <v>0</v>
          </cell>
          <cell r="AI1081">
            <v>0</v>
          </cell>
          <cell r="AJ1081">
            <v>0</v>
          </cell>
          <cell r="AK1081">
            <v>100925</v>
          </cell>
          <cell r="AL1081">
            <v>220774</v>
          </cell>
          <cell r="AM1081">
            <v>18923</v>
          </cell>
          <cell r="AN1081">
            <v>37847</v>
          </cell>
          <cell r="AO1081">
            <v>12616</v>
          </cell>
          <cell r="AP1081">
            <v>12616</v>
          </cell>
        </row>
        <row r="1082">
          <cell r="D1082" t="str">
            <v>Diễn tập QC24-14SRS-11LRA</v>
          </cell>
          <cell r="G1082" t="str">
            <v>QPAN</v>
          </cell>
          <cell r="I1082" t="str">
            <v>DVSBH</v>
          </cell>
          <cell r="AC1082">
            <v>1030000</v>
          </cell>
          <cell r="AD1082">
            <v>30728406</v>
          </cell>
          <cell r="AE1082">
            <v>3577237</v>
          </cell>
          <cell r="AF1082">
            <v>3444773</v>
          </cell>
          <cell r="AG1082">
            <v>0</v>
          </cell>
          <cell r="AH1082">
            <v>0</v>
          </cell>
          <cell r="AI1082">
            <v>0</v>
          </cell>
          <cell r="AJ1082">
            <v>0</v>
          </cell>
          <cell r="AK1082">
            <v>100925</v>
          </cell>
          <cell r="AL1082">
            <v>220774</v>
          </cell>
          <cell r="AM1082">
            <v>18923</v>
          </cell>
          <cell r="AN1082">
            <v>37847</v>
          </cell>
          <cell r="AO1082">
            <v>12616</v>
          </cell>
          <cell r="AP1082">
            <v>12616</v>
          </cell>
        </row>
        <row r="1083">
          <cell r="D1083" t="str">
            <v>Diễn tập QC24-14SRS-11LRA</v>
          </cell>
          <cell r="G1083" t="str">
            <v>QPAN</v>
          </cell>
          <cell r="I1083" t="str">
            <v>DVSBH</v>
          </cell>
          <cell r="AC1083">
            <v>1030000</v>
          </cell>
          <cell r="AD1083">
            <v>33878771</v>
          </cell>
          <cell r="AE1083">
            <v>3972951</v>
          </cell>
          <cell r="AF1083">
            <v>3833693</v>
          </cell>
          <cell r="AG1083">
            <v>0</v>
          </cell>
          <cell r="AH1083">
            <v>0</v>
          </cell>
          <cell r="AI1083">
            <v>0</v>
          </cell>
          <cell r="AJ1083">
            <v>0</v>
          </cell>
          <cell r="AK1083">
            <v>106101</v>
          </cell>
          <cell r="AL1083">
            <v>232096</v>
          </cell>
          <cell r="AM1083">
            <v>19894</v>
          </cell>
          <cell r="AN1083">
            <v>39788</v>
          </cell>
          <cell r="AO1083">
            <v>13263</v>
          </cell>
          <cell r="AP1083">
            <v>13263</v>
          </cell>
        </row>
        <row r="1084">
          <cell r="D1084" t="str">
            <v>Nghiên cứu, xây dựng nền tảng cho UAV hạng nhẹ</v>
          </cell>
          <cell r="G1084" t="str">
            <v>KHCN</v>
          </cell>
          <cell r="I1084" t="str">
            <v>KCB</v>
          </cell>
          <cell r="AC1084">
            <v>1230000</v>
          </cell>
          <cell r="AD1084">
            <v>78365831</v>
          </cell>
          <cell r="AE1084">
            <v>28922650</v>
          </cell>
          <cell r="AF1084">
            <v>28405343</v>
          </cell>
          <cell r="AG1084">
            <v>0</v>
          </cell>
          <cell r="AH1084">
            <v>0</v>
          </cell>
          <cell r="AI1084">
            <v>0</v>
          </cell>
          <cell r="AJ1084">
            <v>0</v>
          </cell>
          <cell r="AK1084">
            <v>517307</v>
          </cell>
          <cell r="AL1084">
            <v>1131609</v>
          </cell>
          <cell r="AM1084">
            <v>0</v>
          </cell>
          <cell r="AN1084">
            <v>0</v>
          </cell>
          <cell r="AO1084">
            <v>0</v>
          </cell>
          <cell r="AP1084">
            <v>0</v>
          </cell>
        </row>
        <row r="1085">
          <cell r="D1085" t="str">
            <v>Nghiên cứu, xây dựng nền tảng cho UAV hạng nhẹ</v>
          </cell>
          <cell r="G1085" t="str">
            <v>KHCN</v>
          </cell>
          <cell r="I1085" t="str">
            <v>KCB</v>
          </cell>
          <cell r="AC1085">
            <v>1230000</v>
          </cell>
          <cell r="AD1085">
            <v>62833525</v>
          </cell>
          <cell r="AE1085">
            <v>22960905</v>
          </cell>
          <cell r="AF1085">
            <v>22449388</v>
          </cell>
          <cell r="AG1085">
            <v>0</v>
          </cell>
          <cell r="AH1085">
            <v>0</v>
          </cell>
          <cell r="AI1085">
            <v>0</v>
          </cell>
          <cell r="AJ1085">
            <v>0</v>
          </cell>
          <cell r="AK1085">
            <v>389727</v>
          </cell>
          <cell r="AL1085">
            <v>852527</v>
          </cell>
          <cell r="AM1085">
            <v>73074</v>
          </cell>
          <cell r="AN1085">
            <v>146147</v>
          </cell>
          <cell r="AO1085">
            <v>48716</v>
          </cell>
          <cell r="AP1085">
            <v>48716</v>
          </cell>
        </row>
        <row r="1086">
          <cell r="D1086" t="str">
            <v>Nghiên cứu, xây dựng nền tảng cho UAV hạng nhẹ</v>
          </cell>
          <cell r="G1086" t="str">
            <v>KHCN</v>
          </cell>
          <cell r="I1086" t="str">
            <v>KCB</v>
          </cell>
          <cell r="AC1086">
            <v>1230000</v>
          </cell>
          <cell r="AD1086">
            <v>71560474</v>
          </cell>
          <cell r="AE1086">
            <v>58481122</v>
          </cell>
          <cell r="AF1086">
            <v>57285546</v>
          </cell>
          <cell r="AG1086">
            <v>0</v>
          </cell>
          <cell r="AH1086">
            <v>0</v>
          </cell>
          <cell r="AI1086">
            <v>0</v>
          </cell>
          <cell r="AJ1086">
            <v>0</v>
          </cell>
          <cell r="AK1086">
            <v>910915</v>
          </cell>
          <cell r="AL1086">
            <v>1992626</v>
          </cell>
          <cell r="AM1086">
            <v>170797</v>
          </cell>
          <cell r="AN1086">
            <v>341593</v>
          </cell>
          <cell r="AO1086">
            <v>113864</v>
          </cell>
          <cell r="AP1086">
            <v>113864</v>
          </cell>
        </row>
        <row r="1087">
          <cell r="D1087" t="str">
            <v>Nghiên cứu, xây dựng nền tảng cho UAV hạng nhẹ</v>
          </cell>
          <cell r="G1087" t="str">
            <v>KHCN</v>
          </cell>
          <cell r="I1087" t="str">
            <v>KCB</v>
          </cell>
          <cell r="AC1087">
            <v>1147000</v>
          </cell>
          <cell r="AD1087">
            <v>36317566</v>
          </cell>
          <cell r="AE1087">
            <v>18528440</v>
          </cell>
          <cell r="AF1087">
            <v>17924992</v>
          </cell>
          <cell r="AG1087">
            <v>0</v>
          </cell>
          <cell r="AH1087">
            <v>0</v>
          </cell>
          <cell r="AI1087">
            <v>0</v>
          </cell>
          <cell r="AJ1087">
            <v>0</v>
          </cell>
          <cell r="AK1087">
            <v>459770</v>
          </cell>
          <cell r="AL1087">
            <v>1005748</v>
          </cell>
          <cell r="AM1087">
            <v>86207</v>
          </cell>
          <cell r="AN1087">
            <v>172414</v>
          </cell>
          <cell r="AO1087">
            <v>57471</v>
          </cell>
          <cell r="AP1087">
            <v>57471</v>
          </cell>
        </row>
        <row r="1088">
          <cell r="D1088" t="str">
            <v>Nghiên cứu, xây dựng nền tảng cho UAV hạng nhẹ</v>
          </cell>
          <cell r="G1088" t="str">
            <v>KHCN</v>
          </cell>
          <cell r="I1088" t="str">
            <v>KCB</v>
          </cell>
          <cell r="AC1088">
            <v>1130000</v>
          </cell>
          <cell r="AD1088">
            <v>67189952</v>
          </cell>
          <cell r="AE1088">
            <v>24340959</v>
          </cell>
          <cell r="AF1088">
            <v>23722051</v>
          </cell>
          <cell r="AG1088">
            <v>0</v>
          </cell>
          <cell r="AH1088">
            <v>0</v>
          </cell>
          <cell r="AI1088">
            <v>0</v>
          </cell>
          <cell r="AJ1088">
            <v>0</v>
          </cell>
          <cell r="AK1088">
            <v>618908</v>
          </cell>
          <cell r="AL1088">
            <v>1353861</v>
          </cell>
          <cell r="AM1088">
            <v>0</v>
          </cell>
          <cell r="AN1088">
            <v>0</v>
          </cell>
          <cell r="AO1088">
            <v>0</v>
          </cell>
          <cell r="AP1088">
            <v>0</v>
          </cell>
        </row>
        <row r="1089">
          <cell r="D1089" t="str">
            <v>Nghiên cứu, xây dựng nền tảng cho UAV hạng nhẹ</v>
          </cell>
          <cell r="G1089" t="str">
            <v>KHCN</v>
          </cell>
          <cell r="I1089" t="str">
            <v>KCB</v>
          </cell>
          <cell r="AC1089">
            <v>1030000</v>
          </cell>
          <cell r="AD1089">
            <v>42278340</v>
          </cell>
          <cell r="AE1089">
            <v>16362802</v>
          </cell>
          <cell r="AF1089">
            <v>15718183</v>
          </cell>
          <cell r="AG1089">
            <v>0</v>
          </cell>
          <cell r="AH1089">
            <v>0</v>
          </cell>
          <cell r="AI1089">
            <v>0</v>
          </cell>
          <cell r="AJ1089">
            <v>0</v>
          </cell>
          <cell r="AK1089">
            <v>644619</v>
          </cell>
          <cell r="AL1089">
            <v>1410104</v>
          </cell>
          <cell r="AM1089">
            <v>0</v>
          </cell>
          <cell r="AN1089">
            <v>0</v>
          </cell>
          <cell r="AO1089">
            <v>0</v>
          </cell>
          <cell r="AP1089">
            <v>0</v>
          </cell>
        </row>
        <row r="1090">
          <cell r="D1090" t="str">
            <v>Nghiên cứu, xây dựng nền tảng cho UAV hạng nhẹ</v>
          </cell>
          <cell r="G1090" t="str">
            <v>KHCN</v>
          </cell>
          <cell r="I1090" t="str">
            <v>KCB</v>
          </cell>
          <cell r="AC1090">
            <v>1030000</v>
          </cell>
          <cell r="AD1090">
            <v>52948602</v>
          </cell>
          <cell r="AE1090">
            <v>42845817</v>
          </cell>
          <cell r="AF1090">
            <v>41817803</v>
          </cell>
          <cell r="AG1090">
            <v>0</v>
          </cell>
          <cell r="AH1090">
            <v>0</v>
          </cell>
          <cell r="AI1090">
            <v>0</v>
          </cell>
          <cell r="AJ1090">
            <v>0</v>
          </cell>
          <cell r="AK1090">
            <v>783249</v>
          </cell>
          <cell r="AL1090">
            <v>1713357</v>
          </cell>
          <cell r="AM1090">
            <v>146859</v>
          </cell>
          <cell r="AN1090">
            <v>293718</v>
          </cell>
          <cell r="AO1090">
            <v>97906</v>
          </cell>
          <cell r="AP1090">
            <v>97906</v>
          </cell>
        </row>
        <row r="1091">
          <cell r="D1091" t="str">
            <v>Nghiên cứu, xây dựng nền tảng cho UAV hạng nhẹ</v>
          </cell>
          <cell r="G1091" t="str">
            <v>KHCN</v>
          </cell>
          <cell r="I1091" t="str">
            <v>KCB</v>
          </cell>
          <cell r="AC1091">
            <v>1030000</v>
          </cell>
          <cell r="AD1091">
            <v>40519651</v>
          </cell>
          <cell r="AE1091">
            <v>8065255</v>
          </cell>
          <cell r="AF1091">
            <v>7833159</v>
          </cell>
          <cell r="AG1091">
            <v>0</v>
          </cell>
          <cell r="AH1091">
            <v>0</v>
          </cell>
          <cell r="AI1091">
            <v>0</v>
          </cell>
          <cell r="AJ1091">
            <v>0</v>
          </cell>
          <cell r="AK1091">
            <v>176835</v>
          </cell>
          <cell r="AL1091">
            <v>386826</v>
          </cell>
          <cell r="AM1091">
            <v>33157</v>
          </cell>
          <cell r="AN1091">
            <v>66313</v>
          </cell>
          <cell r="AO1091">
            <v>22104</v>
          </cell>
          <cell r="AP1091">
            <v>22104</v>
          </cell>
        </row>
        <row r="1092">
          <cell r="D1092" t="str">
            <v>Nghiên cứu, xây dựng nền tảng cho UAV hạng nhẹ</v>
          </cell>
          <cell r="G1092" t="str">
            <v>KHCN</v>
          </cell>
          <cell r="I1092" t="str">
            <v>KCB</v>
          </cell>
          <cell r="AC1092">
            <v>1030000</v>
          </cell>
          <cell r="AD1092">
            <v>44377172</v>
          </cell>
          <cell r="AE1092">
            <v>8875973</v>
          </cell>
          <cell r="AF1092">
            <v>8631424</v>
          </cell>
          <cell r="AG1092">
            <v>0</v>
          </cell>
          <cell r="AH1092">
            <v>0</v>
          </cell>
          <cell r="AI1092">
            <v>0</v>
          </cell>
          <cell r="AJ1092">
            <v>0</v>
          </cell>
          <cell r="AK1092">
            <v>186323</v>
          </cell>
          <cell r="AL1092">
            <v>407583</v>
          </cell>
          <cell r="AM1092">
            <v>34936</v>
          </cell>
          <cell r="AN1092">
            <v>69871</v>
          </cell>
          <cell r="AO1092">
            <v>23290</v>
          </cell>
          <cell r="AP1092">
            <v>23290</v>
          </cell>
        </row>
        <row r="1093">
          <cell r="D1093" t="str">
            <v>Nghiên cứu, xây dựng nền tảng cho UAV hạng nhẹ</v>
          </cell>
          <cell r="G1093" t="str">
            <v>KHCN</v>
          </cell>
          <cell r="I1093" t="str">
            <v>KCB</v>
          </cell>
          <cell r="AC1093">
            <v>1030000</v>
          </cell>
          <cell r="AD1093">
            <v>45216256</v>
          </cell>
          <cell r="AE1093">
            <v>9058383</v>
          </cell>
          <cell r="AF1093">
            <v>8813834</v>
          </cell>
          <cell r="AG1093">
            <v>0</v>
          </cell>
          <cell r="AH1093">
            <v>0</v>
          </cell>
          <cell r="AI1093">
            <v>0</v>
          </cell>
          <cell r="AJ1093">
            <v>0</v>
          </cell>
          <cell r="AK1093">
            <v>186323</v>
          </cell>
          <cell r="AL1093">
            <v>407583</v>
          </cell>
          <cell r="AM1093">
            <v>34936</v>
          </cell>
          <cell r="AN1093">
            <v>69871</v>
          </cell>
          <cell r="AO1093">
            <v>23290</v>
          </cell>
          <cell r="AP1093">
            <v>23290</v>
          </cell>
        </row>
        <row r="1094">
          <cell r="D1094" t="str">
            <v>Nghiên cứu, xây dựng nền tảng cho UAV hạng nhẹ</v>
          </cell>
          <cell r="G1094" t="str">
            <v>KHCN</v>
          </cell>
          <cell r="I1094" t="str">
            <v>KCB</v>
          </cell>
          <cell r="AC1094">
            <v>1398000</v>
          </cell>
          <cell r="AD1094">
            <v>19497409</v>
          </cell>
          <cell r="AE1094">
            <v>3531762</v>
          </cell>
          <cell r="AF1094">
            <v>3351746</v>
          </cell>
          <cell r="AG1094">
            <v>0</v>
          </cell>
          <cell r="AH1094">
            <v>0</v>
          </cell>
          <cell r="AI1094">
            <v>0</v>
          </cell>
          <cell r="AJ1094">
            <v>0</v>
          </cell>
          <cell r="AK1094">
            <v>137155</v>
          </cell>
          <cell r="AL1094">
            <v>300026</v>
          </cell>
          <cell r="AM1094">
            <v>25717</v>
          </cell>
          <cell r="AN1094">
            <v>51433</v>
          </cell>
          <cell r="AO1094">
            <v>17144</v>
          </cell>
          <cell r="AP1094">
            <v>17144</v>
          </cell>
        </row>
        <row r="1095">
          <cell r="D1095" t="str">
            <v>Nghiên cứu, xây dựng nền tảng cho UAV hạng nhẹ</v>
          </cell>
          <cell r="G1095" t="str">
            <v>KHCN</v>
          </cell>
          <cell r="I1095" t="str">
            <v>KCB</v>
          </cell>
          <cell r="AC1095">
            <v>930000</v>
          </cell>
          <cell r="AD1095">
            <v>24309612</v>
          </cell>
          <cell r="AE1095">
            <v>4659361</v>
          </cell>
          <cell r="AF1095">
            <v>4470288</v>
          </cell>
          <cell r="AG1095">
            <v>0</v>
          </cell>
          <cell r="AH1095">
            <v>0</v>
          </cell>
          <cell r="AI1095">
            <v>0</v>
          </cell>
          <cell r="AJ1095">
            <v>0</v>
          </cell>
          <cell r="AK1095">
            <v>144056</v>
          </cell>
          <cell r="AL1095">
            <v>315122</v>
          </cell>
          <cell r="AM1095">
            <v>27010</v>
          </cell>
          <cell r="AN1095">
            <v>54021</v>
          </cell>
          <cell r="AO1095">
            <v>18007</v>
          </cell>
          <cell r="AP1095">
            <v>18007</v>
          </cell>
        </row>
        <row r="1096">
          <cell r="D1096" t="str">
            <v>Nghiên cứu, xây dựng nền tảng cho UAV hạng nhẹ</v>
          </cell>
          <cell r="G1096" t="str">
            <v>KHCN</v>
          </cell>
          <cell r="I1096" t="str">
            <v>KCB</v>
          </cell>
          <cell r="AC1096">
            <v>930000</v>
          </cell>
          <cell r="AD1096">
            <v>19741776</v>
          </cell>
          <cell r="AE1096">
            <v>5189654</v>
          </cell>
          <cell r="AF1096">
            <v>4950313</v>
          </cell>
          <cell r="AG1096">
            <v>0</v>
          </cell>
          <cell r="AH1096">
            <v>0</v>
          </cell>
          <cell r="AI1096">
            <v>0</v>
          </cell>
          <cell r="AJ1096">
            <v>0</v>
          </cell>
          <cell r="AK1096">
            <v>182355</v>
          </cell>
          <cell r="AL1096">
            <v>398903</v>
          </cell>
          <cell r="AM1096">
            <v>34192</v>
          </cell>
          <cell r="AN1096">
            <v>68383</v>
          </cell>
          <cell r="AO1096">
            <v>22794</v>
          </cell>
          <cell r="AP1096">
            <v>22794</v>
          </cell>
        </row>
        <row r="1097">
          <cell r="D1097" t="str">
            <v>Nghiên cứu, xây dựng nền tảng cho UAV hạng nhẹ</v>
          </cell>
          <cell r="G1097" t="str">
            <v>KHCN</v>
          </cell>
          <cell r="I1097" t="str">
            <v>KCB</v>
          </cell>
          <cell r="AC1097">
            <v>1030000</v>
          </cell>
          <cell r="AD1097">
            <v>25186896</v>
          </cell>
          <cell r="AE1097">
            <v>9611061</v>
          </cell>
          <cell r="AF1097">
            <v>9212536</v>
          </cell>
          <cell r="AG1097">
            <v>0</v>
          </cell>
          <cell r="AH1097">
            <v>0</v>
          </cell>
          <cell r="AI1097">
            <v>0</v>
          </cell>
          <cell r="AJ1097">
            <v>0</v>
          </cell>
          <cell r="AK1097">
            <v>303638</v>
          </cell>
          <cell r="AL1097">
            <v>664209</v>
          </cell>
          <cell r="AM1097">
            <v>56932</v>
          </cell>
          <cell r="AN1097">
            <v>113864</v>
          </cell>
          <cell r="AO1097">
            <v>37955</v>
          </cell>
          <cell r="AP1097">
            <v>37955</v>
          </cell>
        </row>
        <row r="1098">
          <cell r="D1098" t="str">
            <v>Nghiên cứu, xây dựng nền tảng cho UAV hạng nhẹ</v>
          </cell>
          <cell r="G1098" t="str">
            <v>KHCN</v>
          </cell>
          <cell r="I1098" t="str">
            <v>KCB</v>
          </cell>
          <cell r="AC1098">
            <v>930000</v>
          </cell>
          <cell r="AD1098">
            <v>17994124</v>
          </cell>
          <cell r="AE1098">
            <v>1322680</v>
          </cell>
          <cell r="AF1098">
            <v>1250673</v>
          </cell>
          <cell r="AG1098">
            <v>0</v>
          </cell>
          <cell r="AH1098">
            <v>0</v>
          </cell>
          <cell r="AI1098">
            <v>0</v>
          </cell>
          <cell r="AJ1098">
            <v>0</v>
          </cell>
          <cell r="AK1098">
            <v>54862</v>
          </cell>
          <cell r="AL1098">
            <v>120010</v>
          </cell>
          <cell r="AM1098">
            <v>10287</v>
          </cell>
          <cell r="AN1098">
            <v>20573</v>
          </cell>
          <cell r="AO1098">
            <v>6858</v>
          </cell>
          <cell r="AP1098">
            <v>6858</v>
          </cell>
        </row>
        <row r="1099">
          <cell r="D1099" t="str">
            <v>Nghiên cứu, xây dựng nền tảng cho UAV hạng nhẹ</v>
          </cell>
          <cell r="G1099" t="str">
            <v>KHCN</v>
          </cell>
          <cell r="I1099" t="str">
            <v>KCB</v>
          </cell>
          <cell r="AC1099">
            <v>930000</v>
          </cell>
          <cell r="AD1099">
            <v>20480024</v>
          </cell>
          <cell r="AE1099">
            <v>4616536</v>
          </cell>
          <cell r="AF1099">
            <v>4400517</v>
          </cell>
          <cell r="AG1099">
            <v>0</v>
          </cell>
          <cell r="AH1099">
            <v>0</v>
          </cell>
          <cell r="AI1099">
            <v>0</v>
          </cell>
          <cell r="AJ1099">
            <v>0</v>
          </cell>
          <cell r="AK1099">
            <v>164586</v>
          </cell>
          <cell r="AL1099">
            <v>360031</v>
          </cell>
          <cell r="AM1099">
            <v>30860</v>
          </cell>
          <cell r="AN1099">
            <v>61720</v>
          </cell>
          <cell r="AO1099">
            <v>20573</v>
          </cell>
          <cell r="AP1099">
            <v>20573</v>
          </cell>
        </row>
        <row r="1100">
          <cell r="D1100" t="str">
            <v>Nghiên cứu, xây dựng nền tảng cho UAV hạng nhẹ</v>
          </cell>
          <cell r="G1100" t="str">
            <v>KHCN</v>
          </cell>
          <cell r="I1100" t="str">
            <v>KCB</v>
          </cell>
          <cell r="AC1100">
            <v>1030000</v>
          </cell>
          <cell r="AD1100">
            <v>41674328</v>
          </cell>
          <cell r="AE1100">
            <v>8288398</v>
          </cell>
          <cell r="AF1100">
            <v>8043849</v>
          </cell>
          <cell r="AG1100">
            <v>0</v>
          </cell>
          <cell r="AH1100">
            <v>0</v>
          </cell>
          <cell r="AI1100">
            <v>0</v>
          </cell>
          <cell r="AJ1100">
            <v>0</v>
          </cell>
          <cell r="AK1100">
            <v>186323</v>
          </cell>
          <cell r="AL1100">
            <v>407583</v>
          </cell>
          <cell r="AM1100">
            <v>34936</v>
          </cell>
          <cell r="AN1100">
            <v>69871</v>
          </cell>
          <cell r="AO1100">
            <v>23290</v>
          </cell>
          <cell r="AP1100">
            <v>23290</v>
          </cell>
        </row>
        <row r="1101">
          <cell r="D1101" t="str">
            <v>Nghiên cứu, xây dựng nền tảng cho UAV hạng nhẹ</v>
          </cell>
          <cell r="G1101" t="str">
            <v>KHCN</v>
          </cell>
          <cell r="I1101" t="str">
            <v>KCB</v>
          </cell>
          <cell r="AC1101">
            <v>930000</v>
          </cell>
          <cell r="AD1101">
            <v>17741776</v>
          </cell>
          <cell r="AE1101">
            <v>3272113</v>
          </cell>
          <cell r="AF1101">
            <v>3101154</v>
          </cell>
          <cell r="AG1101">
            <v>0</v>
          </cell>
          <cell r="AH1101">
            <v>0</v>
          </cell>
          <cell r="AI1101">
            <v>0</v>
          </cell>
          <cell r="AJ1101">
            <v>0</v>
          </cell>
          <cell r="AK1101">
            <v>130254</v>
          </cell>
          <cell r="AL1101">
            <v>284930</v>
          </cell>
          <cell r="AM1101">
            <v>24423</v>
          </cell>
          <cell r="AN1101">
            <v>48845</v>
          </cell>
          <cell r="AO1101">
            <v>16282</v>
          </cell>
          <cell r="AP1101">
            <v>16282</v>
          </cell>
        </row>
        <row r="1102">
          <cell r="D1102" t="str">
            <v>Nghiên cứu, xây dựng nền tảng cho UAV hạng nhẹ</v>
          </cell>
          <cell r="G1102" t="str">
            <v>KHCN</v>
          </cell>
          <cell r="I1102" t="str">
            <v>KCB</v>
          </cell>
          <cell r="AC1102">
            <v>930000</v>
          </cell>
          <cell r="AD1102">
            <v>20316624</v>
          </cell>
          <cell r="AE1102">
            <v>4573910</v>
          </cell>
          <cell r="AF1102">
            <v>4357891</v>
          </cell>
          <cell r="AG1102">
            <v>0</v>
          </cell>
          <cell r="AH1102">
            <v>0</v>
          </cell>
          <cell r="AI1102">
            <v>0</v>
          </cell>
          <cell r="AJ1102">
            <v>0</v>
          </cell>
          <cell r="AK1102">
            <v>164586</v>
          </cell>
          <cell r="AL1102">
            <v>360031</v>
          </cell>
          <cell r="AM1102">
            <v>30860</v>
          </cell>
          <cell r="AN1102">
            <v>61720</v>
          </cell>
          <cell r="AO1102">
            <v>20573</v>
          </cell>
          <cell r="AP1102">
            <v>20573</v>
          </cell>
        </row>
        <row r="1103">
          <cell r="D1103" t="str">
            <v>Nghiên cứu, xây dựng nền tảng cho UAV hạng nhẹ</v>
          </cell>
          <cell r="G1103" t="str">
            <v>KHCN</v>
          </cell>
          <cell r="I1103" t="str">
            <v>KCB</v>
          </cell>
          <cell r="AC1103">
            <v>930000</v>
          </cell>
          <cell r="AD1103">
            <v>16385556</v>
          </cell>
          <cell r="AE1103">
            <v>2977283</v>
          </cell>
          <cell r="AF1103">
            <v>2806324</v>
          </cell>
          <cell r="AG1103">
            <v>0</v>
          </cell>
          <cell r="AH1103">
            <v>0</v>
          </cell>
          <cell r="AI1103">
            <v>0</v>
          </cell>
          <cell r="AJ1103">
            <v>0</v>
          </cell>
          <cell r="AK1103">
            <v>130254</v>
          </cell>
          <cell r="AL1103">
            <v>284930</v>
          </cell>
          <cell r="AM1103">
            <v>24423</v>
          </cell>
          <cell r="AN1103">
            <v>48845</v>
          </cell>
          <cell r="AO1103">
            <v>16282</v>
          </cell>
          <cell r="AP1103">
            <v>16282</v>
          </cell>
        </row>
        <row r="1104">
          <cell r="D1104" t="str">
            <v>Nghiên cứu, xây dựng nền tảng cho UAV hạng nhẹ</v>
          </cell>
          <cell r="G1104" t="str">
            <v>KHCN</v>
          </cell>
          <cell r="I1104" t="str">
            <v>KCB</v>
          </cell>
          <cell r="AC1104">
            <v>1030000</v>
          </cell>
          <cell r="AD1104">
            <v>31482040</v>
          </cell>
          <cell r="AE1104">
            <v>7381482</v>
          </cell>
          <cell r="AF1104">
            <v>7130140</v>
          </cell>
          <cell r="AG1104">
            <v>0</v>
          </cell>
          <cell r="AH1104">
            <v>0</v>
          </cell>
          <cell r="AI1104">
            <v>0</v>
          </cell>
          <cell r="AJ1104">
            <v>0</v>
          </cell>
          <cell r="AK1104">
            <v>191499</v>
          </cell>
          <cell r="AL1104">
            <v>418904</v>
          </cell>
          <cell r="AM1104">
            <v>35906</v>
          </cell>
          <cell r="AN1104">
            <v>71812</v>
          </cell>
          <cell r="AO1104">
            <v>23937</v>
          </cell>
          <cell r="AP1104">
            <v>23937</v>
          </cell>
        </row>
        <row r="1105">
          <cell r="D1105" t="str">
            <v>Nghiên cứu, xây dựng nền tảng cho UAV hạng nhẹ</v>
          </cell>
          <cell r="G1105" t="str">
            <v>KHCN</v>
          </cell>
          <cell r="I1105" t="str">
            <v>KCB</v>
          </cell>
          <cell r="AC1105">
            <v>930000</v>
          </cell>
          <cell r="AD1105">
            <v>15796808</v>
          </cell>
          <cell r="AE1105">
            <v>2869565</v>
          </cell>
          <cell r="AF1105">
            <v>2707664</v>
          </cell>
          <cell r="AG1105">
            <v>0</v>
          </cell>
          <cell r="AH1105">
            <v>0</v>
          </cell>
          <cell r="AI1105">
            <v>0</v>
          </cell>
          <cell r="AJ1105">
            <v>0</v>
          </cell>
          <cell r="AK1105">
            <v>123353</v>
          </cell>
          <cell r="AL1105">
            <v>269835</v>
          </cell>
          <cell r="AM1105">
            <v>23129</v>
          </cell>
          <cell r="AN1105">
            <v>46257</v>
          </cell>
          <cell r="AO1105">
            <v>15419</v>
          </cell>
          <cell r="AP1105">
            <v>15419</v>
          </cell>
        </row>
        <row r="1106">
          <cell r="D1106" t="str">
            <v>Nghiên cứu, xây dựng nền tảng cho UAV hạng nhẹ</v>
          </cell>
          <cell r="G1106" t="str">
            <v>KHCN</v>
          </cell>
          <cell r="I1106" t="str">
            <v>KCB</v>
          </cell>
          <cell r="AC1106">
            <v>930000</v>
          </cell>
          <cell r="AD1106">
            <v>15796808</v>
          </cell>
          <cell r="AE1106">
            <v>3443478</v>
          </cell>
          <cell r="AF1106">
            <v>3249197</v>
          </cell>
          <cell r="AG1106">
            <v>0</v>
          </cell>
          <cell r="AH1106">
            <v>0</v>
          </cell>
          <cell r="AI1106">
            <v>0</v>
          </cell>
          <cell r="AJ1106">
            <v>0</v>
          </cell>
          <cell r="AK1106">
            <v>148024</v>
          </cell>
          <cell r="AL1106">
            <v>323802</v>
          </cell>
          <cell r="AM1106">
            <v>27754</v>
          </cell>
          <cell r="AN1106">
            <v>55509</v>
          </cell>
          <cell r="AO1106">
            <v>18503</v>
          </cell>
          <cell r="AP1106">
            <v>18503</v>
          </cell>
        </row>
        <row r="1107">
          <cell r="D1107" t="str">
            <v>Nghiên cứu, xây dựng nền tảng cho UAV hạng nhẹ</v>
          </cell>
          <cell r="G1107" t="str">
            <v>KHCN</v>
          </cell>
          <cell r="I1107" t="str">
            <v>KCB</v>
          </cell>
          <cell r="AC1107">
            <v>930000</v>
          </cell>
          <cell r="AD1107">
            <v>14515216</v>
          </cell>
          <cell r="AE1107">
            <v>2608696</v>
          </cell>
          <cell r="AF1107">
            <v>2454720</v>
          </cell>
          <cell r="AG1107">
            <v>0</v>
          </cell>
          <cell r="AH1107">
            <v>0</v>
          </cell>
          <cell r="AI1107">
            <v>0</v>
          </cell>
          <cell r="AJ1107">
            <v>0</v>
          </cell>
          <cell r="AK1107">
            <v>117315</v>
          </cell>
          <cell r="AL1107">
            <v>256626</v>
          </cell>
          <cell r="AM1107">
            <v>21997</v>
          </cell>
          <cell r="AN1107">
            <v>43993</v>
          </cell>
          <cell r="AO1107">
            <v>14664</v>
          </cell>
          <cell r="AP1107">
            <v>14664</v>
          </cell>
        </row>
        <row r="1108">
          <cell r="D1108" t="str">
            <v>Nghiên cứu, xây dựng nền tảng cho UAV hạng nhẹ</v>
          </cell>
          <cell r="G1108" t="str">
            <v>KHCN</v>
          </cell>
          <cell r="I1108" t="str">
            <v>KCB</v>
          </cell>
          <cell r="AC1108">
            <v>930000</v>
          </cell>
          <cell r="AD1108">
            <v>17707876</v>
          </cell>
          <cell r="AE1108">
            <v>7182436</v>
          </cell>
          <cell r="AF1108">
            <v>6806327</v>
          </cell>
          <cell r="AG1108">
            <v>0</v>
          </cell>
          <cell r="AH1108">
            <v>0</v>
          </cell>
          <cell r="AI1108">
            <v>0</v>
          </cell>
          <cell r="AJ1108">
            <v>0</v>
          </cell>
          <cell r="AK1108">
            <v>286559</v>
          </cell>
          <cell r="AL1108">
            <v>626847</v>
          </cell>
          <cell r="AM1108">
            <v>53730</v>
          </cell>
          <cell r="AN1108">
            <v>107459</v>
          </cell>
          <cell r="AO1108">
            <v>35820</v>
          </cell>
          <cell r="AP1108">
            <v>35820</v>
          </cell>
        </row>
        <row r="1109">
          <cell r="D1109" t="str">
            <v>Nghiên cứu, xây dựng nền tảng cho UAV hạng nhẹ</v>
          </cell>
          <cell r="G1109" t="str">
            <v>KHCN</v>
          </cell>
          <cell r="I1109" t="str">
            <v>KCB</v>
          </cell>
          <cell r="AC1109">
            <v>1030000</v>
          </cell>
          <cell r="AD1109">
            <v>51222213</v>
          </cell>
          <cell r="AE1109">
            <v>8226913</v>
          </cell>
          <cell r="AF1109">
            <v>8020895</v>
          </cell>
          <cell r="AG1109">
            <v>0</v>
          </cell>
          <cell r="AH1109">
            <v>0</v>
          </cell>
          <cell r="AI1109">
            <v>0</v>
          </cell>
          <cell r="AJ1109">
            <v>0</v>
          </cell>
          <cell r="AK1109">
            <v>206018</v>
          </cell>
          <cell r="AL1109">
            <v>450664</v>
          </cell>
          <cell r="AM1109">
            <v>0</v>
          </cell>
          <cell r="AN1109">
            <v>0</v>
          </cell>
          <cell r="AO1109">
            <v>0</v>
          </cell>
          <cell r="AP1109">
            <v>0</v>
          </cell>
        </row>
        <row r="1110">
          <cell r="D1110" t="str">
            <v>Nghiên cứu, xây dựng nền tảng cho UAV hạng nhẹ</v>
          </cell>
          <cell r="G1110" t="str">
            <v>KHCN</v>
          </cell>
          <cell r="I1110" t="str">
            <v>KCB</v>
          </cell>
          <cell r="AC1110">
            <v>1147000</v>
          </cell>
          <cell r="AD1110">
            <v>40513927</v>
          </cell>
          <cell r="AE1110">
            <v>9612843</v>
          </cell>
          <cell r="AF1110">
            <v>9319383</v>
          </cell>
          <cell r="AG1110">
            <v>0</v>
          </cell>
          <cell r="AH1110">
            <v>0</v>
          </cell>
          <cell r="AI1110">
            <v>0</v>
          </cell>
          <cell r="AJ1110">
            <v>0</v>
          </cell>
          <cell r="AK1110">
            <v>223588</v>
          </cell>
          <cell r="AL1110">
            <v>489099</v>
          </cell>
          <cell r="AM1110">
            <v>41923</v>
          </cell>
          <cell r="AN1110">
            <v>83846</v>
          </cell>
          <cell r="AO1110">
            <v>27949</v>
          </cell>
          <cell r="AP1110">
            <v>27949</v>
          </cell>
        </row>
        <row r="1111">
          <cell r="D1111" t="str">
            <v>Nghiên cứu, xây dựng nền tảng cho UAV hạng nhẹ</v>
          </cell>
          <cell r="G1111" t="str">
            <v>KHCN</v>
          </cell>
          <cell r="I1111" t="str">
            <v>KCB</v>
          </cell>
          <cell r="AC1111">
            <v>930000</v>
          </cell>
          <cell r="AD1111">
            <v>18154084</v>
          </cell>
          <cell r="AE1111">
            <v>3341474</v>
          </cell>
          <cell r="AF1111">
            <v>3161458</v>
          </cell>
          <cell r="AG1111">
            <v>0</v>
          </cell>
          <cell r="AH1111">
            <v>0</v>
          </cell>
          <cell r="AI1111">
            <v>0</v>
          </cell>
          <cell r="AJ1111">
            <v>0</v>
          </cell>
          <cell r="AK1111">
            <v>137155</v>
          </cell>
          <cell r="AL1111">
            <v>300026</v>
          </cell>
          <cell r="AM1111">
            <v>25717</v>
          </cell>
          <cell r="AN1111">
            <v>51433</v>
          </cell>
          <cell r="AO1111">
            <v>17144</v>
          </cell>
          <cell r="AP1111">
            <v>17144</v>
          </cell>
        </row>
        <row r="1112">
          <cell r="D1112" t="str">
            <v>Nghiên cứu, xây dựng nền tảng cho UAV hạng nhẹ</v>
          </cell>
          <cell r="G1112" t="str">
            <v>KHCN</v>
          </cell>
          <cell r="I1112" t="str">
            <v>KCB</v>
          </cell>
          <cell r="AC1112">
            <v>1030000</v>
          </cell>
          <cell r="AD1112">
            <v>54767650</v>
          </cell>
          <cell r="AE1112">
            <v>11263187</v>
          </cell>
          <cell r="AF1112">
            <v>11086314</v>
          </cell>
          <cell r="AG1112">
            <v>0</v>
          </cell>
          <cell r="AH1112">
            <v>0</v>
          </cell>
          <cell r="AI1112">
            <v>0</v>
          </cell>
          <cell r="AJ1112">
            <v>0</v>
          </cell>
          <cell r="AK1112">
            <v>148946</v>
          </cell>
          <cell r="AL1112">
            <v>325820</v>
          </cell>
          <cell r="AM1112">
            <v>27927</v>
          </cell>
          <cell r="AN1112">
            <v>55855</v>
          </cell>
          <cell r="AO1112">
            <v>0</v>
          </cell>
          <cell r="AP1112">
            <v>0</v>
          </cell>
        </row>
        <row r="1113">
          <cell r="D1113" t="str">
            <v>Nghiên cứu, xây dựng nền tảng cho UAV hạng nhẹ</v>
          </cell>
          <cell r="G1113" t="str">
            <v>KHCN</v>
          </cell>
          <cell r="I1113" t="str">
            <v>KCB</v>
          </cell>
          <cell r="AC1113">
            <v>930000</v>
          </cell>
          <cell r="AD1113">
            <v>26628000</v>
          </cell>
          <cell r="AE1113">
            <v>5117748</v>
          </cell>
          <cell r="AF1113">
            <v>4908295</v>
          </cell>
          <cell r="AG1113">
            <v>0</v>
          </cell>
          <cell r="AH1113">
            <v>0</v>
          </cell>
          <cell r="AI1113">
            <v>0</v>
          </cell>
          <cell r="AJ1113">
            <v>0</v>
          </cell>
          <cell r="AK1113">
            <v>159583</v>
          </cell>
          <cell r="AL1113">
            <v>349087</v>
          </cell>
          <cell r="AM1113">
            <v>29922</v>
          </cell>
          <cell r="AN1113">
            <v>59843</v>
          </cell>
          <cell r="AO1113">
            <v>19948</v>
          </cell>
          <cell r="AP1113">
            <v>19948</v>
          </cell>
        </row>
        <row r="1114">
          <cell r="D1114" t="str">
            <v>Nghiên cứu, xây dựng nền tảng cho UAV hạng nhẹ</v>
          </cell>
          <cell r="G1114" t="str">
            <v>KHCN</v>
          </cell>
          <cell r="I1114" t="str">
            <v>KCB</v>
          </cell>
          <cell r="AC1114">
            <v>930000</v>
          </cell>
          <cell r="AD1114">
            <v>17584396</v>
          </cell>
          <cell r="AE1114">
            <v>4533060</v>
          </cell>
          <cell r="AF1114">
            <v>4293719</v>
          </cell>
          <cell r="AG1114">
            <v>0</v>
          </cell>
          <cell r="AH1114">
            <v>0</v>
          </cell>
          <cell r="AI1114">
            <v>0</v>
          </cell>
          <cell r="AJ1114">
            <v>0</v>
          </cell>
          <cell r="AK1114">
            <v>182355</v>
          </cell>
          <cell r="AL1114">
            <v>398903</v>
          </cell>
          <cell r="AM1114">
            <v>34192</v>
          </cell>
          <cell r="AN1114">
            <v>68383</v>
          </cell>
          <cell r="AO1114">
            <v>22794</v>
          </cell>
          <cell r="AP1114">
            <v>22794</v>
          </cell>
        </row>
        <row r="1115">
          <cell r="D1115" t="str">
            <v>Nghiên cứu, xây dựng nền tảng cho UAV hạng nhẹ</v>
          </cell>
          <cell r="G1115" t="str">
            <v>KHCN</v>
          </cell>
          <cell r="I1115" t="str">
            <v>KCB</v>
          </cell>
          <cell r="AC1115">
            <v>930000</v>
          </cell>
          <cell r="AD1115">
            <v>31296608</v>
          </cell>
          <cell r="AE1115">
            <v>6132663</v>
          </cell>
          <cell r="AF1115">
            <v>5923210</v>
          </cell>
          <cell r="AG1115">
            <v>0</v>
          </cell>
          <cell r="AH1115">
            <v>0</v>
          </cell>
          <cell r="AI1115">
            <v>0</v>
          </cell>
          <cell r="AJ1115">
            <v>0</v>
          </cell>
          <cell r="AK1115">
            <v>159583</v>
          </cell>
          <cell r="AL1115">
            <v>349087</v>
          </cell>
          <cell r="AM1115">
            <v>29922</v>
          </cell>
          <cell r="AN1115">
            <v>59843</v>
          </cell>
          <cell r="AO1115">
            <v>19948</v>
          </cell>
          <cell r="AP1115">
            <v>19948</v>
          </cell>
        </row>
        <row r="1116">
          <cell r="D1116" t="str">
            <v>Nghiên cứu, xây dựng nền tảng cho UAV hạng nhẹ</v>
          </cell>
          <cell r="G1116" t="str">
            <v>KHCN</v>
          </cell>
          <cell r="I1116" t="str">
            <v>KCB</v>
          </cell>
          <cell r="AC1116">
            <v>930000</v>
          </cell>
          <cell r="AD1116">
            <v>17090056</v>
          </cell>
          <cell r="AE1116">
            <v>3130435</v>
          </cell>
          <cell r="AF1116">
            <v>2959476</v>
          </cell>
          <cell r="AG1116">
            <v>0</v>
          </cell>
          <cell r="AH1116">
            <v>0</v>
          </cell>
          <cell r="AI1116">
            <v>0</v>
          </cell>
          <cell r="AJ1116">
            <v>0</v>
          </cell>
          <cell r="AK1116">
            <v>130254</v>
          </cell>
          <cell r="AL1116">
            <v>284930</v>
          </cell>
          <cell r="AM1116">
            <v>24423</v>
          </cell>
          <cell r="AN1116">
            <v>48845</v>
          </cell>
          <cell r="AO1116">
            <v>16282</v>
          </cell>
          <cell r="AP1116">
            <v>16282</v>
          </cell>
        </row>
        <row r="1117">
          <cell r="D1117" t="str">
            <v>Nghiên cứu, xây dựng nền tảng cho UAV hạng nhẹ</v>
          </cell>
          <cell r="G1117" t="str">
            <v>KHCN</v>
          </cell>
          <cell r="I1117" t="str">
            <v>KCB</v>
          </cell>
          <cell r="AC1117">
            <v>930000</v>
          </cell>
          <cell r="AD1117">
            <v>18227304</v>
          </cell>
          <cell r="AE1117">
            <v>4700348</v>
          </cell>
          <cell r="AF1117">
            <v>4448326</v>
          </cell>
          <cell r="AG1117">
            <v>0</v>
          </cell>
          <cell r="AH1117">
            <v>0</v>
          </cell>
          <cell r="AI1117">
            <v>0</v>
          </cell>
          <cell r="AJ1117">
            <v>0</v>
          </cell>
          <cell r="AK1117">
            <v>192017</v>
          </cell>
          <cell r="AL1117">
            <v>420037</v>
          </cell>
          <cell r="AM1117">
            <v>36003</v>
          </cell>
          <cell r="AN1117">
            <v>72006</v>
          </cell>
          <cell r="AO1117">
            <v>24002</v>
          </cell>
          <cell r="AP1117">
            <v>24002</v>
          </cell>
        </row>
        <row r="1118">
          <cell r="D1118" t="str">
            <v>Nghiên cứu, xây dựng nền tảng cho UAV hạng nhẹ</v>
          </cell>
          <cell r="G1118" t="str">
            <v>KHCN</v>
          </cell>
          <cell r="I1118" t="str">
            <v>KCB</v>
          </cell>
          <cell r="AC1118">
            <v>1030000</v>
          </cell>
          <cell r="AD1118">
            <v>43458330</v>
          </cell>
          <cell r="AE1118">
            <v>6940980</v>
          </cell>
          <cell r="AF1118">
            <v>6745340</v>
          </cell>
          <cell r="AG1118">
            <v>0</v>
          </cell>
          <cell r="AH1118">
            <v>0</v>
          </cell>
          <cell r="AI1118">
            <v>0</v>
          </cell>
          <cell r="AJ1118">
            <v>0</v>
          </cell>
          <cell r="AK1118">
            <v>149059</v>
          </cell>
          <cell r="AL1118">
            <v>326066</v>
          </cell>
          <cell r="AM1118">
            <v>27949</v>
          </cell>
          <cell r="AN1118">
            <v>55897</v>
          </cell>
          <cell r="AO1118">
            <v>18632</v>
          </cell>
          <cell r="AP1118">
            <v>18632</v>
          </cell>
        </row>
        <row r="1119">
          <cell r="D1119" t="str">
            <v>Nghiên cứu, xây dựng nền tảng cho UAV hạng nhẹ</v>
          </cell>
          <cell r="G1119" t="str">
            <v>KHCN</v>
          </cell>
          <cell r="I1119" t="str">
            <v>KCB</v>
          </cell>
          <cell r="AC1119">
            <v>1030000</v>
          </cell>
          <cell r="AD1119">
            <v>44198549</v>
          </cell>
          <cell r="AE1119">
            <v>17674284</v>
          </cell>
          <cell r="AF1119">
            <v>17185185</v>
          </cell>
          <cell r="AG1119">
            <v>0</v>
          </cell>
          <cell r="AH1119">
            <v>0</v>
          </cell>
          <cell r="AI1119">
            <v>0</v>
          </cell>
          <cell r="AJ1119">
            <v>0</v>
          </cell>
          <cell r="AK1119">
            <v>372647</v>
          </cell>
          <cell r="AL1119">
            <v>815165</v>
          </cell>
          <cell r="AM1119">
            <v>69871</v>
          </cell>
          <cell r="AN1119">
            <v>139743</v>
          </cell>
          <cell r="AO1119">
            <v>46581</v>
          </cell>
          <cell r="AP1119">
            <v>46581</v>
          </cell>
        </row>
        <row r="1120">
          <cell r="D1120" t="str">
            <v>Nghiên cứu, xây dựng nền tảng cho UAV hạng nhẹ</v>
          </cell>
          <cell r="G1120" t="str">
            <v>KHCN</v>
          </cell>
          <cell r="I1120" t="str">
            <v>KCB</v>
          </cell>
          <cell r="AC1120">
            <v>1030000</v>
          </cell>
          <cell r="AD1120">
            <v>39994566</v>
          </cell>
          <cell r="AE1120">
            <v>11092526</v>
          </cell>
          <cell r="AF1120">
            <v>10750156</v>
          </cell>
          <cell r="AG1120">
            <v>0</v>
          </cell>
          <cell r="AH1120">
            <v>0</v>
          </cell>
          <cell r="AI1120">
            <v>0</v>
          </cell>
          <cell r="AJ1120">
            <v>0</v>
          </cell>
          <cell r="AK1120">
            <v>260853</v>
          </cell>
          <cell r="AL1120">
            <v>570616</v>
          </cell>
          <cell r="AM1120">
            <v>48910</v>
          </cell>
          <cell r="AN1120">
            <v>97820</v>
          </cell>
          <cell r="AO1120">
            <v>32607</v>
          </cell>
          <cell r="AP1120">
            <v>32607</v>
          </cell>
        </row>
        <row r="1121">
          <cell r="D1121" t="str">
            <v>Nghiên cứu, xây dựng nền tảng cho UAV hạng nhẹ</v>
          </cell>
          <cell r="G1121" t="str">
            <v>KHCN</v>
          </cell>
          <cell r="I1121" t="str">
            <v>KCB</v>
          </cell>
          <cell r="AC1121">
            <v>1030000</v>
          </cell>
          <cell r="AD1121">
            <v>33862298</v>
          </cell>
          <cell r="AE1121">
            <v>4997423</v>
          </cell>
          <cell r="AF1121">
            <v>4705098</v>
          </cell>
          <cell r="AG1121">
            <v>0</v>
          </cell>
          <cell r="AH1121">
            <v>0</v>
          </cell>
          <cell r="AI1121">
            <v>0</v>
          </cell>
          <cell r="AJ1121">
            <v>0</v>
          </cell>
          <cell r="AK1121">
            <v>292325</v>
          </cell>
          <cell r="AL1121">
            <v>639461</v>
          </cell>
          <cell r="AM1121">
            <v>0</v>
          </cell>
          <cell r="AN1121">
            <v>0</v>
          </cell>
          <cell r="AO1121">
            <v>0</v>
          </cell>
          <cell r="AP1121">
            <v>0</v>
          </cell>
        </row>
        <row r="1122">
          <cell r="D1122" t="str">
            <v>Nghiên cứu, xây dựng nền tảng cho UAV hạng nhẹ</v>
          </cell>
          <cell r="G1122" t="str">
            <v>KHCN</v>
          </cell>
          <cell r="I1122" t="str">
            <v>KCB</v>
          </cell>
          <cell r="AC1122">
            <v>1030000</v>
          </cell>
          <cell r="AD1122">
            <v>32046381</v>
          </cell>
          <cell r="AE1122">
            <v>5019134</v>
          </cell>
          <cell r="AF1122">
            <v>4851573</v>
          </cell>
          <cell r="AG1122">
            <v>0</v>
          </cell>
          <cell r="AH1122">
            <v>0</v>
          </cell>
          <cell r="AI1122">
            <v>0</v>
          </cell>
          <cell r="AJ1122">
            <v>0</v>
          </cell>
          <cell r="AK1122">
            <v>127666</v>
          </cell>
          <cell r="AL1122">
            <v>279270</v>
          </cell>
          <cell r="AM1122">
            <v>23937</v>
          </cell>
          <cell r="AN1122">
            <v>47875</v>
          </cell>
          <cell r="AO1122">
            <v>15958</v>
          </cell>
          <cell r="AP1122">
            <v>15958</v>
          </cell>
        </row>
        <row r="1123">
          <cell r="D1123" t="str">
            <v>Nghiên cứu, xây dựng nền tảng cho UAV hạng nhẹ</v>
          </cell>
          <cell r="G1123" t="str">
            <v>KHCN</v>
          </cell>
          <cell r="I1123" t="str">
            <v>KCB</v>
          </cell>
          <cell r="AC1123">
            <v>930000</v>
          </cell>
          <cell r="AD1123">
            <v>20154084</v>
          </cell>
          <cell r="AE1123">
            <v>4531508</v>
          </cell>
          <cell r="AF1123">
            <v>4315489</v>
          </cell>
          <cell r="AG1123">
            <v>0</v>
          </cell>
          <cell r="AH1123">
            <v>0</v>
          </cell>
          <cell r="AI1123">
            <v>0</v>
          </cell>
          <cell r="AJ1123">
            <v>0</v>
          </cell>
          <cell r="AK1123">
            <v>164586</v>
          </cell>
          <cell r="AL1123">
            <v>360031</v>
          </cell>
          <cell r="AM1123">
            <v>30860</v>
          </cell>
          <cell r="AN1123">
            <v>61720</v>
          </cell>
          <cell r="AO1123">
            <v>20573</v>
          </cell>
          <cell r="AP1123">
            <v>20573</v>
          </cell>
        </row>
        <row r="1124">
          <cell r="D1124" t="str">
            <v>Nghiên cứu, xây dựng nền tảng cho UAV hạng nhẹ</v>
          </cell>
          <cell r="G1124" t="str">
            <v>KHCN</v>
          </cell>
          <cell r="I1124" t="str">
            <v>KCB</v>
          </cell>
          <cell r="AC1124">
            <v>930000</v>
          </cell>
          <cell r="AD1124">
            <v>25924160</v>
          </cell>
          <cell r="AE1124">
            <v>4964739</v>
          </cell>
          <cell r="AF1124">
            <v>4755286</v>
          </cell>
          <cell r="AG1124">
            <v>0</v>
          </cell>
          <cell r="AH1124">
            <v>0</v>
          </cell>
          <cell r="AI1124">
            <v>0</v>
          </cell>
          <cell r="AJ1124">
            <v>0</v>
          </cell>
          <cell r="AK1124">
            <v>159583</v>
          </cell>
          <cell r="AL1124">
            <v>349087</v>
          </cell>
          <cell r="AM1124">
            <v>29922</v>
          </cell>
          <cell r="AN1124">
            <v>59843</v>
          </cell>
          <cell r="AO1124">
            <v>19948</v>
          </cell>
          <cell r="AP1124">
            <v>19948</v>
          </cell>
        </row>
        <row r="1125">
          <cell r="D1125" t="str">
            <v>Nghiên cứu, xây dựng nền tảng cho UAV hạng nhẹ</v>
          </cell>
          <cell r="G1125" t="str">
            <v>KHCN</v>
          </cell>
          <cell r="I1125" t="str">
            <v>KCB</v>
          </cell>
          <cell r="AC1125">
            <v>930000</v>
          </cell>
          <cell r="AD1125">
            <v>35527628</v>
          </cell>
          <cell r="AE1125">
            <v>12648799</v>
          </cell>
          <cell r="AF1125">
            <v>12251406</v>
          </cell>
          <cell r="AG1125">
            <v>0</v>
          </cell>
          <cell r="AH1125">
            <v>0</v>
          </cell>
          <cell r="AI1125">
            <v>0</v>
          </cell>
          <cell r="AJ1125">
            <v>0</v>
          </cell>
          <cell r="AK1125">
            <v>302776</v>
          </cell>
          <cell r="AL1125">
            <v>662322</v>
          </cell>
          <cell r="AM1125">
            <v>56770</v>
          </cell>
          <cell r="AN1125">
            <v>113541</v>
          </cell>
          <cell r="AO1125">
            <v>37847</v>
          </cell>
          <cell r="AP1125">
            <v>37847</v>
          </cell>
        </row>
        <row r="1126">
          <cell r="D1126" t="str">
            <v>Nghiên cứu, xây dựng nền tảng cho UAV hạng nhẹ</v>
          </cell>
          <cell r="G1126" t="str">
            <v>KHCN</v>
          </cell>
          <cell r="I1126" t="str">
            <v>KCB</v>
          </cell>
          <cell r="AC1126">
            <v>930000</v>
          </cell>
          <cell r="AD1126">
            <v>25924160</v>
          </cell>
          <cell r="AE1126">
            <v>8936530</v>
          </cell>
          <cell r="AF1126">
            <v>8559516</v>
          </cell>
          <cell r="AG1126">
            <v>0</v>
          </cell>
          <cell r="AH1126">
            <v>0</v>
          </cell>
          <cell r="AI1126">
            <v>0</v>
          </cell>
          <cell r="AJ1126">
            <v>0</v>
          </cell>
          <cell r="AK1126">
            <v>287249</v>
          </cell>
          <cell r="AL1126">
            <v>628357</v>
          </cell>
          <cell r="AM1126">
            <v>53859</v>
          </cell>
          <cell r="AN1126">
            <v>107718</v>
          </cell>
          <cell r="AO1126">
            <v>35906</v>
          </cell>
          <cell r="AP1126">
            <v>35906</v>
          </cell>
        </row>
        <row r="1127">
          <cell r="D1127" t="str">
            <v>Nghiên cứu, xây dựng nền tảng cho UAV hạng nhẹ</v>
          </cell>
          <cell r="G1127" t="str">
            <v>KHCN</v>
          </cell>
          <cell r="I1127" t="str">
            <v>KCB</v>
          </cell>
          <cell r="AC1127">
            <v>930000</v>
          </cell>
          <cell r="AD1127">
            <v>17994124</v>
          </cell>
          <cell r="AE1127">
            <v>3306700</v>
          </cell>
          <cell r="AF1127">
            <v>3126684</v>
          </cell>
          <cell r="AG1127">
            <v>0</v>
          </cell>
          <cell r="AH1127">
            <v>0</v>
          </cell>
          <cell r="AI1127">
            <v>0</v>
          </cell>
          <cell r="AJ1127">
            <v>0</v>
          </cell>
          <cell r="AK1127">
            <v>137155</v>
          </cell>
          <cell r="AL1127">
            <v>300026</v>
          </cell>
          <cell r="AM1127">
            <v>25717</v>
          </cell>
          <cell r="AN1127">
            <v>51433</v>
          </cell>
          <cell r="AO1127">
            <v>17144</v>
          </cell>
          <cell r="AP1127">
            <v>17144</v>
          </cell>
        </row>
        <row r="1128">
          <cell r="D1128" t="str">
            <v>Nghiên cứu, xây dựng nền tảng cho UAV hạng nhẹ</v>
          </cell>
          <cell r="G1128" t="str">
            <v>KHCN</v>
          </cell>
          <cell r="I1128" t="str">
            <v>KCB</v>
          </cell>
          <cell r="AC1128">
            <v>930000</v>
          </cell>
          <cell r="AD1128">
            <v>22015160</v>
          </cell>
          <cell r="AE1128">
            <v>7429375</v>
          </cell>
          <cell r="AF1128">
            <v>7092415</v>
          </cell>
          <cell r="AG1128">
            <v>0</v>
          </cell>
          <cell r="AH1128">
            <v>0</v>
          </cell>
          <cell r="AI1128">
            <v>0</v>
          </cell>
          <cell r="AJ1128">
            <v>0</v>
          </cell>
          <cell r="AK1128">
            <v>336960</v>
          </cell>
          <cell r="AL1128">
            <v>737100</v>
          </cell>
          <cell r="AM1128">
            <v>0</v>
          </cell>
          <cell r="AN1128">
            <v>0</v>
          </cell>
          <cell r="AO1128">
            <v>0</v>
          </cell>
          <cell r="AP1128">
            <v>0</v>
          </cell>
        </row>
        <row r="1129">
          <cell r="D1129" t="str">
            <v>Nghiên cứu, xây dựng nền tảng cho UAV hạng nhẹ</v>
          </cell>
          <cell r="G1129" t="str">
            <v>KHCN</v>
          </cell>
          <cell r="I1129" t="str">
            <v>KCB</v>
          </cell>
          <cell r="AC1129">
            <v>1047000</v>
          </cell>
          <cell r="AD1129">
            <v>15913808</v>
          </cell>
          <cell r="AE1129">
            <v>5739130</v>
          </cell>
          <cell r="AF1129">
            <v>5415329</v>
          </cell>
          <cell r="AG1129">
            <v>0</v>
          </cell>
          <cell r="AH1129">
            <v>0</v>
          </cell>
          <cell r="AI1129">
            <v>0</v>
          </cell>
          <cell r="AJ1129">
            <v>0</v>
          </cell>
          <cell r="AK1129">
            <v>246706</v>
          </cell>
          <cell r="AL1129">
            <v>539670</v>
          </cell>
          <cell r="AM1129">
            <v>46257</v>
          </cell>
          <cell r="AN1129">
            <v>92515</v>
          </cell>
          <cell r="AO1129">
            <v>30838</v>
          </cell>
          <cell r="AP1129">
            <v>30838</v>
          </cell>
        </row>
        <row r="1130">
          <cell r="D1130" t="str">
            <v>Nghiên cứu, xây dựng nền tảng cho UAV hạng nhẹ</v>
          </cell>
          <cell r="G1130" t="str">
            <v>KHCN</v>
          </cell>
          <cell r="I1130" t="str">
            <v>KCB</v>
          </cell>
          <cell r="AC1130">
            <v>930000</v>
          </cell>
          <cell r="AD1130">
            <v>14515216</v>
          </cell>
          <cell r="AE1130">
            <v>5739130</v>
          </cell>
          <cell r="AF1130">
            <v>5400383</v>
          </cell>
          <cell r="AG1130">
            <v>0</v>
          </cell>
          <cell r="AH1130">
            <v>0</v>
          </cell>
          <cell r="AI1130">
            <v>0</v>
          </cell>
          <cell r="AJ1130">
            <v>0</v>
          </cell>
          <cell r="AK1130">
            <v>258093</v>
          </cell>
          <cell r="AL1130">
            <v>564577</v>
          </cell>
          <cell r="AM1130">
            <v>48392</v>
          </cell>
          <cell r="AN1130">
            <v>96785</v>
          </cell>
          <cell r="AO1130">
            <v>32262</v>
          </cell>
          <cell r="AP1130">
            <v>32262</v>
          </cell>
        </row>
        <row r="1131">
          <cell r="D1131" t="str">
            <v>Nghiên cứu, xây dựng nền tảng cho UAV hạng nhẹ</v>
          </cell>
          <cell r="G1131" t="str">
            <v>KHCN</v>
          </cell>
          <cell r="I1131" t="str">
            <v>KCB</v>
          </cell>
          <cell r="AC1131">
            <v>1030000</v>
          </cell>
          <cell r="AD1131">
            <v>42709982</v>
          </cell>
          <cell r="AE1131">
            <v>8513540</v>
          </cell>
          <cell r="AF1131">
            <v>8268991</v>
          </cell>
          <cell r="AG1131">
            <v>0</v>
          </cell>
          <cell r="AH1131">
            <v>0</v>
          </cell>
          <cell r="AI1131">
            <v>0</v>
          </cell>
          <cell r="AJ1131">
            <v>0</v>
          </cell>
          <cell r="AK1131">
            <v>186323</v>
          </cell>
          <cell r="AL1131">
            <v>407583</v>
          </cell>
          <cell r="AM1131">
            <v>34936</v>
          </cell>
          <cell r="AN1131">
            <v>69871</v>
          </cell>
          <cell r="AO1131">
            <v>23290</v>
          </cell>
          <cell r="AP1131">
            <v>23290</v>
          </cell>
        </row>
        <row r="1132">
          <cell r="D1132" t="str">
            <v>Nghiên cứu, xây dựng nền tảng cho UAV hạng nhẹ</v>
          </cell>
          <cell r="G1132" t="str">
            <v>KHCN</v>
          </cell>
          <cell r="I1132" t="str">
            <v>KCB</v>
          </cell>
          <cell r="AC1132">
            <v>1498000</v>
          </cell>
          <cell r="AD1132">
            <v>46666549</v>
          </cell>
          <cell r="AE1132">
            <v>9271925</v>
          </cell>
          <cell r="AF1132">
            <v>9027376</v>
          </cell>
          <cell r="AG1132">
            <v>0</v>
          </cell>
          <cell r="AH1132">
            <v>0</v>
          </cell>
          <cell r="AI1132">
            <v>0</v>
          </cell>
          <cell r="AJ1132">
            <v>0</v>
          </cell>
          <cell r="AK1132">
            <v>186323</v>
          </cell>
          <cell r="AL1132">
            <v>407583</v>
          </cell>
          <cell r="AM1132">
            <v>34936</v>
          </cell>
          <cell r="AN1132">
            <v>69871</v>
          </cell>
          <cell r="AO1132">
            <v>23290</v>
          </cell>
          <cell r="AP1132">
            <v>23290</v>
          </cell>
        </row>
        <row r="1133">
          <cell r="D1133" t="str">
            <v>Nghiên cứu, xây dựng nền tảng cho UAV hạng nhẹ</v>
          </cell>
          <cell r="G1133" t="str">
            <v>KHCN</v>
          </cell>
          <cell r="I1133" t="str">
            <v>KCB</v>
          </cell>
          <cell r="AC1133">
            <v>930000</v>
          </cell>
          <cell r="AD1133">
            <v>28518964</v>
          </cell>
          <cell r="AE1133">
            <v>22013951</v>
          </cell>
          <cell r="AF1133">
            <v>21130855</v>
          </cell>
          <cell r="AG1133">
            <v>0</v>
          </cell>
          <cell r="AH1133">
            <v>0</v>
          </cell>
          <cell r="AI1133">
            <v>0</v>
          </cell>
          <cell r="AJ1133">
            <v>0</v>
          </cell>
          <cell r="AK1133">
            <v>672835</v>
          </cell>
          <cell r="AL1133">
            <v>1471826</v>
          </cell>
          <cell r="AM1133">
            <v>126157</v>
          </cell>
          <cell r="AN1133">
            <v>252313</v>
          </cell>
          <cell r="AO1133">
            <v>84104</v>
          </cell>
          <cell r="AP1133">
            <v>84104</v>
          </cell>
        </row>
        <row r="1134">
          <cell r="D1134" t="str">
            <v>Nghiên cứu, xây dựng nền tảng cho UAV hạng nhẹ</v>
          </cell>
          <cell r="G1134" t="str">
            <v>KHCN</v>
          </cell>
          <cell r="I1134" t="str">
            <v>KCB</v>
          </cell>
          <cell r="AC1134">
            <v>1030000</v>
          </cell>
          <cell r="AD1134">
            <v>39198549</v>
          </cell>
          <cell r="AE1134">
            <v>9300223</v>
          </cell>
          <cell r="AF1134">
            <v>9006763</v>
          </cell>
          <cell r="AG1134">
            <v>0</v>
          </cell>
          <cell r="AH1134">
            <v>0</v>
          </cell>
          <cell r="AI1134">
            <v>0</v>
          </cell>
          <cell r="AJ1134">
            <v>0</v>
          </cell>
          <cell r="AK1134">
            <v>223588</v>
          </cell>
          <cell r="AL1134">
            <v>489099</v>
          </cell>
          <cell r="AM1134">
            <v>41923</v>
          </cell>
          <cell r="AN1134">
            <v>83846</v>
          </cell>
          <cell r="AO1134">
            <v>27949</v>
          </cell>
          <cell r="AP1134">
            <v>27949</v>
          </cell>
        </row>
        <row r="1135">
          <cell r="D1135" t="str">
            <v>Nghiên cứu, xây dựng nền tảng cho UAV hạng nhẹ</v>
          </cell>
          <cell r="G1135" t="str">
            <v>KHCN</v>
          </cell>
          <cell r="I1135" t="str">
            <v>KCB</v>
          </cell>
          <cell r="AC1135">
            <v>930000</v>
          </cell>
          <cell r="AD1135">
            <v>20493652</v>
          </cell>
          <cell r="AE1135">
            <v>3829804</v>
          </cell>
          <cell r="AF1135">
            <v>3640731</v>
          </cell>
          <cell r="AG1135">
            <v>0</v>
          </cell>
          <cell r="AH1135">
            <v>0</v>
          </cell>
          <cell r="AI1135">
            <v>0</v>
          </cell>
          <cell r="AJ1135">
            <v>0</v>
          </cell>
          <cell r="AK1135">
            <v>144056</v>
          </cell>
          <cell r="AL1135">
            <v>315122</v>
          </cell>
          <cell r="AM1135">
            <v>27010</v>
          </cell>
          <cell r="AN1135">
            <v>54021</v>
          </cell>
          <cell r="AO1135">
            <v>18007</v>
          </cell>
          <cell r="AP1135">
            <v>18007</v>
          </cell>
        </row>
        <row r="1136">
          <cell r="D1136" t="str">
            <v>Nghiên cứu, xây dựng nền tảng cho UAV hạng nhẹ</v>
          </cell>
          <cell r="G1136" t="str">
            <v>KHCN</v>
          </cell>
          <cell r="I1136" t="str">
            <v>KCB</v>
          </cell>
          <cell r="AC1136">
            <v>930000</v>
          </cell>
          <cell r="AD1136">
            <v>14515216</v>
          </cell>
          <cell r="AE1136">
            <v>2608696</v>
          </cell>
          <cell r="AF1136">
            <v>2454720</v>
          </cell>
          <cell r="AG1136">
            <v>0</v>
          </cell>
          <cell r="AH1136">
            <v>0</v>
          </cell>
          <cell r="AI1136">
            <v>0</v>
          </cell>
          <cell r="AJ1136">
            <v>0</v>
          </cell>
          <cell r="AK1136">
            <v>117315</v>
          </cell>
          <cell r="AL1136">
            <v>256626</v>
          </cell>
          <cell r="AM1136">
            <v>21997</v>
          </cell>
          <cell r="AN1136">
            <v>43993</v>
          </cell>
          <cell r="AO1136">
            <v>14664</v>
          </cell>
          <cell r="AP1136">
            <v>14664</v>
          </cell>
        </row>
        <row r="1137">
          <cell r="D1137" t="str">
            <v>Nghiên cứu, xây dựng nền tảng cho UAV hạng nhẹ</v>
          </cell>
          <cell r="G1137" t="str">
            <v>KHCN</v>
          </cell>
          <cell r="I1137" t="str">
            <v>KCB</v>
          </cell>
          <cell r="AC1137">
            <v>1398000</v>
          </cell>
          <cell r="AD1137">
            <v>31764608</v>
          </cell>
          <cell r="AE1137">
            <v>7359195</v>
          </cell>
          <cell r="AF1137">
            <v>7107853</v>
          </cell>
          <cell r="AG1137">
            <v>0</v>
          </cell>
          <cell r="AH1137">
            <v>0</v>
          </cell>
          <cell r="AI1137">
            <v>0</v>
          </cell>
          <cell r="AJ1137">
            <v>0</v>
          </cell>
          <cell r="AK1137">
            <v>191499</v>
          </cell>
          <cell r="AL1137">
            <v>418904</v>
          </cell>
          <cell r="AM1137">
            <v>35906</v>
          </cell>
          <cell r="AN1137">
            <v>71812</v>
          </cell>
          <cell r="AO1137">
            <v>23937</v>
          </cell>
          <cell r="AP1137">
            <v>23937</v>
          </cell>
        </row>
        <row r="1138">
          <cell r="D1138" t="str">
            <v>Nghiên cứu, xây dựng nền tảng cho UAV hạng nhẹ</v>
          </cell>
          <cell r="G1138" t="str">
            <v>KHCN</v>
          </cell>
          <cell r="I1138" t="str">
            <v>KCB</v>
          </cell>
          <cell r="AC1138">
            <v>1130000</v>
          </cell>
          <cell r="AD1138">
            <v>57589754</v>
          </cell>
          <cell r="AE1138">
            <v>46673017</v>
          </cell>
          <cell r="AF1138">
            <v>45590658</v>
          </cell>
          <cell r="AG1138">
            <v>0</v>
          </cell>
          <cell r="AH1138">
            <v>0</v>
          </cell>
          <cell r="AI1138">
            <v>0</v>
          </cell>
          <cell r="AJ1138">
            <v>0</v>
          </cell>
          <cell r="AK1138">
            <v>824654</v>
          </cell>
          <cell r="AL1138">
            <v>1803930</v>
          </cell>
          <cell r="AM1138">
            <v>154623</v>
          </cell>
          <cell r="AN1138">
            <v>309245</v>
          </cell>
          <cell r="AO1138">
            <v>103082</v>
          </cell>
          <cell r="AP1138">
            <v>103082</v>
          </cell>
        </row>
        <row r="1139">
          <cell r="D1139" t="str">
            <v>Nghiên cứu, xây dựng nền tảng cho UAV hạng nhẹ</v>
          </cell>
          <cell r="G1139" t="str">
            <v>KHCN</v>
          </cell>
          <cell r="I1139" t="str">
            <v>KCB</v>
          </cell>
          <cell r="AC1139">
            <v>1030000</v>
          </cell>
          <cell r="AD1139">
            <v>37377172</v>
          </cell>
          <cell r="AE1139">
            <v>7354234</v>
          </cell>
          <cell r="AF1139">
            <v>7109685</v>
          </cell>
          <cell r="AG1139">
            <v>0</v>
          </cell>
          <cell r="AH1139">
            <v>0</v>
          </cell>
          <cell r="AI1139">
            <v>0</v>
          </cell>
          <cell r="AJ1139">
            <v>0</v>
          </cell>
          <cell r="AK1139">
            <v>186323</v>
          </cell>
          <cell r="AL1139">
            <v>407583</v>
          </cell>
          <cell r="AM1139">
            <v>34936</v>
          </cell>
          <cell r="AN1139">
            <v>69871</v>
          </cell>
          <cell r="AO1139">
            <v>23290</v>
          </cell>
          <cell r="AP1139">
            <v>23290</v>
          </cell>
        </row>
        <row r="1140">
          <cell r="D1140" t="str">
            <v>Nghiên cứu, xây dựng nền tảng cho UAV hạng nhẹ</v>
          </cell>
          <cell r="G1140" t="str">
            <v>KHCN</v>
          </cell>
          <cell r="I1140" t="str">
            <v>KCB</v>
          </cell>
          <cell r="AC1140">
            <v>930000</v>
          </cell>
          <cell r="AD1140">
            <v>30163490</v>
          </cell>
          <cell r="AE1140">
            <v>5860993</v>
          </cell>
          <cell r="AF1140">
            <v>5640219</v>
          </cell>
          <cell r="AG1140">
            <v>0</v>
          </cell>
          <cell r="AH1140">
            <v>0</v>
          </cell>
          <cell r="AI1140">
            <v>0</v>
          </cell>
          <cell r="AJ1140">
            <v>0</v>
          </cell>
          <cell r="AK1140">
            <v>168209</v>
          </cell>
          <cell r="AL1140">
            <v>367957</v>
          </cell>
          <cell r="AM1140">
            <v>31539</v>
          </cell>
          <cell r="AN1140">
            <v>63078</v>
          </cell>
          <cell r="AO1140">
            <v>21026</v>
          </cell>
          <cell r="AP1140">
            <v>21026</v>
          </cell>
        </row>
        <row r="1141">
          <cell r="D1141" t="str">
            <v>Nghiên cứu, xây dựng nền tảng cho UAV hạng nhẹ</v>
          </cell>
          <cell r="G1141" t="str">
            <v>KHCN</v>
          </cell>
          <cell r="I1141" t="str">
            <v>KCB</v>
          </cell>
          <cell r="AC1141">
            <v>1030000</v>
          </cell>
          <cell r="AD1141">
            <v>38878771</v>
          </cell>
          <cell r="AE1141">
            <v>26209041</v>
          </cell>
          <cell r="AF1141">
            <v>25419916</v>
          </cell>
          <cell r="AG1141">
            <v>0</v>
          </cell>
          <cell r="AH1141">
            <v>0</v>
          </cell>
          <cell r="AI1141">
            <v>0</v>
          </cell>
          <cell r="AJ1141">
            <v>0</v>
          </cell>
          <cell r="AK1141">
            <v>601238</v>
          </cell>
          <cell r="AL1141">
            <v>1315209</v>
          </cell>
          <cell r="AM1141">
            <v>112732</v>
          </cell>
          <cell r="AN1141">
            <v>225464</v>
          </cell>
          <cell r="AO1141">
            <v>75155</v>
          </cell>
          <cell r="AP1141">
            <v>75155</v>
          </cell>
        </row>
        <row r="1142">
          <cell r="D1142" t="str">
            <v>Nghiên cứu, xây dựng nền tảng cho UAV hạng nhẹ</v>
          </cell>
          <cell r="G1142" t="str">
            <v>KHCN</v>
          </cell>
          <cell r="I1142" t="str">
            <v>KCB</v>
          </cell>
          <cell r="AC1142">
            <v>1030000</v>
          </cell>
          <cell r="AD1142">
            <v>38561534</v>
          </cell>
          <cell r="AE1142">
            <v>24446646</v>
          </cell>
          <cell r="AF1142">
            <v>23703940</v>
          </cell>
          <cell r="AG1142">
            <v>0</v>
          </cell>
          <cell r="AH1142">
            <v>0</v>
          </cell>
          <cell r="AI1142">
            <v>0</v>
          </cell>
          <cell r="AJ1142">
            <v>0</v>
          </cell>
          <cell r="AK1142">
            <v>565871</v>
          </cell>
          <cell r="AL1142">
            <v>1237843</v>
          </cell>
          <cell r="AM1142">
            <v>106101</v>
          </cell>
          <cell r="AN1142">
            <v>212202</v>
          </cell>
          <cell r="AO1142">
            <v>70734</v>
          </cell>
          <cell r="AP1142">
            <v>70734</v>
          </cell>
        </row>
        <row r="1143">
          <cell r="D1143" t="str">
            <v>Nghiên cứu, xây dựng nền tảng cho UAV hạng nhẹ</v>
          </cell>
          <cell r="G1143" t="str">
            <v>KHCN</v>
          </cell>
          <cell r="I1143" t="str">
            <v>KCB</v>
          </cell>
          <cell r="AC1143">
            <v>930000</v>
          </cell>
          <cell r="AD1143">
            <v>23553206</v>
          </cell>
          <cell r="AE1143">
            <v>18060784</v>
          </cell>
          <cell r="AF1143">
            <v>17340722</v>
          </cell>
          <cell r="AG1143">
            <v>0</v>
          </cell>
          <cell r="AH1143">
            <v>0</v>
          </cell>
          <cell r="AI1143">
            <v>0</v>
          </cell>
          <cell r="AJ1143">
            <v>0</v>
          </cell>
          <cell r="AK1143">
            <v>548619</v>
          </cell>
          <cell r="AL1143">
            <v>1200104</v>
          </cell>
          <cell r="AM1143">
            <v>102866</v>
          </cell>
          <cell r="AN1143">
            <v>205732</v>
          </cell>
          <cell r="AO1143">
            <v>68577</v>
          </cell>
          <cell r="AP1143">
            <v>68577</v>
          </cell>
        </row>
        <row r="1144">
          <cell r="D1144" t="str">
            <v>Nghiên cứu, xây dựng nền tảng cho UAV hạng nhẹ</v>
          </cell>
          <cell r="G1144" t="str">
            <v>KHCN</v>
          </cell>
          <cell r="I1144" t="str">
            <v>KCB</v>
          </cell>
          <cell r="AC1144">
            <v>930000</v>
          </cell>
          <cell r="AD1144">
            <v>17741776</v>
          </cell>
          <cell r="AE1144">
            <v>3926536</v>
          </cell>
          <cell r="AF1144">
            <v>3721386</v>
          </cell>
          <cell r="AG1144">
            <v>0</v>
          </cell>
          <cell r="AH1144">
            <v>0</v>
          </cell>
          <cell r="AI1144">
            <v>0</v>
          </cell>
          <cell r="AJ1144">
            <v>0</v>
          </cell>
          <cell r="AK1144">
            <v>156305</v>
          </cell>
          <cell r="AL1144">
            <v>341917</v>
          </cell>
          <cell r="AM1144">
            <v>29307</v>
          </cell>
          <cell r="AN1144">
            <v>58614</v>
          </cell>
          <cell r="AO1144">
            <v>19538</v>
          </cell>
          <cell r="AP1144">
            <v>19538</v>
          </cell>
        </row>
        <row r="1145">
          <cell r="D1145" t="str">
            <v>Nghiên cứu, xây dựng nền tảng cho UAV hạng nhẹ</v>
          </cell>
          <cell r="G1145" t="str">
            <v>KHCN</v>
          </cell>
          <cell r="I1145" t="str">
            <v>KCB</v>
          </cell>
          <cell r="AC1145">
            <v>1047000</v>
          </cell>
          <cell r="AD1145">
            <v>18062480</v>
          </cell>
          <cell r="AE1145">
            <v>3979676</v>
          </cell>
          <cell r="AF1145">
            <v>3774526</v>
          </cell>
          <cell r="AG1145">
            <v>0</v>
          </cell>
          <cell r="AH1145">
            <v>0</v>
          </cell>
          <cell r="AI1145">
            <v>0</v>
          </cell>
          <cell r="AJ1145">
            <v>0</v>
          </cell>
          <cell r="AK1145">
            <v>156305</v>
          </cell>
          <cell r="AL1145">
            <v>341917</v>
          </cell>
          <cell r="AM1145">
            <v>29307</v>
          </cell>
          <cell r="AN1145">
            <v>58614</v>
          </cell>
          <cell r="AO1145">
            <v>19538</v>
          </cell>
          <cell r="AP1145">
            <v>19538</v>
          </cell>
        </row>
        <row r="1146">
          <cell r="D1146" t="str">
            <v>Nghiên cứu, xây dựng nền tảng cho UAV hạng nhẹ</v>
          </cell>
          <cell r="G1146" t="str">
            <v>KHCN</v>
          </cell>
          <cell r="I1146" t="str">
            <v>KCB</v>
          </cell>
          <cell r="AC1146">
            <v>930000</v>
          </cell>
          <cell r="AD1146">
            <v>12515216</v>
          </cell>
          <cell r="AE1146">
            <v>2173913</v>
          </cell>
          <cell r="AF1146">
            <v>2019937</v>
          </cell>
          <cell r="AG1146">
            <v>0</v>
          </cell>
          <cell r="AH1146">
            <v>0</v>
          </cell>
          <cell r="AI1146">
            <v>0</v>
          </cell>
          <cell r="AJ1146">
            <v>0</v>
          </cell>
          <cell r="AK1146">
            <v>117315</v>
          </cell>
          <cell r="AL1146">
            <v>256626</v>
          </cell>
          <cell r="AM1146">
            <v>21997</v>
          </cell>
          <cell r="AN1146">
            <v>43993</v>
          </cell>
          <cell r="AO1146">
            <v>14664</v>
          </cell>
          <cell r="AP1146">
            <v>14664</v>
          </cell>
        </row>
        <row r="1147">
          <cell r="D1147" t="str">
            <v>Nghiên cứu, xây dựng nền tảng cho UAV hạng nhẹ</v>
          </cell>
          <cell r="G1147" t="str">
            <v>KHCN</v>
          </cell>
          <cell r="I1147" t="str">
            <v>KCB</v>
          </cell>
          <cell r="AC1147">
            <v>1030000</v>
          </cell>
          <cell r="AD1147">
            <v>41804012</v>
          </cell>
          <cell r="AE1147">
            <v>9946461</v>
          </cell>
          <cell r="AF1147">
            <v>9638056</v>
          </cell>
          <cell r="AG1147">
            <v>0</v>
          </cell>
          <cell r="AH1147">
            <v>0</v>
          </cell>
          <cell r="AI1147">
            <v>0</v>
          </cell>
          <cell r="AJ1147">
            <v>0</v>
          </cell>
          <cell r="AK1147">
            <v>234975</v>
          </cell>
          <cell r="AL1147">
            <v>514007</v>
          </cell>
          <cell r="AM1147">
            <v>44058</v>
          </cell>
          <cell r="AN1147">
            <v>88115</v>
          </cell>
          <cell r="AO1147">
            <v>29372</v>
          </cell>
          <cell r="AP1147">
            <v>29372</v>
          </cell>
        </row>
        <row r="1148">
          <cell r="D1148" t="str">
            <v>Nghiên cứu, xây dựng nền tảng cho UAV hạng nhẹ</v>
          </cell>
          <cell r="G1148" t="str">
            <v>KHCN</v>
          </cell>
          <cell r="I1148" t="str">
            <v>KCB</v>
          </cell>
          <cell r="AC1148">
            <v>930000</v>
          </cell>
          <cell r="AD1148">
            <v>12515216</v>
          </cell>
          <cell r="AE1148">
            <v>2173913</v>
          </cell>
          <cell r="AF1148">
            <v>2019937</v>
          </cell>
          <cell r="AG1148">
            <v>0</v>
          </cell>
          <cell r="AH1148">
            <v>0</v>
          </cell>
          <cell r="AI1148">
            <v>0</v>
          </cell>
          <cell r="AJ1148">
            <v>0</v>
          </cell>
          <cell r="AK1148">
            <v>117315</v>
          </cell>
          <cell r="AL1148">
            <v>256626</v>
          </cell>
          <cell r="AM1148">
            <v>21997</v>
          </cell>
          <cell r="AN1148">
            <v>43993</v>
          </cell>
          <cell r="AO1148">
            <v>14664</v>
          </cell>
          <cell r="AP1148">
            <v>14664</v>
          </cell>
        </row>
        <row r="1149">
          <cell r="D1149" t="str">
            <v>Nghiên cứu, xây dựng nền tảng cho UAV hạng nhẹ</v>
          </cell>
          <cell r="G1149" t="str">
            <v>KHCN</v>
          </cell>
          <cell r="I1149" t="str">
            <v>KCB</v>
          </cell>
          <cell r="AC1149">
            <v>930000</v>
          </cell>
          <cell r="AD1149">
            <v>16972936</v>
          </cell>
          <cell r="AE1149">
            <v>3104974</v>
          </cell>
          <cell r="AF1149">
            <v>2934015</v>
          </cell>
          <cell r="AG1149">
            <v>0</v>
          </cell>
          <cell r="AH1149">
            <v>0</v>
          </cell>
          <cell r="AI1149">
            <v>0</v>
          </cell>
          <cell r="AJ1149">
            <v>0</v>
          </cell>
          <cell r="AK1149">
            <v>130254</v>
          </cell>
          <cell r="AL1149">
            <v>284930</v>
          </cell>
          <cell r="AM1149">
            <v>24423</v>
          </cell>
          <cell r="AN1149">
            <v>48845</v>
          </cell>
          <cell r="AO1149">
            <v>16282</v>
          </cell>
          <cell r="AP1149">
            <v>16282</v>
          </cell>
        </row>
        <row r="1150">
          <cell r="D1150" t="str">
            <v>Nghiên cứu, xây dựng nền tảng cho UAV hạng nhẹ</v>
          </cell>
          <cell r="G1150" t="str">
            <v>KHCN</v>
          </cell>
          <cell r="I1150" t="str">
            <v>KCB</v>
          </cell>
          <cell r="AC1150">
            <v>1147000</v>
          </cell>
          <cell r="AD1150">
            <v>23524556</v>
          </cell>
          <cell r="AE1150">
            <v>4418717</v>
          </cell>
          <cell r="AF1150">
            <v>4219455</v>
          </cell>
          <cell r="AG1150">
            <v>0</v>
          </cell>
          <cell r="AH1150">
            <v>0</v>
          </cell>
          <cell r="AI1150">
            <v>0</v>
          </cell>
          <cell r="AJ1150">
            <v>0</v>
          </cell>
          <cell r="AK1150">
            <v>151819</v>
          </cell>
          <cell r="AL1150">
            <v>332104</v>
          </cell>
          <cell r="AM1150">
            <v>28466</v>
          </cell>
          <cell r="AN1150">
            <v>56932</v>
          </cell>
          <cell r="AO1150">
            <v>18977</v>
          </cell>
          <cell r="AP1150">
            <v>18977</v>
          </cell>
        </row>
        <row r="1151">
          <cell r="D1151" t="str">
            <v>Nghiên cứu, xây dựng nền tảng cho UAV hạng nhẹ</v>
          </cell>
          <cell r="G1151" t="str">
            <v>KHCN</v>
          </cell>
          <cell r="I1151" t="str">
            <v>KCB</v>
          </cell>
          <cell r="AC1151">
            <v>849131</v>
          </cell>
          <cell r="AD1151">
            <v>13390869</v>
          </cell>
          <cell r="AE1151">
            <v>4695652</v>
          </cell>
          <cell r="AF1151">
            <v>4392099</v>
          </cell>
          <cell r="AG1151">
            <v>0</v>
          </cell>
          <cell r="AH1151">
            <v>0</v>
          </cell>
          <cell r="AI1151">
            <v>0</v>
          </cell>
          <cell r="AJ1151">
            <v>0</v>
          </cell>
          <cell r="AK1151">
            <v>231278</v>
          </cell>
          <cell r="AL1151">
            <v>505920</v>
          </cell>
          <cell r="AM1151">
            <v>43365</v>
          </cell>
          <cell r="AN1151">
            <v>86729</v>
          </cell>
          <cell r="AO1151">
            <v>28910</v>
          </cell>
          <cell r="AP1151">
            <v>28910</v>
          </cell>
        </row>
        <row r="1152">
          <cell r="D1152" t="str">
            <v>Sản xuất và cung cấp 03 tổ hợp máy bay không người lái UAV 1.6</v>
          </cell>
          <cell r="G1152" t="str">
            <v>SXKD</v>
          </cell>
          <cell r="I1152" t="str">
            <v>KCB</v>
          </cell>
          <cell r="AC1152">
            <v>1230000</v>
          </cell>
          <cell r="AD1152">
            <v>78365831</v>
          </cell>
          <cell r="AE1152">
            <v>16068139</v>
          </cell>
          <cell r="AF1152">
            <v>15780746</v>
          </cell>
          <cell r="AG1152">
            <v>0</v>
          </cell>
          <cell r="AH1152">
            <v>0</v>
          </cell>
          <cell r="AI1152">
            <v>0</v>
          </cell>
          <cell r="AJ1152">
            <v>0</v>
          </cell>
          <cell r="AK1152">
            <v>287393</v>
          </cell>
          <cell r="AL1152">
            <v>628672</v>
          </cell>
          <cell r="AM1152">
            <v>0</v>
          </cell>
          <cell r="AN1152">
            <v>0</v>
          </cell>
          <cell r="AO1152">
            <v>0</v>
          </cell>
          <cell r="AP1152">
            <v>0</v>
          </cell>
        </row>
        <row r="1153">
          <cell r="D1153" t="str">
            <v>Sản xuất và cung cấp 03 tổ hợp máy bay không người lái UAV 1.6</v>
          </cell>
          <cell r="G1153" t="str">
            <v>SXKD</v>
          </cell>
          <cell r="I1153" t="str">
            <v>KCB</v>
          </cell>
          <cell r="AC1153">
            <v>1230000</v>
          </cell>
          <cell r="AD1153">
            <v>62833525</v>
          </cell>
          <cell r="AE1153">
            <v>12756058</v>
          </cell>
          <cell r="AF1153">
            <v>12471882</v>
          </cell>
          <cell r="AG1153">
            <v>0</v>
          </cell>
          <cell r="AH1153">
            <v>0</v>
          </cell>
          <cell r="AI1153">
            <v>0</v>
          </cell>
          <cell r="AJ1153">
            <v>0</v>
          </cell>
          <cell r="AK1153">
            <v>216515</v>
          </cell>
          <cell r="AL1153">
            <v>473626</v>
          </cell>
          <cell r="AM1153">
            <v>40597</v>
          </cell>
          <cell r="AN1153">
            <v>81193</v>
          </cell>
          <cell r="AO1153">
            <v>27064</v>
          </cell>
          <cell r="AP1153">
            <v>27064</v>
          </cell>
        </row>
        <row r="1154">
          <cell r="D1154" t="str">
            <v>Sản xuất và cung cấp 03 tổ hợp máy bay không người lái UAV 1.6</v>
          </cell>
          <cell r="G1154" t="str">
            <v>SXKD</v>
          </cell>
          <cell r="I1154" t="str">
            <v>KCB</v>
          </cell>
          <cell r="AC1154">
            <v>1230000</v>
          </cell>
          <cell r="AD1154">
            <v>71560474</v>
          </cell>
          <cell r="AE1154">
            <v>8772168</v>
          </cell>
          <cell r="AF1154">
            <v>8592832</v>
          </cell>
          <cell r="AG1154">
            <v>0</v>
          </cell>
          <cell r="AH1154">
            <v>0</v>
          </cell>
          <cell r="AI1154">
            <v>0</v>
          </cell>
          <cell r="AJ1154">
            <v>0</v>
          </cell>
          <cell r="AK1154">
            <v>136637</v>
          </cell>
          <cell r="AL1154">
            <v>298894</v>
          </cell>
          <cell r="AM1154">
            <v>25619</v>
          </cell>
          <cell r="AN1154">
            <v>51239</v>
          </cell>
          <cell r="AO1154">
            <v>17080</v>
          </cell>
          <cell r="AP1154">
            <v>17080</v>
          </cell>
        </row>
        <row r="1155">
          <cell r="D1155" t="str">
            <v>Sản xuất và cung cấp 03 tổ hợp máy bay không người lái UAV 1.6</v>
          </cell>
          <cell r="G1155" t="str">
            <v>SXKD</v>
          </cell>
          <cell r="I1155" t="str">
            <v>KCB</v>
          </cell>
          <cell r="AC1155">
            <v>1147000</v>
          </cell>
          <cell r="AD1155">
            <v>36317566</v>
          </cell>
          <cell r="AE1155">
            <v>14252646</v>
          </cell>
          <cell r="AF1155">
            <v>13788454</v>
          </cell>
          <cell r="AG1155">
            <v>0</v>
          </cell>
          <cell r="AH1155">
            <v>0</v>
          </cell>
          <cell r="AI1155">
            <v>0</v>
          </cell>
          <cell r="AJ1155">
            <v>0</v>
          </cell>
          <cell r="AK1155">
            <v>353670</v>
          </cell>
          <cell r="AL1155">
            <v>773652</v>
          </cell>
          <cell r="AM1155">
            <v>66313</v>
          </cell>
          <cell r="AN1155">
            <v>132626</v>
          </cell>
          <cell r="AO1155">
            <v>44209</v>
          </cell>
          <cell r="AP1155">
            <v>44209</v>
          </cell>
        </row>
        <row r="1156">
          <cell r="D1156" t="str">
            <v>Sản xuất và cung cấp 03 tổ hợp máy bay không người lái UAV 1.6</v>
          </cell>
          <cell r="G1156" t="str">
            <v>SXKD</v>
          </cell>
          <cell r="I1156" t="str">
            <v>TCĐT</v>
          </cell>
          <cell r="AC1156">
            <v>1398000</v>
          </cell>
          <cell r="AD1156">
            <v>27325242</v>
          </cell>
          <cell r="AE1156">
            <v>5167583</v>
          </cell>
          <cell r="AF1156">
            <v>4958130</v>
          </cell>
          <cell r="AG1156">
            <v>0</v>
          </cell>
          <cell r="AH1156">
            <v>0</v>
          </cell>
          <cell r="AI1156">
            <v>0</v>
          </cell>
          <cell r="AJ1156">
            <v>0</v>
          </cell>
          <cell r="AK1156">
            <v>159583</v>
          </cell>
          <cell r="AL1156">
            <v>349087</v>
          </cell>
          <cell r="AM1156">
            <v>29922</v>
          </cell>
          <cell r="AN1156">
            <v>59843</v>
          </cell>
          <cell r="AO1156">
            <v>19948</v>
          </cell>
          <cell r="AP1156">
            <v>19948</v>
          </cell>
        </row>
        <row r="1157">
          <cell r="D1157" t="str">
            <v>Sản xuất và cung cấp 03 tổ hợp máy bay không người lái UAV 1.6</v>
          </cell>
          <cell r="G1157" t="str">
            <v>SXKD</v>
          </cell>
          <cell r="I1157" t="str">
            <v>KCB</v>
          </cell>
          <cell r="AC1157">
            <v>1130000</v>
          </cell>
          <cell r="AD1157">
            <v>67189952</v>
          </cell>
          <cell r="AE1157">
            <v>37863714</v>
          </cell>
          <cell r="AF1157">
            <v>36900969</v>
          </cell>
          <cell r="AG1157">
            <v>0</v>
          </cell>
          <cell r="AH1157">
            <v>0</v>
          </cell>
          <cell r="AI1157">
            <v>0</v>
          </cell>
          <cell r="AJ1157">
            <v>0</v>
          </cell>
          <cell r="AK1157">
            <v>962745</v>
          </cell>
          <cell r="AL1157">
            <v>2106005</v>
          </cell>
          <cell r="AM1157">
            <v>0</v>
          </cell>
          <cell r="AN1157">
            <v>0</v>
          </cell>
          <cell r="AO1157">
            <v>0</v>
          </cell>
          <cell r="AP1157">
            <v>0</v>
          </cell>
        </row>
        <row r="1158">
          <cell r="D1158" t="str">
            <v>Sản xuất và cung cấp 03 tổ hợp máy bay không người lái UAV 1.6</v>
          </cell>
          <cell r="G1158" t="str">
            <v>SXKD</v>
          </cell>
          <cell r="I1158" t="str">
            <v>KCB</v>
          </cell>
          <cell r="AC1158">
            <v>1030000</v>
          </cell>
          <cell r="AD1158">
            <v>42278340</v>
          </cell>
          <cell r="AE1158">
            <v>14726522</v>
          </cell>
          <cell r="AF1158">
            <v>14146365</v>
          </cell>
          <cell r="AG1158">
            <v>0</v>
          </cell>
          <cell r="AH1158">
            <v>0</v>
          </cell>
          <cell r="AI1158">
            <v>0</v>
          </cell>
          <cell r="AJ1158">
            <v>0</v>
          </cell>
          <cell r="AK1158">
            <v>580157</v>
          </cell>
          <cell r="AL1158">
            <v>1269094</v>
          </cell>
          <cell r="AM1158">
            <v>0</v>
          </cell>
          <cell r="AN1158">
            <v>0</v>
          </cell>
          <cell r="AO1158">
            <v>0</v>
          </cell>
          <cell r="AP1158">
            <v>0</v>
          </cell>
        </row>
        <row r="1159">
          <cell r="D1159" t="str">
            <v>Sản xuất và cung cấp 03 tổ hợp máy bay không người lái UAV 1.6</v>
          </cell>
          <cell r="G1159" t="str">
            <v>SXKD</v>
          </cell>
          <cell r="I1159" t="str">
            <v>KCB</v>
          </cell>
          <cell r="AC1159">
            <v>1030000</v>
          </cell>
          <cell r="AD1159">
            <v>40519651</v>
          </cell>
          <cell r="AE1159">
            <v>22582713</v>
          </cell>
          <cell r="AF1159">
            <v>21932846</v>
          </cell>
          <cell r="AG1159">
            <v>0</v>
          </cell>
          <cell r="AH1159">
            <v>0</v>
          </cell>
          <cell r="AI1159">
            <v>0</v>
          </cell>
          <cell r="AJ1159">
            <v>0</v>
          </cell>
          <cell r="AK1159">
            <v>495137</v>
          </cell>
          <cell r="AL1159">
            <v>1083113</v>
          </cell>
          <cell r="AM1159">
            <v>92838</v>
          </cell>
          <cell r="AN1159">
            <v>185677</v>
          </cell>
          <cell r="AO1159">
            <v>61892</v>
          </cell>
          <cell r="AP1159">
            <v>61892</v>
          </cell>
        </row>
        <row r="1160">
          <cell r="D1160" t="str">
            <v>Sản xuất và cung cấp 03 tổ hợp máy bay không người lái UAV 1.6</v>
          </cell>
          <cell r="G1160" t="str">
            <v>SXKD</v>
          </cell>
          <cell r="I1160" t="str">
            <v>KCB</v>
          </cell>
          <cell r="AC1160">
            <v>1030000</v>
          </cell>
          <cell r="AD1160">
            <v>44377172</v>
          </cell>
          <cell r="AE1160">
            <v>15976751</v>
          </cell>
          <cell r="AF1160">
            <v>15536562</v>
          </cell>
          <cell r="AG1160">
            <v>0</v>
          </cell>
          <cell r="AH1160">
            <v>0</v>
          </cell>
          <cell r="AI1160">
            <v>0</v>
          </cell>
          <cell r="AJ1160">
            <v>0</v>
          </cell>
          <cell r="AK1160">
            <v>335382</v>
          </cell>
          <cell r="AL1160">
            <v>733649</v>
          </cell>
          <cell r="AM1160">
            <v>62884</v>
          </cell>
          <cell r="AN1160">
            <v>125768</v>
          </cell>
          <cell r="AO1160">
            <v>41923</v>
          </cell>
          <cell r="AP1160">
            <v>41923</v>
          </cell>
        </row>
        <row r="1161">
          <cell r="D1161" t="str">
            <v>Sản xuất và cung cấp 03 tổ hợp máy bay không người lái UAV 1.6</v>
          </cell>
          <cell r="G1161" t="str">
            <v>SXKD</v>
          </cell>
          <cell r="I1161" t="str">
            <v>KCB</v>
          </cell>
          <cell r="AC1161">
            <v>1030000</v>
          </cell>
          <cell r="AD1161">
            <v>45216256</v>
          </cell>
          <cell r="AE1161">
            <v>25363471</v>
          </cell>
          <cell r="AF1161">
            <v>24678732</v>
          </cell>
          <cell r="AG1161">
            <v>0</v>
          </cell>
          <cell r="AH1161">
            <v>0</v>
          </cell>
          <cell r="AI1161">
            <v>0</v>
          </cell>
          <cell r="AJ1161">
            <v>0</v>
          </cell>
          <cell r="AK1161">
            <v>521706</v>
          </cell>
          <cell r="AL1161">
            <v>1141231</v>
          </cell>
          <cell r="AM1161">
            <v>97820</v>
          </cell>
          <cell r="AN1161">
            <v>195640</v>
          </cell>
          <cell r="AO1161">
            <v>65213</v>
          </cell>
          <cell r="AP1161">
            <v>65213</v>
          </cell>
        </row>
        <row r="1162">
          <cell r="D1162" t="str">
            <v>Sản xuất và cung cấp 03 tổ hợp máy bay không người lái UAV 1.6</v>
          </cell>
          <cell r="G1162" t="str">
            <v>SXKD</v>
          </cell>
          <cell r="I1162" t="str">
            <v>KCB</v>
          </cell>
          <cell r="AC1162">
            <v>1398000</v>
          </cell>
          <cell r="AD1162">
            <v>19497409</v>
          </cell>
          <cell r="AE1162">
            <v>7063524</v>
          </cell>
          <cell r="AF1162">
            <v>6703492</v>
          </cell>
          <cell r="AG1162">
            <v>0</v>
          </cell>
          <cell r="AH1162">
            <v>0</v>
          </cell>
          <cell r="AI1162">
            <v>0</v>
          </cell>
          <cell r="AJ1162">
            <v>0</v>
          </cell>
          <cell r="AK1162">
            <v>274310</v>
          </cell>
          <cell r="AL1162">
            <v>600052</v>
          </cell>
          <cell r="AM1162">
            <v>51433</v>
          </cell>
          <cell r="AN1162">
            <v>102866</v>
          </cell>
          <cell r="AO1162">
            <v>34289</v>
          </cell>
          <cell r="AP1162">
            <v>34289</v>
          </cell>
        </row>
        <row r="1163">
          <cell r="D1163" t="str">
            <v>Sản xuất và cung cấp 03 tổ hợp máy bay không người lái UAV 1.6</v>
          </cell>
          <cell r="G1163" t="str">
            <v>SXKD</v>
          </cell>
          <cell r="I1163" t="str">
            <v>KCB</v>
          </cell>
          <cell r="AC1163">
            <v>930000</v>
          </cell>
          <cell r="AD1163">
            <v>24309612</v>
          </cell>
          <cell r="AE1163">
            <v>13046210</v>
          </cell>
          <cell r="AF1163">
            <v>12516806</v>
          </cell>
          <cell r="AG1163">
            <v>0</v>
          </cell>
          <cell r="AH1163">
            <v>0</v>
          </cell>
          <cell r="AI1163">
            <v>0</v>
          </cell>
          <cell r="AJ1163">
            <v>0</v>
          </cell>
          <cell r="AK1163">
            <v>403356</v>
          </cell>
          <cell r="AL1163">
            <v>882341</v>
          </cell>
          <cell r="AM1163">
            <v>75629</v>
          </cell>
          <cell r="AN1163">
            <v>151258</v>
          </cell>
          <cell r="AO1163">
            <v>50419</v>
          </cell>
          <cell r="AP1163">
            <v>50419</v>
          </cell>
        </row>
        <row r="1164">
          <cell r="D1164" t="str">
            <v>Sản xuất và cung cấp 03 tổ hợp máy bay không người lái UAV 1.6</v>
          </cell>
          <cell r="G1164" t="str">
            <v>SXKD</v>
          </cell>
          <cell r="I1164" t="str">
            <v>KCB</v>
          </cell>
          <cell r="AC1164">
            <v>930000</v>
          </cell>
          <cell r="AD1164">
            <v>19741776</v>
          </cell>
          <cell r="AE1164">
            <v>5931033</v>
          </cell>
          <cell r="AF1164">
            <v>5657500</v>
          </cell>
          <cell r="AG1164">
            <v>0</v>
          </cell>
          <cell r="AH1164">
            <v>0</v>
          </cell>
          <cell r="AI1164">
            <v>0</v>
          </cell>
          <cell r="AJ1164">
            <v>0</v>
          </cell>
          <cell r="AK1164">
            <v>208406</v>
          </cell>
          <cell r="AL1164">
            <v>455889</v>
          </cell>
          <cell r="AM1164">
            <v>39076</v>
          </cell>
          <cell r="AN1164">
            <v>78152</v>
          </cell>
          <cell r="AO1164">
            <v>26051</v>
          </cell>
          <cell r="AP1164">
            <v>26051</v>
          </cell>
        </row>
        <row r="1165">
          <cell r="D1165" t="str">
            <v>Sản xuất và cung cấp 03 tổ hợp máy bay không người lái UAV 1.6</v>
          </cell>
          <cell r="G1165" t="str">
            <v>SXKD</v>
          </cell>
          <cell r="I1165" t="str">
            <v>KCB</v>
          </cell>
          <cell r="AC1165">
            <v>1030000</v>
          </cell>
          <cell r="AD1165">
            <v>25186896</v>
          </cell>
          <cell r="AE1165">
            <v>12494379</v>
          </cell>
          <cell r="AF1165">
            <v>11976296</v>
          </cell>
          <cell r="AG1165">
            <v>0</v>
          </cell>
          <cell r="AH1165">
            <v>0</v>
          </cell>
          <cell r="AI1165">
            <v>0</v>
          </cell>
          <cell r="AJ1165">
            <v>0</v>
          </cell>
          <cell r="AK1165">
            <v>394730</v>
          </cell>
          <cell r="AL1165">
            <v>863471</v>
          </cell>
          <cell r="AM1165">
            <v>74012</v>
          </cell>
          <cell r="AN1165">
            <v>148024</v>
          </cell>
          <cell r="AO1165">
            <v>49341</v>
          </cell>
          <cell r="AP1165">
            <v>49341</v>
          </cell>
        </row>
        <row r="1166">
          <cell r="D1166" t="str">
            <v>Sản xuất và cung cấp 03 tổ hợp máy bay không người lái UAV 1.6</v>
          </cell>
          <cell r="G1166" t="str">
            <v>SXKD</v>
          </cell>
          <cell r="I1166" t="str">
            <v>KCB</v>
          </cell>
          <cell r="AC1166">
            <v>930000</v>
          </cell>
          <cell r="AD1166">
            <v>17994124</v>
          </cell>
          <cell r="AE1166">
            <v>8597420</v>
          </cell>
          <cell r="AF1166">
            <v>8129380</v>
          </cell>
          <cell r="AG1166">
            <v>0</v>
          </cell>
          <cell r="AH1166">
            <v>0</v>
          </cell>
          <cell r="AI1166">
            <v>0</v>
          </cell>
          <cell r="AJ1166">
            <v>0</v>
          </cell>
          <cell r="AK1166">
            <v>356602</v>
          </cell>
          <cell r="AL1166">
            <v>780068</v>
          </cell>
          <cell r="AM1166">
            <v>66863</v>
          </cell>
          <cell r="AN1166">
            <v>133726</v>
          </cell>
          <cell r="AO1166">
            <v>44575</v>
          </cell>
          <cell r="AP1166">
            <v>44575</v>
          </cell>
        </row>
        <row r="1167">
          <cell r="D1167" t="str">
            <v>Sản xuất và cung cấp 03 tổ hợp máy bay không người lái UAV 1.6</v>
          </cell>
          <cell r="G1167" t="str">
            <v>SXKD</v>
          </cell>
          <cell r="I1167" t="str">
            <v>KCB</v>
          </cell>
          <cell r="AC1167">
            <v>930000</v>
          </cell>
          <cell r="AD1167">
            <v>20480024</v>
          </cell>
          <cell r="AE1167">
            <v>10002494</v>
          </cell>
          <cell r="AF1167">
            <v>9534454</v>
          </cell>
          <cell r="AG1167">
            <v>0</v>
          </cell>
          <cell r="AH1167">
            <v>0</v>
          </cell>
          <cell r="AI1167">
            <v>0</v>
          </cell>
          <cell r="AJ1167">
            <v>0</v>
          </cell>
          <cell r="AK1167">
            <v>356602</v>
          </cell>
          <cell r="AL1167">
            <v>780068</v>
          </cell>
          <cell r="AM1167">
            <v>66863</v>
          </cell>
          <cell r="AN1167">
            <v>133726</v>
          </cell>
          <cell r="AO1167">
            <v>44575</v>
          </cell>
          <cell r="AP1167">
            <v>44575</v>
          </cell>
        </row>
        <row r="1168">
          <cell r="D1168" t="str">
            <v>Sản xuất và cung cấp 03 tổ hợp máy bay không người lái UAV 1.6</v>
          </cell>
          <cell r="G1168" t="str">
            <v>SXKD</v>
          </cell>
          <cell r="I1168" t="str">
            <v>KCB</v>
          </cell>
          <cell r="AC1168">
            <v>1030000</v>
          </cell>
          <cell r="AD1168">
            <v>41674328</v>
          </cell>
          <cell r="AE1168">
            <v>23207515</v>
          </cell>
          <cell r="AF1168">
            <v>22522776</v>
          </cell>
          <cell r="AG1168">
            <v>0</v>
          </cell>
          <cell r="AH1168">
            <v>0</v>
          </cell>
          <cell r="AI1168">
            <v>0</v>
          </cell>
          <cell r="AJ1168">
            <v>0</v>
          </cell>
          <cell r="AK1168">
            <v>521706</v>
          </cell>
          <cell r="AL1168">
            <v>1141231</v>
          </cell>
          <cell r="AM1168">
            <v>97820</v>
          </cell>
          <cell r="AN1168">
            <v>195640</v>
          </cell>
          <cell r="AO1168">
            <v>65213</v>
          </cell>
          <cell r="AP1168">
            <v>65213</v>
          </cell>
        </row>
        <row r="1169">
          <cell r="D1169" t="str">
            <v>Sản xuất và cung cấp 03 tổ hợp máy bay không người lái UAV 1.6</v>
          </cell>
          <cell r="G1169" t="str">
            <v>SXKD</v>
          </cell>
          <cell r="I1169" t="str">
            <v>KCB</v>
          </cell>
          <cell r="AC1169">
            <v>930000</v>
          </cell>
          <cell r="AD1169">
            <v>17741776</v>
          </cell>
          <cell r="AE1169">
            <v>3926536</v>
          </cell>
          <cell r="AF1169">
            <v>3721386</v>
          </cell>
          <cell r="AG1169">
            <v>0</v>
          </cell>
          <cell r="AH1169">
            <v>0</v>
          </cell>
          <cell r="AI1169">
            <v>0</v>
          </cell>
          <cell r="AJ1169">
            <v>0</v>
          </cell>
          <cell r="AK1169">
            <v>156305</v>
          </cell>
          <cell r="AL1169">
            <v>341917</v>
          </cell>
          <cell r="AM1169">
            <v>29307</v>
          </cell>
          <cell r="AN1169">
            <v>58614</v>
          </cell>
          <cell r="AO1169">
            <v>19538</v>
          </cell>
          <cell r="AP1169">
            <v>19538</v>
          </cell>
        </row>
        <row r="1170">
          <cell r="D1170" t="str">
            <v>Sản xuất và cung cấp 03 tổ hợp máy bay không người lái UAV 1.6</v>
          </cell>
          <cell r="G1170" t="str">
            <v>SXKD</v>
          </cell>
          <cell r="I1170" t="str">
            <v>KCB</v>
          </cell>
          <cell r="AC1170">
            <v>930000</v>
          </cell>
          <cell r="AD1170">
            <v>20316624</v>
          </cell>
          <cell r="AE1170">
            <v>6860864</v>
          </cell>
          <cell r="AF1170">
            <v>6536835</v>
          </cell>
          <cell r="AG1170">
            <v>0</v>
          </cell>
          <cell r="AH1170">
            <v>0</v>
          </cell>
          <cell r="AI1170">
            <v>0</v>
          </cell>
          <cell r="AJ1170">
            <v>0</v>
          </cell>
          <cell r="AK1170">
            <v>246879</v>
          </cell>
          <cell r="AL1170">
            <v>540047</v>
          </cell>
          <cell r="AM1170">
            <v>46290</v>
          </cell>
          <cell r="AN1170">
            <v>92579</v>
          </cell>
          <cell r="AO1170">
            <v>30860</v>
          </cell>
          <cell r="AP1170">
            <v>30860</v>
          </cell>
        </row>
        <row r="1171">
          <cell r="D1171" t="str">
            <v>Sản xuất và cung cấp 03 tổ hợp máy bay không người lái UAV 1.6</v>
          </cell>
          <cell r="G1171" t="str">
            <v>SXKD</v>
          </cell>
          <cell r="I1171" t="str">
            <v>KCB</v>
          </cell>
          <cell r="AC1171">
            <v>930000</v>
          </cell>
          <cell r="AD1171">
            <v>16385556</v>
          </cell>
          <cell r="AE1171">
            <v>3572739</v>
          </cell>
          <cell r="AF1171">
            <v>3367589</v>
          </cell>
          <cell r="AG1171">
            <v>0</v>
          </cell>
          <cell r="AH1171">
            <v>0</v>
          </cell>
          <cell r="AI1171">
            <v>0</v>
          </cell>
          <cell r="AJ1171">
            <v>0</v>
          </cell>
          <cell r="AK1171">
            <v>156305</v>
          </cell>
          <cell r="AL1171">
            <v>341917</v>
          </cell>
          <cell r="AM1171">
            <v>29307</v>
          </cell>
          <cell r="AN1171">
            <v>58614</v>
          </cell>
          <cell r="AO1171">
            <v>19538</v>
          </cell>
          <cell r="AP1171">
            <v>19538</v>
          </cell>
        </row>
        <row r="1172">
          <cell r="D1172" t="str">
            <v>Sản xuất và cung cấp 03 tổ hợp máy bay không người lái UAV 1.6</v>
          </cell>
          <cell r="G1172" t="str">
            <v>SXKD</v>
          </cell>
          <cell r="I1172" t="str">
            <v>KCB</v>
          </cell>
          <cell r="AC1172">
            <v>1030000</v>
          </cell>
          <cell r="AD1172">
            <v>31482040</v>
          </cell>
          <cell r="AE1172">
            <v>14762963</v>
          </cell>
          <cell r="AF1172">
            <v>14260278</v>
          </cell>
          <cell r="AG1172">
            <v>0</v>
          </cell>
          <cell r="AH1172">
            <v>0</v>
          </cell>
          <cell r="AI1172">
            <v>0</v>
          </cell>
          <cell r="AJ1172">
            <v>0</v>
          </cell>
          <cell r="AK1172">
            <v>382998</v>
          </cell>
          <cell r="AL1172">
            <v>837809</v>
          </cell>
          <cell r="AM1172">
            <v>71812</v>
          </cell>
          <cell r="AN1172">
            <v>143624</v>
          </cell>
          <cell r="AO1172">
            <v>47875</v>
          </cell>
          <cell r="AP1172">
            <v>47875</v>
          </cell>
        </row>
        <row r="1173">
          <cell r="D1173" t="str">
            <v>Sản xuất và cung cấp 03 tổ hợp máy bay không người lái UAV 1.6</v>
          </cell>
          <cell r="G1173" t="str">
            <v>SXKD</v>
          </cell>
          <cell r="I1173" t="str">
            <v>KCB</v>
          </cell>
          <cell r="AC1173">
            <v>930000</v>
          </cell>
          <cell r="AD1173">
            <v>15796808</v>
          </cell>
          <cell r="AE1173">
            <v>5165217</v>
          </cell>
          <cell r="AF1173">
            <v>4873796</v>
          </cell>
          <cell r="AG1173">
            <v>0</v>
          </cell>
          <cell r="AH1173">
            <v>0</v>
          </cell>
          <cell r="AI1173">
            <v>0</v>
          </cell>
          <cell r="AJ1173">
            <v>0</v>
          </cell>
          <cell r="AK1173">
            <v>222035</v>
          </cell>
          <cell r="AL1173">
            <v>485703</v>
          </cell>
          <cell r="AM1173">
            <v>41632</v>
          </cell>
          <cell r="AN1173">
            <v>83263</v>
          </cell>
          <cell r="AO1173">
            <v>27754</v>
          </cell>
          <cell r="AP1173">
            <v>27754</v>
          </cell>
        </row>
        <row r="1174">
          <cell r="D1174" t="str">
            <v>Sản xuất và cung cấp 03 tổ hợp máy bay không người lái UAV 1.6</v>
          </cell>
          <cell r="G1174" t="str">
            <v>SXKD</v>
          </cell>
          <cell r="I1174" t="str">
            <v>KCB</v>
          </cell>
          <cell r="AC1174">
            <v>930000</v>
          </cell>
          <cell r="AD1174">
            <v>15796808</v>
          </cell>
          <cell r="AE1174">
            <v>6886957</v>
          </cell>
          <cell r="AF1174">
            <v>6498395</v>
          </cell>
          <cell r="AG1174">
            <v>0</v>
          </cell>
          <cell r="AH1174">
            <v>0</v>
          </cell>
          <cell r="AI1174">
            <v>0</v>
          </cell>
          <cell r="AJ1174">
            <v>0</v>
          </cell>
          <cell r="AK1174">
            <v>296047</v>
          </cell>
          <cell r="AL1174">
            <v>647603</v>
          </cell>
          <cell r="AM1174">
            <v>55509</v>
          </cell>
          <cell r="AN1174">
            <v>111018</v>
          </cell>
          <cell r="AO1174">
            <v>37006</v>
          </cell>
          <cell r="AP1174">
            <v>37006</v>
          </cell>
        </row>
        <row r="1175">
          <cell r="D1175" t="str">
            <v>Sản xuất và cung cấp 03 tổ hợp máy bay không người lái UAV 1.6</v>
          </cell>
          <cell r="G1175" t="str">
            <v>SXKD</v>
          </cell>
          <cell r="I1175" t="str">
            <v>KCB</v>
          </cell>
          <cell r="AC1175">
            <v>930000</v>
          </cell>
          <cell r="AD1175">
            <v>14515216</v>
          </cell>
          <cell r="AE1175">
            <v>9391304</v>
          </cell>
          <cell r="AF1175">
            <v>8836992</v>
          </cell>
          <cell r="AG1175">
            <v>0</v>
          </cell>
          <cell r="AH1175">
            <v>0</v>
          </cell>
          <cell r="AI1175">
            <v>0</v>
          </cell>
          <cell r="AJ1175">
            <v>0</v>
          </cell>
          <cell r="AK1175">
            <v>422333</v>
          </cell>
          <cell r="AL1175">
            <v>923854</v>
          </cell>
          <cell r="AM1175">
            <v>79187</v>
          </cell>
          <cell r="AN1175">
            <v>158375</v>
          </cell>
          <cell r="AO1175">
            <v>52792</v>
          </cell>
          <cell r="AP1175">
            <v>52792</v>
          </cell>
        </row>
        <row r="1176">
          <cell r="D1176" t="str">
            <v>Sản xuất và cung cấp 03 tổ hợp máy bay không người lái UAV 1.6</v>
          </cell>
          <cell r="G1176" t="str">
            <v>SXKD</v>
          </cell>
          <cell r="I1176" t="str">
            <v>KCB</v>
          </cell>
          <cell r="AC1176">
            <v>930000</v>
          </cell>
          <cell r="AD1176">
            <v>17707876</v>
          </cell>
          <cell r="AE1176">
            <v>2611795</v>
          </cell>
          <cell r="AF1176">
            <v>2475029</v>
          </cell>
          <cell r="AG1176">
            <v>0</v>
          </cell>
          <cell r="AH1176">
            <v>0</v>
          </cell>
          <cell r="AI1176">
            <v>0</v>
          </cell>
          <cell r="AJ1176">
            <v>0</v>
          </cell>
          <cell r="AK1176">
            <v>104203</v>
          </cell>
          <cell r="AL1176">
            <v>227944</v>
          </cell>
          <cell r="AM1176">
            <v>19538</v>
          </cell>
          <cell r="AN1176">
            <v>39076</v>
          </cell>
          <cell r="AO1176">
            <v>13025</v>
          </cell>
          <cell r="AP1176">
            <v>13025</v>
          </cell>
        </row>
        <row r="1177">
          <cell r="D1177" t="str">
            <v>Sản xuất và cung cấp 03 tổ hợp máy bay không người lái UAV 1.6</v>
          </cell>
          <cell r="G1177" t="str">
            <v>SXKD</v>
          </cell>
          <cell r="I1177" t="str">
            <v>KCB</v>
          </cell>
          <cell r="AC1177">
            <v>1030000</v>
          </cell>
          <cell r="AD1177">
            <v>51222213</v>
          </cell>
          <cell r="AE1177">
            <v>22624009</v>
          </cell>
          <cell r="AF1177">
            <v>22057460</v>
          </cell>
          <cell r="AG1177">
            <v>0</v>
          </cell>
          <cell r="AH1177">
            <v>0</v>
          </cell>
          <cell r="AI1177">
            <v>0</v>
          </cell>
          <cell r="AJ1177">
            <v>0</v>
          </cell>
          <cell r="AK1177">
            <v>566549</v>
          </cell>
          <cell r="AL1177">
            <v>1239325</v>
          </cell>
          <cell r="AM1177">
            <v>0</v>
          </cell>
          <cell r="AN1177">
            <v>0</v>
          </cell>
          <cell r="AO1177">
            <v>0</v>
          </cell>
          <cell r="AP1177">
            <v>0</v>
          </cell>
        </row>
        <row r="1178">
          <cell r="D1178" t="str">
            <v>Sản xuất và cung cấp 03 tổ hợp máy bay không người lái UAV 1.6</v>
          </cell>
          <cell r="G1178" t="str">
            <v>SXKD</v>
          </cell>
          <cell r="I1178" t="str">
            <v>KCB</v>
          </cell>
          <cell r="AC1178">
            <v>1147000</v>
          </cell>
          <cell r="AD1178">
            <v>40513927</v>
          </cell>
          <cell r="AE1178">
            <v>27236388</v>
          </cell>
          <cell r="AF1178">
            <v>26404920</v>
          </cell>
          <cell r="AG1178">
            <v>0</v>
          </cell>
          <cell r="AH1178">
            <v>0</v>
          </cell>
          <cell r="AI1178">
            <v>0</v>
          </cell>
          <cell r="AJ1178">
            <v>0</v>
          </cell>
          <cell r="AK1178">
            <v>633500</v>
          </cell>
          <cell r="AL1178">
            <v>1385781</v>
          </cell>
          <cell r="AM1178">
            <v>118781</v>
          </cell>
          <cell r="AN1178">
            <v>237562</v>
          </cell>
          <cell r="AO1178">
            <v>79187</v>
          </cell>
          <cell r="AP1178">
            <v>79187</v>
          </cell>
        </row>
        <row r="1179">
          <cell r="D1179" t="str">
            <v>Sản xuất và cung cấp 03 tổ hợp máy bay không người lái UAV 1.6</v>
          </cell>
          <cell r="G1179" t="str">
            <v>SXKD</v>
          </cell>
          <cell r="I1179" t="str">
            <v>KCB</v>
          </cell>
          <cell r="AC1179">
            <v>930000</v>
          </cell>
          <cell r="AD1179">
            <v>18154084</v>
          </cell>
          <cell r="AE1179">
            <v>9356127</v>
          </cell>
          <cell r="AF1179">
            <v>8852084</v>
          </cell>
          <cell r="AG1179">
            <v>0</v>
          </cell>
          <cell r="AH1179">
            <v>0</v>
          </cell>
          <cell r="AI1179">
            <v>0</v>
          </cell>
          <cell r="AJ1179">
            <v>0</v>
          </cell>
          <cell r="AK1179">
            <v>384033</v>
          </cell>
          <cell r="AL1179">
            <v>840073</v>
          </cell>
          <cell r="AM1179">
            <v>72006</v>
          </cell>
          <cell r="AN1179">
            <v>144013</v>
          </cell>
          <cell r="AO1179">
            <v>48004</v>
          </cell>
          <cell r="AP1179">
            <v>48004</v>
          </cell>
        </row>
        <row r="1180">
          <cell r="D1180" t="str">
            <v>Sản xuất và cung cấp 03 tổ hợp máy bay không người lái UAV 1.6</v>
          </cell>
          <cell r="G1180" t="str">
            <v>SXKD</v>
          </cell>
          <cell r="I1180" t="str">
            <v>KCB</v>
          </cell>
          <cell r="AC1180">
            <v>1030000</v>
          </cell>
          <cell r="AD1180">
            <v>54767650</v>
          </cell>
          <cell r="AE1180">
            <v>22526374</v>
          </cell>
          <cell r="AF1180">
            <v>22172627</v>
          </cell>
          <cell r="AG1180">
            <v>0</v>
          </cell>
          <cell r="AH1180">
            <v>0</v>
          </cell>
          <cell r="AI1180">
            <v>0</v>
          </cell>
          <cell r="AJ1180">
            <v>0</v>
          </cell>
          <cell r="AK1180">
            <v>297892</v>
          </cell>
          <cell r="AL1180">
            <v>651639</v>
          </cell>
          <cell r="AM1180">
            <v>55855</v>
          </cell>
          <cell r="AN1180">
            <v>111710</v>
          </cell>
          <cell r="AO1180">
            <v>0</v>
          </cell>
          <cell r="AP1180">
            <v>0</v>
          </cell>
        </row>
        <row r="1181">
          <cell r="D1181" t="str">
            <v>Sản xuất và cung cấp 03 tổ hợp máy bay không người lái UAV 1.6</v>
          </cell>
          <cell r="G1181" t="str">
            <v>SXKD</v>
          </cell>
          <cell r="I1181" t="str">
            <v>KCB</v>
          </cell>
          <cell r="AC1181">
            <v>930000</v>
          </cell>
          <cell r="AD1181">
            <v>26628000</v>
          </cell>
          <cell r="AE1181">
            <v>10235496</v>
          </cell>
          <cell r="AF1181">
            <v>9816592</v>
          </cell>
          <cell r="AG1181">
            <v>0</v>
          </cell>
          <cell r="AH1181">
            <v>0</v>
          </cell>
          <cell r="AI1181">
            <v>0</v>
          </cell>
          <cell r="AJ1181">
            <v>0</v>
          </cell>
          <cell r="AK1181">
            <v>319165</v>
          </cell>
          <cell r="AL1181">
            <v>698174</v>
          </cell>
          <cell r="AM1181">
            <v>59843</v>
          </cell>
          <cell r="AN1181">
            <v>119687</v>
          </cell>
          <cell r="AO1181">
            <v>39896</v>
          </cell>
          <cell r="AP1181">
            <v>39896</v>
          </cell>
        </row>
        <row r="1182">
          <cell r="D1182" t="str">
            <v>Sản xuất và cung cấp 03 tổ hợp máy bay không người lái UAV 1.6</v>
          </cell>
          <cell r="G1182" t="str">
            <v>SXKD</v>
          </cell>
          <cell r="I1182" t="str">
            <v>KCB</v>
          </cell>
          <cell r="AC1182">
            <v>930000</v>
          </cell>
          <cell r="AD1182">
            <v>17584396</v>
          </cell>
          <cell r="AE1182">
            <v>7770960</v>
          </cell>
          <cell r="AF1182">
            <v>7360661</v>
          </cell>
          <cell r="AG1182">
            <v>0</v>
          </cell>
          <cell r="AH1182">
            <v>0</v>
          </cell>
          <cell r="AI1182">
            <v>0</v>
          </cell>
          <cell r="AJ1182">
            <v>0</v>
          </cell>
          <cell r="AK1182">
            <v>312609</v>
          </cell>
          <cell r="AL1182">
            <v>683833</v>
          </cell>
          <cell r="AM1182">
            <v>58614</v>
          </cell>
          <cell r="AN1182">
            <v>117229</v>
          </cell>
          <cell r="AO1182">
            <v>39076</v>
          </cell>
          <cell r="AP1182">
            <v>39076</v>
          </cell>
        </row>
        <row r="1183">
          <cell r="D1183" t="str">
            <v>Sản xuất và cung cấp 03 tổ hợp máy bay không người lái UAV 1.6</v>
          </cell>
          <cell r="G1183" t="str">
            <v>SXKD</v>
          </cell>
          <cell r="I1183" t="str">
            <v>KCB</v>
          </cell>
          <cell r="AC1183">
            <v>930000</v>
          </cell>
          <cell r="AD1183">
            <v>31296608</v>
          </cell>
          <cell r="AE1183">
            <v>12265325</v>
          </cell>
          <cell r="AF1183">
            <v>11846421</v>
          </cell>
          <cell r="AG1183">
            <v>0</v>
          </cell>
          <cell r="AH1183">
            <v>0</v>
          </cell>
          <cell r="AI1183">
            <v>0</v>
          </cell>
          <cell r="AJ1183">
            <v>0</v>
          </cell>
          <cell r="AK1183">
            <v>319165</v>
          </cell>
          <cell r="AL1183">
            <v>698174</v>
          </cell>
          <cell r="AM1183">
            <v>59843</v>
          </cell>
          <cell r="AN1183">
            <v>119687</v>
          </cell>
          <cell r="AO1183">
            <v>39896</v>
          </cell>
          <cell r="AP1183">
            <v>39896</v>
          </cell>
        </row>
        <row r="1184">
          <cell r="D1184" t="str">
            <v>Sản xuất và cung cấp 03 tổ hợp máy bay không người lái UAV 1.6</v>
          </cell>
          <cell r="G1184" t="str">
            <v>SXKD</v>
          </cell>
          <cell r="I1184" t="str">
            <v>KCB</v>
          </cell>
          <cell r="AC1184">
            <v>930000</v>
          </cell>
          <cell r="AD1184">
            <v>17090056</v>
          </cell>
          <cell r="AE1184">
            <v>6260870</v>
          </cell>
          <cell r="AF1184">
            <v>5918954</v>
          </cell>
          <cell r="AG1184">
            <v>0</v>
          </cell>
          <cell r="AH1184">
            <v>0</v>
          </cell>
          <cell r="AI1184">
            <v>0</v>
          </cell>
          <cell r="AJ1184">
            <v>0</v>
          </cell>
          <cell r="AK1184">
            <v>260508</v>
          </cell>
          <cell r="AL1184">
            <v>569861</v>
          </cell>
          <cell r="AM1184">
            <v>48845</v>
          </cell>
          <cell r="AN1184">
            <v>97690</v>
          </cell>
          <cell r="AO1184">
            <v>32563</v>
          </cell>
          <cell r="AP1184">
            <v>32563</v>
          </cell>
        </row>
        <row r="1185">
          <cell r="D1185" t="str">
            <v>Sản xuất và cung cấp 03 tổ hợp máy bay không người lái UAV 1.6</v>
          </cell>
          <cell r="G1185" t="str">
            <v>SXKD</v>
          </cell>
          <cell r="I1185" t="str">
            <v>KCB</v>
          </cell>
          <cell r="AC1185">
            <v>930000</v>
          </cell>
          <cell r="AD1185">
            <v>18227304</v>
          </cell>
          <cell r="AE1185">
            <v>10743652</v>
          </cell>
          <cell r="AF1185">
            <v>10167602</v>
          </cell>
          <cell r="AG1185">
            <v>0</v>
          </cell>
          <cell r="AH1185">
            <v>0</v>
          </cell>
          <cell r="AI1185">
            <v>0</v>
          </cell>
          <cell r="AJ1185">
            <v>0</v>
          </cell>
          <cell r="AK1185">
            <v>438895</v>
          </cell>
          <cell r="AL1185">
            <v>960083</v>
          </cell>
          <cell r="AM1185">
            <v>82293</v>
          </cell>
          <cell r="AN1185">
            <v>164586</v>
          </cell>
          <cell r="AO1185">
            <v>54862</v>
          </cell>
          <cell r="AP1185">
            <v>54862</v>
          </cell>
        </row>
        <row r="1186">
          <cell r="D1186" t="str">
            <v>Sản xuất và cung cấp 03 tổ hợp máy bay không người lái UAV 1.6</v>
          </cell>
          <cell r="G1186" t="str">
            <v>SXKD</v>
          </cell>
          <cell r="I1186" t="str">
            <v>KCB</v>
          </cell>
          <cell r="AC1186">
            <v>1030000</v>
          </cell>
          <cell r="AD1186">
            <v>43458330</v>
          </cell>
          <cell r="AE1186">
            <v>19087695</v>
          </cell>
          <cell r="AF1186">
            <v>18549686</v>
          </cell>
          <cell r="AG1186">
            <v>0</v>
          </cell>
          <cell r="AH1186">
            <v>0</v>
          </cell>
          <cell r="AI1186">
            <v>0</v>
          </cell>
          <cell r="AJ1186">
            <v>0</v>
          </cell>
          <cell r="AK1186">
            <v>409912</v>
          </cell>
          <cell r="AL1186">
            <v>896682</v>
          </cell>
          <cell r="AM1186">
            <v>76858</v>
          </cell>
          <cell r="AN1186">
            <v>153717</v>
          </cell>
          <cell r="AO1186">
            <v>51239</v>
          </cell>
          <cell r="AP1186">
            <v>51239</v>
          </cell>
        </row>
        <row r="1187">
          <cell r="D1187" t="str">
            <v>Sản xuất và cung cấp 03 tổ hợp máy bay không người lái UAV 1.6</v>
          </cell>
          <cell r="G1187" t="str">
            <v>SXKD</v>
          </cell>
          <cell r="I1187" t="str">
            <v>KCB</v>
          </cell>
          <cell r="AC1187">
            <v>1030000</v>
          </cell>
          <cell r="AD1187">
            <v>44198549</v>
          </cell>
          <cell r="AE1187">
            <v>8837142</v>
          </cell>
          <cell r="AF1187">
            <v>8592593</v>
          </cell>
          <cell r="AG1187">
            <v>0</v>
          </cell>
          <cell r="AH1187">
            <v>0</v>
          </cell>
          <cell r="AI1187">
            <v>0</v>
          </cell>
          <cell r="AJ1187">
            <v>0</v>
          </cell>
          <cell r="AK1187">
            <v>186323</v>
          </cell>
          <cell r="AL1187">
            <v>407583</v>
          </cell>
          <cell r="AM1187">
            <v>34936</v>
          </cell>
          <cell r="AN1187">
            <v>69871</v>
          </cell>
          <cell r="AO1187">
            <v>23290</v>
          </cell>
          <cell r="AP1187">
            <v>23290</v>
          </cell>
        </row>
        <row r="1188">
          <cell r="D1188" t="str">
            <v>Sản xuất và cung cấp 03 tổ hợp máy bay không người lái UAV 1.6</v>
          </cell>
          <cell r="G1188" t="str">
            <v>SXKD</v>
          </cell>
          <cell r="I1188" t="str">
            <v>KCB</v>
          </cell>
          <cell r="AC1188">
            <v>1030000</v>
          </cell>
          <cell r="AD1188">
            <v>39994566</v>
          </cell>
          <cell r="AE1188">
            <v>25354344</v>
          </cell>
          <cell r="AF1188">
            <v>24571786</v>
          </cell>
          <cell r="AG1188">
            <v>0</v>
          </cell>
          <cell r="AH1188">
            <v>0</v>
          </cell>
          <cell r="AI1188">
            <v>0</v>
          </cell>
          <cell r="AJ1188">
            <v>0</v>
          </cell>
          <cell r="AK1188">
            <v>596235</v>
          </cell>
          <cell r="AL1188">
            <v>1304264</v>
          </cell>
          <cell r="AM1188">
            <v>111794</v>
          </cell>
          <cell r="AN1188">
            <v>223588</v>
          </cell>
          <cell r="AO1188">
            <v>74529</v>
          </cell>
          <cell r="AP1188">
            <v>74529</v>
          </cell>
        </row>
        <row r="1189">
          <cell r="D1189" t="str">
            <v>Sản xuất và cung cấp 03 tổ hợp máy bay không người lái UAV 1.6</v>
          </cell>
          <cell r="G1189" t="str">
            <v>SXKD</v>
          </cell>
          <cell r="I1189" t="str">
            <v>KCB</v>
          </cell>
          <cell r="AC1189">
            <v>1030000</v>
          </cell>
          <cell r="AD1189">
            <v>33862298</v>
          </cell>
          <cell r="AE1189">
            <v>8745490</v>
          </cell>
          <cell r="AF1189">
            <v>8233921</v>
          </cell>
          <cell r="AG1189">
            <v>0</v>
          </cell>
          <cell r="AH1189">
            <v>0</v>
          </cell>
          <cell r="AI1189">
            <v>0</v>
          </cell>
          <cell r="AJ1189">
            <v>0</v>
          </cell>
          <cell r="AK1189">
            <v>511569</v>
          </cell>
          <cell r="AL1189">
            <v>1119057</v>
          </cell>
          <cell r="AM1189">
            <v>0</v>
          </cell>
          <cell r="AN1189">
            <v>0</v>
          </cell>
          <cell r="AO1189">
            <v>0</v>
          </cell>
          <cell r="AP1189">
            <v>0</v>
          </cell>
        </row>
        <row r="1190">
          <cell r="D1190" t="str">
            <v>Sản xuất và cung cấp 03 tổ hợp máy bay không người lái UAV 1.6</v>
          </cell>
          <cell r="G1190" t="str">
            <v>SXKD</v>
          </cell>
          <cell r="I1190" t="str">
            <v>KCB</v>
          </cell>
          <cell r="AC1190">
            <v>1030000</v>
          </cell>
          <cell r="AD1190">
            <v>32046381</v>
          </cell>
          <cell r="AE1190">
            <v>8783485</v>
          </cell>
          <cell r="AF1190">
            <v>8490252</v>
          </cell>
          <cell r="AG1190">
            <v>0</v>
          </cell>
          <cell r="AH1190">
            <v>0</v>
          </cell>
          <cell r="AI1190">
            <v>0</v>
          </cell>
          <cell r="AJ1190">
            <v>0</v>
          </cell>
          <cell r="AK1190">
            <v>223416</v>
          </cell>
          <cell r="AL1190">
            <v>488722</v>
          </cell>
          <cell r="AM1190">
            <v>41890</v>
          </cell>
          <cell r="AN1190">
            <v>83781</v>
          </cell>
          <cell r="AO1190">
            <v>27927</v>
          </cell>
          <cell r="AP1190">
            <v>27927</v>
          </cell>
        </row>
        <row r="1191">
          <cell r="D1191" t="str">
            <v>Sản xuất và cung cấp 03 tổ hợp máy bay không người lái UAV 1.6</v>
          </cell>
          <cell r="G1191" t="str">
            <v>SXKD</v>
          </cell>
          <cell r="I1191" t="str">
            <v>KCB</v>
          </cell>
          <cell r="AC1191">
            <v>930000</v>
          </cell>
          <cell r="AD1191">
            <v>20154084</v>
          </cell>
          <cell r="AE1191">
            <v>9818267</v>
          </cell>
          <cell r="AF1191">
            <v>9350227</v>
          </cell>
          <cell r="AG1191">
            <v>0</v>
          </cell>
          <cell r="AH1191">
            <v>0</v>
          </cell>
          <cell r="AI1191">
            <v>0</v>
          </cell>
          <cell r="AJ1191">
            <v>0</v>
          </cell>
          <cell r="AK1191">
            <v>356602</v>
          </cell>
          <cell r="AL1191">
            <v>780068</v>
          </cell>
          <cell r="AM1191">
            <v>66863</v>
          </cell>
          <cell r="AN1191">
            <v>133726</v>
          </cell>
          <cell r="AO1191">
            <v>44575</v>
          </cell>
          <cell r="AP1191">
            <v>44575</v>
          </cell>
        </row>
        <row r="1192">
          <cell r="D1192" t="str">
            <v>Sản xuất và cung cấp 03 tổ hợp máy bay không người lái UAV 1.6</v>
          </cell>
          <cell r="G1192" t="str">
            <v>SXKD</v>
          </cell>
          <cell r="I1192" t="str">
            <v>KCB</v>
          </cell>
          <cell r="AC1192">
            <v>930000</v>
          </cell>
          <cell r="AD1192">
            <v>25924160</v>
          </cell>
          <cell r="AE1192">
            <v>5957687</v>
          </cell>
          <cell r="AF1192">
            <v>5706345</v>
          </cell>
          <cell r="AG1192">
            <v>0</v>
          </cell>
          <cell r="AH1192">
            <v>0</v>
          </cell>
          <cell r="AI1192">
            <v>0</v>
          </cell>
          <cell r="AJ1192">
            <v>0</v>
          </cell>
          <cell r="AK1192">
            <v>191499</v>
          </cell>
          <cell r="AL1192">
            <v>418904</v>
          </cell>
          <cell r="AM1192">
            <v>35906</v>
          </cell>
          <cell r="AN1192">
            <v>71812</v>
          </cell>
          <cell r="AO1192">
            <v>23937</v>
          </cell>
          <cell r="AP1192">
            <v>23937</v>
          </cell>
        </row>
        <row r="1193">
          <cell r="D1193" t="str">
            <v>Sản xuất và cung cấp 03 tổ hợp máy bay không người lái UAV 1.6</v>
          </cell>
          <cell r="G1193" t="str">
            <v>SXKD</v>
          </cell>
          <cell r="I1193" t="str">
            <v>KCB</v>
          </cell>
          <cell r="AC1193">
            <v>930000</v>
          </cell>
          <cell r="AD1193">
            <v>35527628</v>
          </cell>
          <cell r="AE1193">
            <v>19675909</v>
          </cell>
          <cell r="AF1193">
            <v>19057742</v>
          </cell>
          <cell r="AG1193">
            <v>0</v>
          </cell>
          <cell r="AH1193">
            <v>0</v>
          </cell>
          <cell r="AI1193">
            <v>0</v>
          </cell>
          <cell r="AJ1193">
            <v>0</v>
          </cell>
          <cell r="AK1193">
            <v>470984</v>
          </cell>
          <cell r="AL1193">
            <v>1030278</v>
          </cell>
          <cell r="AM1193">
            <v>88310</v>
          </cell>
          <cell r="AN1193">
            <v>176619</v>
          </cell>
          <cell r="AO1193">
            <v>58873</v>
          </cell>
          <cell r="AP1193">
            <v>58873</v>
          </cell>
        </row>
        <row r="1194">
          <cell r="D1194" t="str">
            <v>Sản xuất và cung cấp 03 tổ hợp máy bay không người lái UAV 1.6</v>
          </cell>
          <cell r="G1194" t="str">
            <v>SXKD</v>
          </cell>
          <cell r="I1194" t="str">
            <v>KCB</v>
          </cell>
          <cell r="AC1194">
            <v>930000</v>
          </cell>
          <cell r="AD1194">
            <v>25924160</v>
          </cell>
          <cell r="AE1194">
            <v>9929478</v>
          </cell>
          <cell r="AF1194">
            <v>9510574</v>
          </cell>
          <cell r="AG1194">
            <v>0</v>
          </cell>
          <cell r="AH1194">
            <v>0</v>
          </cell>
          <cell r="AI1194">
            <v>0</v>
          </cell>
          <cell r="AJ1194">
            <v>0</v>
          </cell>
          <cell r="AK1194">
            <v>319165</v>
          </cell>
          <cell r="AL1194">
            <v>698174</v>
          </cell>
          <cell r="AM1194">
            <v>59843</v>
          </cell>
          <cell r="AN1194">
            <v>119687</v>
          </cell>
          <cell r="AO1194">
            <v>39896</v>
          </cell>
          <cell r="AP1194">
            <v>39896</v>
          </cell>
        </row>
        <row r="1195">
          <cell r="D1195" t="str">
            <v>Sản xuất và cung cấp 03 tổ hợp máy bay không người lái UAV 1.6</v>
          </cell>
          <cell r="G1195" t="str">
            <v>SXKD</v>
          </cell>
          <cell r="I1195" t="str">
            <v>KCB</v>
          </cell>
          <cell r="AC1195">
            <v>930000</v>
          </cell>
          <cell r="AD1195">
            <v>17994124</v>
          </cell>
          <cell r="AE1195">
            <v>3968040</v>
          </cell>
          <cell r="AF1195">
            <v>3752021</v>
          </cell>
          <cell r="AG1195">
            <v>0</v>
          </cell>
          <cell r="AH1195">
            <v>0</v>
          </cell>
          <cell r="AI1195">
            <v>0</v>
          </cell>
          <cell r="AJ1195">
            <v>0</v>
          </cell>
          <cell r="AK1195">
            <v>164586</v>
          </cell>
          <cell r="AL1195">
            <v>360031</v>
          </cell>
          <cell r="AM1195">
            <v>30860</v>
          </cell>
          <cell r="AN1195">
            <v>61720</v>
          </cell>
          <cell r="AO1195">
            <v>20573</v>
          </cell>
          <cell r="AP1195">
            <v>20573</v>
          </cell>
        </row>
        <row r="1196">
          <cell r="D1196" t="str">
            <v>Sản xuất và cung cấp 03 tổ hợp máy bay không người lái UAV 1.6</v>
          </cell>
          <cell r="G1196" t="str">
            <v>SXKD</v>
          </cell>
          <cell r="I1196" t="str">
            <v>KCB</v>
          </cell>
          <cell r="AC1196">
            <v>930000</v>
          </cell>
          <cell r="AD1196">
            <v>22015160</v>
          </cell>
          <cell r="AE1196">
            <v>8254861</v>
          </cell>
          <cell r="AF1196">
            <v>7880461</v>
          </cell>
          <cell r="AG1196">
            <v>0</v>
          </cell>
          <cell r="AH1196">
            <v>0</v>
          </cell>
          <cell r="AI1196">
            <v>0</v>
          </cell>
          <cell r="AJ1196">
            <v>0</v>
          </cell>
          <cell r="AK1196">
            <v>374400</v>
          </cell>
          <cell r="AL1196">
            <v>819000</v>
          </cell>
          <cell r="AM1196">
            <v>0</v>
          </cell>
          <cell r="AN1196">
            <v>0</v>
          </cell>
          <cell r="AO1196">
            <v>0</v>
          </cell>
          <cell r="AP1196">
            <v>0</v>
          </cell>
        </row>
        <row r="1197">
          <cell r="D1197" t="str">
            <v>Sản xuất và cung cấp 03 tổ hợp máy bay không người lái UAV 1.6</v>
          </cell>
          <cell r="G1197" t="str">
            <v>SXKD</v>
          </cell>
          <cell r="I1197" t="str">
            <v>KCB</v>
          </cell>
          <cell r="AC1197">
            <v>1047000</v>
          </cell>
          <cell r="AD1197">
            <v>15913808</v>
          </cell>
          <cell r="AE1197">
            <v>7460870</v>
          </cell>
          <cell r="AF1197">
            <v>7039927</v>
          </cell>
          <cell r="AG1197">
            <v>0</v>
          </cell>
          <cell r="AH1197">
            <v>0</v>
          </cell>
          <cell r="AI1197">
            <v>0</v>
          </cell>
          <cell r="AJ1197">
            <v>0</v>
          </cell>
          <cell r="AK1197">
            <v>320718</v>
          </cell>
          <cell r="AL1197">
            <v>701570</v>
          </cell>
          <cell r="AM1197">
            <v>60135</v>
          </cell>
          <cell r="AN1197">
            <v>120269</v>
          </cell>
          <cell r="AO1197">
            <v>40090</v>
          </cell>
          <cell r="AP1197">
            <v>40090</v>
          </cell>
        </row>
        <row r="1198">
          <cell r="D1198" t="str">
            <v>Sản xuất và cung cấp 03 tổ hợp máy bay không người lái UAV 1.6</v>
          </cell>
          <cell r="G1198" t="str">
            <v>SXKD</v>
          </cell>
          <cell r="I1198" t="str">
            <v>KCB</v>
          </cell>
          <cell r="AC1198">
            <v>930000</v>
          </cell>
          <cell r="AD1198">
            <v>14515216</v>
          </cell>
          <cell r="AE1198">
            <v>6260870</v>
          </cell>
          <cell r="AF1198">
            <v>5891329</v>
          </cell>
          <cell r="AG1198">
            <v>0</v>
          </cell>
          <cell r="AH1198">
            <v>0</v>
          </cell>
          <cell r="AI1198">
            <v>0</v>
          </cell>
          <cell r="AJ1198">
            <v>0</v>
          </cell>
          <cell r="AK1198">
            <v>281555</v>
          </cell>
          <cell r="AL1198">
            <v>615903</v>
          </cell>
          <cell r="AM1198">
            <v>52792</v>
          </cell>
          <cell r="AN1198">
            <v>105583</v>
          </cell>
          <cell r="AO1198">
            <v>35194</v>
          </cell>
          <cell r="AP1198">
            <v>35194</v>
          </cell>
        </row>
        <row r="1199">
          <cell r="D1199" t="str">
            <v>Sản xuất và cung cấp 03 tổ hợp máy bay không người lái UAV 1.6</v>
          </cell>
          <cell r="G1199" t="str">
            <v>SXKD</v>
          </cell>
          <cell r="I1199" t="str">
            <v>KCB</v>
          </cell>
          <cell r="AC1199">
            <v>1030000</v>
          </cell>
          <cell r="AD1199">
            <v>42709982</v>
          </cell>
          <cell r="AE1199">
            <v>23837913</v>
          </cell>
          <cell r="AF1199">
            <v>23153174</v>
          </cell>
          <cell r="AG1199">
            <v>0</v>
          </cell>
          <cell r="AH1199">
            <v>0</v>
          </cell>
          <cell r="AI1199">
            <v>0</v>
          </cell>
          <cell r="AJ1199">
            <v>0</v>
          </cell>
          <cell r="AK1199">
            <v>521706</v>
          </cell>
          <cell r="AL1199">
            <v>1141231</v>
          </cell>
          <cell r="AM1199">
            <v>97820</v>
          </cell>
          <cell r="AN1199">
            <v>195640</v>
          </cell>
          <cell r="AO1199">
            <v>65213</v>
          </cell>
          <cell r="AP1199">
            <v>65213</v>
          </cell>
        </row>
        <row r="1200">
          <cell r="D1200" t="str">
            <v>Sản xuất và cung cấp 03 tổ hợp máy bay không người lái UAV 1.6</v>
          </cell>
          <cell r="G1200" t="str">
            <v>SXKD</v>
          </cell>
          <cell r="I1200" t="str">
            <v>KCB</v>
          </cell>
          <cell r="AC1200">
            <v>1498000</v>
          </cell>
          <cell r="AD1200">
            <v>46666549</v>
          </cell>
          <cell r="AE1200">
            <v>25961389</v>
          </cell>
          <cell r="AF1200">
            <v>25276650</v>
          </cell>
          <cell r="AG1200">
            <v>0</v>
          </cell>
          <cell r="AH1200">
            <v>0</v>
          </cell>
          <cell r="AI1200">
            <v>0</v>
          </cell>
          <cell r="AJ1200">
            <v>0</v>
          </cell>
          <cell r="AK1200">
            <v>521706</v>
          </cell>
          <cell r="AL1200">
            <v>1141231</v>
          </cell>
          <cell r="AM1200">
            <v>97820</v>
          </cell>
          <cell r="AN1200">
            <v>195640</v>
          </cell>
          <cell r="AO1200">
            <v>65213</v>
          </cell>
          <cell r="AP1200">
            <v>65213</v>
          </cell>
        </row>
        <row r="1201">
          <cell r="D1201" t="str">
            <v>Sản xuất và cung cấp 03 tổ hợp máy bay không người lái UAV 1.6</v>
          </cell>
          <cell r="G1201" t="str">
            <v>SXKD</v>
          </cell>
          <cell r="I1201" t="str">
            <v>KCB</v>
          </cell>
          <cell r="AC1201">
            <v>930000</v>
          </cell>
          <cell r="AD1201">
            <v>28518964</v>
          </cell>
          <cell r="AE1201">
            <v>3302093</v>
          </cell>
          <cell r="AF1201">
            <v>3169629</v>
          </cell>
          <cell r="AG1201">
            <v>0</v>
          </cell>
          <cell r="AH1201">
            <v>0</v>
          </cell>
          <cell r="AI1201">
            <v>0</v>
          </cell>
          <cell r="AJ1201">
            <v>0</v>
          </cell>
          <cell r="AK1201">
            <v>100925</v>
          </cell>
          <cell r="AL1201">
            <v>220774</v>
          </cell>
          <cell r="AM1201">
            <v>18923</v>
          </cell>
          <cell r="AN1201">
            <v>37847</v>
          </cell>
          <cell r="AO1201">
            <v>12616</v>
          </cell>
          <cell r="AP1201">
            <v>12616</v>
          </cell>
        </row>
        <row r="1202">
          <cell r="D1202" t="str">
            <v>Sản xuất và cung cấp 03 tổ hợp máy bay không người lái UAV 1.6</v>
          </cell>
          <cell r="G1202" t="str">
            <v>SXKD</v>
          </cell>
          <cell r="I1202" t="str">
            <v>KCB</v>
          </cell>
          <cell r="AC1202">
            <v>1030000</v>
          </cell>
          <cell r="AD1202">
            <v>39198549</v>
          </cell>
          <cell r="AE1202">
            <v>12400297</v>
          </cell>
          <cell r="AF1202">
            <v>12009017</v>
          </cell>
          <cell r="AG1202">
            <v>0</v>
          </cell>
          <cell r="AH1202">
            <v>0</v>
          </cell>
          <cell r="AI1202">
            <v>0</v>
          </cell>
          <cell r="AJ1202">
            <v>0</v>
          </cell>
          <cell r="AK1202">
            <v>298118</v>
          </cell>
          <cell r="AL1202">
            <v>652132</v>
          </cell>
          <cell r="AM1202">
            <v>55897</v>
          </cell>
          <cell r="AN1202">
            <v>111794</v>
          </cell>
          <cell r="AO1202">
            <v>37265</v>
          </cell>
          <cell r="AP1202">
            <v>37265</v>
          </cell>
        </row>
        <row r="1203">
          <cell r="D1203" t="str">
            <v>Sản xuất và cung cấp 03 tổ hợp máy bay không người lái UAV 1.6</v>
          </cell>
          <cell r="G1203" t="str">
            <v>SXKD</v>
          </cell>
          <cell r="I1203" t="str">
            <v>KCB</v>
          </cell>
          <cell r="AC1203">
            <v>930000</v>
          </cell>
          <cell r="AD1203">
            <v>20493652</v>
          </cell>
          <cell r="AE1203">
            <v>6893648</v>
          </cell>
          <cell r="AF1203">
            <v>6553316</v>
          </cell>
          <cell r="AG1203">
            <v>0</v>
          </cell>
          <cell r="AH1203">
            <v>0</v>
          </cell>
          <cell r="AI1203">
            <v>0</v>
          </cell>
          <cell r="AJ1203">
            <v>0</v>
          </cell>
          <cell r="AK1203">
            <v>259300</v>
          </cell>
          <cell r="AL1203">
            <v>567219</v>
          </cell>
          <cell r="AM1203">
            <v>48619</v>
          </cell>
          <cell r="AN1203">
            <v>97238</v>
          </cell>
          <cell r="AO1203">
            <v>32413</v>
          </cell>
          <cell r="AP1203">
            <v>32413</v>
          </cell>
        </row>
        <row r="1204">
          <cell r="D1204" t="str">
            <v>Sản xuất và cung cấp 03 tổ hợp máy bay không người lái UAV 1.6</v>
          </cell>
          <cell r="G1204" t="str">
            <v>SXKD</v>
          </cell>
          <cell r="I1204" t="str">
            <v>KCB</v>
          </cell>
          <cell r="AC1204">
            <v>930000</v>
          </cell>
          <cell r="AD1204">
            <v>14515216</v>
          </cell>
          <cell r="AE1204">
            <v>5217391</v>
          </cell>
          <cell r="AF1204">
            <v>4909439</v>
          </cell>
          <cell r="AG1204">
            <v>0</v>
          </cell>
          <cell r="AH1204">
            <v>0</v>
          </cell>
          <cell r="AI1204">
            <v>0</v>
          </cell>
          <cell r="AJ1204">
            <v>0</v>
          </cell>
          <cell r="AK1204">
            <v>234630</v>
          </cell>
          <cell r="AL1204">
            <v>513252</v>
          </cell>
          <cell r="AM1204">
            <v>43993</v>
          </cell>
          <cell r="AN1204">
            <v>87986</v>
          </cell>
          <cell r="AO1204">
            <v>29329</v>
          </cell>
          <cell r="AP1204">
            <v>29329</v>
          </cell>
        </row>
        <row r="1205">
          <cell r="D1205" t="str">
            <v>Sản xuất và cung cấp 03 tổ hợp máy bay không người lái UAV 1.6</v>
          </cell>
          <cell r="G1205" t="str">
            <v>SXKD</v>
          </cell>
          <cell r="I1205" t="str">
            <v>KCB</v>
          </cell>
          <cell r="AC1205">
            <v>1398000</v>
          </cell>
          <cell r="AD1205">
            <v>31764608</v>
          </cell>
          <cell r="AE1205">
            <v>20851053</v>
          </cell>
          <cell r="AF1205">
            <v>20138915</v>
          </cell>
          <cell r="AG1205">
            <v>0</v>
          </cell>
          <cell r="AH1205">
            <v>0</v>
          </cell>
          <cell r="AI1205">
            <v>0</v>
          </cell>
          <cell r="AJ1205">
            <v>0</v>
          </cell>
          <cell r="AK1205">
            <v>542581</v>
          </cell>
          <cell r="AL1205">
            <v>1186896</v>
          </cell>
          <cell r="AM1205">
            <v>101734</v>
          </cell>
          <cell r="AN1205">
            <v>203468</v>
          </cell>
          <cell r="AO1205">
            <v>67823</v>
          </cell>
          <cell r="AP1205">
            <v>67823</v>
          </cell>
        </row>
        <row r="1206">
          <cell r="D1206" t="str">
            <v>Sản xuất và cung cấp 03 tổ hợp máy bay không người lái UAV 1.6</v>
          </cell>
          <cell r="G1206" t="str">
            <v>SXKD</v>
          </cell>
          <cell r="I1206" t="str">
            <v>KCB</v>
          </cell>
          <cell r="AC1206">
            <v>1130000</v>
          </cell>
          <cell r="AD1206">
            <v>57589754</v>
          </cell>
          <cell r="AE1206">
            <v>7000953</v>
          </cell>
          <cell r="AF1206">
            <v>6838600</v>
          </cell>
          <cell r="AG1206">
            <v>0</v>
          </cell>
          <cell r="AH1206">
            <v>0</v>
          </cell>
          <cell r="AI1206">
            <v>0</v>
          </cell>
          <cell r="AJ1206">
            <v>0</v>
          </cell>
          <cell r="AK1206">
            <v>123698</v>
          </cell>
          <cell r="AL1206">
            <v>270590</v>
          </cell>
          <cell r="AM1206">
            <v>23193</v>
          </cell>
          <cell r="AN1206">
            <v>46387</v>
          </cell>
          <cell r="AO1206">
            <v>15462</v>
          </cell>
          <cell r="AP1206">
            <v>15462</v>
          </cell>
        </row>
        <row r="1207">
          <cell r="D1207" t="str">
            <v>Sản xuất và cung cấp 03 tổ hợp máy bay không người lái UAV 1.6</v>
          </cell>
          <cell r="G1207" t="str">
            <v>SXKD</v>
          </cell>
          <cell r="I1207" t="str">
            <v>KCB</v>
          </cell>
          <cell r="AC1207">
            <v>1030000</v>
          </cell>
          <cell r="AD1207">
            <v>37377172</v>
          </cell>
          <cell r="AE1207">
            <v>11766774</v>
          </cell>
          <cell r="AF1207">
            <v>11375494</v>
          </cell>
          <cell r="AG1207">
            <v>0</v>
          </cell>
          <cell r="AH1207">
            <v>0</v>
          </cell>
          <cell r="AI1207">
            <v>0</v>
          </cell>
          <cell r="AJ1207">
            <v>0</v>
          </cell>
          <cell r="AK1207">
            <v>298118</v>
          </cell>
          <cell r="AL1207">
            <v>652132</v>
          </cell>
          <cell r="AM1207">
            <v>55897</v>
          </cell>
          <cell r="AN1207">
            <v>111794</v>
          </cell>
          <cell r="AO1207">
            <v>37265</v>
          </cell>
          <cell r="AP1207">
            <v>37265</v>
          </cell>
        </row>
        <row r="1208">
          <cell r="D1208" t="str">
            <v>Sản xuất và cung cấp 03 tổ hợp máy bay không người lái UAV 1.6</v>
          </cell>
          <cell r="G1208" t="str">
            <v>SXKD</v>
          </cell>
          <cell r="I1208" t="str">
            <v>KCB</v>
          </cell>
          <cell r="AC1208">
            <v>930000</v>
          </cell>
          <cell r="AD1208">
            <v>30163490</v>
          </cell>
          <cell r="AE1208">
            <v>4688795</v>
          </cell>
          <cell r="AF1208">
            <v>4512176</v>
          </cell>
          <cell r="AG1208">
            <v>0</v>
          </cell>
          <cell r="AH1208">
            <v>0</v>
          </cell>
          <cell r="AI1208">
            <v>0</v>
          </cell>
          <cell r="AJ1208">
            <v>0</v>
          </cell>
          <cell r="AK1208">
            <v>134567</v>
          </cell>
          <cell r="AL1208">
            <v>294365</v>
          </cell>
          <cell r="AM1208">
            <v>25231</v>
          </cell>
          <cell r="AN1208">
            <v>50463</v>
          </cell>
          <cell r="AO1208">
            <v>16821</v>
          </cell>
          <cell r="AP1208">
            <v>16821</v>
          </cell>
        </row>
        <row r="1209">
          <cell r="D1209" t="str">
            <v>Sản xuất và cung cấp 03 tổ hợp máy bay không người lái UAV 1.6</v>
          </cell>
          <cell r="G1209" t="str">
            <v>SXKD</v>
          </cell>
          <cell r="I1209" t="str">
            <v>KCB</v>
          </cell>
          <cell r="AC1209">
            <v>1030000</v>
          </cell>
          <cell r="AD1209">
            <v>38878771</v>
          </cell>
          <cell r="AE1209">
            <v>3083417</v>
          </cell>
          <cell r="AF1209">
            <v>2990578</v>
          </cell>
          <cell r="AG1209">
            <v>0</v>
          </cell>
          <cell r="AH1209">
            <v>0</v>
          </cell>
          <cell r="AI1209">
            <v>0</v>
          </cell>
          <cell r="AJ1209">
            <v>0</v>
          </cell>
          <cell r="AK1209">
            <v>70734</v>
          </cell>
          <cell r="AL1209">
            <v>154730</v>
          </cell>
          <cell r="AM1209">
            <v>13263</v>
          </cell>
          <cell r="AN1209">
            <v>26525</v>
          </cell>
          <cell r="AO1209">
            <v>8842</v>
          </cell>
          <cell r="AP1209">
            <v>8842</v>
          </cell>
        </row>
        <row r="1210">
          <cell r="D1210" t="str">
            <v>Sản xuất và cung cấp 03 tổ hợp máy bay không người lái UAV 1.6</v>
          </cell>
          <cell r="G1210" t="str">
            <v>SXKD</v>
          </cell>
          <cell r="I1210" t="str">
            <v>KCB</v>
          </cell>
          <cell r="AC1210">
            <v>1030000</v>
          </cell>
          <cell r="AD1210">
            <v>38561534</v>
          </cell>
          <cell r="AE1210">
            <v>10695408</v>
          </cell>
          <cell r="AF1210">
            <v>10370474</v>
          </cell>
          <cell r="AG1210">
            <v>0</v>
          </cell>
          <cell r="AH1210">
            <v>0</v>
          </cell>
          <cell r="AI1210">
            <v>0</v>
          </cell>
          <cell r="AJ1210">
            <v>0</v>
          </cell>
          <cell r="AK1210">
            <v>247569</v>
          </cell>
          <cell r="AL1210">
            <v>541557</v>
          </cell>
          <cell r="AM1210">
            <v>46419</v>
          </cell>
          <cell r="AN1210">
            <v>92838</v>
          </cell>
          <cell r="AO1210">
            <v>30946</v>
          </cell>
          <cell r="AP1210">
            <v>30946</v>
          </cell>
        </row>
        <row r="1211">
          <cell r="D1211" t="str">
            <v>Sản xuất và cung cấp 03 tổ hợp máy bay không người lái UAV 1.6</v>
          </cell>
          <cell r="G1211" t="str">
            <v>SXKD</v>
          </cell>
          <cell r="I1211" t="str">
            <v>KCB</v>
          </cell>
          <cell r="AC1211">
            <v>930000</v>
          </cell>
          <cell r="AD1211">
            <v>23553206</v>
          </cell>
          <cell r="AE1211">
            <v>2709118</v>
          </cell>
          <cell r="AF1211">
            <v>2601108</v>
          </cell>
          <cell r="AG1211">
            <v>0</v>
          </cell>
          <cell r="AH1211">
            <v>0</v>
          </cell>
          <cell r="AI1211">
            <v>0</v>
          </cell>
          <cell r="AJ1211">
            <v>0</v>
          </cell>
          <cell r="AK1211">
            <v>82293</v>
          </cell>
          <cell r="AL1211">
            <v>180016</v>
          </cell>
          <cell r="AM1211">
            <v>15430</v>
          </cell>
          <cell r="AN1211">
            <v>30860</v>
          </cell>
          <cell r="AO1211">
            <v>10287</v>
          </cell>
          <cell r="AP1211">
            <v>10287</v>
          </cell>
        </row>
        <row r="1212">
          <cell r="D1212" t="str">
            <v>Sản xuất và cung cấp 03 tổ hợp máy bay không người lái UAV 1.6</v>
          </cell>
          <cell r="G1212" t="str">
            <v>SXKD</v>
          </cell>
          <cell r="I1212" t="str">
            <v>KCB</v>
          </cell>
          <cell r="AC1212">
            <v>930000</v>
          </cell>
          <cell r="AD1212">
            <v>17741776</v>
          </cell>
          <cell r="AE1212">
            <v>2617690</v>
          </cell>
          <cell r="AF1212">
            <v>2480924</v>
          </cell>
          <cell r="AG1212">
            <v>0</v>
          </cell>
          <cell r="AH1212">
            <v>0</v>
          </cell>
          <cell r="AI1212">
            <v>0</v>
          </cell>
          <cell r="AJ1212">
            <v>0</v>
          </cell>
          <cell r="AK1212">
            <v>104203</v>
          </cell>
          <cell r="AL1212">
            <v>227944</v>
          </cell>
          <cell r="AM1212">
            <v>19538</v>
          </cell>
          <cell r="AN1212">
            <v>39076</v>
          </cell>
          <cell r="AO1212">
            <v>13025</v>
          </cell>
          <cell r="AP1212">
            <v>13025</v>
          </cell>
        </row>
        <row r="1213">
          <cell r="D1213" t="str">
            <v>Sản xuất và cung cấp 03 tổ hợp máy bay không người lái UAV 1.6</v>
          </cell>
          <cell r="G1213" t="str">
            <v>SXKD</v>
          </cell>
          <cell r="I1213" t="str">
            <v>KCB</v>
          </cell>
          <cell r="AC1213">
            <v>1047000</v>
          </cell>
          <cell r="AD1213">
            <v>18062480</v>
          </cell>
          <cell r="AE1213">
            <v>5306234</v>
          </cell>
          <cell r="AF1213">
            <v>5032701</v>
          </cell>
          <cell r="AG1213">
            <v>0</v>
          </cell>
          <cell r="AH1213">
            <v>0</v>
          </cell>
          <cell r="AI1213">
            <v>0</v>
          </cell>
          <cell r="AJ1213">
            <v>0</v>
          </cell>
          <cell r="AK1213">
            <v>208406</v>
          </cell>
          <cell r="AL1213">
            <v>455889</v>
          </cell>
          <cell r="AM1213">
            <v>39076</v>
          </cell>
          <cell r="AN1213">
            <v>78152</v>
          </cell>
          <cell r="AO1213">
            <v>26051</v>
          </cell>
          <cell r="AP1213">
            <v>26051</v>
          </cell>
        </row>
        <row r="1214">
          <cell r="D1214" t="str">
            <v>Sản xuất và cung cấp 03 tổ hợp máy bay không người lái UAV 1.6</v>
          </cell>
          <cell r="G1214" t="str">
            <v>SXKD</v>
          </cell>
          <cell r="I1214" t="str">
            <v>KCB</v>
          </cell>
          <cell r="AC1214">
            <v>930000</v>
          </cell>
          <cell r="AD1214">
            <v>12515216</v>
          </cell>
          <cell r="AE1214">
            <v>2608696</v>
          </cell>
          <cell r="AF1214">
            <v>2423925</v>
          </cell>
          <cell r="AG1214">
            <v>0</v>
          </cell>
          <cell r="AH1214">
            <v>0</v>
          </cell>
          <cell r="AI1214">
            <v>0</v>
          </cell>
          <cell r="AJ1214">
            <v>0</v>
          </cell>
          <cell r="AK1214">
            <v>140778</v>
          </cell>
          <cell r="AL1214">
            <v>307951</v>
          </cell>
          <cell r="AM1214">
            <v>26396</v>
          </cell>
          <cell r="AN1214">
            <v>52792</v>
          </cell>
          <cell r="AO1214">
            <v>17597</v>
          </cell>
          <cell r="AP1214">
            <v>17597</v>
          </cell>
        </row>
        <row r="1215">
          <cell r="D1215" t="str">
            <v>Sản xuất và cung cấp 03 tổ hợp máy bay không người lái UAV 1.6</v>
          </cell>
          <cell r="G1215" t="str">
            <v>SXKD</v>
          </cell>
          <cell r="I1215" t="str">
            <v>KCB</v>
          </cell>
          <cell r="AC1215">
            <v>1030000</v>
          </cell>
          <cell r="AD1215">
            <v>41804012</v>
          </cell>
          <cell r="AE1215">
            <v>13261948</v>
          </cell>
          <cell r="AF1215">
            <v>12850743</v>
          </cell>
          <cell r="AG1215">
            <v>0</v>
          </cell>
          <cell r="AH1215">
            <v>0</v>
          </cell>
          <cell r="AI1215">
            <v>0</v>
          </cell>
          <cell r="AJ1215">
            <v>0</v>
          </cell>
          <cell r="AK1215">
            <v>313299</v>
          </cell>
          <cell r="AL1215">
            <v>685343</v>
          </cell>
          <cell r="AM1215">
            <v>58744</v>
          </cell>
          <cell r="AN1215">
            <v>117487</v>
          </cell>
          <cell r="AO1215">
            <v>39162</v>
          </cell>
          <cell r="AP1215">
            <v>39162</v>
          </cell>
        </row>
        <row r="1216">
          <cell r="D1216" t="str">
            <v>Sản xuất và cung cấp 03 tổ hợp máy bay không người lái UAV 1.6</v>
          </cell>
          <cell r="G1216" t="str">
            <v>SXKD</v>
          </cell>
          <cell r="I1216" t="str">
            <v>KCB</v>
          </cell>
          <cell r="AC1216">
            <v>930000</v>
          </cell>
          <cell r="AD1216">
            <v>16972936</v>
          </cell>
          <cell r="AE1216">
            <v>3104974</v>
          </cell>
          <cell r="AF1216">
            <v>2934015</v>
          </cell>
          <cell r="AG1216">
            <v>0</v>
          </cell>
          <cell r="AH1216">
            <v>0</v>
          </cell>
          <cell r="AI1216">
            <v>0</v>
          </cell>
          <cell r="AJ1216">
            <v>0</v>
          </cell>
          <cell r="AK1216">
            <v>130254</v>
          </cell>
          <cell r="AL1216">
            <v>284930</v>
          </cell>
          <cell r="AM1216">
            <v>24423</v>
          </cell>
          <cell r="AN1216">
            <v>48845</v>
          </cell>
          <cell r="AO1216">
            <v>16282</v>
          </cell>
          <cell r="AP1216">
            <v>16282</v>
          </cell>
        </row>
        <row r="1217">
          <cell r="D1217" t="str">
            <v>Sản xuất và cung cấp 03 tổ hợp máy bay không người lái UAV 1.6</v>
          </cell>
          <cell r="G1217" t="str">
            <v>SXKD</v>
          </cell>
          <cell r="I1217" t="str">
            <v>KCB</v>
          </cell>
          <cell r="AC1217">
            <v>1147000</v>
          </cell>
          <cell r="AD1217">
            <v>23524556</v>
          </cell>
          <cell r="AE1217">
            <v>12372409</v>
          </cell>
          <cell r="AF1217">
            <v>11814473</v>
          </cell>
          <cell r="AG1217">
            <v>0</v>
          </cell>
          <cell r="AH1217">
            <v>0</v>
          </cell>
          <cell r="AI1217">
            <v>0</v>
          </cell>
          <cell r="AJ1217">
            <v>0</v>
          </cell>
          <cell r="AK1217">
            <v>425094</v>
          </cell>
          <cell r="AL1217">
            <v>929892</v>
          </cell>
          <cell r="AM1217">
            <v>79705</v>
          </cell>
          <cell r="AN1217">
            <v>159410</v>
          </cell>
          <cell r="AO1217">
            <v>53137</v>
          </cell>
          <cell r="AP1217">
            <v>53137</v>
          </cell>
        </row>
        <row r="1218">
          <cell r="D1218" t="str">
            <v>Sản xuất và cung cấp 03 tổ hợp máy bay không người lái UAV 1.6</v>
          </cell>
          <cell r="G1218" t="str">
            <v>SXKD</v>
          </cell>
          <cell r="I1218" t="str">
            <v>KCB</v>
          </cell>
          <cell r="AC1218">
            <v>849131</v>
          </cell>
          <cell r="AD1218">
            <v>13390869</v>
          </cell>
          <cell r="AE1218">
            <v>2086957</v>
          </cell>
          <cell r="AF1218">
            <v>1952045</v>
          </cell>
          <cell r="AG1218">
            <v>0</v>
          </cell>
          <cell r="AH1218">
            <v>0</v>
          </cell>
          <cell r="AI1218">
            <v>0</v>
          </cell>
          <cell r="AJ1218">
            <v>0</v>
          </cell>
          <cell r="AK1218">
            <v>102790</v>
          </cell>
          <cell r="AL1218">
            <v>224853</v>
          </cell>
          <cell r="AM1218">
            <v>19273</v>
          </cell>
          <cell r="AN1218">
            <v>38546</v>
          </cell>
          <cell r="AO1218">
            <v>12849</v>
          </cell>
          <cell r="AP1218">
            <v>12849</v>
          </cell>
        </row>
        <row r="1219">
          <cell r="D1219" t="str">
            <v>Nghiên cứu, xây dựng nền tảng khung thân vỏ, hệ thống động lực nhiên liệu và hệ thống điện cho UAV đa năng tầm xa</v>
          </cell>
          <cell r="G1219" t="str">
            <v>KHCN</v>
          </cell>
          <cell r="I1219" t="str">
            <v>KCB</v>
          </cell>
          <cell r="AC1219">
            <v>1230000</v>
          </cell>
          <cell r="AD1219">
            <v>78365831</v>
          </cell>
          <cell r="AE1219">
            <v>28922651</v>
          </cell>
          <cell r="AF1219">
            <v>28405345</v>
          </cell>
          <cell r="AG1219">
            <v>0</v>
          </cell>
          <cell r="AH1219">
            <v>0</v>
          </cell>
          <cell r="AI1219">
            <v>0</v>
          </cell>
          <cell r="AJ1219">
            <v>0</v>
          </cell>
          <cell r="AK1219">
            <v>517306</v>
          </cell>
          <cell r="AL1219">
            <v>1131608</v>
          </cell>
          <cell r="AM1219">
            <v>0</v>
          </cell>
          <cell r="AN1219">
            <v>0</v>
          </cell>
          <cell r="AO1219">
            <v>0</v>
          </cell>
          <cell r="AP1219">
            <v>0</v>
          </cell>
        </row>
        <row r="1220">
          <cell r="D1220" t="str">
            <v>Nghiên cứu, xây dựng nền tảng khung thân vỏ, hệ thống động lực nhiên liệu và hệ thống điện cho UAV đa năng tầm xa</v>
          </cell>
          <cell r="G1220" t="str">
            <v>KHCN</v>
          </cell>
          <cell r="I1220" t="str">
            <v>KCB</v>
          </cell>
          <cell r="AC1220">
            <v>1230000</v>
          </cell>
          <cell r="AD1220">
            <v>62833525</v>
          </cell>
          <cell r="AE1220">
            <v>22960906</v>
          </cell>
          <cell r="AF1220">
            <v>22449391</v>
          </cell>
          <cell r="AG1220">
            <v>0</v>
          </cell>
          <cell r="AH1220">
            <v>0</v>
          </cell>
          <cell r="AI1220">
            <v>0</v>
          </cell>
          <cell r="AJ1220">
            <v>0</v>
          </cell>
          <cell r="AK1220">
            <v>389726</v>
          </cell>
          <cell r="AL1220">
            <v>852527</v>
          </cell>
          <cell r="AM1220">
            <v>73073</v>
          </cell>
          <cell r="AN1220">
            <v>146148</v>
          </cell>
          <cell r="AO1220">
            <v>48716</v>
          </cell>
          <cell r="AP1220">
            <v>48716</v>
          </cell>
        </row>
        <row r="1221">
          <cell r="D1221" t="str">
            <v>Nghiên cứu, xây dựng nền tảng khung thân vỏ, hệ thống động lực nhiên liệu và hệ thống điện cho UAV đa năng tầm xa</v>
          </cell>
          <cell r="G1221" t="str">
            <v>KHCN</v>
          </cell>
          <cell r="I1221" t="str">
            <v>TCĐT</v>
          </cell>
          <cell r="AC1221">
            <v>1398000</v>
          </cell>
          <cell r="AD1221">
            <v>27325242</v>
          </cell>
          <cell r="AE1221">
            <v>18603299</v>
          </cell>
          <cell r="AF1221">
            <v>17849272</v>
          </cell>
          <cell r="AG1221">
            <v>0</v>
          </cell>
          <cell r="AH1221">
            <v>0</v>
          </cell>
          <cell r="AI1221">
            <v>0</v>
          </cell>
          <cell r="AJ1221">
            <v>0</v>
          </cell>
          <cell r="AK1221">
            <v>574497</v>
          </cell>
          <cell r="AL1221">
            <v>1256713</v>
          </cell>
          <cell r="AM1221">
            <v>107718</v>
          </cell>
          <cell r="AN1221">
            <v>215437</v>
          </cell>
          <cell r="AO1221">
            <v>71812</v>
          </cell>
          <cell r="AP1221">
            <v>71812</v>
          </cell>
        </row>
        <row r="1222">
          <cell r="D1222" t="str">
            <v>Nghiên cứu, xây dựng nền tảng khung thân vỏ, hệ thống động lực nhiên liệu và hệ thống điện cho UAV đa năng tầm xa</v>
          </cell>
          <cell r="G1222" t="str">
            <v>KHCN</v>
          </cell>
          <cell r="I1222" t="str">
            <v>KCB</v>
          </cell>
          <cell r="AC1222">
            <v>1030000</v>
          </cell>
          <cell r="AD1222">
            <v>42278340</v>
          </cell>
          <cell r="AE1222">
            <v>6545120</v>
          </cell>
          <cell r="AF1222">
            <v>6287272</v>
          </cell>
          <cell r="AG1222">
            <v>0</v>
          </cell>
          <cell r="AH1222">
            <v>0</v>
          </cell>
          <cell r="AI1222">
            <v>0</v>
          </cell>
          <cell r="AJ1222">
            <v>0</v>
          </cell>
          <cell r="AK1222">
            <v>257848</v>
          </cell>
          <cell r="AL1222">
            <v>564042</v>
          </cell>
          <cell r="AM1222">
            <v>0</v>
          </cell>
          <cell r="AN1222">
            <v>0</v>
          </cell>
          <cell r="AO1222">
            <v>0</v>
          </cell>
          <cell r="AP1222">
            <v>0</v>
          </cell>
        </row>
        <row r="1223">
          <cell r="D1223" t="str">
            <v>Nghiên cứu, xây dựng nền tảng khung thân vỏ, hệ thống động lực nhiên liệu và hệ thống điện cho UAV đa năng tầm xa</v>
          </cell>
          <cell r="G1223" t="str">
            <v>KHCN</v>
          </cell>
          <cell r="I1223" t="str">
            <v>KCB</v>
          </cell>
          <cell r="AC1223">
            <v>1030000</v>
          </cell>
          <cell r="AD1223">
            <v>52948602</v>
          </cell>
          <cell r="AE1223">
            <v>6426873</v>
          </cell>
          <cell r="AF1223">
            <v>6272671</v>
          </cell>
          <cell r="AG1223">
            <v>0</v>
          </cell>
          <cell r="AH1223">
            <v>0</v>
          </cell>
          <cell r="AI1223">
            <v>0</v>
          </cell>
          <cell r="AJ1223">
            <v>0</v>
          </cell>
          <cell r="AK1223">
            <v>117487</v>
          </cell>
          <cell r="AL1223">
            <v>257003</v>
          </cell>
          <cell r="AM1223">
            <v>22029</v>
          </cell>
          <cell r="AN1223">
            <v>44058</v>
          </cell>
          <cell r="AO1223">
            <v>14686</v>
          </cell>
          <cell r="AP1223">
            <v>14686</v>
          </cell>
        </row>
        <row r="1224">
          <cell r="D1224" t="str">
            <v>Nghiên cứu, xây dựng nền tảng khung thân vỏ, hệ thống động lực nhiên liệu và hệ thống điện cho UAV đa năng tầm xa</v>
          </cell>
          <cell r="G1224" t="str">
            <v>KHCN</v>
          </cell>
          <cell r="I1224" t="str">
            <v>KCB</v>
          </cell>
          <cell r="AC1224">
            <v>1030000</v>
          </cell>
          <cell r="AD1224">
            <v>40519651</v>
          </cell>
          <cell r="AE1224">
            <v>6452203</v>
          </cell>
          <cell r="AF1224">
            <v>6266526</v>
          </cell>
          <cell r="AG1224">
            <v>0</v>
          </cell>
          <cell r="AH1224">
            <v>0</v>
          </cell>
          <cell r="AI1224">
            <v>0</v>
          </cell>
          <cell r="AJ1224">
            <v>0</v>
          </cell>
          <cell r="AK1224">
            <v>141468</v>
          </cell>
          <cell r="AL1224">
            <v>309461</v>
          </cell>
          <cell r="AM1224">
            <v>26525</v>
          </cell>
          <cell r="AN1224">
            <v>53050</v>
          </cell>
          <cell r="AO1224">
            <v>17684</v>
          </cell>
          <cell r="AP1224">
            <v>17684</v>
          </cell>
        </row>
        <row r="1225">
          <cell r="D1225" t="str">
            <v>Nghiên cứu, xây dựng nền tảng khung thân vỏ, hệ thống động lực nhiên liệu và hệ thống điện cho UAV đa năng tầm xa</v>
          </cell>
          <cell r="G1225" t="str">
            <v>KHCN</v>
          </cell>
          <cell r="I1225" t="str">
            <v>KCB</v>
          </cell>
          <cell r="AC1225">
            <v>1030000</v>
          </cell>
          <cell r="AD1225">
            <v>44377172</v>
          </cell>
          <cell r="AE1225">
            <v>15976752</v>
          </cell>
          <cell r="AF1225">
            <v>15536562</v>
          </cell>
          <cell r="AG1225">
            <v>0</v>
          </cell>
          <cell r="AH1225">
            <v>0</v>
          </cell>
          <cell r="AI1225">
            <v>0</v>
          </cell>
          <cell r="AJ1225">
            <v>0</v>
          </cell>
          <cell r="AK1225">
            <v>335383</v>
          </cell>
          <cell r="AL1225">
            <v>733648</v>
          </cell>
          <cell r="AM1225">
            <v>62884</v>
          </cell>
          <cell r="AN1225">
            <v>125769</v>
          </cell>
          <cell r="AO1225">
            <v>41923</v>
          </cell>
          <cell r="AP1225">
            <v>41923</v>
          </cell>
        </row>
        <row r="1226">
          <cell r="D1226" t="str">
            <v>Nghiên cứu, xây dựng nền tảng khung thân vỏ, hệ thống động lực nhiên liệu và hệ thống điện cho UAV đa năng tầm xa</v>
          </cell>
          <cell r="G1226" t="str">
            <v>KHCN</v>
          </cell>
          <cell r="I1226" t="str">
            <v>KCB</v>
          </cell>
          <cell r="AC1226">
            <v>1030000</v>
          </cell>
          <cell r="AD1226">
            <v>45216256</v>
          </cell>
          <cell r="AE1226">
            <v>7246706</v>
          </cell>
          <cell r="AF1226">
            <v>7051066</v>
          </cell>
          <cell r="AG1226">
            <v>0</v>
          </cell>
          <cell r="AH1226">
            <v>0</v>
          </cell>
          <cell r="AI1226">
            <v>0</v>
          </cell>
          <cell r="AJ1226">
            <v>0</v>
          </cell>
          <cell r="AK1226">
            <v>149059</v>
          </cell>
          <cell r="AL1226">
            <v>326066</v>
          </cell>
          <cell r="AM1226">
            <v>27948</v>
          </cell>
          <cell r="AN1226">
            <v>55897</v>
          </cell>
          <cell r="AO1226">
            <v>18633</v>
          </cell>
          <cell r="AP1226">
            <v>18633</v>
          </cell>
        </row>
        <row r="1227">
          <cell r="D1227" t="str">
            <v>Nghiên cứu, xây dựng nền tảng khung thân vỏ, hệ thống động lực nhiên liệu và hệ thống điện cho UAV đa năng tầm xa</v>
          </cell>
          <cell r="G1227" t="str">
            <v>KHCN</v>
          </cell>
          <cell r="I1227" t="str">
            <v>KCB</v>
          </cell>
          <cell r="AC1227">
            <v>1398000</v>
          </cell>
          <cell r="AD1227">
            <v>19497409</v>
          </cell>
          <cell r="AE1227">
            <v>5650819</v>
          </cell>
          <cell r="AF1227">
            <v>5362795</v>
          </cell>
          <cell r="AG1227">
            <v>0</v>
          </cell>
          <cell r="AH1227">
            <v>0</v>
          </cell>
          <cell r="AI1227">
            <v>0</v>
          </cell>
          <cell r="AJ1227">
            <v>0</v>
          </cell>
          <cell r="AK1227">
            <v>219447</v>
          </cell>
          <cell r="AL1227">
            <v>480042</v>
          </cell>
          <cell r="AM1227">
            <v>41146</v>
          </cell>
          <cell r="AN1227">
            <v>82293</v>
          </cell>
          <cell r="AO1227">
            <v>27431</v>
          </cell>
          <cell r="AP1227">
            <v>27431</v>
          </cell>
        </row>
        <row r="1228">
          <cell r="D1228" t="str">
            <v>Nghiên cứu, xây dựng nền tảng khung thân vỏ, hệ thống động lực nhiên liệu và hệ thống điện cho UAV đa năng tầm xa</v>
          </cell>
          <cell r="G1228" t="str">
            <v>KHCN</v>
          </cell>
          <cell r="I1228" t="str">
            <v>KCB</v>
          </cell>
          <cell r="AC1228">
            <v>930000</v>
          </cell>
          <cell r="AD1228">
            <v>24309612</v>
          </cell>
          <cell r="AE1228">
            <v>3727489</v>
          </cell>
          <cell r="AF1228">
            <v>3576230</v>
          </cell>
          <cell r="AG1228">
            <v>0</v>
          </cell>
          <cell r="AH1228">
            <v>0</v>
          </cell>
          <cell r="AI1228">
            <v>0</v>
          </cell>
          <cell r="AJ1228">
            <v>0</v>
          </cell>
          <cell r="AK1228">
            <v>115244</v>
          </cell>
          <cell r="AL1228">
            <v>252097</v>
          </cell>
          <cell r="AM1228">
            <v>21609</v>
          </cell>
          <cell r="AN1228">
            <v>43217</v>
          </cell>
          <cell r="AO1228">
            <v>14406</v>
          </cell>
          <cell r="AP1228">
            <v>14406</v>
          </cell>
        </row>
        <row r="1229">
          <cell r="D1229" t="str">
            <v>Nghiên cứu, xây dựng nền tảng khung thân vỏ, hệ thống động lực nhiên liệu và hệ thống điện cho UAV đa năng tầm xa</v>
          </cell>
          <cell r="G1229" t="str">
            <v>KHCN</v>
          </cell>
          <cell r="I1229" t="str">
            <v>KCB</v>
          </cell>
          <cell r="AC1229">
            <v>930000</v>
          </cell>
          <cell r="AD1229">
            <v>19741776</v>
          </cell>
          <cell r="AE1229">
            <v>5931033</v>
          </cell>
          <cell r="AF1229">
            <v>5657499</v>
          </cell>
          <cell r="AG1229">
            <v>0</v>
          </cell>
          <cell r="AH1229">
            <v>0</v>
          </cell>
          <cell r="AI1229">
            <v>0</v>
          </cell>
          <cell r="AJ1229">
            <v>0</v>
          </cell>
          <cell r="AK1229">
            <v>208407</v>
          </cell>
          <cell r="AL1229">
            <v>455888</v>
          </cell>
          <cell r="AM1229">
            <v>39076</v>
          </cell>
          <cell r="AN1229">
            <v>78153</v>
          </cell>
          <cell r="AO1229">
            <v>26051</v>
          </cell>
          <cell r="AP1229">
            <v>26051</v>
          </cell>
        </row>
        <row r="1230">
          <cell r="D1230" t="str">
            <v>Nghiên cứu, xây dựng nền tảng khung thân vỏ, hệ thống động lực nhiên liệu và hệ thống điện cho UAV đa năng tầm xa</v>
          </cell>
          <cell r="G1230" t="str">
            <v>KHCN</v>
          </cell>
          <cell r="I1230" t="str">
            <v>KCB</v>
          </cell>
          <cell r="AC1230">
            <v>930000</v>
          </cell>
          <cell r="AD1230">
            <v>17994124</v>
          </cell>
          <cell r="AE1230">
            <v>5290720</v>
          </cell>
          <cell r="AF1230">
            <v>5002695</v>
          </cell>
          <cell r="AG1230">
            <v>0</v>
          </cell>
          <cell r="AH1230">
            <v>0</v>
          </cell>
          <cell r="AI1230">
            <v>0</v>
          </cell>
          <cell r="AJ1230">
            <v>0</v>
          </cell>
          <cell r="AK1230">
            <v>219448</v>
          </cell>
          <cell r="AL1230">
            <v>480042</v>
          </cell>
          <cell r="AM1230">
            <v>41146</v>
          </cell>
          <cell r="AN1230">
            <v>82293</v>
          </cell>
          <cell r="AO1230">
            <v>27431</v>
          </cell>
          <cell r="AP1230">
            <v>27431</v>
          </cell>
        </row>
        <row r="1231">
          <cell r="D1231" t="str">
            <v>Nghiên cứu, xây dựng nền tảng khung thân vỏ, hệ thống động lực nhiên liệu và hệ thống điện cho UAV đa năng tầm xa</v>
          </cell>
          <cell r="G1231" t="str">
            <v>KHCN</v>
          </cell>
          <cell r="I1231" t="str">
            <v>KCB</v>
          </cell>
          <cell r="AC1231">
            <v>930000</v>
          </cell>
          <cell r="AD1231">
            <v>20480024</v>
          </cell>
          <cell r="AE1231">
            <v>3077690</v>
          </cell>
          <cell r="AF1231">
            <v>2933677</v>
          </cell>
          <cell r="AG1231">
            <v>0</v>
          </cell>
          <cell r="AH1231">
            <v>0</v>
          </cell>
          <cell r="AI1231">
            <v>0</v>
          </cell>
          <cell r="AJ1231">
            <v>0</v>
          </cell>
          <cell r="AK1231">
            <v>109724</v>
          </cell>
          <cell r="AL1231">
            <v>240021</v>
          </cell>
          <cell r="AM1231">
            <v>20573</v>
          </cell>
          <cell r="AN1231">
            <v>41146</v>
          </cell>
          <cell r="AO1231">
            <v>13716</v>
          </cell>
          <cell r="AP1231">
            <v>13716</v>
          </cell>
        </row>
        <row r="1232">
          <cell r="D1232" t="str">
            <v>Nghiên cứu, xây dựng nền tảng khung thân vỏ, hệ thống động lực nhiên liệu và hệ thống điện cho UAV đa năng tầm xa</v>
          </cell>
          <cell r="G1232" t="str">
            <v>KHCN</v>
          </cell>
          <cell r="I1232" t="str">
            <v>KCB</v>
          </cell>
          <cell r="AC1232">
            <v>1030000</v>
          </cell>
          <cell r="AD1232">
            <v>41674328</v>
          </cell>
          <cell r="AE1232">
            <v>6630719</v>
          </cell>
          <cell r="AF1232">
            <v>6435079</v>
          </cell>
          <cell r="AG1232">
            <v>0</v>
          </cell>
          <cell r="AH1232">
            <v>0</v>
          </cell>
          <cell r="AI1232">
            <v>0</v>
          </cell>
          <cell r="AJ1232">
            <v>0</v>
          </cell>
          <cell r="AK1232">
            <v>149059</v>
          </cell>
          <cell r="AL1232">
            <v>326066</v>
          </cell>
          <cell r="AM1232">
            <v>27948</v>
          </cell>
          <cell r="AN1232">
            <v>55897</v>
          </cell>
          <cell r="AO1232">
            <v>18633</v>
          </cell>
          <cell r="AP1232">
            <v>18633</v>
          </cell>
        </row>
        <row r="1233">
          <cell r="D1233" t="str">
            <v>Nghiên cứu, xây dựng nền tảng khung thân vỏ, hệ thống động lực nhiên liệu và hệ thống điện cho UAV đa năng tầm xa</v>
          </cell>
          <cell r="G1233" t="str">
            <v>KHCN</v>
          </cell>
          <cell r="I1233" t="str">
            <v>KCB</v>
          </cell>
          <cell r="AC1233">
            <v>930000</v>
          </cell>
          <cell r="AD1233">
            <v>17741776</v>
          </cell>
          <cell r="AE1233">
            <v>7853071</v>
          </cell>
          <cell r="AF1233">
            <v>7442772</v>
          </cell>
          <cell r="AG1233">
            <v>0</v>
          </cell>
          <cell r="AH1233">
            <v>0</v>
          </cell>
          <cell r="AI1233">
            <v>0</v>
          </cell>
          <cell r="AJ1233">
            <v>0</v>
          </cell>
          <cell r="AK1233">
            <v>312609</v>
          </cell>
          <cell r="AL1233">
            <v>683833</v>
          </cell>
          <cell r="AM1233">
            <v>58614</v>
          </cell>
          <cell r="AN1233">
            <v>117229</v>
          </cell>
          <cell r="AO1233">
            <v>39076</v>
          </cell>
          <cell r="AP1233">
            <v>39076</v>
          </cell>
        </row>
        <row r="1234">
          <cell r="D1234" t="str">
            <v>Nghiên cứu, xây dựng nền tảng khung thân vỏ, hệ thống động lực nhiên liệu và hệ thống điện cho UAV đa năng tầm xa</v>
          </cell>
          <cell r="G1234" t="str">
            <v>KHCN</v>
          </cell>
          <cell r="I1234" t="str">
            <v>KCB</v>
          </cell>
          <cell r="AC1234">
            <v>930000</v>
          </cell>
          <cell r="AD1234">
            <v>20316624</v>
          </cell>
          <cell r="AE1234">
            <v>6098546</v>
          </cell>
          <cell r="AF1234">
            <v>5810522</v>
          </cell>
          <cell r="AG1234">
            <v>0</v>
          </cell>
          <cell r="AH1234">
            <v>0</v>
          </cell>
          <cell r="AI1234">
            <v>0</v>
          </cell>
          <cell r="AJ1234">
            <v>0</v>
          </cell>
          <cell r="AK1234">
            <v>219447</v>
          </cell>
          <cell r="AL1234">
            <v>480042</v>
          </cell>
          <cell r="AM1234">
            <v>41146</v>
          </cell>
          <cell r="AN1234">
            <v>82293</v>
          </cell>
          <cell r="AO1234">
            <v>27431</v>
          </cell>
          <cell r="AP1234">
            <v>27431</v>
          </cell>
        </row>
        <row r="1235">
          <cell r="D1235" t="str">
            <v>Nghiên cứu, xây dựng nền tảng khung thân vỏ, hệ thống động lực nhiên liệu và hệ thống điện cho UAV đa năng tầm xa</v>
          </cell>
          <cell r="G1235" t="str">
            <v>KHCN</v>
          </cell>
          <cell r="I1235" t="str">
            <v>KCB</v>
          </cell>
          <cell r="AC1235">
            <v>930000</v>
          </cell>
          <cell r="AD1235">
            <v>16385556</v>
          </cell>
          <cell r="AE1235">
            <v>7145478</v>
          </cell>
          <cell r="AF1235">
            <v>6735179</v>
          </cell>
          <cell r="AG1235">
            <v>0</v>
          </cell>
          <cell r="AH1235">
            <v>0</v>
          </cell>
          <cell r="AI1235">
            <v>0</v>
          </cell>
          <cell r="AJ1235">
            <v>0</v>
          </cell>
          <cell r="AK1235">
            <v>312609</v>
          </cell>
          <cell r="AL1235">
            <v>683833</v>
          </cell>
          <cell r="AM1235">
            <v>58614</v>
          </cell>
          <cell r="AN1235">
            <v>117229</v>
          </cell>
          <cell r="AO1235">
            <v>39076</v>
          </cell>
          <cell r="AP1235">
            <v>39076</v>
          </cell>
        </row>
        <row r="1236">
          <cell r="D1236" t="str">
            <v>Nghiên cứu, xây dựng nền tảng khung thân vỏ, hệ thống động lực nhiên liệu và hệ thống điện cho UAV đa năng tầm xa</v>
          </cell>
          <cell r="G1236" t="str">
            <v>KHCN</v>
          </cell>
          <cell r="I1236" t="str">
            <v>KCB</v>
          </cell>
          <cell r="AC1236">
            <v>1030000</v>
          </cell>
          <cell r="AD1236">
            <v>31482040</v>
          </cell>
          <cell r="AE1236">
            <v>6151235</v>
          </cell>
          <cell r="AF1236">
            <v>5941782</v>
          </cell>
          <cell r="AG1236">
            <v>0</v>
          </cell>
          <cell r="AH1236">
            <v>0</v>
          </cell>
          <cell r="AI1236">
            <v>0</v>
          </cell>
          <cell r="AJ1236">
            <v>0</v>
          </cell>
          <cell r="AK1236">
            <v>159583</v>
          </cell>
          <cell r="AL1236">
            <v>349087</v>
          </cell>
          <cell r="AM1236">
            <v>29922</v>
          </cell>
          <cell r="AN1236">
            <v>59844</v>
          </cell>
          <cell r="AO1236">
            <v>19948</v>
          </cell>
          <cell r="AP1236">
            <v>19948</v>
          </cell>
        </row>
        <row r="1237">
          <cell r="D1237" t="str">
            <v>Nghiên cứu, xây dựng nền tảng khung thân vỏ, hệ thống động lực nhiên liệu và hệ thống điện cho UAV đa năng tầm xa</v>
          </cell>
          <cell r="G1237" t="str">
            <v>KHCN</v>
          </cell>
          <cell r="I1237" t="str">
            <v>KCB</v>
          </cell>
          <cell r="AC1237">
            <v>930000</v>
          </cell>
          <cell r="AD1237">
            <v>15796808</v>
          </cell>
          <cell r="AE1237">
            <v>5165218</v>
          </cell>
          <cell r="AF1237">
            <v>4873796</v>
          </cell>
          <cell r="AG1237">
            <v>0</v>
          </cell>
          <cell r="AH1237">
            <v>0</v>
          </cell>
          <cell r="AI1237">
            <v>0</v>
          </cell>
          <cell r="AJ1237">
            <v>0</v>
          </cell>
          <cell r="AK1237">
            <v>222036</v>
          </cell>
          <cell r="AL1237">
            <v>485702</v>
          </cell>
          <cell r="AM1237">
            <v>41631</v>
          </cell>
          <cell r="AN1237">
            <v>83264</v>
          </cell>
          <cell r="AO1237">
            <v>27755</v>
          </cell>
          <cell r="AP1237">
            <v>27755</v>
          </cell>
        </row>
        <row r="1238">
          <cell r="D1238" t="str">
            <v>Nghiên cứu, xây dựng nền tảng khung thân vỏ, hệ thống động lực nhiên liệu và hệ thống điện cho UAV đa năng tầm xa</v>
          </cell>
          <cell r="G1238" t="str">
            <v>KHCN</v>
          </cell>
          <cell r="I1238" t="str">
            <v>KCB</v>
          </cell>
          <cell r="AC1238">
            <v>930000</v>
          </cell>
          <cell r="AD1238">
            <v>15796808</v>
          </cell>
          <cell r="AE1238">
            <v>2869565</v>
          </cell>
          <cell r="AF1238">
            <v>2707664</v>
          </cell>
          <cell r="AG1238">
            <v>0</v>
          </cell>
          <cell r="AH1238">
            <v>0</v>
          </cell>
          <cell r="AI1238">
            <v>0</v>
          </cell>
          <cell r="AJ1238">
            <v>0</v>
          </cell>
          <cell r="AK1238">
            <v>123353</v>
          </cell>
          <cell r="AL1238">
            <v>269835</v>
          </cell>
          <cell r="AM1238">
            <v>23129</v>
          </cell>
          <cell r="AN1238">
            <v>46257</v>
          </cell>
          <cell r="AO1238">
            <v>15419</v>
          </cell>
          <cell r="AP1238">
            <v>15419</v>
          </cell>
        </row>
        <row r="1239">
          <cell r="D1239" t="str">
            <v>Nghiên cứu, xây dựng nền tảng khung thân vỏ, hệ thống động lực nhiên liệu và hệ thống điện cho UAV đa năng tầm xa</v>
          </cell>
          <cell r="G1239" t="str">
            <v>KHCN</v>
          </cell>
          <cell r="I1239" t="str">
            <v>KCB</v>
          </cell>
          <cell r="AC1239">
            <v>930000</v>
          </cell>
          <cell r="AD1239">
            <v>17707876</v>
          </cell>
          <cell r="AE1239">
            <v>5223589</v>
          </cell>
          <cell r="AF1239">
            <v>4950056</v>
          </cell>
          <cell r="AG1239">
            <v>0</v>
          </cell>
          <cell r="AH1239">
            <v>0</v>
          </cell>
          <cell r="AI1239">
            <v>0</v>
          </cell>
          <cell r="AJ1239">
            <v>0</v>
          </cell>
          <cell r="AK1239">
            <v>208406</v>
          </cell>
          <cell r="AL1239">
            <v>455889</v>
          </cell>
          <cell r="AM1239">
            <v>39076</v>
          </cell>
          <cell r="AN1239">
            <v>78153</v>
          </cell>
          <cell r="AO1239">
            <v>26051</v>
          </cell>
          <cell r="AP1239">
            <v>26051</v>
          </cell>
        </row>
        <row r="1240">
          <cell r="D1240" t="str">
            <v>Nghiên cứu, xây dựng nền tảng khung thân vỏ, hệ thống động lực nhiên liệu và hệ thống điện cho UAV đa năng tầm xa</v>
          </cell>
          <cell r="G1240" t="str">
            <v>KHCN</v>
          </cell>
          <cell r="I1240" t="str">
            <v>KCB</v>
          </cell>
          <cell r="AC1240">
            <v>1030000</v>
          </cell>
          <cell r="AD1240">
            <v>51222213</v>
          </cell>
          <cell r="AE1240">
            <v>16453825</v>
          </cell>
          <cell r="AF1240">
            <v>16041790</v>
          </cell>
          <cell r="AG1240">
            <v>0</v>
          </cell>
          <cell r="AH1240">
            <v>0</v>
          </cell>
          <cell r="AI1240">
            <v>0</v>
          </cell>
          <cell r="AJ1240">
            <v>0</v>
          </cell>
          <cell r="AK1240">
            <v>412035</v>
          </cell>
          <cell r="AL1240">
            <v>901327</v>
          </cell>
          <cell r="AM1240">
            <v>0</v>
          </cell>
          <cell r="AN1240">
            <v>0</v>
          </cell>
          <cell r="AO1240">
            <v>0</v>
          </cell>
          <cell r="AP1240">
            <v>0</v>
          </cell>
        </row>
        <row r="1241">
          <cell r="D1241" t="str">
            <v>Nghiên cứu, xây dựng nền tảng khung thân vỏ, hệ thống động lực nhiên liệu và hệ thống điện cho UAV đa năng tầm xa</v>
          </cell>
          <cell r="G1241" t="str">
            <v>KHCN</v>
          </cell>
          <cell r="I1241" t="str">
            <v>KCB</v>
          </cell>
          <cell r="AC1241">
            <v>930000</v>
          </cell>
          <cell r="AD1241">
            <v>18154084</v>
          </cell>
          <cell r="AE1241">
            <v>2673179</v>
          </cell>
          <cell r="AF1241">
            <v>2529166</v>
          </cell>
          <cell r="AG1241">
            <v>0</v>
          </cell>
          <cell r="AH1241">
            <v>0</v>
          </cell>
          <cell r="AI1241">
            <v>0</v>
          </cell>
          <cell r="AJ1241">
            <v>0</v>
          </cell>
          <cell r="AK1241">
            <v>109724</v>
          </cell>
          <cell r="AL1241">
            <v>240021</v>
          </cell>
          <cell r="AM1241">
            <v>20573</v>
          </cell>
          <cell r="AN1241">
            <v>41146</v>
          </cell>
          <cell r="AO1241">
            <v>13716</v>
          </cell>
          <cell r="AP1241">
            <v>13716</v>
          </cell>
        </row>
        <row r="1242">
          <cell r="D1242" t="str">
            <v>Nghiên cứu, xây dựng nền tảng khung thân vỏ, hệ thống động lực nhiên liệu và hệ thống điện cho UAV đa năng tầm xa</v>
          </cell>
          <cell r="G1242" t="str">
            <v>KHCN</v>
          </cell>
          <cell r="I1242" t="str">
            <v>KCB</v>
          </cell>
          <cell r="AC1242">
            <v>1030000</v>
          </cell>
          <cell r="AD1242">
            <v>54767650</v>
          </cell>
          <cell r="AE1242">
            <v>18021099</v>
          </cell>
          <cell r="AF1242">
            <v>17738101</v>
          </cell>
          <cell r="AG1242">
            <v>0</v>
          </cell>
          <cell r="AH1242">
            <v>0</v>
          </cell>
          <cell r="AI1242">
            <v>0</v>
          </cell>
          <cell r="AJ1242">
            <v>0</v>
          </cell>
          <cell r="AK1242">
            <v>238314</v>
          </cell>
          <cell r="AL1242">
            <v>521311</v>
          </cell>
          <cell r="AM1242">
            <v>44684</v>
          </cell>
          <cell r="AN1242">
            <v>89367</v>
          </cell>
          <cell r="AO1242">
            <v>0</v>
          </cell>
          <cell r="AP1242">
            <v>0</v>
          </cell>
        </row>
        <row r="1243">
          <cell r="D1243" t="str">
            <v>Nghiên cứu, xây dựng nền tảng khung thân vỏ, hệ thống động lực nhiên liệu và hệ thống điện cho UAV đa năng tầm xa</v>
          </cell>
          <cell r="G1243" t="str">
            <v>KHCN</v>
          </cell>
          <cell r="I1243" t="str">
            <v>KCB</v>
          </cell>
          <cell r="AC1243">
            <v>930000</v>
          </cell>
          <cell r="AD1243">
            <v>26628000</v>
          </cell>
          <cell r="AE1243">
            <v>8188396</v>
          </cell>
          <cell r="AF1243">
            <v>7853273</v>
          </cell>
          <cell r="AG1243">
            <v>0</v>
          </cell>
          <cell r="AH1243">
            <v>0</v>
          </cell>
          <cell r="AI1243">
            <v>0</v>
          </cell>
          <cell r="AJ1243">
            <v>0</v>
          </cell>
          <cell r="AK1243">
            <v>255332</v>
          </cell>
          <cell r="AL1243">
            <v>558539</v>
          </cell>
          <cell r="AM1243">
            <v>47875</v>
          </cell>
          <cell r="AN1243">
            <v>95750</v>
          </cell>
          <cell r="AO1243">
            <v>31916</v>
          </cell>
          <cell r="AP1243">
            <v>31916</v>
          </cell>
        </row>
        <row r="1244">
          <cell r="D1244" t="str">
            <v>Nghiên cứu, xây dựng nền tảng khung thân vỏ, hệ thống động lực nhiên liệu và hệ thống điện cho UAV đa năng tầm xa</v>
          </cell>
          <cell r="G1244" t="str">
            <v>KHCN</v>
          </cell>
          <cell r="I1244" t="str">
            <v>KCB</v>
          </cell>
          <cell r="AC1244">
            <v>930000</v>
          </cell>
          <cell r="AD1244">
            <v>17584396</v>
          </cell>
          <cell r="AE1244">
            <v>2590320</v>
          </cell>
          <cell r="AF1244">
            <v>2453552</v>
          </cell>
          <cell r="AG1244">
            <v>0</v>
          </cell>
          <cell r="AH1244">
            <v>0</v>
          </cell>
          <cell r="AI1244">
            <v>0</v>
          </cell>
          <cell r="AJ1244">
            <v>0</v>
          </cell>
          <cell r="AK1244">
            <v>104204</v>
          </cell>
          <cell r="AL1244">
            <v>227944</v>
          </cell>
          <cell r="AM1244">
            <v>19538</v>
          </cell>
          <cell r="AN1244">
            <v>39076</v>
          </cell>
          <cell r="AO1244">
            <v>13026</v>
          </cell>
          <cell r="AP1244">
            <v>13026</v>
          </cell>
        </row>
        <row r="1245">
          <cell r="D1245" t="str">
            <v>Nghiên cứu, xây dựng nền tảng khung thân vỏ, hệ thống động lực nhiên liệu và hệ thống điện cho UAV đa năng tầm xa</v>
          </cell>
          <cell r="G1245" t="str">
            <v>KHCN</v>
          </cell>
          <cell r="I1245" t="str">
            <v>KCB</v>
          </cell>
          <cell r="AC1245">
            <v>930000</v>
          </cell>
          <cell r="AD1245">
            <v>31296608</v>
          </cell>
          <cell r="AE1245">
            <v>9812260</v>
          </cell>
          <cell r="AF1245">
            <v>9477137</v>
          </cell>
          <cell r="AG1245">
            <v>0</v>
          </cell>
          <cell r="AH1245">
            <v>0</v>
          </cell>
          <cell r="AI1245">
            <v>0</v>
          </cell>
          <cell r="AJ1245">
            <v>0</v>
          </cell>
          <cell r="AK1245">
            <v>255332</v>
          </cell>
          <cell r="AL1245">
            <v>558539</v>
          </cell>
          <cell r="AM1245">
            <v>47875</v>
          </cell>
          <cell r="AN1245">
            <v>95750</v>
          </cell>
          <cell r="AO1245">
            <v>31916</v>
          </cell>
          <cell r="AP1245">
            <v>31916</v>
          </cell>
        </row>
        <row r="1246">
          <cell r="D1246" t="str">
            <v>Nghiên cứu, xây dựng nền tảng khung thân vỏ, hệ thống động lực nhiên liệu và hệ thống điện cho UAV đa năng tầm xa</v>
          </cell>
          <cell r="G1246" t="str">
            <v>KHCN</v>
          </cell>
          <cell r="I1246" t="str">
            <v>KCB</v>
          </cell>
          <cell r="AC1246">
            <v>930000</v>
          </cell>
          <cell r="AD1246">
            <v>17090056</v>
          </cell>
          <cell r="AE1246">
            <v>5008695</v>
          </cell>
          <cell r="AF1246">
            <v>4735162</v>
          </cell>
          <cell r="AG1246">
            <v>0</v>
          </cell>
          <cell r="AH1246">
            <v>0</v>
          </cell>
          <cell r="AI1246">
            <v>0</v>
          </cell>
          <cell r="AJ1246">
            <v>0</v>
          </cell>
          <cell r="AK1246">
            <v>208406</v>
          </cell>
          <cell r="AL1246">
            <v>455889</v>
          </cell>
          <cell r="AM1246">
            <v>39076</v>
          </cell>
          <cell r="AN1246">
            <v>78153</v>
          </cell>
          <cell r="AO1246">
            <v>26051</v>
          </cell>
          <cell r="AP1246">
            <v>26051</v>
          </cell>
        </row>
        <row r="1247">
          <cell r="D1247" t="str">
            <v>Nghiên cứu, xây dựng nền tảng khung thân vỏ, hệ thống động lực nhiên liệu và hệ thống điện cho UAV đa năng tầm xa</v>
          </cell>
          <cell r="G1247" t="str">
            <v>KHCN</v>
          </cell>
          <cell r="I1247" t="str">
            <v>KCB</v>
          </cell>
          <cell r="AC1247">
            <v>1030000</v>
          </cell>
          <cell r="AD1247">
            <v>43458330</v>
          </cell>
          <cell r="AE1247">
            <v>13881959</v>
          </cell>
          <cell r="AF1247">
            <v>13490680</v>
          </cell>
          <cell r="AG1247">
            <v>0</v>
          </cell>
          <cell r="AH1247">
            <v>0</v>
          </cell>
          <cell r="AI1247">
            <v>0</v>
          </cell>
          <cell r="AJ1247">
            <v>0</v>
          </cell>
          <cell r="AK1247">
            <v>298117</v>
          </cell>
          <cell r="AL1247">
            <v>652132</v>
          </cell>
          <cell r="AM1247">
            <v>55897</v>
          </cell>
          <cell r="AN1247">
            <v>111794</v>
          </cell>
          <cell r="AO1247">
            <v>37265</v>
          </cell>
          <cell r="AP1247">
            <v>37265</v>
          </cell>
        </row>
        <row r="1248">
          <cell r="D1248" t="str">
            <v>Nghiên cứu, xây dựng nền tảng khung thân vỏ, hệ thống động lực nhiên liệu và hệ thống điện cho UAV đa năng tầm xa</v>
          </cell>
          <cell r="G1248" t="str">
            <v>KHCN</v>
          </cell>
          <cell r="I1248" t="str">
            <v>KCB</v>
          </cell>
          <cell r="AC1248">
            <v>1030000</v>
          </cell>
          <cell r="AD1248">
            <v>44198549</v>
          </cell>
          <cell r="AE1248">
            <v>14139427</v>
          </cell>
          <cell r="AF1248">
            <v>13748147</v>
          </cell>
          <cell r="AG1248">
            <v>0</v>
          </cell>
          <cell r="AH1248">
            <v>0</v>
          </cell>
          <cell r="AI1248">
            <v>0</v>
          </cell>
          <cell r="AJ1248">
            <v>0</v>
          </cell>
          <cell r="AK1248">
            <v>298118</v>
          </cell>
          <cell r="AL1248">
            <v>652132</v>
          </cell>
          <cell r="AM1248">
            <v>55897</v>
          </cell>
          <cell r="AN1248">
            <v>111794</v>
          </cell>
          <cell r="AO1248">
            <v>37265</v>
          </cell>
          <cell r="AP1248">
            <v>37265</v>
          </cell>
        </row>
        <row r="1249">
          <cell r="D1249" t="str">
            <v>Nghiên cứu, xây dựng nền tảng khung thân vỏ, hệ thống động lực nhiên liệu và hệ thống điện cho UAV đa năng tầm xa</v>
          </cell>
          <cell r="G1249" t="str">
            <v>KHCN</v>
          </cell>
          <cell r="I1249" t="str">
            <v>KCB</v>
          </cell>
          <cell r="AC1249">
            <v>1030000</v>
          </cell>
          <cell r="AD1249">
            <v>33862298</v>
          </cell>
          <cell r="AE1249">
            <v>14992267</v>
          </cell>
          <cell r="AF1249">
            <v>14115292</v>
          </cell>
          <cell r="AG1249">
            <v>0</v>
          </cell>
          <cell r="AH1249">
            <v>0</v>
          </cell>
          <cell r="AI1249">
            <v>0</v>
          </cell>
          <cell r="AJ1249">
            <v>0</v>
          </cell>
          <cell r="AK1249">
            <v>876975</v>
          </cell>
          <cell r="AL1249">
            <v>1918383</v>
          </cell>
          <cell r="AM1249">
            <v>0</v>
          </cell>
          <cell r="AN1249">
            <v>0</v>
          </cell>
          <cell r="AO1249">
            <v>0</v>
          </cell>
          <cell r="AP1249">
            <v>0</v>
          </cell>
        </row>
        <row r="1250">
          <cell r="D1250" t="str">
            <v>Nghiên cứu, xây dựng nền tảng khung thân vỏ, hệ thống động lực nhiên liệu và hệ thống điện cho UAV đa năng tầm xa</v>
          </cell>
          <cell r="G1250" t="str">
            <v>KHCN</v>
          </cell>
          <cell r="I1250" t="str">
            <v>KCB</v>
          </cell>
          <cell r="AC1250">
            <v>1030000</v>
          </cell>
          <cell r="AD1250">
            <v>32046381</v>
          </cell>
          <cell r="AE1250">
            <v>15057402</v>
          </cell>
          <cell r="AF1250">
            <v>14554716</v>
          </cell>
          <cell r="AG1250">
            <v>0</v>
          </cell>
          <cell r="AH1250">
            <v>0</v>
          </cell>
          <cell r="AI1250">
            <v>0</v>
          </cell>
          <cell r="AJ1250">
            <v>0</v>
          </cell>
          <cell r="AK1250">
            <v>382998</v>
          </cell>
          <cell r="AL1250">
            <v>837808</v>
          </cell>
          <cell r="AM1250">
            <v>71813</v>
          </cell>
          <cell r="AN1250">
            <v>143624</v>
          </cell>
          <cell r="AO1250">
            <v>47875</v>
          </cell>
          <cell r="AP1250">
            <v>47875</v>
          </cell>
        </row>
        <row r="1251">
          <cell r="D1251" t="str">
            <v>Nghiên cứu, xây dựng nền tảng khung thân vỏ, hệ thống động lực nhiên liệu và hệ thống điện cho UAV đa năng tầm xa</v>
          </cell>
          <cell r="G1251" t="str">
            <v>KHCN</v>
          </cell>
          <cell r="I1251" t="str">
            <v>KCB</v>
          </cell>
          <cell r="AC1251">
            <v>930000</v>
          </cell>
          <cell r="AD1251">
            <v>20154084</v>
          </cell>
          <cell r="AE1251">
            <v>3021005</v>
          </cell>
          <cell r="AF1251">
            <v>2876992</v>
          </cell>
          <cell r="AG1251">
            <v>0</v>
          </cell>
          <cell r="AH1251">
            <v>0</v>
          </cell>
          <cell r="AI1251">
            <v>0</v>
          </cell>
          <cell r="AJ1251">
            <v>0</v>
          </cell>
          <cell r="AK1251">
            <v>109724</v>
          </cell>
          <cell r="AL1251">
            <v>240021</v>
          </cell>
          <cell r="AM1251">
            <v>20573</v>
          </cell>
          <cell r="AN1251">
            <v>41146</v>
          </cell>
          <cell r="AO1251">
            <v>13716</v>
          </cell>
          <cell r="AP1251">
            <v>13716</v>
          </cell>
        </row>
        <row r="1252">
          <cell r="D1252" t="str">
            <v>Nghiên cứu, xây dựng nền tảng khung thân vỏ, hệ thống động lực nhiên liệu và hệ thống điện cho UAV đa năng tầm xa</v>
          </cell>
          <cell r="G1252" t="str">
            <v>KHCN</v>
          </cell>
          <cell r="I1252" t="str">
            <v>KCB</v>
          </cell>
          <cell r="AC1252">
            <v>930000</v>
          </cell>
          <cell r="AD1252">
            <v>25924160</v>
          </cell>
          <cell r="AE1252">
            <v>11915374</v>
          </cell>
          <cell r="AF1252">
            <v>11412689</v>
          </cell>
          <cell r="AG1252">
            <v>0</v>
          </cell>
          <cell r="AH1252">
            <v>0</v>
          </cell>
          <cell r="AI1252">
            <v>0</v>
          </cell>
          <cell r="AJ1252">
            <v>0</v>
          </cell>
          <cell r="AK1252">
            <v>382998</v>
          </cell>
          <cell r="AL1252">
            <v>837809</v>
          </cell>
          <cell r="AM1252">
            <v>71812</v>
          </cell>
          <cell r="AN1252">
            <v>143625</v>
          </cell>
          <cell r="AO1252">
            <v>47875</v>
          </cell>
          <cell r="AP1252">
            <v>47875</v>
          </cell>
        </row>
        <row r="1253">
          <cell r="D1253" t="str">
            <v>Nghiên cứu, xây dựng nền tảng khung thân vỏ, hệ thống động lực nhiên liệu và hệ thống điện cho UAV đa năng tầm xa</v>
          </cell>
          <cell r="G1253" t="str">
            <v>KHCN</v>
          </cell>
          <cell r="I1253" t="str">
            <v>KCB</v>
          </cell>
          <cell r="AC1253">
            <v>930000</v>
          </cell>
          <cell r="AD1253">
            <v>25924160</v>
          </cell>
          <cell r="AE1253">
            <v>3971792</v>
          </cell>
          <cell r="AF1253">
            <v>3804230</v>
          </cell>
          <cell r="AG1253">
            <v>0</v>
          </cell>
          <cell r="AH1253">
            <v>0</v>
          </cell>
          <cell r="AI1253">
            <v>0</v>
          </cell>
          <cell r="AJ1253">
            <v>0</v>
          </cell>
          <cell r="AK1253">
            <v>127666</v>
          </cell>
          <cell r="AL1253">
            <v>279269</v>
          </cell>
          <cell r="AM1253">
            <v>23938</v>
          </cell>
          <cell r="AN1253">
            <v>47875</v>
          </cell>
          <cell r="AO1253">
            <v>15958</v>
          </cell>
          <cell r="AP1253">
            <v>15958</v>
          </cell>
        </row>
        <row r="1254">
          <cell r="D1254" t="str">
            <v>Nghiên cứu, xây dựng nền tảng khung thân vỏ, hệ thống động lực nhiên liệu và hệ thống điện cho UAV đa năng tầm xa</v>
          </cell>
          <cell r="G1254" t="str">
            <v>KHCN</v>
          </cell>
          <cell r="I1254" t="str">
            <v>KCB</v>
          </cell>
          <cell r="AC1254">
            <v>930000</v>
          </cell>
          <cell r="AD1254">
            <v>17994124</v>
          </cell>
          <cell r="AE1254">
            <v>7936080</v>
          </cell>
          <cell r="AF1254">
            <v>7504043</v>
          </cell>
          <cell r="AG1254">
            <v>0</v>
          </cell>
          <cell r="AH1254">
            <v>0</v>
          </cell>
          <cell r="AI1254">
            <v>0</v>
          </cell>
          <cell r="AJ1254">
            <v>0</v>
          </cell>
          <cell r="AK1254">
            <v>329171</v>
          </cell>
          <cell r="AL1254">
            <v>720063</v>
          </cell>
          <cell r="AM1254">
            <v>61719</v>
          </cell>
          <cell r="AN1254">
            <v>123439</v>
          </cell>
          <cell r="AO1254">
            <v>41147</v>
          </cell>
          <cell r="AP1254">
            <v>41147</v>
          </cell>
        </row>
        <row r="1255">
          <cell r="D1255" t="str">
            <v>Nghiên cứu, xây dựng nền tảng khung thân vỏ, hệ thống động lực nhiên liệu và hệ thống điện cho UAV đa năng tầm xa</v>
          </cell>
          <cell r="G1255" t="str">
            <v>KHCN</v>
          </cell>
          <cell r="I1255" t="str">
            <v>KCB</v>
          </cell>
          <cell r="AC1255">
            <v>930000</v>
          </cell>
          <cell r="AD1255">
            <v>22015160</v>
          </cell>
          <cell r="AE1255">
            <v>3301944</v>
          </cell>
          <cell r="AF1255">
            <v>3152184</v>
          </cell>
          <cell r="AG1255">
            <v>0</v>
          </cell>
          <cell r="AH1255">
            <v>0</v>
          </cell>
          <cell r="AI1255">
            <v>0</v>
          </cell>
          <cell r="AJ1255">
            <v>0</v>
          </cell>
          <cell r="AK1255">
            <v>149760</v>
          </cell>
          <cell r="AL1255">
            <v>327600</v>
          </cell>
          <cell r="AM1255">
            <v>0</v>
          </cell>
          <cell r="AN1255">
            <v>0</v>
          </cell>
          <cell r="AO1255">
            <v>0</v>
          </cell>
          <cell r="AP1255">
            <v>0</v>
          </cell>
        </row>
        <row r="1256">
          <cell r="D1256" t="str">
            <v>Nghiên cứu, xây dựng nền tảng khung thân vỏ, hệ thống động lực nhiên liệu và hệ thống điện cho UAV đa năng tầm xa</v>
          </cell>
          <cell r="G1256" t="str">
            <v>KHCN</v>
          </cell>
          <cell r="I1256" t="str">
            <v>KCB</v>
          </cell>
          <cell r="AC1256">
            <v>1030000</v>
          </cell>
          <cell r="AD1256">
            <v>42709982</v>
          </cell>
          <cell r="AE1256">
            <v>6810833</v>
          </cell>
          <cell r="AF1256">
            <v>6615193</v>
          </cell>
          <cell r="AG1256">
            <v>0</v>
          </cell>
          <cell r="AH1256">
            <v>0</v>
          </cell>
          <cell r="AI1256">
            <v>0</v>
          </cell>
          <cell r="AJ1256">
            <v>0</v>
          </cell>
          <cell r="AK1256">
            <v>149059</v>
          </cell>
          <cell r="AL1256">
            <v>326066</v>
          </cell>
          <cell r="AM1256">
            <v>27948</v>
          </cell>
          <cell r="AN1256">
            <v>55897</v>
          </cell>
          <cell r="AO1256">
            <v>18633</v>
          </cell>
          <cell r="AP1256">
            <v>18633</v>
          </cell>
        </row>
        <row r="1257">
          <cell r="D1257" t="str">
            <v>Nghiên cứu, xây dựng nền tảng khung thân vỏ, hệ thống động lực nhiên liệu và hệ thống điện cho UAV đa năng tầm xa</v>
          </cell>
          <cell r="G1257" t="str">
            <v>KHCN</v>
          </cell>
          <cell r="I1257" t="str">
            <v>KCB</v>
          </cell>
          <cell r="AC1257">
            <v>1498000</v>
          </cell>
          <cell r="AD1257">
            <v>46666549</v>
          </cell>
          <cell r="AE1257">
            <v>7417539</v>
          </cell>
          <cell r="AF1257">
            <v>7221899</v>
          </cell>
          <cell r="AG1257">
            <v>0</v>
          </cell>
          <cell r="AH1257">
            <v>0</v>
          </cell>
          <cell r="AI1257">
            <v>0</v>
          </cell>
          <cell r="AJ1257">
            <v>0</v>
          </cell>
          <cell r="AK1257">
            <v>149059</v>
          </cell>
          <cell r="AL1257">
            <v>326066</v>
          </cell>
          <cell r="AM1257">
            <v>27948</v>
          </cell>
          <cell r="AN1257">
            <v>55897</v>
          </cell>
          <cell r="AO1257">
            <v>18633</v>
          </cell>
          <cell r="AP1257">
            <v>18633</v>
          </cell>
        </row>
        <row r="1258">
          <cell r="D1258" t="str">
            <v>Nghiên cứu, xây dựng nền tảng khung thân vỏ, hệ thống động lực nhiên liệu và hệ thống điện cho UAV đa năng tầm xa</v>
          </cell>
          <cell r="G1258" t="str">
            <v>KHCN</v>
          </cell>
          <cell r="I1258" t="str">
            <v>KCB</v>
          </cell>
          <cell r="AC1258">
            <v>1030000</v>
          </cell>
          <cell r="AD1258">
            <v>39198549</v>
          </cell>
          <cell r="AE1258">
            <v>13950333</v>
          </cell>
          <cell r="AF1258">
            <v>13510145</v>
          </cell>
          <cell r="AG1258">
            <v>0</v>
          </cell>
          <cell r="AH1258">
            <v>0</v>
          </cell>
          <cell r="AI1258">
            <v>0</v>
          </cell>
          <cell r="AJ1258">
            <v>0</v>
          </cell>
          <cell r="AK1258">
            <v>335382</v>
          </cell>
          <cell r="AL1258">
            <v>733649</v>
          </cell>
          <cell r="AM1258">
            <v>62884</v>
          </cell>
          <cell r="AN1258">
            <v>125768</v>
          </cell>
          <cell r="AO1258">
            <v>41922</v>
          </cell>
          <cell r="AP1258">
            <v>41922</v>
          </cell>
        </row>
        <row r="1259">
          <cell r="D1259" t="str">
            <v>Nghiên cứu, xây dựng nền tảng khung thân vỏ, hệ thống động lực nhiên liệu và hệ thống điện cho UAV đa năng tầm xa</v>
          </cell>
          <cell r="G1259" t="str">
            <v>KHCN</v>
          </cell>
          <cell r="I1259" t="str">
            <v>KCB</v>
          </cell>
          <cell r="AC1259">
            <v>930000</v>
          </cell>
          <cell r="AD1259">
            <v>20493652</v>
          </cell>
          <cell r="AE1259">
            <v>6893648</v>
          </cell>
          <cell r="AF1259">
            <v>6553317</v>
          </cell>
          <cell r="AG1259">
            <v>0</v>
          </cell>
          <cell r="AH1259">
            <v>0</v>
          </cell>
          <cell r="AI1259">
            <v>0</v>
          </cell>
          <cell r="AJ1259">
            <v>0</v>
          </cell>
          <cell r="AK1259">
            <v>259300</v>
          </cell>
          <cell r="AL1259">
            <v>567219</v>
          </cell>
          <cell r="AM1259">
            <v>48619</v>
          </cell>
          <cell r="AN1259">
            <v>97237</v>
          </cell>
          <cell r="AO1259">
            <v>32412</v>
          </cell>
          <cell r="AP1259">
            <v>32412</v>
          </cell>
        </row>
        <row r="1260">
          <cell r="D1260" t="str">
            <v>Nghiên cứu, xây dựng nền tảng khung thân vỏ, hệ thống động lực nhiên liệu và hệ thống điện cho UAV đa năng tầm xa</v>
          </cell>
          <cell r="G1260" t="str">
            <v>KHCN</v>
          </cell>
          <cell r="I1260" t="str">
            <v>KCB</v>
          </cell>
          <cell r="AC1260">
            <v>930000</v>
          </cell>
          <cell r="AD1260">
            <v>14515216</v>
          </cell>
          <cell r="AE1260">
            <v>4173913</v>
          </cell>
          <cell r="AF1260">
            <v>3927553</v>
          </cell>
          <cell r="AG1260">
            <v>0</v>
          </cell>
          <cell r="AH1260">
            <v>0</v>
          </cell>
          <cell r="AI1260">
            <v>0</v>
          </cell>
          <cell r="AJ1260">
            <v>0</v>
          </cell>
          <cell r="AK1260">
            <v>187703</v>
          </cell>
          <cell r="AL1260">
            <v>410602</v>
          </cell>
          <cell r="AM1260">
            <v>35194</v>
          </cell>
          <cell r="AN1260">
            <v>70389</v>
          </cell>
          <cell r="AO1260">
            <v>23463</v>
          </cell>
          <cell r="AP1260">
            <v>23463</v>
          </cell>
        </row>
        <row r="1261">
          <cell r="D1261" t="str">
            <v>Nghiên cứu, xây dựng nền tảng khung thân vỏ, hệ thống động lực nhiên liệu và hệ thống điện cho UAV đa năng tầm xa</v>
          </cell>
          <cell r="G1261" t="str">
            <v>KHCN</v>
          </cell>
          <cell r="I1261" t="str">
            <v>KCB</v>
          </cell>
          <cell r="AC1261">
            <v>1030000</v>
          </cell>
          <cell r="AD1261">
            <v>37377172</v>
          </cell>
          <cell r="AE1261">
            <v>14708468</v>
          </cell>
          <cell r="AF1261">
            <v>14219369</v>
          </cell>
          <cell r="AG1261">
            <v>0</v>
          </cell>
          <cell r="AH1261">
            <v>0</v>
          </cell>
          <cell r="AI1261">
            <v>0</v>
          </cell>
          <cell r="AJ1261">
            <v>0</v>
          </cell>
          <cell r="AK1261">
            <v>372647</v>
          </cell>
          <cell r="AL1261">
            <v>815165</v>
          </cell>
          <cell r="AM1261">
            <v>69871</v>
          </cell>
          <cell r="AN1261">
            <v>139743</v>
          </cell>
          <cell r="AO1261">
            <v>46581</v>
          </cell>
          <cell r="AP1261">
            <v>46581</v>
          </cell>
        </row>
        <row r="1262">
          <cell r="D1262" t="str">
            <v>Nghiên cứu, xây dựng nền tảng khung thân vỏ, hệ thống động lực nhiên liệu và hệ thống điện cho UAV đa năng tầm xa</v>
          </cell>
          <cell r="G1262" t="str">
            <v>KHCN</v>
          </cell>
          <cell r="I1262" t="str">
            <v>KCB</v>
          </cell>
          <cell r="AC1262">
            <v>930000</v>
          </cell>
          <cell r="AD1262">
            <v>30163490</v>
          </cell>
          <cell r="AE1262">
            <v>16410782</v>
          </cell>
          <cell r="AF1262">
            <v>15792615</v>
          </cell>
          <cell r="AG1262">
            <v>0</v>
          </cell>
          <cell r="AH1262">
            <v>0</v>
          </cell>
          <cell r="AI1262">
            <v>0</v>
          </cell>
          <cell r="AJ1262">
            <v>0</v>
          </cell>
          <cell r="AK1262">
            <v>470984</v>
          </cell>
          <cell r="AL1262">
            <v>1030278</v>
          </cell>
          <cell r="AM1262">
            <v>88310</v>
          </cell>
          <cell r="AN1262">
            <v>176619</v>
          </cell>
          <cell r="AO1262">
            <v>58873</v>
          </cell>
          <cell r="AP1262">
            <v>58873</v>
          </cell>
        </row>
        <row r="1263">
          <cell r="D1263" t="str">
            <v>Nghiên cứu, xây dựng nền tảng khung thân vỏ, hệ thống động lực nhiên liệu và hệ thống điện cho UAV đa năng tầm xa</v>
          </cell>
          <cell r="G1263" t="str">
            <v>KHCN</v>
          </cell>
          <cell r="I1263" t="str">
            <v>KCB</v>
          </cell>
          <cell r="AC1263">
            <v>1030000</v>
          </cell>
          <cell r="AD1263">
            <v>38878771</v>
          </cell>
          <cell r="AE1263">
            <v>6166833</v>
          </cell>
          <cell r="AF1263">
            <v>5981157</v>
          </cell>
          <cell r="AG1263">
            <v>0</v>
          </cell>
          <cell r="AH1263">
            <v>0</v>
          </cell>
          <cell r="AI1263">
            <v>0</v>
          </cell>
          <cell r="AJ1263">
            <v>0</v>
          </cell>
          <cell r="AK1263">
            <v>141468</v>
          </cell>
          <cell r="AL1263">
            <v>309461</v>
          </cell>
          <cell r="AM1263">
            <v>26525</v>
          </cell>
          <cell r="AN1263">
            <v>53051</v>
          </cell>
          <cell r="AO1263">
            <v>17683</v>
          </cell>
          <cell r="AP1263">
            <v>17683</v>
          </cell>
        </row>
        <row r="1264">
          <cell r="D1264" t="str">
            <v>Nghiên cứu, xây dựng nền tảng khung thân vỏ, hệ thống động lực nhiên liệu và hệ thống điện cho UAV đa năng tầm xa</v>
          </cell>
          <cell r="G1264" t="str">
            <v>KHCN</v>
          </cell>
          <cell r="I1264" t="str">
            <v>KCB</v>
          </cell>
          <cell r="AC1264">
            <v>930000</v>
          </cell>
          <cell r="AD1264">
            <v>17741776</v>
          </cell>
          <cell r="AE1264">
            <v>8507494</v>
          </cell>
          <cell r="AF1264">
            <v>8063002</v>
          </cell>
          <cell r="AG1264">
            <v>0</v>
          </cell>
          <cell r="AH1264">
            <v>0</v>
          </cell>
          <cell r="AI1264">
            <v>0</v>
          </cell>
          <cell r="AJ1264">
            <v>0</v>
          </cell>
          <cell r="AK1264">
            <v>338660</v>
          </cell>
          <cell r="AL1264">
            <v>740819</v>
          </cell>
          <cell r="AM1264">
            <v>63499</v>
          </cell>
          <cell r="AN1264">
            <v>126998</v>
          </cell>
          <cell r="AO1264">
            <v>42333</v>
          </cell>
          <cell r="AP1264">
            <v>42333</v>
          </cell>
        </row>
        <row r="1265">
          <cell r="D1265" t="str">
            <v>Nghiên cứu, xây dựng nền tảng khung thân vỏ, hệ thống động lực nhiên liệu và hệ thống điện cho UAV đa năng tầm xa</v>
          </cell>
          <cell r="G1265" t="str">
            <v>KHCN</v>
          </cell>
          <cell r="I1265" t="str">
            <v>KCB</v>
          </cell>
          <cell r="AC1265">
            <v>1047000</v>
          </cell>
          <cell r="AD1265">
            <v>18062480</v>
          </cell>
          <cell r="AE1265">
            <v>5969514</v>
          </cell>
          <cell r="AF1265">
            <v>5661789</v>
          </cell>
          <cell r="AG1265">
            <v>0</v>
          </cell>
          <cell r="AH1265">
            <v>0</v>
          </cell>
          <cell r="AI1265">
            <v>0</v>
          </cell>
          <cell r="AJ1265">
            <v>0</v>
          </cell>
          <cell r="AK1265">
            <v>234457</v>
          </cell>
          <cell r="AL1265">
            <v>512874</v>
          </cell>
          <cell r="AM1265">
            <v>43961</v>
          </cell>
          <cell r="AN1265">
            <v>87922</v>
          </cell>
          <cell r="AO1265">
            <v>29307</v>
          </cell>
          <cell r="AP1265">
            <v>29307</v>
          </cell>
        </row>
        <row r="1266">
          <cell r="D1266" t="str">
            <v>Nghiên cứu, xây dựng nền tảng khung thân vỏ, hệ thống động lực nhiên liệu và hệ thống điện cho UAV đa năng tầm xa</v>
          </cell>
          <cell r="G1266" t="str">
            <v>KHCN</v>
          </cell>
          <cell r="I1266" t="str">
            <v>KCB</v>
          </cell>
          <cell r="AC1266">
            <v>930000</v>
          </cell>
          <cell r="AD1266">
            <v>12515216</v>
          </cell>
          <cell r="AE1266">
            <v>5217391</v>
          </cell>
          <cell r="AF1266">
            <v>4847850</v>
          </cell>
          <cell r="AG1266">
            <v>0</v>
          </cell>
          <cell r="AH1266">
            <v>0</v>
          </cell>
          <cell r="AI1266">
            <v>0</v>
          </cell>
          <cell r="AJ1266">
            <v>0</v>
          </cell>
          <cell r="AK1266">
            <v>281555</v>
          </cell>
          <cell r="AL1266">
            <v>615903</v>
          </cell>
          <cell r="AM1266">
            <v>52791</v>
          </cell>
          <cell r="AN1266">
            <v>105583</v>
          </cell>
          <cell r="AO1266">
            <v>35195</v>
          </cell>
          <cell r="AP1266">
            <v>35195</v>
          </cell>
        </row>
        <row r="1267">
          <cell r="D1267" t="str">
            <v>Nghiên cứu, xây dựng nền tảng khung thân vỏ, hệ thống động lực nhiên liệu và hệ thống điện cho UAV đa năng tầm xa</v>
          </cell>
          <cell r="G1267" t="str">
            <v>KHCN</v>
          </cell>
          <cell r="I1267" t="str">
            <v>KCB</v>
          </cell>
          <cell r="AC1267">
            <v>1030000</v>
          </cell>
          <cell r="AD1267">
            <v>41804012</v>
          </cell>
          <cell r="AE1267">
            <v>14919691</v>
          </cell>
          <cell r="AF1267">
            <v>14457085</v>
          </cell>
          <cell r="AG1267">
            <v>0</v>
          </cell>
          <cell r="AH1267">
            <v>0</v>
          </cell>
          <cell r="AI1267">
            <v>0</v>
          </cell>
          <cell r="AJ1267">
            <v>0</v>
          </cell>
          <cell r="AK1267">
            <v>352462</v>
          </cell>
          <cell r="AL1267">
            <v>771010</v>
          </cell>
          <cell r="AM1267">
            <v>66086</v>
          </cell>
          <cell r="AN1267">
            <v>132174</v>
          </cell>
          <cell r="AO1267">
            <v>44058</v>
          </cell>
          <cell r="AP1267">
            <v>44058</v>
          </cell>
        </row>
        <row r="1268">
          <cell r="D1268" t="str">
            <v>Nghiên cứu, xây dựng nền tảng khung thân vỏ, hệ thống động lực nhiên liệu và hệ thống điện cho UAV đa năng tầm xa</v>
          </cell>
          <cell r="G1268" t="str">
            <v>KHCN</v>
          </cell>
          <cell r="I1268" t="str">
            <v>KCB</v>
          </cell>
          <cell r="AC1268">
            <v>930000</v>
          </cell>
          <cell r="AD1268">
            <v>12515216</v>
          </cell>
          <cell r="AE1268">
            <v>7826087</v>
          </cell>
          <cell r="AF1268">
            <v>7271775</v>
          </cell>
          <cell r="AG1268">
            <v>0</v>
          </cell>
          <cell r="AH1268">
            <v>0</v>
          </cell>
          <cell r="AI1268">
            <v>0</v>
          </cell>
          <cell r="AJ1268">
            <v>0</v>
          </cell>
          <cell r="AK1268">
            <v>422333</v>
          </cell>
          <cell r="AL1268">
            <v>923854</v>
          </cell>
          <cell r="AM1268">
            <v>79187</v>
          </cell>
          <cell r="AN1268">
            <v>158375</v>
          </cell>
          <cell r="AO1268">
            <v>52792</v>
          </cell>
          <cell r="AP1268">
            <v>52792</v>
          </cell>
        </row>
        <row r="1269">
          <cell r="D1269" t="str">
            <v>Nghiên cứu, xây dựng nền tảng khung thân vỏ, hệ thống động lực nhiên liệu và hệ thống điện cho UAV đa năng tầm xa</v>
          </cell>
          <cell r="G1269" t="str">
            <v>KHCN</v>
          </cell>
          <cell r="I1269" t="str">
            <v>KCB</v>
          </cell>
          <cell r="AC1269">
            <v>930000</v>
          </cell>
          <cell r="AD1269">
            <v>16972936</v>
          </cell>
          <cell r="AE1269">
            <v>8072932</v>
          </cell>
          <cell r="AF1269">
            <v>7628442</v>
          </cell>
          <cell r="AG1269">
            <v>0</v>
          </cell>
          <cell r="AH1269">
            <v>0</v>
          </cell>
          <cell r="AI1269">
            <v>0</v>
          </cell>
          <cell r="AJ1269">
            <v>0</v>
          </cell>
          <cell r="AK1269">
            <v>338660</v>
          </cell>
          <cell r="AL1269">
            <v>740820</v>
          </cell>
          <cell r="AM1269">
            <v>63498</v>
          </cell>
          <cell r="AN1269">
            <v>126998</v>
          </cell>
          <cell r="AO1269">
            <v>42332</v>
          </cell>
          <cell r="AP1269">
            <v>42332</v>
          </cell>
        </row>
        <row r="1270">
          <cell r="D1270" t="str">
            <v>Nghiên cứu, xây dựng nền tảng khung thân vỏ, hệ thống động lực nhiên liệu và hệ thống điện cho UAV đa năng tầm xa</v>
          </cell>
          <cell r="G1270" t="str">
            <v>KHCN</v>
          </cell>
          <cell r="I1270" t="str">
            <v>KCB</v>
          </cell>
          <cell r="AC1270">
            <v>1147000</v>
          </cell>
          <cell r="AD1270">
            <v>23524556</v>
          </cell>
          <cell r="AE1270">
            <v>3534974</v>
          </cell>
          <cell r="AF1270">
            <v>3375564</v>
          </cell>
          <cell r="AG1270">
            <v>0</v>
          </cell>
          <cell r="AH1270">
            <v>0</v>
          </cell>
          <cell r="AI1270">
            <v>0</v>
          </cell>
          <cell r="AJ1270">
            <v>0</v>
          </cell>
          <cell r="AK1270">
            <v>121455</v>
          </cell>
          <cell r="AL1270">
            <v>265684</v>
          </cell>
          <cell r="AM1270">
            <v>22773</v>
          </cell>
          <cell r="AN1270">
            <v>45546</v>
          </cell>
          <cell r="AO1270">
            <v>15182</v>
          </cell>
          <cell r="AP1270">
            <v>15182</v>
          </cell>
        </row>
        <row r="1271">
          <cell r="D1271" t="str">
            <v>Nghiên cứu, xây dựng nền tảng khung thân vỏ, hệ thống động lực nhiên liệu và hệ thống điện cho UAV đa năng tầm xa</v>
          </cell>
          <cell r="G1271" t="str">
            <v>KHCN</v>
          </cell>
          <cell r="I1271" t="str">
            <v>KCB</v>
          </cell>
          <cell r="AC1271">
            <v>849131</v>
          </cell>
          <cell r="AD1271">
            <v>13390869</v>
          </cell>
          <cell r="AE1271">
            <v>4173913</v>
          </cell>
          <cell r="AF1271">
            <v>3904090</v>
          </cell>
          <cell r="AG1271">
            <v>0</v>
          </cell>
          <cell r="AH1271">
            <v>0</v>
          </cell>
          <cell r="AI1271">
            <v>0</v>
          </cell>
          <cell r="AJ1271">
            <v>0</v>
          </cell>
          <cell r="AK1271">
            <v>205580</v>
          </cell>
          <cell r="AL1271">
            <v>449707</v>
          </cell>
          <cell r="AM1271">
            <v>38546</v>
          </cell>
          <cell r="AN1271">
            <v>77093</v>
          </cell>
          <cell r="AO1271">
            <v>25697</v>
          </cell>
          <cell r="AP1271">
            <v>25697</v>
          </cell>
        </row>
        <row r="1272">
          <cell r="D1272" t="str">
            <v>Nghiên cứu, thiết kế, chế tạo hệ thống quan sát, chỉ thị mục tiêu và hệ thống điều khiển hỏa lực cho tăng T-54B/T-55</v>
          </cell>
          <cell r="G1272" t="str">
            <v>KHCN</v>
          </cell>
          <cell r="I1272" t="str">
            <v>QĐT</v>
          </cell>
          <cell r="AC1272">
            <v>1730000</v>
          </cell>
          <cell r="AD1272">
            <v>128665691</v>
          </cell>
          <cell r="AE1272">
            <v>32149120</v>
          </cell>
          <cell r="AF1272">
            <v>31753412</v>
          </cell>
          <cell r="AG1272">
            <v>0</v>
          </cell>
          <cell r="AH1272">
            <v>0</v>
          </cell>
          <cell r="AI1272">
            <v>0</v>
          </cell>
          <cell r="AJ1272">
            <v>0</v>
          </cell>
          <cell r="AK1272">
            <v>395708</v>
          </cell>
          <cell r="AL1272">
            <v>865612</v>
          </cell>
          <cell r="AM1272">
            <v>0</v>
          </cell>
          <cell r="AN1272">
            <v>0</v>
          </cell>
          <cell r="AO1272">
            <v>0</v>
          </cell>
          <cell r="AP1272">
            <v>0</v>
          </cell>
        </row>
        <row r="1273">
          <cell r="D1273" t="str">
            <v>Nghiên cứu, thiết kế, chế tạo hệ thống quan sát, chỉ thị mục tiêu và hệ thống điều khiển hỏa lực cho tăng T-54B/T-55</v>
          </cell>
          <cell r="G1273" t="str">
            <v>KHCN</v>
          </cell>
          <cell r="I1273" t="str">
            <v>QĐT</v>
          </cell>
          <cell r="AC1273">
            <v>1030000</v>
          </cell>
          <cell r="AD1273">
            <v>51120531</v>
          </cell>
          <cell r="AE1273">
            <v>47304747</v>
          </cell>
          <cell r="AF1273">
            <v>46060035</v>
          </cell>
          <cell r="AG1273">
            <v>0</v>
          </cell>
          <cell r="AH1273">
            <v>0</v>
          </cell>
          <cell r="AI1273">
            <v>0</v>
          </cell>
          <cell r="AJ1273">
            <v>0</v>
          </cell>
          <cell r="AK1273">
            <v>948352</v>
          </cell>
          <cell r="AL1273">
            <v>2074520</v>
          </cell>
          <cell r="AM1273">
            <v>177816</v>
          </cell>
          <cell r="AN1273">
            <v>355632</v>
          </cell>
          <cell r="AO1273">
            <v>118544</v>
          </cell>
          <cell r="AP1273">
            <v>118544</v>
          </cell>
        </row>
        <row r="1274">
          <cell r="D1274" t="str">
            <v>Nghiên cứu, thiết kế, chế tạo hệ thống quan sát, chỉ thị mục tiêu và hệ thống điều khiển hỏa lực cho tăng T-54B/T-55</v>
          </cell>
          <cell r="G1274" t="str">
            <v>KHCN</v>
          </cell>
          <cell r="I1274" t="str">
            <v>QĐT</v>
          </cell>
          <cell r="AC1274">
            <v>1030000</v>
          </cell>
          <cell r="AD1274">
            <v>32601668</v>
          </cell>
          <cell r="AE1274">
            <v>29298748</v>
          </cell>
          <cell r="AF1274">
            <v>28283188</v>
          </cell>
          <cell r="AG1274">
            <v>0</v>
          </cell>
          <cell r="AH1274">
            <v>0</v>
          </cell>
          <cell r="AI1274">
            <v>0</v>
          </cell>
          <cell r="AJ1274">
            <v>0</v>
          </cell>
          <cell r="AK1274">
            <v>773760</v>
          </cell>
          <cell r="AL1274">
            <v>1692600</v>
          </cell>
          <cell r="AM1274">
            <v>145080</v>
          </cell>
          <cell r="AN1274">
            <v>290160</v>
          </cell>
          <cell r="AO1274">
            <v>96720</v>
          </cell>
          <cell r="AP1274">
            <v>96720</v>
          </cell>
        </row>
        <row r="1275">
          <cell r="D1275" t="str">
            <v>Nghiên cứu, thiết kế, chế tạo hệ thống quan sát, chỉ thị mục tiêu và hệ thống điều khiển hỏa lực cho tăng T-54B/T-55</v>
          </cell>
          <cell r="G1275" t="str">
            <v>KHCN</v>
          </cell>
          <cell r="I1275" t="str">
            <v>QĐT</v>
          </cell>
          <cell r="AC1275">
            <v>930000</v>
          </cell>
          <cell r="AD1275">
            <v>20994124</v>
          </cell>
          <cell r="AE1275">
            <v>18210820</v>
          </cell>
          <cell r="AF1275">
            <v>17382748</v>
          </cell>
          <cell r="AG1275">
            <v>0</v>
          </cell>
          <cell r="AH1275">
            <v>0</v>
          </cell>
          <cell r="AI1275">
            <v>0</v>
          </cell>
          <cell r="AJ1275">
            <v>0</v>
          </cell>
          <cell r="AK1275">
            <v>630912</v>
          </cell>
          <cell r="AL1275">
            <v>1380120</v>
          </cell>
          <cell r="AM1275">
            <v>118296</v>
          </cell>
          <cell r="AN1275">
            <v>236592</v>
          </cell>
          <cell r="AO1275">
            <v>78864</v>
          </cell>
          <cell r="AP1275">
            <v>78864</v>
          </cell>
        </row>
        <row r="1276">
          <cell r="D1276" t="str">
            <v>Nghiên cứu, thiết kế, chế tạo hệ thống quan sát, chỉ thị mục tiêu và hệ thống điều khiển hỏa lực cho tăng T-54B/T-55</v>
          </cell>
          <cell r="G1276" t="str">
            <v>KHCN</v>
          </cell>
          <cell r="I1276" t="str">
            <v>QĐT</v>
          </cell>
          <cell r="AC1276">
            <v>930000</v>
          </cell>
          <cell r="AD1276">
            <v>27962696</v>
          </cell>
          <cell r="AE1276">
            <v>24981240</v>
          </cell>
          <cell r="AF1276">
            <v>24064632</v>
          </cell>
          <cell r="AG1276">
            <v>0</v>
          </cell>
          <cell r="AH1276">
            <v>0</v>
          </cell>
          <cell r="AI1276">
            <v>0</v>
          </cell>
          <cell r="AJ1276">
            <v>0</v>
          </cell>
          <cell r="AK1276">
            <v>698368</v>
          </cell>
          <cell r="AL1276">
            <v>1527680</v>
          </cell>
          <cell r="AM1276">
            <v>130944</v>
          </cell>
          <cell r="AN1276">
            <v>261888</v>
          </cell>
          <cell r="AO1276">
            <v>87296</v>
          </cell>
          <cell r="AP1276">
            <v>87296</v>
          </cell>
        </row>
        <row r="1277">
          <cell r="D1277" t="str">
            <v>Nghiên cứu, thiết kế, chế tạo hệ thống quan sát, chỉ thị mục tiêu và hệ thống điều khiển hỏa lực cho tăng T-54B/T-55</v>
          </cell>
          <cell r="G1277" t="str">
            <v>KHCN</v>
          </cell>
          <cell r="I1277" t="str">
            <v>QĐT</v>
          </cell>
          <cell r="AC1277">
            <v>1030000</v>
          </cell>
          <cell r="AD1277">
            <v>31605365</v>
          </cell>
          <cell r="AE1277">
            <v>28302445</v>
          </cell>
          <cell r="AF1277">
            <v>27286885</v>
          </cell>
          <cell r="AG1277">
            <v>0</v>
          </cell>
          <cell r="AH1277">
            <v>0</v>
          </cell>
          <cell r="AI1277">
            <v>0</v>
          </cell>
          <cell r="AJ1277">
            <v>0</v>
          </cell>
          <cell r="AK1277">
            <v>773760</v>
          </cell>
          <cell r="AL1277">
            <v>1692600</v>
          </cell>
          <cell r="AM1277">
            <v>145080</v>
          </cell>
          <cell r="AN1277">
            <v>290160</v>
          </cell>
          <cell r="AO1277">
            <v>96720</v>
          </cell>
          <cell r="AP1277">
            <v>96720</v>
          </cell>
        </row>
        <row r="1278">
          <cell r="D1278" t="str">
            <v>Nghiên cứu, thiết kế, chế tạo hệ thống quan sát, chỉ thị mục tiêu và hệ thống điều khiển hỏa lực cho tăng T-54B/T-55</v>
          </cell>
          <cell r="G1278" t="str">
            <v>KHCN</v>
          </cell>
          <cell r="I1278" t="str">
            <v>QĐT</v>
          </cell>
          <cell r="AC1278">
            <v>930000</v>
          </cell>
          <cell r="AD1278">
            <v>30155511</v>
          </cell>
          <cell r="AE1278">
            <v>26952591</v>
          </cell>
          <cell r="AF1278">
            <v>25937031</v>
          </cell>
          <cell r="AG1278">
            <v>0</v>
          </cell>
          <cell r="AH1278">
            <v>0</v>
          </cell>
          <cell r="AI1278">
            <v>0</v>
          </cell>
          <cell r="AJ1278">
            <v>0</v>
          </cell>
          <cell r="AK1278">
            <v>773760</v>
          </cell>
          <cell r="AL1278">
            <v>1692600</v>
          </cell>
          <cell r="AM1278">
            <v>145080</v>
          </cell>
          <cell r="AN1278">
            <v>290160</v>
          </cell>
          <cell r="AO1278">
            <v>96720</v>
          </cell>
          <cell r="AP1278">
            <v>96720</v>
          </cell>
        </row>
        <row r="1279">
          <cell r="D1279" t="str">
            <v>Nghiên cứu, thiết kế, chế tạo hệ thống quan sát, chỉ thị mục tiêu và hệ thống điều khiển hỏa lực cho tăng T-54B/T-55</v>
          </cell>
          <cell r="G1279" t="str">
            <v>KHCN</v>
          </cell>
          <cell r="I1279" t="str">
            <v>QĐT</v>
          </cell>
          <cell r="AC1279">
            <v>1281000</v>
          </cell>
          <cell r="AD1279">
            <v>22380409</v>
          </cell>
          <cell r="AE1279">
            <v>19246105</v>
          </cell>
          <cell r="AF1279">
            <v>18418033</v>
          </cell>
          <cell r="AG1279">
            <v>0</v>
          </cell>
          <cell r="AH1279">
            <v>0</v>
          </cell>
          <cell r="AI1279">
            <v>0</v>
          </cell>
          <cell r="AJ1279">
            <v>0</v>
          </cell>
          <cell r="AK1279">
            <v>630912</v>
          </cell>
          <cell r="AL1279">
            <v>1380120</v>
          </cell>
          <cell r="AM1279">
            <v>118296</v>
          </cell>
          <cell r="AN1279">
            <v>236592</v>
          </cell>
          <cell r="AO1279">
            <v>78864</v>
          </cell>
          <cell r="AP1279">
            <v>78864</v>
          </cell>
        </row>
        <row r="1280">
          <cell r="D1280" t="str">
            <v>Nghiên cứu, thiết kế, chế tạo hệ thống quan sát, chỉ thị mục tiêu và hệ thống điều khiển hỏa lực cho tăng T-54B/T-55</v>
          </cell>
          <cell r="G1280" t="str">
            <v>KHCN</v>
          </cell>
          <cell r="I1280" t="str">
            <v>QĐT</v>
          </cell>
          <cell r="AC1280">
            <v>930000</v>
          </cell>
          <cell r="AD1280">
            <v>19676236</v>
          </cell>
          <cell r="AE1280">
            <v>16986180</v>
          </cell>
          <cell r="AF1280">
            <v>16199772</v>
          </cell>
          <cell r="AG1280">
            <v>0</v>
          </cell>
          <cell r="AH1280">
            <v>0</v>
          </cell>
          <cell r="AI1280">
            <v>0</v>
          </cell>
          <cell r="AJ1280">
            <v>0</v>
          </cell>
          <cell r="AK1280">
            <v>599168</v>
          </cell>
          <cell r="AL1280">
            <v>1310680</v>
          </cell>
          <cell r="AM1280">
            <v>112344</v>
          </cell>
          <cell r="AN1280">
            <v>224688</v>
          </cell>
          <cell r="AO1280">
            <v>74896</v>
          </cell>
          <cell r="AP1280">
            <v>74896</v>
          </cell>
        </row>
        <row r="1281">
          <cell r="D1281" t="str">
            <v>Nghiên cứu, thiết kế, chế tạo hệ thống quan sát, chỉ thị mục tiêu và hệ thống điều khiển hỏa lực cho tăng T-54B/T-55</v>
          </cell>
          <cell r="G1281" t="str">
            <v>KHCN</v>
          </cell>
          <cell r="I1281" t="str">
            <v>QĐT</v>
          </cell>
          <cell r="AC1281">
            <v>1030000</v>
          </cell>
          <cell r="AD1281">
            <v>32206110</v>
          </cell>
          <cell r="AE1281">
            <v>28903190</v>
          </cell>
          <cell r="AF1281">
            <v>27887630</v>
          </cell>
          <cell r="AG1281">
            <v>0</v>
          </cell>
          <cell r="AH1281">
            <v>0</v>
          </cell>
          <cell r="AI1281">
            <v>0</v>
          </cell>
          <cell r="AJ1281">
            <v>0</v>
          </cell>
          <cell r="AK1281">
            <v>773760</v>
          </cell>
          <cell r="AL1281">
            <v>1692600</v>
          </cell>
          <cell r="AM1281">
            <v>145080</v>
          </cell>
          <cell r="AN1281">
            <v>290160</v>
          </cell>
          <cell r="AO1281">
            <v>96720</v>
          </cell>
          <cell r="AP1281">
            <v>96720</v>
          </cell>
        </row>
        <row r="1282">
          <cell r="D1282" t="str">
            <v>Nghiên cứu, thiết kế, chế tạo hệ thống quan sát, chỉ thị mục tiêu và hệ thống điều khiển hỏa lực cho tăng T-54B/T-55</v>
          </cell>
          <cell r="G1282" t="str">
            <v>KHCN</v>
          </cell>
          <cell r="I1282" t="str">
            <v>QĐT</v>
          </cell>
          <cell r="AC1282">
            <v>1230000</v>
          </cell>
          <cell r="AD1282">
            <v>64002273</v>
          </cell>
          <cell r="AE1282">
            <v>26378930</v>
          </cell>
          <cell r="AF1282">
            <v>25993288</v>
          </cell>
          <cell r="AG1282">
            <v>0</v>
          </cell>
          <cell r="AH1282">
            <v>0</v>
          </cell>
          <cell r="AI1282">
            <v>0</v>
          </cell>
          <cell r="AJ1282">
            <v>0</v>
          </cell>
          <cell r="AK1282">
            <v>324751</v>
          </cell>
          <cell r="AL1282">
            <v>710393</v>
          </cell>
          <cell r="AM1282">
            <v>60891</v>
          </cell>
          <cell r="AN1282">
            <v>121782</v>
          </cell>
          <cell r="AO1282">
            <v>0</v>
          </cell>
          <cell r="AP1282">
            <v>0</v>
          </cell>
        </row>
        <row r="1283">
          <cell r="D1283" t="str">
            <v>Nghiên cứu, thiết kế, chế tạo hệ thống quan sát, chỉ thị mục tiêu và hệ thống điều khiển hỏa lực cho tăng T-54B/T-55</v>
          </cell>
          <cell r="G1283" t="str">
            <v>KHCN</v>
          </cell>
          <cell r="I1283" t="str">
            <v>QĐT</v>
          </cell>
          <cell r="AC1283">
            <v>1047000</v>
          </cell>
          <cell r="AD1283">
            <v>23799705</v>
          </cell>
          <cell r="AE1283">
            <v>12600760</v>
          </cell>
          <cell r="AF1283">
            <v>12042824</v>
          </cell>
          <cell r="AG1283">
            <v>0</v>
          </cell>
          <cell r="AH1283">
            <v>0</v>
          </cell>
          <cell r="AI1283">
            <v>0</v>
          </cell>
          <cell r="AJ1283">
            <v>0</v>
          </cell>
          <cell r="AK1283">
            <v>425094</v>
          </cell>
          <cell r="AL1283">
            <v>929892</v>
          </cell>
          <cell r="AM1283">
            <v>79705</v>
          </cell>
          <cell r="AN1283">
            <v>159410</v>
          </cell>
          <cell r="AO1283">
            <v>53137</v>
          </cell>
          <cell r="AP1283">
            <v>53137</v>
          </cell>
        </row>
        <row r="1284">
          <cell r="D1284" t="str">
            <v>Nghiên cứu, hiện đại hóa đại đội pháo phòng không 57mm có khí tài</v>
          </cell>
          <cell r="G1284" t="str">
            <v>KHCN</v>
          </cell>
          <cell r="I1284" t="str">
            <v>QĐT</v>
          </cell>
          <cell r="AC1284">
            <v>1130000</v>
          </cell>
          <cell r="AD1284">
            <v>49799143</v>
          </cell>
          <cell r="AE1284">
            <v>46151447</v>
          </cell>
          <cell r="AF1284">
            <v>45026519</v>
          </cell>
          <cell r="AG1284">
            <v>0</v>
          </cell>
          <cell r="AH1284">
            <v>0</v>
          </cell>
          <cell r="AI1284">
            <v>0</v>
          </cell>
          <cell r="AJ1284">
            <v>0</v>
          </cell>
          <cell r="AK1284">
            <v>857088</v>
          </cell>
          <cell r="AL1284">
            <v>1874880</v>
          </cell>
          <cell r="AM1284">
            <v>160704</v>
          </cell>
          <cell r="AN1284">
            <v>321408</v>
          </cell>
          <cell r="AO1284">
            <v>107136</v>
          </cell>
          <cell r="AP1284">
            <v>107136</v>
          </cell>
        </row>
        <row r="1285">
          <cell r="D1285" t="str">
            <v>Nghiên cứu, hiện đại hóa đại đội pháo phòng không 57mm có khí tài</v>
          </cell>
          <cell r="G1285" t="str">
            <v>KHCN</v>
          </cell>
          <cell r="I1285" t="str">
            <v>QĐT</v>
          </cell>
          <cell r="AC1285">
            <v>930000</v>
          </cell>
          <cell r="AD1285">
            <v>26662039</v>
          </cell>
          <cell r="AE1285">
            <v>23680583</v>
          </cell>
          <cell r="AF1285">
            <v>22763975</v>
          </cell>
          <cell r="AG1285">
            <v>0</v>
          </cell>
          <cell r="AH1285">
            <v>0</v>
          </cell>
          <cell r="AI1285">
            <v>0</v>
          </cell>
          <cell r="AJ1285">
            <v>0</v>
          </cell>
          <cell r="AK1285">
            <v>698368</v>
          </cell>
          <cell r="AL1285">
            <v>1527680</v>
          </cell>
          <cell r="AM1285">
            <v>130944</v>
          </cell>
          <cell r="AN1285">
            <v>261888</v>
          </cell>
          <cell r="AO1285">
            <v>87296</v>
          </cell>
          <cell r="AP1285">
            <v>87296</v>
          </cell>
        </row>
        <row r="1286">
          <cell r="D1286" t="str">
            <v>Nghiên cứu, hiện đại hóa đại đội pháo phòng không 57mm có khí tài</v>
          </cell>
          <cell r="G1286" t="str">
            <v>KHCN</v>
          </cell>
          <cell r="I1286" t="str">
            <v>QĐT</v>
          </cell>
          <cell r="AC1286">
            <v>930000</v>
          </cell>
          <cell r="AD1286">
            <v>31445266</v>
          </cell>
          <cell r="AE1286">
            <v>28242346</v>
          </cell>
          <cell r="AF1286">
            <v>27226786</v>
          </cell>
          <cell r="AG1286">
            <v>0</v>
          </cell>
          <cell r="AH1286">
            <v>0</v>
          </cell>
          <cell r="AI1286">
            <v>0</v>
          </cell>
          <cell r="AJ1286">
            <v>0</v>
          </cell>
          <cell r="AK1286">
            <v>773760</v>
          </cell>
          <cell r="AL1286">
            <v>1692600</v>
          </cell>
          <cell r="AM1286">
            <v>145080</v>
          </cell>
          <cell r="AN1286">
            <v>290160</v>
          </cell>
          <cell r="AO1286">
            <v>96720</v>
          </cell>
          <cell r="AP1286">
            <v>96720</v>
          </cell>
        </row>
        <row r="1287">
          <cell r="D1287" t="str">
            <v>Nghiên cứu công nghệ và chế tạo thiết bị kính nhìn đêm gắn mũ</v>
          </cell>
          <cell r="G1287" t="str">
            <v>KHCN</v>
          </cell>
          <cell r="I1287" t="str">
            <v>QĐT</v>
          </cell>
          <cell r="AC1287">
            <v>1230000</v>
          </cell>
          <cell r="AD1287">
            <v>84979794</v>
          </cell>
          <cell r="AE1287">
            <v>28201892</v>
          </cell>
          <cell r="AF1287">
            <v>27820981</v>
          </cell>
          <cell r="AG1287">
            <v>0</v>
          </cell>
          <cell r="AH1287">
            <v>0</v>
          </cell>
          <cell r="AI1287">
            <v>0</v>
          </cell>
          <cell r="AJ1287">
            <v>0</v>
          </cell>
          <cell r="AK1287">
            <v>380911</v>
          </cell>
          <cell r="AL1287">
            <v>833243</v>
          </cell>
          <cell r="AM1287">
            <v>0</v>
          </cell>
          <cell r="AN1287">
            <v>0</v>
          </cell>
          <cell r="AO1287">
            <v>0</v>
          </cell>
          <cell r="AP1287">
            <v>0</v>
          </cell>
        </row>
        <row r="1288">
          <cell r="D1288" t="str">
            <v>Nghiên cứu công nghệ và chế tạo thiết bị kính nhìn đêm gắn mũ</v>
          </cell>
          <cell r="G1288" t="str">
            <v>KHCN</v>
          </cell>
          <cell r="I1288" t="str">
            <v>QĐT</v>
          </cell>
          <cell r="AC1288">
            <v>1030000</v>
          </cell>
          <cell r="AD1288">
            <v>29367120</v>
          </cell>
          <cell r="AE1288">
            <v>25873100</v>
          </cell>
          <cell r="AF1288">
            <v>24862220</v>
          </cell>
          <cell r="AG1288">
            <v>0</v>
          </cell>
          <cell r="AH1288">
            <v>0</v>
          </cell>
          <cell r="AI1288">
            <v>0</v>
          </cell>
          <cell r="AJ1288">
            <v>0</v>
          </cell>
          <cell r="AK1288">
            <v>1010880</v>
          </cell>
          <cell r="AL1288">
            <v>2211300</v>
          </cell>
          <cell r="AM1288">
            <v>0</v>
          </cell>
          <cell r="AN1288">
            <v>0</v>
          </cell>
          <cell r="AO1288">
            <v>0</v>
          </cell>
          <cell r="AP1288">
            <v>0</v>
          </cell>
        </row>
        <row r="1289">
          <cell r="D1289" t="str">
            <v>Nghiên cứu công nghệ và chế tạo thiết bị kính nhìn đêm gắn mũ</v>
          </cell>
          <cell r="G1289" t="str">
            <v>KHCN</v>
          </cell>
          <cell r="I1289" t="str">
            <v>QĐT</v>
          </cell>
          <cell r="AC1289">
            <v>930000</v>
          </cell>
          <cell r="AD1289">
            <v>19499984</v>
          </cell>
          <cell r="AE1289">
            <v>10902183</v>
          </cell>
          <cell r="AF1289">
            <v>10362136</v>
          </cell>
          <cell r="AG1289">
            <v>0</v>
          </cell>
          <cell r="AH1289">
            <v>0</v>
          </cell>
          <cell r="AI1289">
            <v>0</v>
          </cell>
          <cell r="AJ1289">
            <v>0</v>
          </cell>
          <cell r="AK1289">
            <v>411464</v>
          </cell>
          <cell r="AL1289">
            <v>900078</v>
          </cell>
          <cell r="AM1289">
            <v>77150</v>
          </cell>
          <cell r="AN1289">
            <v>154299</v>
          </cell>
          <cell r="AO1289">
            <v>51433</v>
          </cell>
          <cell r="AP1289">
            <v>51433</v>
          </cell>
        </row>
        <row r="1290">
          <cell r="D1290" t="str">
            <v>Nghiên cứu công nghệ và chế tạo thiết bị kính nhìn đêm gắn mũ</v>
          </cell>
          <cell r="G1290" t="str">
            <v>KHCN</v>
          </cell>
          <cell r="I1290" t="str">
            <v>CKTĐH</v>
          </cell>
          <cell r="AC1290">
            <v>930000</v>
          </cell>
          <cell r="AD1290">
            <v>29881806</v>
          </cell>
          <cell r="AE1290">
            <v>26678886</v>
          </cell>
          <cell r="AF1290">
            <v>25663326</v>
          </cell>
          <cell r="AG1290">
            <v>0</v>
          </cell>
          <cell r="AH1290">
            <v>0</v>
          </cell>
          <cell r="AI1290">
            <v>0</v>
          </cell>
          <cell r="AJ1290">
            <v>0</v>
          </cell>
          <cell r="AK1290">
            <v>773760</v>
          </cell>
          <cell r="AL1290">
            <v>1692600</v>
          </cell>
          <cell r="AM1290">
            <v>145080</v>
          </cell>
          <cell r="AN1290">
            <v>290160</v>
          </cell>
          <cell r="AO1290">
            <v>96720</v>
          </cell>
          <cell r="AP1290">
            <v>96720</v>
          </cell>
        </row>
        <row r="1291">
          <cell r="D1291" t="str">
            <v>Sản xuất 31 đài quang điện tử VEE - LRA và gói vật tư dự phòng (Đài quang điện tử VEE-LRA)</v>
          </cell>
          <cell r="G1291" t="str">
            <v>SXKD</v>
          </cell>
          <cell r="I1291" t="str">
            <v>QĐT</v>
          </cell>
          <cell r="AC1291">
            <v>1230000</v>
          </cell>
          <cell r="AD1291">
            <v>84979794</v>
          </cell>
          <cell r="AE1291">
            <v>38777601</v>
          </cell>
          <cell r="AF1291">
            <v>38253848</v>
          </cell>
          <cell r="AG1291">
            <v>0</v>
          </cell>
          <cell r="AH1291">
            <v>0</v>
          </cell>
          <cell r="AI1291">
            <v>0</v>
          </cell>
          <cell r="AJ1291">
            <v>0</v>
          </cell>
          <cell r="AK1291">
            <v>523753</v>
          </cell>
          <cell r="AL1291">
            <v>1145710</v>
          </cell>
          <cell r="AM1291">
            <v>0</v>
          </cell>
          <cell r="AN1291">
            <v>0</v>
          </cell>
          <cell r="AO1291">
            <v>0</v>
          </cell>
          <cell r="AP1291">
            <v>0</v>
          </cell>
        </row>
        <row r="1292">
          <cell r="D1292" t="str">
            <v>Sản xuất 31 đài quang điện tử VEE - LRA và gói vật tư dự phòng (Đài quang điện tử VEE-LRA)</v>
          </cell>
          <cell r="G1292" t="str">
            <v>SXKD</v>
          </cell>
          <cell r="I1292" t="str">
            <v>QĐT</v>
          </cell>
          <cell r="AC1292">
            <v>1030000</v>
          </cell>
          <cell r="AD1292">
            <v>33246120</v>
          </cell>
          <cell r="AE1292">
            <v>12968104</v>
          </cell>
          <cell r="AF1292">
            <v>12503912</v>
          </cell>
          <cell r="AG1292">
            <v>0</v>
          </cell>
          <cell r="AH1292">
            <v>0</v>
          </cell>
          <cell r="AI1292">
            <v>0</v>
          </cell>
          <cell r="AJ1292">
            <v>0</v>
          </cell>
          <cell r="AK1292">
            <v>353670</v>
          </cell>
          <cell r="AL1292">
            <v>773652</v>
          </cell>
          <cell r="AM1292">
            <v>66313</v>
          </cell>
          <cell r="AN1292">
            <v>132626</v>
          </cell>
          <cell r="AO1292">
            <v>44209</v>
          </cell>
          <cell r="AP1292">
            <v>44209</v>
          </cell>
        </row>
        <row r="1293">
          <cell r="D1293" t="str">
            <v>Sản xuất 31 đài quang điện tử VEE - LRA và gói vật tư dự phòng (Đài quang điện tử VEE-LRA)</v>
          </cell>
          <cell r="G1293" t="str">
            <v>SXKD</v>
          </cell>
          <cell r="I1293" t="str">
            <v>QĐT</v>
          </cell>
          <cell r="AC1293">
            <v>1030000</v>
          </cell>
          <cell r="AD1293">
            <v>29210717</v>
          </cell>
          <cell r="AE1293">
            <v>20366888</v>
          </cell>
          <cell r="AF1293">
            <v>19612861</v>
          </cell>
          <cell r="AG1293">
            <v>0</v>
          </cell>
          <cell r="AH1293">
            <v>0</v>
          </cell>
          <cell r="AI1293">
            <v>0</v>
          </cell>
          <cell r="AJ1293">
            <v>0</v>
          </cell>
          <cell r="AK1293">
            <v>574497</v>
          </cell>
          <cell r="AL1293">
            <v>1256713</v>
          </cell>
          <cell r="AM1293">
            <v>107718</v>
          </cell>
          <cell r="AN1293">
            <v>215437</v>
          </cell>
          <cell r="AO1293">
            <v>71812</v>
          </cell>
          <cell r="AP1293">
            <v>71812</v>
          </cell>
        </row>
        <row r="1294">
          <cell r="D1294" t="str">
            <v>Sản xuất 31 đài quang điện tử VEE - LRA và gói vật tư dự phòng (Đài quang điện tử VEE-LRA)</v>
          </cell>
          <cell r="G1294" t="str">
            <v>SXKD</v>
          </cell>
          <cell r="I1294" t="str">
            <v>QĐT</v>
          </cell>
          <cell r="AC1294">
            <v>1398000</v>
          </cell>
          <cell r="AD1294">
            <v>27348114</v>
          </cell>
          <cell r="AE1294">
            <v>18703298</v>
          </cell>
          <cell r="AF1294">
            <v>17985952</v>
          </cell>
          <cell r="AG1294">
            <v>0</v>
          </cell>
          <cell r="AH1294">
            <v>0</v>
          </cell>
          <cell r="AI1294">
            <v>0</v>
          </cell>
          <cell r="AJ1294">
            <v>0</v>
          </cell>
          <cell r="AK1294">
            <v>546549</v>
          </cell>
          <cell r="AL1294">
            <v>1195576</v>
          </cell>
          <cell r="AM1294">
            <v>102478</v>
          </cell>
          <cell r="AN1294">
            <v>204956</v>
          </cell>
          <cell r="AO1294">
            <v>68319</v>
          </cell>
          <cell r="AP1294">
            <v>68319</v>
          </cell>
        </row>
        <row r="1295">
          <cell r="D1295" t="str">
            <v>Sản xuất 31 đài quang điện tử VEE - LRA và gói vật tư dự phòng (Đài quang điện tử VEE-LRA)</v>
          </cell>
          <cell r="G1295" t="str">
            <v>SXKD</v>
          </cell>
          <cell r="I1295" t="str">
            <v>QĐT</v>
          </cell>
          <cell r="AC1295">
            <v>1030000</v>
          </cell>
          <cell r="AD1295">
            <v>40622372</v>
          </cell>
          <cell r="AE1295">
            <v>28914621</v>
          </cell>
          <cell r="AF1295">
            <v>27989409</v>
          </cell>
          <cell r="AG1295">
            <v>0</v>
          </cell>
          <cell r="AH1295">
            <v>0</v>
          </cell>
          <cell r="AI1295">
            <v>0</v>
          </cell>
          <cell r="AJ1295">
            <v>0</v>
          </cell>
          <cell r="AK1295">
            <v>704924</v>
          </cell>
          <cell r="AL1295">
            <v>1542021</v>
          </cell>
          <cell r="AM1295">
            <v>132173</v>
          </cell>
          <cell r="AN1295">
            <v>264346</v>
          </cell>
          <cell r="AO1295">
            <v>88115</v>
          </cell>
          <cell r="AP1295">
            <v>88115</v>
          </cell>
        </row>
        <row r="1296">
          <cell r="D1296" t="str">
            <v>Sản xuất 31 đài quang điện tử VEE - LRA và gói vật tư dự phòng (Đài quang điện tử VEE-LRA)</v>
          </cell>
          <cell r="G1296" t="str">
            <v>SXKD</v>
          </cell>
          <cell r="I1296" t="str">
            <v>QĐT</v>
          </cell>
          <cell r="AC1296">
            <v>930000</v>
          </cell>
          <cell r="AD1296">
            <v>14515216</v>
          </cell>
          <cell r="AE1296">
            <v>9391304</v>
          </cell>
          <cell r="AF1296">
            <v>8836992</v>
          </cell>
          <cell r="AG1296">
            <v>0</v>
          </cell>
          <cell r="AH1296">
            <v>0</v>
          </cell>
          <cell r="AI1296">
            <v>0</v>
          </cell>
          <cell r="AJ1296">
            <v>0</v>
          </cell>
          <cell r="AK1296">
            <v>422333</v>
          </cell>
          <cell r="AL1296">
            <v>923854</v>
          </cell>
          <cell r="AM1296">
            <v>79187</v>
          </cell>
          <cell r="AN1296">
            <v>158375</v>
          </cell>
          <cell r="AO1296">
            <v>52792</v>
          </cell>
          <cell r="AP1296">
            <v>52792</v>
          </cell>
        </row>
        <row r="1297">
          <cell r="D1297" t="str">
            <v>Sản xuất 31 đài quang điện tử VEE - LRA và gói vật tư dự phòng (Đài quang điện tử VEE-LRA)</v>
          </cell>
          <cell r="G1297" t="str">
            <v>SXKD</v>
          </cell>
          <cell r="I1297" t="str">
            <v>QĐT</v>
          </cell>
          <cell r="AC1297">
            <v>930000</v>
          </cell>
          <cell r="AD1297">
            <v>14222285</v>
          </cell>
          <cell r="AE1297">
            <v>9098199</v>
          </cell>
          <cell r="AF1297">
            <v>8515356</v>
          </cell>
          <cell r="AG1297">
            <v>0</v>
          </cell>
          <cell r="AH1297">
            <v>0</v>
          </cell>
          <cell r="AI1297">
            <v>0</v>
          </cell>
          <cell r="AJ1297">
            <v>0</v>
          </cell>
          <cell r="AK1297">
            <v>444071</v>
          </cell>
          <cell r="AL1297">
            <v>971405</v>
          </cell>
          <cell r="AM1297">
            <v>83263</v>
          </cell>
          <cell r="AN1297">
            <v>166527</v>
          </cell>
          <cell r="AO1297">
            <v>55509</v>
          </cell>
          <cell r="AP1297">
            <v>55509</v>
          </cell>
        </row>
        <row r="1298">
          <cell r="D1298" t="str">
            <v>Sản xuất 31 đài quang điện tử VEE - LRA và gói vật tư dự phòng (Đài quang điện tử VEE-LRA)</v>
          </cell>
          <cell r="G1298" t="str">
            <v>SXKD</v>
          </cell>
          <cell r="I1298" t="str">
            <v>QĐT</v>
          </cell>
          <cell r="AC1298">
            <v>930000</v>
          </cell>
          <cell r="AD1298">
            <v>17210056</v>
          </cell>
          <cell r="AE1298">
            <v>11363478</v>
          </cell>
          <cell r="AF1298">
            <v>10748029</v>
          </cell>
          <cell r="AG1298">
            <v>0</v>
          </cell>
          <cell r="AH1298">
            <v>0</v>
          </cell>
          <cell r="AI1298">
            <v>0</v>
          </cell>
          <cell r="AJ1298">
            <v>0</v>
          </cell>
          <cell r="AK1298">
            <v>468914</v>
          </cell>
          <cell r="AL1298">
            <v>1025750</v>
          </cell>
          <cell r="AM1298">
            <v>87921</v>
          </cell>
          <cell r="AN1298">
            <v>175843</v>
          </cell>
          <cell r="AO1298">
            <v>58614</v>
          </cell>
          <cell r="AP1298">
            <v>58614</v>
          </cell>
        </row>
        <row r="1299">
          <cell r="D1299" t="str">
            <v>Sản xuất 31 đài quang điện tử VEE - LRA và gói vật tư dự phòng (Đài quang điện tử VEE-LRA)</v>
          </cell>
          <cell r="G1299" t="str">
            <v>SXKD</v>
          </cell>
          <cell r="I1299" t="str">
            <v>QĐT</v>
          </cell>
          <cell r="AC1299">
            <v>1130000</v>
          </cell>
          <cell r="AD1299">
            <v>69265558</v>
          </cell>
          <cell r="AE1299">
            <v>51395117</v>
          </cell>
          <cell r="AF1299">
            <v>50603994</v>
          </cell>
          <cell r="AG1299">
            <v>0</v>
          </cell>
          <cell r="AH1299">
            <v>0</v>
          </cell>
          <cell r="AI1299">
            <v>0</v>
          </cell>
          <cell r="AJ1299">
            <v>0</v>
          </cell>
          <cell r="AK1299">
            <v>791123</v>
          </cell>
          <cell r="AL1299">
            <v>1730583</v>
          </cell>
          <cell r="AM1299">
            <v>0</v>
          </cell>
          <cell r="AN1299">
            <v>0</v>
          </cell>
          <cell r="AO1299">
            <v>0</v>
          </cell>
          <cell r="AP1299">
            <v>0</v>
          </cell>
        </row>
        <row r="1300">
          <cell r="D1300" t="str">
            <v>Sản xuất 31 đài quang điện tử VEE - LRA và gói vật tư dự phòng (Đài quang điện tử VEE-LRA)</v>
          </cell>
          <cell r="G1300" t="str">
            <v>SXKD</v>
          </cell>
          <cell r="I1300" t="str">
            <v>QĐT</v>
          </cell>
          <cell r="AC1300">
            <v>1030000</v>
          </cell>
          <cell r="AD1300">
            <v>28670138</v>
          </cell>
          <cell r="AE1300">
            <v>19943826</v>
          </cell>
          <cell r="AF1300">
            <v>19189799</v>
          </cell>
          <cell r="AG1300">
            <v>0</v>
          </cell>
          <cell r="AH1300">
            <v>0</v>
          </cell>
          <cell r="AI1300">
            <v>0</v>
          </cell>
          <cell r="AJ1300">
            <v>0</v>
          </cell>
          <cell r="AK1300">
            <v>574497</v>
          </cell>
          <cell r="AL1300">
            <v>1256713</v>
          </cell>
          <cell r="AM1300">
            <v>107718</v>
          </cell>
          <cell r="AN1300">
            <v>215437</v>
          </cell>
          <cell r="AO1300">
            <v>71812</v>
          </cell>
          <cell r="AP1300">
            <v>71812</v>
          </cell>
        </row>
        <row r="1301">
          <cell r="D1301" t="str">
            <v>Sản xuất 31 đài quang điện tử VEE - LRA và gói vật tư dự phòng (Đài quang điện tử VEE-LRA)</v>
          </cell>
          <cell r="G1301" t="str">
            <v>SXKD</v>
          </cell>
          <cell r="I1301" t="str">
            <v>QĐT</v>
          </cell>
          <cell r="AC1301">
            <v>1030000</v>
          </cell>
          <cell r="AD1301">
            <v>37525095</v>
          </cell>
          <cell r="AE1301">
            <v>26691351</v>
          </cell>
          <cell r="AF1301">
            <v>25855807</v>
          </cell>
          <cell r="AG1301">
            <v>0</v>
          </cell>
          <cell r="AH1301">
            <v>0</v>
          </cell>
          <cell r="AI1301">
            <v>0</v>
          </cell>
          <cell r="AJ1301">
            <v>0</v>
          </cell>
          <cell r="AK1301">
            <v>636605</v>
          </cell>
          <cell r="AL1301">
            <v>1392574</v>
          </cell>
          <cell r="AM1301">
            <v>119363</v>
          </cell>
          <cell r="AN1301">
            <v>238727</v>
          </cell>
          <cell r="AO1301">
            <v>79576</v>
          </cell>
          <cell r="AP1301">
            <v>79576</v>
          </cell>
        </row>
        <row r="1302">
          <cell r="D1302" t="str">
            <v>Sản xuất 31 đài quang điện tử VEE - LRA và gói vật tư dự phòng (Đài quang điện tử VEE-LRA)</v>
          </cell>
          <cell r="G1302" t="str">
            <v>SXKD</v>
          </cell>
          <cell r="I1302" t="str">
            <v>QĐT</v>
          </cell>
          <cell r="AC1302">
            <v>930000</v>
          </cell>
          <cell r="AD1302">
            <v>20309612</v>
          </cell>
          <cell r="AE1302">
            <v>13643264</v>
          </cell>
          <cell r="AF1302">
            <v>12962601</v>
          </cell>
          <cell r="AG1302">
            <v>0</v>
          </cell>
          <cell r="AH1302">
            <v>0</v>
          </cell>
          <cell r="AI1302">
            <v>0</v>
          </cell>
          <cell r="AJ1302">
            <v>0</v>
          </cell>
          <cell r="AK1302">
            <v>518600</v>
          </cell>
          <cell r="AL1302">
            <v>1134438</v>
          </cell>
          <cell r="AM1302">
            <v>97238</v>
          </cell>
          <cell r="AN1302">
            <v>194475</v>
          </cell>
          <cell r="AO1302">
            <v>64825</v>
          </cell>
          <cell r="AP1302">
            <v>64825</v>
          </cell>
        </row>
        <row r="1303">
          <cell r="D1303" t="str">
            <v>Sản xuất 31 đài quang điện tử VEE - LRA và gói vật tư dự phòng (Đài quang điện tử VEE-LRA)</v>
          </cell>
          <cell r="G1303" t="str">
            <v>SXKD</v>
          </cell>
          <cell r="I1303" t="str">
            <v>QĐT</v>
          </cell>
          <cell r="AC1303">
            <v>930000</v>
          </cell>
          <cell r="AD1303">
            <v>22947552</v>
          </cell>
          <cell r="AE1303">
            <v>15707739</v>
          </cell>
          <cell r="AF1303">
            <v>15027076</v>
          </cell>
          <cell r="AG1303">
            <v>0</v>
          </cell>
          <cell r="AH1303">
            <v>0</v>
          </cell>
          <cell r="AI1303">
            <v>0</v>
          </cell>
          <cell r="AJ1303">
            <v>0</v>
          </cell>
          <cell r="AK1303">
            <v>518600</v>
          </cell>
          <cell r="AL1303">
            <v>1134438</v>
          </cell>
          <cell r="AM1303">
            <v>97238</v>
          </cell>
          <cell r="AN1303">
            <v>194475</v>
          </cell>
          <cell r="AO1303">
            <v>64825</v>
          </cell>
          <cell r="AP1303">
            <v>64825</v>
          </cell>
        </row>
        <row r="1304">
          <cell r="D1304" t="str">
            <v>Sản xuất 31 đài quang điện tử VEE - LRA và gói vật tư dự phòng (Đài quang điện tử VEE-LRA)</v>
          </cell>
          <cell r="G1304" t="str">
            <v>SXKD</v>
          </cell>
          <cell r="I1304" t="str">
            <v>QĐT</v>
          </cell>
          <cell r="AC1304">
            <v>1030000</v>
          </cell>
          <cell r="AD1304">
            <v>46101970</v>
          </cell>
          <cell r="AE1304">
            <v>33303345</v>
          </cell>
          <cell r="AF1304">
            <v>32422966</v>
          </cell>
          <cell r="AG1304">
            <v>0</v>
          </cell>
          <cell r="AH1304">
            <v>0</v>
          </cell>
          <cell r="AI1304">
            <v>0</v>
          </cell>
          <cell r="AJ1304">
            <v>0</v>
          </cell>
          <cell r="AK1304">
            <v>670765</v>
          </cell>
          <cell r="AL1304">
            <v>1467297</v>
          </cell>
          <cell r="AM1304">
            <v>125768</v>
          </cell>
          <cell r="AN1304">
            <v>251537</v>
          </cell>
          <cell r="AO1304">
            <v>83846</v>
          </cell>
          <cell r="AP1304">
            <v>83846</v>
          </cell>
        </row>
        <row r="1305">
          <cell r="D1305" t="str">
            <v>Sản xuất 31 đài quang điện tử VEE - LRA và gói vật tư dự phòng (Đài quang điện tử VEE-LRA)</v>
          </cell>
          <cell r="G1305" t="str">
            <v>SXKD</v>
          </cell>
          <cell r="I1305" t="str">
            <v>QĐT</v>
          </cell>
          <cell r="AC1305">
            <v>930000</v>
          </cell>
          <cell r="AD1305">
            <v>19499984</v>
          </cell>
          <cell r="AE1305">
            <v>13082619</v>
          </cell>
          <cell r="AF1305">
            <v>12434563</v>
          </cell>
          <cell r="AG1305">
            <v>0</v>
          </cell>
          <cell r="AH1305">
            <v>0</v>
          </cell>
          <cell r="AI1305">
            <v>0</v>
          </cell>
          <cell r="AJ1305">
            <v>0</v>
          </cell>
          <cell r="AK1305">
            <v>493757</v>
          </cell>
          <cell r="AL1305">
            <v>1080094</v>
          </cell>
          <cell r="AM1305">
            <v>92579</v>
          </cell>
          <cell r="AN1305">
            <v>185159</v>
          </cell>
          <cell r="AO1305">
            <v>61720</v>
          </cell>
          <cell r="AP1305">
            <v>61720</v>
          </cell>
        </row>
        <row r="1306">
          <cell r="D1306" t="str">
            <v>Sản xuất 31 đài quang điện tử VEE - LRA và gói vật tư dự phòng (Đài quang điện tử VEE-LRA)</v>
          </cell>
          <cell r="G1306" t="str">
            <v>SXKD</v>
          </cell>
          <cell r="I1306" t="str">
            <v>QĐT</v>
          </cell>
          <cell r="AC1306">
            <v>930000</v>
          </cell>
          <cell r="AD1306">
            <v>17768520</v>
          </cell>
          <cell r="AE1306">
            <v>11535292</v>
          </cell>
          <cell r="AF1306">
            <v>10861372</v>
          </cell>
          <cell r="AG1306">
            <v>0</v>
          </cell>
          <cell r="AH1306">
            <v>0</v>
          </cell>
          <cell r="AI1306">
            <v>0</v>
          </cell>
          <cell r="AJ1306">
            <v>0</v>
          </cell>
          <cell r="AK1306">
            <v>673920</v>
          </cell>
          <cell r="AL1306">
            <v>1474200</v>
          </cell>
          <cell r="AM1306">
            <v>0</v>
          </cell>
          <cell r="AN1306">
            <v>0</v>
          </cell>
          <cell r="AO1306">
            <v>0</v>
          </cell>
          <cell r="AP1306">
            <v>0</v>
          </cell>
        </row>
        <row r="1307">
          <cell r="D1307" t="str">
            <v>Sản xuất 31 đài quang điện tử VEE - LRA và gói vật tư dự phòng (Đài quang điện tử VEE-LRA)</v>
          </cell>
          <cell r="G1307" t="str">
            <v>SXKD</v>
          </cell>
          <cell r="I1307" t="str">
            <v>CKTĐH</v>
          </cell>
          <cell r="AC1307">
            <v>930000</v>
          </cell>
          <cell r="AD1307">
            <v>21891758</v>
          </cell>
          <cell r="AE1307">
            <v>14881466</v>
          </cell>
          <cell r="AF1307">
            <v>14200803</v>
          </cell>
          <cell r="AG1307">
            <v>0</v>
          </cell>
          <cell r="AH1307">
            <v>0</v>
          </cell>
          <cell r="AI1307">
            <v>0</v>
          </cell>
          <cell r="AJ1307">
            <v>0</v>
          </cell>
          <cell r="AK1307">
            <v>518600</v>
          </cell>
          <cell r="AL1307">
            <v>1134438</v>
          </cell>
          <cell r="AM1307">
            <v>97238</v>
          </cell>
          <cell r="AN1307">
            <v>194475</v>
          </cell>
          <cell r="AO1307">
            <v>64825</v>
          </cell>
          <cell r="AP1307">
            <v>64825</v>
          </cell>
        </row>
        <row r="1308">
          <cell r="D1308" t="str">
            <v>Sản xuất 31 đài quang điện tử VEE - LRA và gói vật tư dự phòng (Đài quang điện tử VEE-LRA)</v>
          </cell>
          <cell r="G1308" t="str">
            <v>SXKD</v>
          </cell>
          <cell r="I1308" t="str">
            <v>QĐT</v>
          </cell>
          <cell r="AC1308">
            <v>1047000</v>
          </cell>
          <cell r="AD1308">
            <v>23799705</v>
          </cell>
          <cell r="AE1308">
            <v>5400326</v>
          </cell>
          <cell r="AF1308">
            <v>5161211</v>
          </cell>
          <cell r="AG1308">
            <v>0</v>
          </cell>
          <cell r="AH1308">
            <v>0</v>
          </cell>
          <cell r="AI1308">
            <v>0</v>
          </cell>
          <cell r="AJ1308">
            <v>0</v>
          </cell>
          <cell r="AK1308">
            <v>182183</v>
          </cell>
          <cell r="AL1308">
            <v>398525</v>
          </cell>
          <cell r="AM1308">
            <v>34159</v>
          </cell>
          <cell r="AN1308">
            <v>68319</v>
          </cell>
          <cell r="AO1308">
            <v>22773</v>
          </cell>
          <cell r="AP1308">
            <v>22773</v>
          </cell>
        </row>
        <row r="1309">
          <cell r="D1309" t="str">
            <v>Sản xuất 31 đài quang điện tử VEE - LRA và gói vật tư dự phòng (Bộ ZIP VEE-LRA)</v>
          </cell>
          <cell r="G1309" t="str">
            <v>SXKD</v>
          </cell>
          <cell r="I1309" t="str">
            <v>QĐT</v>
          </cell>
          <cell r="AC1309">
            <v>1230000</v>
          </cell>
          <cell r="AD1309">
            <v>84979794</v>
          </cell>
          <cell r="AE1309">
            <v>14100946</v>
          </cell>
          <cell r="AF1309">
            <v>13910490</v>
          </cell>
          <cell r="AG1309">
            <v>0</v>
          </cell>
          <cell r="AH1309">
            <v>0</v>
          </cell>
          <cell r="AI1309">
            <v>0</v>
          </cell>
          <cell r="AJ1309">
            <v>0</v>
          </cell>
          <cell r="AK1309">
            <v>190456</v>
          </cell>
          <cell r="AL1309">
            <v>416622</v>
          </cell>
          <cell r="AM1309">
            <v>0</v>
          </cell>
          <cell r="AN1309">
            <v>0</v>
          </cell>
          <cell r="AO1309">
            <v>0</v>
          </cell>
          <cell r="AP1309">
            <v>0</v>
          </cell>
        </row>
        <row r="1310">
          <cell r="D1310" t="str">
            <v>Sản xuất 31 đài quang điện tử VEE - LRA và gói vật tư dự phòng (Bộ ZIP VEE-LRA)</v>
          </cell>
          <cell r="G1310" t="str">
            <v>SXKD</v>
          </cell>
          <cell r="I1310" t="str">
            <v>QĐT</v>
          </cell>
          <cell r="AC1310">
            <v>1030000</v>
          </cell>
          <cell r="AD1310">
            <v>33246120</v>
          </cell>
          <cell r="AE1310">
            <v>5187242</v>
          </cell>
          <cell r="AF1310">
            <v>5001566</v>
          </cell>
          <cell r="AG1310">
            <v>0</v>
          </cell>
          <cell r="AH1310">
            <v>0</v>
          </cell>
          <cell r="AI1310">
            <v>0</v>
          </cell>
          <cell r="AJ1310">
            <v>0</v>
          </cell>
          <cell r="AK1310">
            <v>141468</v>
          </cell>
          <cell r="AL1310">
            <v>309461</v>
          </cell>
          <cell r="AM1310">
            <v>26525</v>
          </cell>
          <cell r="AN1310">
            <v>53050</v>
          </cell>
          <cell r="AO1310">
            <v>17683</v>
          </cell>
          <cell r="AP1310">
            <v>17683</v>
          </cell>
        </row>
        <row r="1311">
          <cell r="D1311" t="str">
            <v>Sản xuất 31 đài quang điện tử VEE - LRA và gói vật tư dự phòng (Bộ ZIP VEE-LRA)</v>
          </cell>
          <cell r="G1311" t="str">
            <v>SXKD</v>
          </cell>
          <cell r="I1311" t="str">
            <v>QĐT</v>
          </cell>
          <cell r="AC1311">
            <v>1030000</v>
          </cell>
          <cell r="AD1311">
            <v>29210717</v>
          </cell>
          <cell r="AE1311">
            <v>5657469</v>
          </cell>
          <cell r="AF1311">
            <v>5448016</v>
          </cell>
          <cell r="AG1311">
            <v>0</v>
          </cell>
          <cell r="AH1311">
            <v>0</v>
          </cell>
          <cell r="AI1311">
            <v>0</v>
          </cell>
          <cell r="AJ1311">
            <v>0</v>
          </cell>
          <cell r="AK1311">
            <v>159583</v>
          </cell>
          <cell r="AL1311">
            <v>349087</v>
          </cell>
          <cell r="AM1311">
            <v>29922</v>
          </cell>
          <cell r="AN1311">
            <v>59843</v>
          </cell>
          <cell r="AO1311">
            <v>19948</v>
          </cell>
          <cell r="AP1311">
            <v>19948</v>
          </cell>
        </row>
        <row r="1312">
          <cell r="D1312" t="str">
            <v>Sản xuất 31 đài quang điện tử VEE - LRA và gói vật tư dự phòng (Bộ ZIP VEE-LRA)</v>
          </cell>
          <cell r="G1312" t="str">
            <v>SXKD</v>
          </cell>
          <cell r="I1312" t="str">
            <v>QĐT</v>
          </cell>
          <cell r="AC1312">
            <v>1398000</v>
          </cell>
          <cell r="AD1312">
            <v>27348114</v>
          </cell>
          <cell r="AE1312">
            <v>5195360</v>
          </cell>
          <cell r="AF1312">
            <v>4996098</v>
          </cell>
          <cell r="AG1312">
            <v>0</v>
          </cell>
          <cell r="AH1312">
            <v>0</v>
          </cell>
          <cell r="AI1312">
            <v>0</v>
          </cell>
          <cell r="AJ1312">
            <v>0</v>
          </cell>
          <cell r="AK1312">
            <v>151819</v>
          </cell>
          <cell r="AL1312">
            <v>332104</v>
          </cell>
          <cell r="AM1312">
            <v>28466</v>
          </cell>
          <cell r="AN1312">
            <v>56932</v>
          </cell>
          <cell r="AO1312">
            <v>18977</v>
          </cell>
          <cell r="AP1312">
            <v>18977</v>
          </cell>
        </row>
        <row r="1313">
          <cell r="D1313" t="str">
            <v>Sản xuất 31 đài quang điện tử VEE - LRA và gói vật tư dự phòng (Bộ ZIP VEE-LRA)</v>
          </cell>
          <cell r="G1313" t="str">
            <v>SXKD</v>
          </cell>
          <cell r="I1313" t="str">
            <v>QĐT</v>
          </cell>
          <cell r="AC1313">
            <v>1030000</v>
          </cell>
          <cell r="AD1313">
            <v>40622372</v>
          </cell>
          <cell r="AE1313">
            <v>8031839</v>
          </cell>
          <cell r="AF1313">
            <v>7774835</v>
          </cell>
          <cell r="AG1313">
            <v>0</v>
          </cell>
          <cell r="AH1313">
            <v>0</v>
          </cell>
          <cell r="AI1313">
            <v>0</v>
          </cell>
          <cell r="AJ1313">
            <v>0</v>
          </cell>
          <cell r="AK1313">
            <v>195812</v>
          </cell>
          <cell r="AL1313">
            <v>428339</v>
          </cell>
          <cell r="AM1313">
            <v>36715</v>
          </cell>
          <cell r="AN1313">
            <v>73430</v>
          </cell>
          <cell r="AO1313">
            <v>24477</v>
          </cell>
          <cell r="AP1313">
            <v>24477</v>
          </cell>
        </row>
        <row r="1314">
          <cell r="D1314" t="str">
            <v>Sản xuất 31 đài quang điện tử VEE - LRA và gói vật tư dự phòng (Bộ ZIP VEE-LRA)</v>
          </cell>
          <cell r="G1314" t="str">
            <v>SXKD</v>
          </cell>
          <cell r="I1314" t="str">
            <v>QĐT</v>
          </cell>
          <cell r="AC1314">
            <v>930000</v>
          </cell>
          <cell r="AD1314">
            <v>14515216</v>
          </cell>
          <cell r="AE1314">
            <v>2608696</v>
          </cell>
          <cell r="AF1314">
            <v>2454720</v>
          </cell>
          <cell r="AG1314">
            <v>0</v>
          </cell>
          <cell r="AH1314">
            <v>0</v>
          </cell>
          <cell r="AI1314">
            <v>0</v>
          </cell>
          <cell r="AJ1314">
            <v>0</v>
          </cell>
          <cell r="AK1314">
            <v>117315</v>
          </cell>
          <cell r="AL1314">
            <v>256626</v>
          </cell>
          <cell r="AM1314">
            <v>21997</v>
          </cell>
          <cell r="AN1314">
            <v>43993</v>
          </cell>
          <cell r="AO1314">
            <v>14664</v>
          </cell>
          <cell r="AP1314">
            <v>14664</v>
          </cell>
        </row>
        <row r="1315">
          <cell r="D1315" t="str">
            <v>Sản xuất 31 đài quang điện tử VEE - LRA và gói vật tư dự phòng (Bộ ZIP VEE-LRA)</v>
          </cell>
          <cell r="G1315" t="str">
            <v>SXKD</v>
          </cell>
          <cell r="I1315" t="str">
            <v>QĐT</v>
          </cell>
          <cell r="AC1315">
            <v>930000</v>
          </cell>
          <cell r="AD1315">
            <v>14222285</v>
          </cell>
          <cell r="AE1315">
            <v>2527278</v>
          </cell>
          <cell r="AF1315">
            <v>2365377</v>
          </cell>
          <cell r="AG1315">
            <v>0</v>
          </cell>
          <cell r="AH1315">
            <v>0</v>
          </cell>
          <cell r="AI1315">
            <v>0</v>
          </cell>
          <cell r="AJ1315">
            <v>0</v>
          </cell>
          <cell r="AK1315">
            <v>123353</v>
          </cell>
          <cell r="AL1315">
            <v>269835</v>
          </cell>
          <cell r="AM1315">
            <v>23129</v>
          </cell>
          <cell r="AN1315">
            <v>46257</v>
          </cell>
          <cell r="AO1315">
            <v>15419</v>
          </cell>
          <cell r="AP1315">
            <v>15419</v>
          </cell>
        </row>
        <row r="1316">
          <cell r="D1316" t="str">
            <v>Sản xuất 31 đài quang điện tử VEE - LRA và gói vật tư dự phòng (Bộ ZIP VEE-LRA)</v>
          </cell>
          <cell r="G1316" t="str">
            <v>SXKD</v>
          </cell>
          <cell r="I1316" t="str">
            <v>QĐT</v>
          </cell>
          <cell r="AC1316">
            <v>930000</v>
          </cell>
          <cell r="AD1316">
            <v>17210056</v>
          </cell>
          <cell r="AE1316">
            <v>3156522</v>
          </cell>
          <cell r="AF1316">
            <v>2985563</v>
          </cell>
          <cell r="AG1316">
            <v>0</v>
          </cell>
          <cell r="AH1316">
            <v>0</v>
          </cell>
          <cell r="AI1316">
            <v>0</v>
          </cell>
          <cell r="AJ1316">
            <v>0</v>
          </cell>
          <cell r="AK1316">
            <v>130254</v>
          </cell>
          <cell r="AL1316">
            <v>284930</v>
          </cell>
          <cell r="AM1316">
            <v>24423</v>
          </cell>
          <cell r="AN1316">
            <v>48845</v>
          </cell>
          <cell r="AO1316">
            <v>16282</v>
          </cell>
          <cell r="AP1316">
            <v>16282</v>
          </cell>
        </row>
        <row r="1317">
          <cell r="D1317" t="str">
            <v>Sản xuất 31 đài quang điện tử VEE - LRA và gói vật tư dự phòng (Bộ ZIP VEE-LRA)</v>
          </cell>
          <cell r="G1317" t="str">
            <v>SXKD</v>
          </cell>
          <cell r="I1317" t="str">
            <v>QĐT</v>
          </cell>
          <cell r="AC1317">
            <v>1130000</v>
          </cell>
          <cell r="AD1317">
            <v>69265558</v>
          </cell>
          <cell r="AE1317">
            <v>14276421</v>
          </cell>
          <cell r="AF1317">
            <v>14056664</v>
          </cell>
          <cell r="AG1317">
            <v>0</v>
          </cell>
          <cell r="AH1317">
            <v>0</v>
          </cell>
          <cell r="AI1317">
            <v>0</v>
          </cell>
          <cell r="AJ1317">
            <v>0</v>
          </cell>
          <cell r="AK1317">
            <v>219757</v>
          </cell>
          <cell r="AL1317">
            <v>480717</v>
          </cell>
          <cell r="AM1317">
            <v>0</v>
          </cell>
          <cell r="AN1317">
            <v>0</v>
          </cell>
          <cell r="AO1317">
            <v>0</v>
          </cell>
          <cell r="AP1317">
            <v>0</v>
          </cell>
        </row>
        <row r="1318">
          <cell r="D1318" t="str">
            <v>Sản xuất 31 đài quang điện tử VEE - LRA và gói vật tư dự phòng (Bộ ZIP VEE-LRA)</v>
          </cell>
          <cell r="G1318" t="str">
            <v>SXKD</v>
          </cell>
          <cell r="I1318" t="str">
            <v>QĐT</v>
          </cell>
          <cell r="AC1318">
            <v>1030000</v>
          </cell>
          <cell r="AD1318">
            <v>28670138</v>
          </cell>
          <cell r="AE1318">
            <v>5539952</v>
          </cell>
          <cell r="AF1318">
            <v>5330499</v>
          </cell>
          <cell r="AG1318">
            <v>0</v>
          </cell>
          <cell r="AH1318">
            <v>0</v>
          </cell>
          <cell r="AI1318">
            <v>0</v>
          </cell>
          <cell r="AJ1318">
            <v>0</v>
          </cell>
          <cell r="AK1318">
            <v>159583</v>
          </cell>
          <cell r="AL1318">
            <v>349087</v>
          </cell>
          <cell r="AM1318">
            <v>29922</v>
          </cell>
          <cell r="AN1318">
            <v>59843</v>
          </cell>
          <cell r="AO1318">
            <v>19948</v>
          </cell>
          <cell r="AP1318">
            <v>19948</v>
          </cell>
        </row>
        <row r="1319">
          <cell r="D1319" t="str">
            <v>Sản xuất 31 đài quang điện tử VEE - LRA và gói vật tư dự phòng (Bộ ZIP VEE-LRA)</v>
          </cell>
          <cell r="G1319" t="str">
            <v>SXKD</v>
          </cell>
          <cell r="I1319" t="str">
            <v>QĐT</v>
          </cell>
          <cell r="AC1319">
            <v>1030000</v>
          </cell>
          <cell r="AD1319">
            <v>37525095</v>
          </cell>
          <cell r="AE1319">
            <v>7414264</v>
          </cell>
          <cell r="AF1319">
            <v>7182168</v>
          </cell>
          <cell r="AG1319">
            <v>0</v>
          </cell>
          <cell r="AH1319">
            <v>0</v>
          </cell>
          <cell r="AI1319">
            <v>0</v>
          </cell>
          <cell r="AJ1319">
            <v>0</v>
          </cell>
          <cell r="AK1319">
            <v>176835</v>
          </cell>
          <cell r="AL1319">
            <v>386826</v>
          </cell>
          <cell r="AM1319">
            <v>33157</v>
          </cell>
          <cell r="AN1319">
            <v>66313</v>
          </cell>
          <cell r="AO1319">
            <v>22104</v>
          </cell>
          <cell r="AP1319">
            <v>22104</v>
          </cell>
        </row>
        <row r="1320">
          <cell r="D1320" t="str">
            <v>Sản xuất 31 đài quang điện tử VEE - LRA và gói vật tư dự phòng (Bộ ZIP VEE-LRA)</v>
          </cell>
          <cell r="G1320" t="str">
            <v>SXKD</v>
          </cell>
          <cell r="I1320" t="str">
            <v>QĐT</v>
          </cell>
          <cell r="AC1320">
            <v>930000</v>
          </cell>
          <cell r="AD1320">
            <v>20309612</v>
          </cell>
          <cell r="AE1320">
            <v>3789796</v>
          </cell>
          <cell r="AF1320">
            <v>3600723</v>
          </cell>
          <cell r="AG1320">
            <v>0</v>
          </cell>
          <cell r="AH1320">
            <v>0</v>
          </cell>
          <cell r="AI1320">
            <v>0</v>
          </cell>
          <cell r="AJ1320">
            <v>0</v>
          </cell>
          <cell r="AK1320">
            <v>144056</v>
          </cell>
          <cell r="AL1320">
            <v>315122</v>
          </cell>
          <cell r="AM1320">
            <v>27010</v>
          </cell>
          <cell r="AN1320">
            <v>54021</v>
          </cell>
          <cell r="AO1320">
            <v>18007</v>
          </cell>
          <cell r="AP1320">
            <v>18007</v>
          </cell>
        </row>
        <row r="1321">
          <cell r="D1321" t="str">
            <v>Sản xuất 31 đài quang điện tử VEE - LRA và gói vật tư dự phòng (Bộ ZIP VEE-LRA)</v>
          </cell>
          <cell r="G1321" t="str">
            <v>SXKD</v>
          </cell>
          <cell r="I1321" t="str">
            <v>QĐT</v>
          </cell>
          <cell r="AC1321">
            <v>930000</v>
          </cell>
          <cell r="AD1321">
            <v>22947552</v>
          </cell>
          <cell r="AE1321">
            <v>4363261</v>
          </cell>
          <cell r="AF1321">
            <v>4174188</v>
          </cell>
          <cell r="AG1321">
            <v>0</v>
          </cell>
          <cell r="AH1321">
            <v>0</v>
          </cell>
          <cell r="AI1321">
            <v>0</v>
          </cell>
          <cell r="AJ1321">
            <v>0</v>
          </cell>
          <cell r="AK1321">
            <v>144056</v>
          </cell>
          <cell r="AL1321">
            <v>315122</v>
          </cell>
          <cell r="AM1321">
            <v>27010</v>
          </cell>
          <cell r="AN1321">
            <v>54021</v>
          </cell>
          <cell r="AO1321">
            <v>18007</v>
          </cell>
          <cell r="AP1321">
            <v>18007</v>
          </cell>
        </row>
        <row r="1322">
          <cell r="D1322" t="str">
            <v>Sản xuất 31 đài quang điện tử VEE - LRA và gói vật tư dự phòng (Bộ ZIP VEE-LRA)</v>
          </cell>
          <cell r="G1322" t="str">
            <v>SXKD</v>
          </cell>
          <cell r="I1322" t="str">
            <v>QĐT</v>
          </cell>
          <cell r="AC1322">
            <v>1030000</v>
          </cell>
          <cell r="AD1322">
            <v>46101970</v>
          </cell>
          <cell r="AE1322">
            <v>9250929</v>
          </cell>
          <cell r="AF1322">
            <v>9006380</v>
          </cell>
          <cell r="AG1322">
            <v>0</v>
          </cell>
          <cell r="AH1322">
            <v>0</v>
          </cell>
          <cell r="AI1322">
            <v>0</v>
          </cell>
          <cell r="AJ1322">
            <v>0</v>
          </cell>
          <cell r="AK1322">
            <v>186323</v>
          </cell>
          <cell r="AL1322">
            <v>407583</v>
          </cell>
          <cell r="AM1322">
            <v>34936</v>
          </cell>
          <cell r="AN1322">
            <v>69871</v>
          </cell>
          <cell r="AO1322">
            <v>23290</v>
          </cell>
          <cell r="AP1322">
            <v>23290</v>
          </cell>
        </row>
        <row r="1323">
          <cell r="D1323" t="str">
            <v>Sản xuất 31 đài quang điện tử VEE - LRA và gói vật tư dự phòng (Bộ ZIP VEE-LRA)</v>
          </cell>
          <cell r="G1323" t="str">
            <v>SXKD</v>
          </cell>
          <cell r="I1323" t="str">
            <v>QĐT</v>
          </cell>
          <cell r="AC1323">
            <v>930000</v>
          </cell>
          <cell r="AD1323">
            <v>19499984</v>
          </cell>
          <cell r="AE1323">
            <v>3634061</v>
          </cell>
          <cell r="AF1323">
            <v>3454045</v>
          </cell>
          <cell r="AG1323">
            <v>0</v>
          </cell>
          <cell r="AH1323">
            <v>0</v>
          </cell>
          <cell r="AI1323">
            <v>0</v>
          </cell>
          <cell r="AJ1323">
            <v>0</v>
          </cell>
          <cell r="AK1323">
            <v>137155</v>
          </cell>
          <cell r="AL1323">
            <v>300026</v>
          </cell>
          <cell r="AM1323">
            <v>25717</v>
          </cell>
          <cell r="AN1323">
            <v>51433</v>
          </cell>
          <cell r="AO1323">
            <v>17144</v>
          </cell>
          <cell r="AP1323">
            <v>17144</v>
          </cell>
        </row>
        <row r="1324">
          <cell r="D1324" t="str">
            <v>Sản xuất 31 đài quang điện tử VEE - LRA và gói vật tư dự phòng (Bộ ZIP VEE-LRA)</v>
          </cell>
          <cell r="G1324" t="str">
            <v>SXKD</v>
          </cell>
          <cell r="I1324" t="str">
            <v>QĐT</v>
          </cell>
          <cell r="AC1324">
            <v>930000</v>
          </cell>
          <cell r="AD1324">
            <v>17768520</v>
          </cell>
          <cell r="AE1324">
            <v>3204248</v>
          </cell>
          <cell r="AF1324">
            <v>3017048</v>
          </cell>
          <cell r="AG1324">
            <v>0</v>
          </cell>
          <cell r="AH1324">
            <v>0</v>
          </cell>
          <cell r="AI1324">
            <v>0</v>
          </cell>
          <cell r="AJ1324">
            <v>0</v>
          </cell>
          <cell r="AK1324">
            <v>187200</v>
          </cell>
          <cell r="AL1324">
            <v>409500</v>
          </cell>
          <cell r="AM1324">
            <v>0</v>
          </cell>
          <cell r="AN1324">
            <v>0</v>
          </cell>
          <cell r="AO1324">
            <v>0</v>
          </cell>
          <cell r="AP1324">
            <v>0</v>
          </cell>
        </row>
        <row r="1325">
          <cell r="D1325" t="str">
            <v>Sản xuất 31 đài quang điện tử VEE - LRA và gói vật tư dự phòng (Bộ ZIP VEE-LRA)</v>
          </cell>
          <cell r="G1325" t="str">
            <v>SXKD</v>
          </cell>
          <cell r="I1325" t="str">
            <v>CKTĐH</v>
          </cell>
          <cell r="AC1325">
            <v>930000</v>
          </cell>
          <cell r="AD1325">
            <v>21891758</v>
          </cell>
          <cell r="AE1325">
            <v>4133740</v>
          </cell>
          <cell r="AF1325">
            <v>3944667</v>
          </cell>
          <cell r="AG1325">
            <v>0</v>
          </cell>
          <cell r="AH1325">
            <v>0</v>
          </cell>
          <cell r="AI1325">
            <v>0</v>
          </cell>
          <cell r="AJ1325">
            <v>0</v>
          </cell>
          <cell r="AK1325">
            <v>144056</v>
          </cell>
          <cell r="AL1325">
            <v>315122</v>
          </cell>
          <cell r="AM1325">
            <v>27010</v>
          </cell>
          <cell r="AN1325">
            <v>54021</v>
          </cell>
          <cell r="AO1325">
            <v>18007</v>
          </cell>
          <cell r="AP1325">
            <v>18007</v>
          </cell>
        </row>
        <row r="1326">
          <cell r="D1326" t="str">
            <v>Sản xuất 31 đài quang điện tử VEE - LRA và gói vật tư dự phòng (Bộ ZIP VEE-LRA)</v>
          </cell>
          <cell r="G1326" t="str">
            <v>SXKD</v>
          </cell>
          <cell r="I1326" t="str">
            <v>QĐT</v>
          </cell>
          <cell r="AC1326">
            <v>1047000</v>
          </cell>
          <cell r="AD1326">
            <v>23799705</v>
          </cell>
          <cell r="AE1326">
            <v>2700163</v>
          </cell>
          <cell r="AF1326">
            <v>2580606</v>
          </cell>
          <cell r="AG1326">
            <v>0</v>
          </cell>
          <cell r="AH1326">
            <v>0</v>
          </cell>
          <cell r="AI1326">
            <v>0</v>
          </cell>
          <cell r="AJ1326">
            <v>0</v>
          </cell>
          <cell r="AK1326">
            <v>91091</v>
          </cell>
          <cell r="AL1326">
            <v>199263</v>
          </cell>
          <cell r="AM1326">
            <v>17080</v>
          </cell>
          <cell r="AN1326">
            <v>34159</v>
          </cell>
          <cell r="AO1326">
            <v>11386</v>
          </cell>
          <cell r="AP1326">
            <v>11386</v>
          </cell>
        </row>
        <row r="1327">
          <cell r="D1327" t="str">
            <v>Cung cấp 500 bộ Kính ngắm ảnh nhiệt VEE-W01 cho Bộ Quốc phòng</v>
          </cell>
          <cell r="G1327" t="str">
            <v>SXKD</v>
          </cell>
          <cell r="I1327" t="str">
            <v>QĐT</v>
          </cell>
          <cell r="AC1327">
            <v>1730000</v>
          </cell>
          <cell r="AD1327">
            <v>128665691</v>
          </cell>
          <cell r="AE1327">
            <v>91089172</v>
          </cell>
          <cell r="AF1327">
            <v>89967998</v>
          </cell>
          <cell r="AG1327">
            <v>0</v>
          </cell>
          <cell r="AH1327">
            <v>0</v>
          </cell>
          <cell r="AI1327">
            <v>0</v>
          </cell>
          <cell r="AJ1327">
            <v>0</v>
          </cell>
          <cell r="AK1327">
            <v>1121174</v>
          </cell>
          <cell r="AL1327">
            <v>2452567</v>
          </cell>
          <cell r="AM1327">
            <v>0</v>
          </cell>
          <cell r="AN1327">
            <v>0</v>
          </cell>
          <cell r="AO1327">
            <v>0</v>
          </cell>
          <cell r="AP1327">
            <v>0</v>
          </cell>
        </row>
        <row r="1328">
          <cell r="D1328" t="str">
            <v>Cung cấp 500 bộ Kính ngắm ảnh nhiệt VEE-W01 cho Bộ Quốc phòng</v>
          </cell>
          <cell r="G1328" t="str">
            <v>SXKD</v>
          </cell>
          <cell r="I1328" t="str">
            <v>QĐT</v>
          </cell>
          <cell r="AC1328">
            <v>930000</v>
          </cell>
          <cell r="AD1328">
            <v>31254600</v>
          </cell>
          <cell r="AE1328">
            <v>28051680</v>
          </cell>
          <cell r="AF1328">
            <v>27036120</v>
          </cell>
          <cell r="AG1328">
            <v>0</v>
          </cell>
          <cell r="AH1328">
            <v>0</v>
          </cell>
          <cell r="AI1328">
            <v>0</v>
          </cell>
          <cell r="AJ1328">
            <v>0</v>
          </cell>
          <cell r="AK1328">
            <v>773760</v>
          </cell>
          <cell r="AL1328">
            <v>1692600</v>
          </cell>
          <cell r="AM1328">
            <v>145080</v>
          </cell>
          <cell r="AN1328">
            <v>290160</v>
          </cell>
          <cell r="AO1328">
            <v>96720</v>
          </cell>
          <cell r="AP1328">
            <v>96720</v>
          </cell>
        </row>
        <row r="1329">
          <cell r="D1329" t="str">
            <v>Cung cấp 500 bộ Kính ngắm ảnh nhiệt VEE-W01 cho Bộ Quốc phòng</v>
          </cell>
          <cell r="G1329" t="str">
            <v>SXKD</v>
          </cell>
          <cell r="I1329" t="str">
            <v>QĐT</v>
          </cell>
          <cell r="AC1329">
            <v>1030000</v>
          </cell>
          <cell r="AD1329">
            <v>33246120</v>
          </cell>
          <cell r="AE1329">
            <v>11671294</v>
          </cell>
          <cell r="AF1329">
            <v>11253522</v>
          </cell>
          <cell r="AG1329">
            <v>0</v>
          </cell>
          <cell r="AH1329">
            <v>0</v>
          </cell>
          <cell r="AI1329">
            <v>0</v>
          </cell>
          <cell r="AJ1329">
            <v>0</v>
          </cell>
          <cell r="AK1329">
            <v>318302</v>
          </cell>
          <cell r="AL1329">
            <v>696287</v>
          </cell>
          <cell r="AM1329">
            <v>59682</v>
          </cell>
          <cell r="AN1329">
            <v>119364</v>
          </cell>
          <cell r="AO1329">
            <v>39788</v>
          </cell>
          <cell r="AP1329">
            <v>39788</v>
          </cell>
        </row>
        <row r="1330">
          <cell r="D1330" t="str">
            <v>Cung cấp 500 bộ Kính ngắm ảnh nhiệt VEE-W01 cho Bộ Quốc phòng</v>
          </cell>
          <cell r="G1330" t="str">
            <v>SXKD</v>
          </cell>
          <cell r="I1330" t="str">
            <v>QĐT</v>
          </cell>
          <cell r="AC1330">
            <v>930000</v>
          </cell>
          <cell r="AD1330">
            <v>17090056</v>
          </cell>
          <cell r="AE1330">
            <v>14400000</v>
          </cell>
          <cell r="AF1330">
            <v>13613592</v>
          </cell>
          <cell r="AG1330">
            <v>0</v>
          </cell>
          <cell r="AH1330">
            <v>0</v>
          </cell>
          <cell r="AI1330">
            <v>0</v>
          </cell>
          <cell r="AJ1330">
            <v>0</v>
          </cell>
          <cell r="AK1330">
            <v>599168</v>
          </cell>
          <cell r="AL1330">
            <v>1310680</v>
          </cell>
          <cell r="AM1330">
            <v>112344</v>
          </cell>
          <cell r="AN1330">
            <v>224688</v>
          </cell>
          <cell r="AO1330">
            <v>74896</v>
          </cell>
          <cell r="AP1330">
            <v>74896</v>
          </cell>
        </row>
        <row r="1331">
          <cell r="D1331" t="str">
            <v>Cung cấp 500 bộ Kính ngắm ảnh nhiệt VEE-W01 cho Bộ Quốc phòng</v>
          </cell>
          <cell r="G1331" t="str">
            <v>SXKD</v>
          </cell>
          <cell r="I1331" t="str">
            <v>QĐT</v>
          </cell>
          <cell r="AC1331">
            <v>1030000</v>
          </cell>
          <cell r="AD1331">
            <v>32210717</v>
          </cell>
          <cell r="AE1331">
            <v>29024357</v>
          </cell>
          <cell r="AF1331">
            <v>28060877</v>
          </cell>
          <cell r="AG1331">
            <v>0</v>
          </cell>
          <cell r="AH1331">
            <v>0</v>
          </cell>
          <cell r="AI1331">
            <v>0</v>
          </cell>
          <cell r="AJ1331">
            <v>0</v>
          </cell>
          <cell r="AK1331">
            <v>734080</v>
          </cell>
          <cell r="AL1331">
            <v>1605800</v>
          </cell>
          <cell r="AM1331">
            <v>137640</v>
          </cell>
          <cell r="AN1331">
            <v>275280</v>
          </cell>
          <cell r="AO1331">
            <v>91760</v>
          </cell>
          <cell r="AP1331">
            <v>91760</v>
          </cell>
        </row>
        <row r="1332">
          <cell r="D1332" t="str">
            <v>Cung cấp 500 bộ Kính ngắm ảnh nhiệt VEE-W01 cho Bộ Quốc phòng</v>
          </cell>
          <cell r="G1332" t="str">
            <v>SXKD</v>
          </cell>
          <cell r="I1332" t="str">
            <v>QĐT</v>
          </cell>
          <cell r="AC1332">
            <v>930000</v>
          </cell>
          <cell r="AD1332">
            <v>13873236</v>
          </cell>
          <cell r="AE1332">
            <v>11358020</v>
          </cell>
          <cell r="AF1332">
            <v>10649732</v>
          </cell>
          <cell r="AG1332">
            <v>0</v>
          </cell>
          <cell r="AH1332">
            <v>0</v>
          </cell>
          <cell r="AI1332">
            <v>0</v>
          </cell>
          <cell r="AJ1332">
            <v>0</v>
          </cell>
          <cell r="AK1332">
            <v>539648</v>
          </cell>
          <cell r="AL1332">
            <v>1180480</v>
          </cell>
          <cell r="AM1332">
            <v>101184</v>
          </cell>
          <cell r="AN1332">
            <v>202368</v>
          </cell>
          <cell r="AO1332">
            <v>67456</v>
          </cell>
          <cell r="AP1332">
            <v>67456</v>
          </cell>
        </row>
        <row r="1333">
          <cell r="D1333" t="str">
            <v>Cung cấp 500 bộ Kính ngắm ảnh nhiệt VEE-W01 cho Bộ Quốc phòng</v>
          </cell>
          <cell r="G1333" t="str">
            <v>SXKD</v>
          </cell>
          <cell r="I1333" t="str">
            <v>QĐT</v>
          </cell>
          <cell r="AC1333">
            <v>930000</v>
          </cell>
          <cell r="AD1333">
            <v>19499984</v>
          </cell>
          <cell r="AE1333">
            <v>5814497</v>
          </cell>
          <cell r="AF1333">
            <v>5526472</v>
          </cell>
          <cell r="AG1333">
            <v>0</v>
          </cell>
          <cell r="AH1333">
            <v>0</v>
          </cell>
          <cell r="AI1333">
            <v>0</v>
          </cell>
          <cell r="AJ1333">
            <v>0</v>
          </cell>
          <cell r="AK1333">
            <v>219448</v>
          </cell>
          <cell r="AL1333">
            <v>480042</v>
          </cell>
          <cell r="AM1333">
            <v>41146</v>
          </cell>
          <cell r="AN1333">
            <v>82293</v>
          </cell>
          <cell r="AO1333">
            <v>27431</v>
          </cell>
          <cell r="AP1333">
            <v>27431</v>
          </cell>
        </row>
        <row r="1334">
          <cell r="D1334" t="str">
            <v>Cung cấp 500 bộ Kính ngắm ảnh nhiệt VEE-W01 cho Bộ Quốc phòng</v>
          </cell>
          <cell r="G1334" t="str">
            <v>SXKD</v>
          </cell>
          <cell r="I1334" t="str">
            <v>QĐT</v>
          </cell>
          <cell r="AC1334">
            <v>1230000</v>
          </cell>
          <cell r="AD1334">
            <v>64002273</v>
          </cell>
          <cell r="AE1334">
            <v>34292608</v>
          </cell>
          <cell r="AF1334">
            <v>33791273</v>
          </cell>
          <cell r="AG1334">
            <v>0</v>
          </cell>
          <cell r="AH1334">
            <v>0</v>
          </cell>
          <cell r="AI1334">
            <v>0</v>
          </cell>
          <cell r="AJ1334">
            <v>0</v>
          </cell>
          <cell r="AK1334">
            <v>422177</v>
          </cell>
          <cell r="AL1334">
            <v>923512</v>
          </cell>
          <cell r="AM1334">
            <v>79158</v>
          </cell>
          <cell r="AN1334">
            <v>158316</v>
          </cell>
          <cell r="AO1334">
            <v>0</v>
          </cell>
          <cell r="AP1334">
            <v>0</v>
          </cell>
        </row>
        <row r="1335">
          <cell r="D1335" t="str">
            <v>Cung cấp 500 bộ Kính ngắm ảnh nhiệt VEE-W01 cho Bộ Quốc phòng</v>
          </cell>
          <cell r="G1335" t="str">
            <v>SXKD</v>
          </cell>
          <cell r="I1335" t="str">
            <v>QĐT</v>
          </cell>
          <cell r="AC1335">
            <v>1230000</v>
          </cell>
          <cell r="AD1335">
            <v>66918607</v>
          </cell>
          <cell r="AE1335">
            <v>62611423</v>
          </cell>
          <cell r="AF1335">
            <v>61236511</v>
          </cell>
          <cell r="AG1335">
            <v>0</v>
          </cell>
          <cell r="AH1335">
            <v>0</v>
          </cell>
          <cell r="AI1335">
            <v>0</v>
          </cell>
          <cell r="AJ1335">
            <v>0</v>
          </cell>
          <cell r="AK1335">
            <v>1047552</v>
          </cell>
          <cell r="AL1335">
            <v>2291520</v>
          </cell>
          <cell r="AM1335">
            <v>196416</v>
          </cell>
          <cell r="AN1335">
            <v>392832</v>
          </cell>
          <cell r="AO1335">
            <v>130944</v>
          </cell>
          <cell r="AP1335">
            <v>130944</v>
          </cell>
        </row>
        <row r="1336">
          <cell r="D1336" t="str">
            <v>Cung cấp 500 bộ Kính ngắm ảnh nhiệt VEE-W01 cho Bộ Quốc phòng</v>
          </cell>
          <cell r="G1336" t="str">
            <v>SXKD</v>
          </cell>
          <cell r="I1336" t="str">
            <v>QĐT</v>
          </cell>
          <cell r="AC1336">
            <v>1398000</v>
          </cell>
          <cell r="AD1336">
            <v>21948024</v>
          </cell>
          <cell r="AE1336">
            <v>18696720</v>
          </cell>
          <cell r="AF1336">
            <v>17868648</v>
          </cell>
          <cell r="AG1336">
            <v>0</v>
          </cell>
          <cell r="AH1336">
            <v>0</v>
          </cell>
          <cell r="AI1336">
            <v>0</v>
          </cell>
          <cell r="AJ1336">
            <v>0</v>
          </cell>
          <cell r="AK1336">
            <v>630912</v>
          </cell>
          <cell r="AL1336">
            <v>1380120</v>
          </cell>
          <cell r="AM1336">
            <v>118296</v>
          </cell>
          <cell r="AN1336">
            <v>236592</v>
          </cell>
          <cell r="AO1336">
            <v>78864</v>
          </cell>
          <cell r="AP1336">
            <v>78864</v>
          </cell>
        </row>
        <row r="1337">
          <cell r="D1337" t="str">
            <v>Nghiên cứu, xây dựng nền tảng QĐT cho UAV tầm trung</v>
          </cell>
          <cell r="G1337" t="str">
            <v>QPAN</v>
          </cell>
          <cell r="I1337" t="str">
            <v>QĐT</v>
          </cell>
          <cell r="AC1337">
            <v>930000</v>
          </cell>
          <cell r="AD1337">
            <v>21302512</v>
          </cell>
          <cell r="AE1337">
            <v>18425960</v>
          </cell>
          <cell r="AF1337">
            <v>17556224</v>
          </cell>
          <cell r="AG1337">
            <v>0</v>
          </cell>
          <cell r="AH1337">
            <v>0</v>
          </cell>
          <cell r="AI1337">
            <v>0</v>
          </cell>
          <cell r="AJ1337">
            <v>0</v>
          </cell>
          <cell r="AK1337">
            <v>662656</v>
          </cell>
          <cell r="AL1337">
            <v>1449560</v>
          </cell>
          <cell r="AM1337">
            <v>124248</v>
          </cell>
          <cell r="AN1337">
            <v>248496</v>
          </cell>
          <cell r="AO1337">
            <v>82832</v>
          </cell>
          <cell r="AP1337">
            <v>82832</v>
          </cell>
        </row>
        <row r="1338">
          <cell r="D1338" t="str">
            <v>Nghiên cứu, xây dựng nền tảng QĐT cho UAV tầm trung</v>
          </cell>
          <cell r="G1338" t="str">
            <v>QPAN</v>
          </cell>
          <cell r="I1338" t="str">
            <v>QĐT</v>
          </cell>
          <cell r="AC1338">
            <v>930000</v>
          </cell>
          <cell r="AD1338">
            <v>17275656</v>
          </cell>
          <cell r="AE1338">
            <v>14585600</v>
          </cell>
          <cell r="AF1338">
            <v>13799192</v>
          </cell>
          <cell r="AG1338">
            <v>0</v>
          </cell>
          <cell r="AH1338">
            <v>0</v>
          </cell>
          <cell r="AI1338">
            <v>0</v>
          </cell>
          <cell r="AJ1338">
            <v>0</v>
          </cell>
          <cell r="AK1338">
            <v>599168</v>
          </cell>
          <cell r="AL1338">
            <v>1310680</v>
          </cell>
          <cell r="AM1338">
            <v>112344</v>
          </cell>
          <cell r="AN1338">
            <v>224688</v>
          </cell>
          <cell r="AO1338">
            <v>74896</v>
          </cell>
          <cell r="AP1338">
            <v>74896</v>
          </cell>
        </row>
        <row r="1339">
          <cell r="D1339" t="str">
            <v>Nghiên cứu, xây dựng nền tảng QĐT cho UAV tầm trung</v>
          </cell>
          <cell r="G1339" t="str">
            <v>QPAN</v>
          </cell>
          <cell r="I1339" t="str">
            <v>QĐT</v>
          </cell>
          <cell r="AC1339">
            <v>930000</v>
          </cell>
          <cell r="AD1339">
            <v>28342420</v>
          </cell>
          <cell r="AE1339">
            <v>25256060</v>
          </cell>
          <cell r="AF1339">
            <v>24292580</v>
          </cell>
          <cell r="AG1339">
            <v>0</v>
          </cell>
          <cell r="AH1339">
            <v>0</v>
          </cell>
          <cell r="AI1339">
            <v>0</v>
          </cell>
          <cell r="AJ1339">
            <v>0</v>
          </cell>
          <cell r="AK1339">
            <v>734080</v>
          </cell>
          <cell r="AL1339">
            <v>1605800</v>
          </cell>
          <cell r="AM1339">
            <v>137640</v>
          </cell>
          <cell r="AN1339">
            <v>275280</v>
          </cell>
          <cell r="AO1339">
            <v>91760</v>
          </cell>
          <cell r="AP1339">
            <v>91760</v>
          </cell>
        </row>
        <row r="1340">
          <cell r="D1340" t="str">
            <v>Nghiên cứu, xây dựng nền tảng QĐT cho UAV tầm trung</v>
          </cell>
          <cell r="G1340" t="str">
            <v>QPAN</v>
          </cell>
          <cell r="I1340" t="str">
            <v>QĐT</v>
          </cell>
          <cell r="AC1340">
            <v>1130000</v>
          </cell>
          <cell r="AD1340">
            <v>57549256</v>
          </cell>
          <cell r="AE1340">
            <v>53493600</v>
          </cell>
          <cell r="AF1340">
            <v>52186392</v>
          </cell>
          <cell r="AG1340">
            <v>0</v>
          </cell>
          <cell r="AH1340">
            <v>0</v>
          </cell>
          <cell r="AI1340">
            <v>0</v>
          </cell>
          <cell r="AJ1340">
            <v>0</v>
          </cell>
          <cell r="AK1340">
            <v>995968</v>
          </cell>
          <cell r="AL1340">
            <v>2178680</v>
          </cell>
          <cell r="AM1340">
            <v>186744</v>
          </cell>
          <cell r="AN1340">
            <v>373488</v>
          </cell>
          <cell r="AO1340">
            <v>124496</v>
          </cell>
          <cell r="AP1340">
            <v>124496</v>
          </cell>
        </row>
        <row r="1341">
          <cell r="D1341" t="str">
            <v>Nghiên cứu, xây dựng nền tảng QĐT cho UAV tầm trung</v>
          </cell>
          <cell r="G1341" t="str">
            <v>QPAN</v>
          </cell>
          <cell r="I1341" t="str">
            <v>QĐT</v>
          </cell>
          <cell r="AC1341">
            <v>930000</v>
          </cell>
          <cell r="AD1341">
            <v>15796808</v>
          </cell>
          <cell r="AE1341">
            <v>13200000</v>
          </cell>
          <cell r="AF1341">
            <v>12455256</v>
          </cell>
          <cell r="AG1341">
            <v>0</v>
          </cell>
          <cell r="AH1341">
            <v>0</v>
          </cell>
          <cell r="AI1341">
            <v>0</v>
          </cell>
          <cell r="AJ1341">
            <v>0</v>
          </cell>
          <cell r="AK1341">
            <v>567424</v>
          </cell>
          <cell r="AL1341">
            <v>1241240</v>
          </cell>
          <cell r="AM1341">
            <v>106392</v>
          </cell>
          <cell r="AN1341">
            <v>212784</v>
          </cell>
          <cell r="AO1341">
            <v>70928</v>
          </cell>
          <cell r="AP1341">
            <v>70928</v>
          </cell>
        </row>
        <row r="1342">
          <cell r="D1342" t="str">
            <v>Nghiên cứu, xây dựng nền tảng QĐT cho UAV tầm trung</v>
          </cell>
          <cell r="G1342" t="str">
            <v>QPAN</v>
          </cell>
          <cell r="I1342" t="str">
            <v>QĐT</v>
          </cell>
          <cell r="AC1342">
            <v>930000</v>
          </cell>
          <cell r="AD1342">
            <v>14515216</v>
          </cell>
          <cell r="AE1342">
            <v>12000000</v>
          </cell>
          <cell r="AF1342">
            <v>11291712</v>
          </cell>
          <cell r="AG1342">
            <v>0</v>
          </cell>
          <cell r="AH1342">
            <v>0</v>
          </cell>
          <cell r="AI1342">
            <v>0</v>
          </cell>
          <cell r="AJ1342">
            <v>0</v>
          </cell>
          <cell r="AK1342">
            <v>539648</v>
          </cell>
          <cell r="AL1342">
            <v>1180480</v>
          </cell>
          <cell r="AM1342">
            <v>101184</v>
          </cell>
          <cell r="AN1342">
            <v>202368</v>
          </cell>
          <cell r="AO1342">
            <v>67456</v>
          </cell>
          <cell r="AP1342">
            <v>67456</v>
          </cell>
        </row>
        <row r="1343">
          <cell r="D1343" t="str">
            <v>Nghiên cứu, xây dựng nền tảng QĐT cho UAV tầm trung</v>
          </cell>
          <cell r="G1343" t="str">
            <v>QPAN</v>
          </cell>
          <cell r="I1343" t="str">
            <v>QĐT</v>
          </cell>
          <cell r="AC1343">
            <v>1030000</v>
          </cell>
          <cell r="AD1343">
            <v>39853271</v>
          </cell>
          <cell r="AE1343">
            <v>36433791</v>
          </cell>
          <cell r="AF1343">
            <v>35366151</v>
          </cell>
          <cell r="AG1343">
            <v>0</v>
          </cell>
          <cell r="AH1343">
            <v>0</v>
          </cell>
          <cell r="AI1343">
            <v>0</v>
          </cell>
          <cell r="AJ1343">
            <v>0</v>
          </cell>
          <cell r="AK1343">
            <v>813440</v>
          </cell>
          <cell r="AL1343">
            <v>1779400</v>
          </cell>
          <cell r="AM1343">
            <v>152520</v>
          </cell>
          <cell r="AN1343">
            <v>305040</v>
          </cell>
          <cell r="AO1343">
            <v>101680</v>
          </cell>
          <cell r="AP1343">
            <v>101680</v>
          </cell>
        </row>
        <row r="1344">
          <cell r="D1344" t="str">
            <v>Nghiên cứu, xây dựng nền tảng QĐT cho UAV tầm trung</v>
          </cell>
          <cell r="G1344" t="str">
            <v>QPAN</v>
          </cell>
          <cell r="I1344" t="str">
            <v>QĐT</v>
          </cell>
          <cell r="AC1344">
            <v>1030000</v>
          </cell>
          <cell r="AD1344">
            <v>34853271</v>
          </cell>
          <cell r="AE1344">
            <v>31433791</v>
          </cell>
          <cell r="AF1344">
            <v>30366151</v>
          </cell>
          <cell r="AG1344">
            <v>0</v>
          </cell>
          <cell r="AH1344">
            <v>0</v>
          </cell>
          <cell r="AI1344">
            <v>0</v>
          </cell>
          <cell r="AJ1344">
            <v>0</v>
          </cell>
          <cell r="AK1344">
            <v>813440</v>
          </cell>
          <cell r="AL1344">
            <v>1779400</v>
          </cell>
          <cell r="AM1344">
            <v>152520</v>
          </cell>
          <cell r="AN1344">
            <v>305040</v>
          </cell>
          <cell r="AO1344">
            <v>101680</v>
          </cell>
          <cell r="AP1344">
            <v>101680</v>
          </cell>
        </row>
        <row r="1345">
          <cell r="D1345" t="str">
            <v>Nghiên cứu, xây dựng nền tảng QĐT cho UAV tầm trung</v>
          </cell>
          <cell r="G1345" t="str">
            <v>QPAN</v>
          </cell>
          <cell r="I1345" t="str">
            <v>QĐT</v>
          </cell>
          <cell r="AC1345">
            <v>1030000</v>
          </cell>
          <cell r="AD1345">
            <v>46286015</v>
          </cell>
          <cell r="AE1345">
            <v>42470231</v>
          </cell>
          <cell r="AF1345">
            <v>41225519</v>
          </cell>
          <cell r="AG1345">
            <v>0</v>
          </cell>
          <cell r="AH1345">
            <v>0</v>
          </cell>
          <cell r="AI1345">
            <v>0</v>
          </cell>
          <cell r="AJ1345">
            <v>0</v>
          </cell>
          <cell r="AK1345">
            <v>948352</v>
          </cell>
          <cell r="AL1345">
            <v>2074520</v>
          </cell>
          <cell r="AM1345">
            <v>177816</v>
          </cell>
          <cell r="AN1345">
            <v>355632</v>
          </cell>
          <cell r="AO1345">
            <v>118544</v>
          </cell>
          <cell r="AP1345">
            <v>118544</v>
          </cell>
        </row>
        <row r="1346">
          <cell r="D1346" t="str">
            <v>Nghiên cứu, xây dựng nền tảng QĐT cho UAV tầm trung</v>
          </cell>
          <cell r="G1346" t="str">
            <v>QPAN</v>
          </cell>
          <cell r="I1346" t="str">
            <v>QĐT</v>
          </cell>
          <cell r="AC1346">
            <v>626957</v>
          </cell>
          <cell r="AD1346">
            <v>24937053</v>
          </cell>
          <cell r="AE1346">
            <v>21792400</v>
          </cell>
          <cell r="AF1346">
            <v>20667472</v>
          </cell>
          <cell r="AG1346">
            <v>0</v>
          </cell>
          <cell r="AH1346">
            <v>0</v>
          </cell>
          <cell r="AI1346">
            <v>0</v>
          </cell>
          <cell r="AJ1346">
            <v>0</v>
          </cell>
          <cell r="AK1346">
            <v>857088</v>
          </cell>
          <cell r="AL1346">
            <v>1874880</v>
          </cell>
          <cell r="AM1346">
            <v>160704</v>
          </cell>
          <cell r="AN1346">
            <v>321408</v>
          </cell>
          <cell r="AO1346">
            <v>107136</v>
          </cell>
          <cell r="AP1346">
            <v>107136</v>
          </cell>
        </row>
        <row r="1347">
          <cell r="D1347" t="str">
            <v>Nghiên cứu, xây dựng nền tảng QĐT cho UAV tầm trung</v>
          </cell>
          <cell r="G1347" t="str">
            <v>QPAN</v>
          </cell>
          <cell r="I1347" t="str">
            <v>QĐT</v>
          </cell>
          <cell r="AC1347">
            <v>1047000</v>
          </cell>
          <cell r="AD1347">
            <v>17207056</v>
          </cell>
          <cell r="AE1347">
            <v>14400000</v>
          </cell>
          <cell r="AF1347">
            <v>13613592</v>
          </cell>
          <cell r="AG1347">
            <v>0</v>
          </cell>
          <cell r="AH1347">
            <v>0</v>
          </cell>
          <cell r="AI1347">
            <v>0</v>
          </cell>
          <cell r="AJ1347">
            <v>0</v>
          </cell>
          <cell r="AK1347">
            <v>599168</v>
          </cell>
          <cell r="AL1347">
            <v>1310680</v>
          </cell>
          <cell r="AM1347">
            <v>112344</v>
          </cell>
          <cell r="AN1347">
            <v>224688</v>
          </cell>
          <cell r="AO1347">
            <v>74896</v>
          </cell>
          <cell r="AP1347">
            <v>74896</v>
          </cell>
        </row>
        <row r="1348">
          <cell r="D1348" t="str">
            <v>Phối hợp với Tổng cục CNQP nghiên cứu hệ thống quan sát và điều khiển hỏa lực cho xe XTC-03</v>
          </cell>
          <cell r="G1348" t="str">
            <v>QPAN</v>
          </cell>
          <cell r="I1348" t="str">
            <v>QĐT</v>
          </cell>
          <cell r="AC1348">
            <v>1030000</v>
          </cell>
          <cell r="AD1348">
            <v>42495737</v>
          </cell>
          <cell r="AE1348">
            <v>38262511</v>
          </cell>
          <cell r="AF1348">
            <v>36948367</v>
          </cell>
          <cell r="AG1348">
            <v>0</v>
          </cell>
          <cell r="AH1348">
            <v>0</v>
          </cell>
          <cell r="AI1348">
            <v>0</v>
          </cell>
          <cell r="AJ1348">
            <v>0</v>
          </cell>
          <cell r="AK1348">
            <v>1314144</v>
          </cell>
          <cell r="AL1348">
            <v>2874690</v>
          </cell>
          <cell r="AM1348">
            <v>0</v>
          </cell>
          <cell r="AN1348">
            <v>0</v>
          </cell>
          <cell r="AO1348">
            <v>0</v>
          </cell>
          <cell r="AP1348">
            <v>0</v>
          </cell>
        </row>
        <row r="1349">
          <cell r="D1349" t="str">
            <v>Phối hợp với Tổng cục CNQP nghiên cứu hệ thống quan sát và điều khiển hỏa lực cho xe XTC-03</v>
          </cell>
          <cell r="G1349" t="str">
            <v>QPAN</v>
          </cell>
          <cell r="I1349" t="str">
            <v>QĐT</v>
          </cell>
          <cell r="AC1349">
            <v>1230000</v>
          </cell>
          <cell r="AD1349">
            <v>90770512</v>
          </cell>
          <cell r="AE1349">
            <v>86136960</v>
          </cell>
          <cell r="AF1349">
            <v>84616224</v>
          </cell>
          <cell r="AG1349">
            <v>0</v>
          </cell>
          <cell r="AH1349">
            <v>0</v>
          </cell>
          <cell r="AI1349">
            <v>0</v>
          </cell>
          <cell r="AJ1349">
            <v>0</v>
          </cell>
          <cell r="AK1349">
            <v>1158656</v>
          </cell>
          <cell r="AL1349">
            <v>2534560</v>
          </cell>
          <cell r="AM1349">
            <v>217248</v>
          </cell>
          <cell r="AN1349">
            <v>434496</v>
          </cell>
          <cell r="AO1349">
            <v>144832</v>
          </cell>
          <cell r="AP1349">
            <v>144832</v>
          </cell>
        </row>
        <row r="1350">
          <cell r="D1350" t="str">
            <v>Nghiên cứu, thiết kế, chế tạo hệ thống quan sát, chỉ thị mục tiêu và hệ thống điều khiển hỏa lực cho tăng T-54B/T-55</v>
          </cell>
          <cell r="G1350" t="str">
            <v>KHCN</v>
          </cell>
          <cell r="I1350" t="str">
            <v>GPTH</v>
          </cell>
          <cell r="AC1350">
            <v>1398000</v>
          </cell>
          <cell r="AD1350">
            <v>22622084</v>
          </cell>
          <cell r="AE1350">
            <v>6737663</v>
          </cell>
          <cell r="AF1350">
            <v>6449638</v>
          </cell>
          <cell r="AG1350">
            <v>0</v>
          </cell>
          <cell r="AH1350">
            <v>0</v>
          </cell>
          <cell r="AI1350">
            <v>0</v>
          </cell>
          <cell r="AJ1350">
            <v>0</v>
          </cell>
          <cell r="AK1350">
            <v>219448</v>
          </cell>
          <cell r="AL1350">
            <v>480042</v>
          </cell>
          <cell r="AM1350">
            <v>41146</v>
          </cell>
          <cell r="AN1350">
            <v>82293</v>
          </cell>
          <cell r="AO1350">
            <v>27431</v>
          </cell>
          <cell r="AP1350">
            <v>27431</v>
          </cell>
        </row>
        <row r="1351">
          <cell r="D1351" t="str">
            <v>Nghiên cứu, thiết kế, chế tạo hệ thống quan sát, chỉ thị mục tiêu và hệ thống điều khiển hỏa lực cho tăng T-54B/T-55</v>
          </cell>
          <cell r="G1351" t="str">
            <v>KHCN</v>
          </cell>
          <cell r="I1351" t="str">
            <v>GPTH</v>
          </cell>
          <cell r="AC1351">
            <v>930000</v>
          </cell>
          <cell r="AD1351">
            <v>21110251</v>
          </cell>
          <cell r="AE1351">
            <v>6342156</v>
          </cell>
          <cell r="AF1351">
            <v>6039639</v>
          </cell>
          <cell r="AG1351">
            <v>0</v>
          </cell>
          <cell r="AH1351">
            <v>0</v>
          </cell>
          <cell r="AI1351">
            <v>0</v>
          </cell>
          <cell r="AJ1351">
            <v>0</v>
          </cell>
          <cell r="AK1351">
            <v>230489</v>
          </cell>
          <cell r="AL1351">
            <v>504195</v>
          </cell>
          <cell r="AM1351">
            <v>43217</v>
          </cell>
          <cell r="AN1351">
            <v>86433</v>
          </cell>
          <cell r="AO1351">
            <v>28811</v>
          </cell>
          <cell r="AP1351">
            <v>28811</v>
          </cell>
        </row>
        <row r="1352">
          <cell r="D1352" t="str">
            <v>Nghiên cứu, thiết kế, chế tạo hệ thống quan sát, chỉ thị mục tiêu và hệ thống điều khiển hỏa lực cho tăng T-54B/T-55</v>
          </cell>
          <cell r="G1352" t="str">
            <v>KHCN</v>
          </cell>
          <cell r="I1352" t="str">
            <v>GPTH</v>
          </cell>
          <cell r="AC1352">
            <v>930000</v>
          </cell>
          <cell r="AD1352">
            <v>17275656</v>
          </cell>
          <cell r="AE1352">
            <v>5073252</v>
          </cell>
          <cell r="AF1352">
            <v>4799719</v>
          </cell>
          <cell r="AG1352">
            <v>0</v>
          </cell>
          <cell r="AH1352">
            <v>0</v>
          </cell>
          <cell r="AI1352">
            <v>0</v>
          </cell>
          <cell r="AJ1352">
            <v>0</v>
          </cell>
          <cell r="AK1352">
            <v>208406</v>
          </cell>
          <cell r="AL1352">
            <v>455889</v>
          </cell>
          <cell r="AM1352">
            <v>39076</v>
          </cell>
          <cell r="AN1352">
            <v>78152</v>
          </cell>
          <cell r="AO1352">
            <v>26051</v>
          </cell>
          <cell r="AP1352">
            <v>26051</v>
          </cell>
        </row>
        <row r="1353">
          <cell r="D1353" t="str">
            <v>Nghiên cứu, thiết kế, chế tạo hệ thống quan sát, chỉ thị mục tiêu và hệ thống điều khiển hỏa lực cho tăng T-54B/T-55</v>
          </cell>
          <cell r="G1353" t="str">
            <v>KHCN</v>
          </cell>
          <cell r="I1353" t="str">
            <v>GPTH</v>
          </cell>
          <cell r="AC1353">
            <v>930000</v>
          </cell>
          <cell r="AD1353">
            <v>17275656</v>
          </cell>
          <cell r="AE1353">
            <v>5073252</v>
          </cell>
          <cell r="AF1353">
            <v>4799719</v>
          </cell>
          <cell r="AG1353">
            <v>0</v>
          </cell>
          <cell r="AH1353">
            <v>0</v>
          </cell>
          <cell r="AI1353">
            <v>0</v>
          </cell>
          <cell r="AJ1353">
            <v>0</v>
          </cell>
          <cell r="AK1353">
            <v>208406</v>
          </cell>
          <cell r="AL1353">
            <v>455889</v>
          </cell>
          <cell r="AM1353">
            <v>39076</v>
          </cell>
          <cell r="AN1353">
            <v>78152</v>
          </cell>
          <cell r="AO1353">
            <v>26051</v>
          </cell>
          <cell r="AP1353">
            <v>26051</v>
          </cell>
        </row>
        <row r="1354">
          <cell r="D1354" t="str">
            <v>Nghiên cứu, thiết kế, chế tạo hệ thống quan sát, chỉ thị mục tiêu và hệ thống điều khiển hỏa lực cho tăng T-54B/T-55</v>
          </cell>
          <cell r="G1354" t="str">
            <v>KHCN</v>
          </cell>
          <cell r="I1354" t="str">
            <v>CKTĐH</v>
          </cell>
          <cell r="AC1354">
            <v>1030000</v>
          </cell>
          <cell r="AD1354">
            <v>35390489</v>
          </cell>
          <cell r="AE1354">
            <v>11160894</v>
          </cell>
          <cell r="AF1354">
            <v>10807655</v>
          </cell>
          <cell r="AG1354">
            <v>0</v>
          </cell>
          <cell r="AH1354">
            <v>0</v>
          </cell>
          <cell r="AI1354">
            <v>0</v>
          </cell>
          <cell r="AJ1354">
            <v>0</v>
          </cell>
          <cell r="AK1354">
            <v>269134</v>
          </cell>
          <cell r="AL1354">
            <v>588730</v>
          </cell>
          <cell r="AM1354">
            <v>50463</v>
          </cell>
          <cell r="AN1354">
            <v>100925</v>
          </cell>
          <cell r="AO1354">
            <v>33642</v>
          </cell>
          <cell r="AP1354">
            <v>33642</v>
          </cell>
        </row>
        <row r="1355">
          <cell r="D1355" t="str">
            <v>Nghiên cứu, thiết kế, chế tạo hệ thống quan sát, chỉ thị mục tiêu và hệ thống điều khiển hỏa lực cho tăng T-54B/T-55</v>
          </cell>
          <cell r="G1355" t="str">
            <v>KHCN</v>
          </cell>
          <cell r="I1355" t="str">
            <v>CKTĐH</v>
          </cell>
          <cell r="AC1355">
            <v>930000</v>
          </cell>
          <cell r="AD1355">
            <v>22399878</v>
          </cell>
          <cell r="AE1355">
            <v>6754234</v>
          </cell>
          <cell r="AF1355">
            <v>6435413</v>
          </cell>
          <cell r="AG1355">
            <v>0</v>
          </cell>
          <cell r="AH1355">
            <v>0</v>
          </cell>
          <cell r="AI1355">
            <v>0</v>
          </cell>
          <cell r="AJ1355">
            <v>0</v>
          </cell>
          <cell r="AK1355">
            <v>242911</v>
          </cell>
          <cell r="AL1355">
            <v>531367</v>
          </cell>
          <cell r="AM1355">
            <v>45546</v>
          </cell>
          <cell r="AN1355">
            <v>91091</v>
          </cell>
          <cell r="AO1355">
            <v>30364</v>
          </cell>
          <cell r="AP1355">
            <v>30364</v>
          </cell>
        </row>
        <row r="1356">
          <cell r="D1356" t="str">
            <v>Nghiên cứu, thiết kế, chế tạo hệ thống quan sát, chỉ thị mục tiêu và hệ thống điều khiển hỏa lực cho tăng T-54B/T-55</v>
          </cell>
          <cell r="G1356" t="str">
            <v>KHCN</v>
          </cell>
          <cell r="I1356" t="str">
            <v>GPTH</v>
          </cell>
          <cell r="AC1356">
            <v>930000</v>
          </cell>
          <cell r="AD1356">
            <v>15796808</v>
          </cell>
          <cell r="AE1356">
            <v>4591304</v>
          </cell>
          <cell r="AF1356">
            <v>4332262</v>
          </cell>
          <cell r="AG1356">
            <v>0</v>
          </cell>
          <cell r="AH1356">
            <v>0</v>
          </cell>
          <cell r="AI1356">
            <v>0</v>
          </cell>
          <cell r="AJ1356">
            <v>0</v>
          </cell>
          <cell r="AK1356">
            <v>197365</v>
          </cell>
          <cell r="AL1356">
            <v>431736</v>
          </cell>
          <cell r="AM1356">
            <v>37006</v>
          </cell>
          <cell r="AN1356">
            <v>74012</v>
          </cell>
          <cell r="AO1356">
            <v>24671</v>
          </cell>
          <cell r="AP1356">
            <v>24671</v>
          </cell>
        </row>
        <row r="1357">
          <cell r="D1357" t="str">
            <v>Nghiên cứu, thiết kế, chế tạo hệ thống quan sát, chỉ thị mục tiêu và hệ thống điều khiển hỏa lực cho tăng T-54B/T-55</v>
          </cell>
          <cell r="G1357" t="str">
            <v>KHCN</v>
          </cell>
          <cell r="I1357" t="str">
            <v>GPTH</v>
          </cell>
          <cell r="AC1357">
            <v>930000</v>
          </cell>
          <cell r="AD1357">
            <v>14515216</v>
          </cell>
          <cell r="AE1357">
            <v>4173913</v>
          </cell>
          <cell r="AF1357">
            <v>3927552</v>
          </cell>
          <cell r="AG1357">
            <v>0</v>
          </cell>
          <cell r="AH1357">
            <v>0</v>
          </cell>
          <cell r="AI1357">
            <v>0</v>
          </cell>
          <cell r="AJ1357">
            <v>0</v>
          </cell>
          <cell r="AK1357">
            <v>187704</v>
          </cell>
          <cell r="AL1357">
            <v>410602</v>
          </cell>
          <cell r="AM1357">
            <v>35194</v>
          </cell>
          <cell r="AN1357">
            <v>70389</v>
          </cell>
          <cell r="AO1357">
            <v>23463</v>
          </cell>
          <cell r="AP1357">
            <v>23463</v>
          </cell>
        </row>
        <row r="1358">
          <cell r="D1358" t="str">
            <v>Nghiên cứu, thiết kế, chế tạo hệ thống quan sát, chỉ thị mục tiêu và hệ thống điều khiển hỏa lực cho tăng T-54B/T-55</v>
          </cell>
          <cell r="G1358" t="str">
            <v>KHCN</v>
          </cell>
          <cell r="I1358" t="str">
            <v>GPTH</v>
          </cell>
          <cell r="AC1358">
            <v>930000</v>
          </cell>
          <cell r="AD1358">
            <v>17275656</v>
          </cell>
          <cell r="AE1358">
            <v>5073252</v>
          </cell>
          <cell r="AF1358">
            <v>4799719</v>
          </cell>
          <cell r="AG1358">
            <v>0</v>
          </cell>
          <cell r="AH1358">
            <v>0</v>
          </cell>
          <cell r="AI1358">
            <v>0</v>
          </cell>
          <cell r="AJ1358">
            <v>0</v>
          </cell>
          <cell r="AK1358">
            <v>208406</v>
          </cell>
          <cell r="AL1358">
            <v>455889</v>
          </cell>
          <cell r="AM1358">
            <v>39076</v>
          </cell>
          <cell r="AN1358">
            <v>78152</v>
          </cell>
          <cell r="AO1358">
            <v>26051</v>
          </cell>
          <cell r="AP1358">
            <v>26051</v>
          </cell>
        </row>
        <row r="1359">
          <cell r="D1359" t="str">
            <v>Nghiên cứu, thiết kế, chế tạo hệ thống quan sát, chỉ thị mục tiêu và hệ thống điều khiển hỏa lực cho tăng T-54B/T-55</v>
          </cell>
          <cell r="G1359" t="str">
            <v>KHCN</v>
          </cell>
          <cell r="I1359" t="str">
            <v>GPTH</v>
          </cell>
          <cell r="AC1359">
            <v>930000</v>
          </cell>
          <cell r="AD1359">
            <v>19947552</v>
          </cell>
          <cell r="AE1359">
            <v>5937739</v>
          </cell>
          <cell r="AF1359">
            <v>5635222</v>
          </cell>
          <cell r="AG1359">
            <v>0</v>
          </cell>
          <cell r="AH1359">
            <v>0</v>
          </cell>
          <cell r="AI1359">
            <v>0</v>
          </cell>
          <cell r="AJ1359">
            <v>0</v>
          </cell>
          <cell r="AK1359">
            <v>230489</v>
          </cell>
          <cell r="AL1359">
            <v>504195</v>
          </cell>
          <cell r="AM1359">
            <v>43217</v>
          </cell>
          <cell r="AN1359">
            <v>86433</v>
          </cell>
          <cell r="AO1359">
            <v>28811</v>
          </cell>
          <cell r="AP1359">
            <v>28811</v>
          </cell>
        </row>
        <row r="1360">
          <cell r="D1360" t="str">
            <v>Nghiên cứu, thiết kế, chế tạo hệ thống quan sát, chỉ thị mục tiêu và hệ thống điều khiển hỏa lực cho tăng T-54B/T-55</v>
          </cell>
          <cell r="G1360" t="str">
            <v>KHCN</v>
          </cell>
          <cell r="I1360" t="str">
            <v>GPTH</v>
          </cell>
          <cell r="AC1360">
            <v>930000</v>
          </cell>
          <cell r="AD1360">
            <v>24018970</v>
          </cell>
          <cell r="AE1360">
            <v>7317396</v>
          </cell>
          <cell r="AF1360">
            <v>6998575</v>
          </cell>
          <cell r="AG1360">
            <v>0</v>
          </cell>
          <cell r="AH1360">
            <v>0</v>
          </cell>
          <cell r="AI1360">
            <v>0</v>
          </cell>
          <cell r="AJ1360">
            <v>0</v>
          </cell>
          <cell r="AK1360">
            <v>242911</v>
          </cell>
          <cell r="AL1360">
            <v>531367</v>
          </cell>
          <cell r="AM1360">
            <v>45546</v>
          </cell>
          <cell r="AN1360">
            <v>91091</v>
          </cell>
          <cell r="AO1360">
            <v>30364</v>
          </cell>
          <cell r="AP1360">
            <v>30364</v>
          </cell>
        </row>
        <row r="1361">
          <cell r="D1361" t="str">
            <v>Nghiên cứu, thiết kế, chế tạo hệ thống quan sát, chỉ thị mục tiêu và hệ thống điều khiển hỏa lực cho tăng T-54B/T-55</v>
          </cell>
          <cell r="G1361" t="str">
            <v>KHCN</v>
          </cell>
          <cell r="I1361" t="str">
            <v>CKTĐH</v>
          </cell>
          <cell r="AC1361">
            <v>930000</v>
          </cell>
          <cell r="AD1361">
            <v>23386676</v>
          </cell>
          <cell r="AE1361">
            <v>7097468</v>
          </cell>
          <cell r="AF1361">
            <v>6778647</v>
          </cell>
          <cell r="AG1361">
            <v>0</v>
          </cell>
          <cell r="AH1361">
            <v>0</v>
          </cell>
          <cell r="AI1361">
            <v>0</v>
          </cell>
          <cell r="AJ1361">
            <v>0</v>
          </cell>
          <cell r="AK1361">
            <v>242911</v>
          </cell>
          <cell r="AL1361">
            <v>531367</v>
          </cell>
          <cell r="AM1361">
            <v>45546</v>
          </cell>
          <cell r="AN1361">
            <v>91091</v>
          </cell>
          <cell r="AO1361">
            <v>30364</v>
          </cell>
          <cell r="AP1361">
            <v>30364</v>
          </cell>
        </row>
        <row r="1362">
          <cell r="D1362" t="str">
            <v>Nghiên cứu, thiết kế, chế tạo hệ thống quan sát, chỉ thị mục tiêu và hệ thống điều khiển hỏa lực cho tăng T-54B/T-55</v>
          </cell>
          <cell r="G1362" t="str">
            <v>KHCN</v>
          </cell>
          <cell r="I1362" t="str">
            <v>GPTH</v>
          </cell>
          <cell r="AC1362">
            <v>930000</v>
          </cell>
          <cell r="AD1362">
            <v>12515216</v>
          </cell>
          <cell r="AE1362">
            <v>3478261</v>
          </cell>
          <cell r="AF1362">
            <v>3231900</v>
          </cell>
          <cell r="AG1362">
            <v>0</v>
          </cell>
          <cell r="AH1362">
            <v>0</v>
          </cell>
          <cell r="AI1362">
            <v>0</v>
          </cell>
          <cell r="AJ1362">
            <v>0</v>
          </cell>
          <cell r="AK1362">
            <v>187704</v>
          </cell>
          <cell r="AL1362">
            <v>410602</v>
          </cell>
          <cell r="AM1362">
            <v>35194</v>
          </cell>
          <cell r="AN1362">
            <v>70389</v>
          </cell>
          <cell r="AO1362">
            <v>23463</v>
          </cell>
          <cell r="AP1362">
            <v>23463</v>
          </cell>
        </row>
        <row r="1363">
          <cell r="D1363" t="str">
            <v>Nghiên cứu, thiết kế, chế tạo hệ thống quan sát, chỉ thị mục tiêu và hệ thống điều khiển hỏa lực cho tăng T-54B/T-55</v>
          </cell>
          <cell r="G1363" t="str">
            <v>KHCN</v>
          </cell>
          <cell r="I1363" t="str">
            <v>GPTH</v>
          </cell>
          <cell r="AC1363">
            <v>930000</v>
          </cell>
          <cell r="AD1363">
            <v>16490056</v>
          </cell>
          <cell r="AE1363">
            <v>4800000</v>
          </cell>
          <cell r="AF1363">
            <v>4526467</v>
          </cell>
          <cell r="AG1363">
            <v>0</v>
          </cell>
          <cell r="AH1363">
            <v>0</v>
          </cell>
          <cell r="AI1363">
            <v>0</v>
          </cell>
          <cell r="AJ1363">
            <v>0</v>
          </cell>
          <cell r="AK1363">
            <v>208406</v>
          </cell>
          <cell r="AL1363">
            <v>455889</v>
          </cell>
          <cell r="AM1363">
            <v>39076</v>
          </cell>
          <cell r="AN1363">
            <v>78152</v>
          </cell>
          <cell r="AO1363">
            <v>26051</v>
          </cell>
          <cell r="AP1363">
            <v>26051</v>
          </cell>
        </row>
        <row r="1364">
          <cell r="D1364" t="str">
            <v xml:space="preserve"> Nhiệm vụ Phối hợp với Tổng cục CNQP nghiên cứu hệ thống quan sát, ngắm bắn, tự động điều khiển hỏa lực của pháo 30mm trên xe XTC-03</v>
          </cell>
          <cell r="G1364" t="str">
            <v>QPAN</v>
          </cell>
          <cell r="I1364" t="str">
            <v>GPTH</v>
          </cell>
          <cell r="AC1364">
            <v>1730000</v>
          </cell>
          <cell r="AD1364">
            <v>93640689</v>
          </cell>
          <cell r="AE1364">
            <v>34505210</v>
          </cell>
          <cell r="AF1364">
            <v>33906300</v>
          </cell>
          <cell r="AG1364">
            <v>0</v>
          </cell>
          <cell r="AH1364">
            <v>0</v>
          </cell>
          <cell r="AI1364">
            <v>0</v>
          </cell>
          <cell r="AJ1364">
            <v>0</v>
          </cell>
          <cell r="AK1364">
            <v>598910</v>
          </cell>
          <cell r="AL1364">
            <v>1310115</v>
          </cell>
          <cell r="AM1364">
            <v>0</v>
          </cell>
          <cell r="AN1364">
            <v>0</v>
          </cell>
          <cell r="AO1364">
            <v>0</v>
          </cell>
          <cell r="AP1364">
            <v>0</v>
          </cell>
        </row>
        <row r="1365">
          <cell r="D1365" t="str">
            <v xml:space="preserve"> Nhiệm vụ Phối hợp với Tổng cục CNQP nghiên cứu hệ thống quan sát, ngắm bắn, tự động điều khiển hỏa lực của pháo 30mm trên xe XTC-03</v>
          </cell>
          <cell r="G1365" t="str">
            <v>QPAN</v>
          </cell>
          <cell r="I1365" t="str">
            <v>GPTH</v>
          </cell>
          <cell r="AC1365">
            <v>1230000</v>
          </cell>
          <cell r="AD1365">
            <v>70918607</v>
          </cell>
          <cell r="AE1365">
            <v>23169191</v>
          </cell>
          <cell r="AF1365">
            <v>22690960</v>
          </cell>
          <cell r="AG1365">
            <v>0</v>
          </cell>
          <cell r="AH1365">
            <v>0</v>
          </cell>
          <cell r="AI1365">
            <v>0</v>
          </cell>
          <cell r="AJ1365">
            <v>0</v>
          </cell>
          <cell r="AK1365">
            <v>364366</v>
          </cell>
          <cell r="AL1365">
            <v>797050</v>
          </cell>
          <cell r="AM1365">
            <v>68319</v>
          </cell>
          <cell r="AN1365">
            <v>136637</v>
          </cell>
          <cell r="AO1365">
            <v>45546</v>
          </cell>
          <cell r="AP1365">
            <v>45546</v>
          </cell>
        </row>
        <row r="1366">
          <cell r="D1366" t="str">
            <v>Nghiên cứu, thiết kế nâng cấp hệ thống động lực và tích hợp các thành phần hiện đại hóa trên xe tăng T-54B</v>
          </cell>
          <cell r="G1366" t="str">
            <v>KHCN</v>
          </cell>
          <cell r="I1366" t="str">
            <v>CKTĐH</v>
          </cell>
          <cell r="AC1366">
            <v>1230000</v>
          </cell>
          <cell r="AD1366">
            <v>84284243</v>
          </cell>
          <cell r="AE1366">
            <v>3494995</v>
          </cell>
          <cell r="AF1366">
            <v>3447381</v>
          </cell>
          <cell r="AG1366">
            <v>0</v>
          </cell>
          <cell r="AH1366">
            <v>0</v>
          </cell>
          <cell r="AI1366">
            <v>0</v>
          </cell>
          <cell r="AJ1366">
            <v>0</v>
          </cell>
          <cell r="AK1366">
            <v>47614</v>
          </cell>
          <cell r="AL1366">
            <v>104155</v>
          </cell>
          <cell r="AM1366">
            <v>0</v>
          </cell>
          <cell r="AN1366">
            <v>0</v>
          </cell>
          <cell r="AO1366">
            <v>0</v>
          </cell>
          <cell r="AP1366">
            <v>0</v>
          </cell>
        </row>
        <row r="1367">
          <cell r="D1367" t="str">
            <v>Nghiên cứu, thiết kế nâng cấp hệ thống động lực và tích hợp các thành phần hiện đại hóa trên xe tăng T-54B</v>
          </cell>
          <cell r="G1367" t="str">
            <v>KHCN</v>
          </cell>
          <cell r="I1367" t="str">
            <v>CKTĐH</v>
          </cell>
          <cell r="AC1367">
            <v>1381000</v>
          </cell>
          <cell r="AD1367">
            <v>33912534</v>
          </cell>
          <cell r="AE1367">
            <v>1310524</v>
          </cell>
          <cell r="AF1367">
            <v>1264105</v>
          </cell>
          <cell r="AG1367">
            <v>0</v>
          </cell>
          <cell r="AH1367">
            <v>0</v>
          </cell>
          <cell r="AI1367">
            <v>0</v>
          </cell>
          <cell r="AJ1367">
            <v>0</v>
          </cell>
          <cell r="AK1367">
            <v>35367</v>
          </cell>
          <cell r="AL1367">
            <v>77365</v>
          </cell>
          <cell r="AM1367">
            <v>6631</v>
          </cell>
          <cell r="AN1367">
            <v>13263</v>
          </cell>
          <cell r="AO1367">
            <v>4421</v>
          </cell>
          <cell r="AP1367">
            <v>4421</v>
          </cell>
        </row>
        <row r="1368">
          <cell r="D1368" t="str">
            <v>Nghiên cứu, thiết kế nâng cấp hệ thống động lực và tích hợp các thành phần hiện đại hóa trên xe tăng T-54B</v>
          </cell>
          <cell r="G1368" t="str">
            <v>KHCN</v>
          </cell>
          <cell r="I1368" t="str">
            <v>CKTĐH</v>
          </cell>
          <cell r="AC1368">
            <v>930000</v>
          </cell>
          <cell r="AD1368">
            <v>18480024</v>
          </cell>
          <cell r="AE1368">
            <v>682466</v>
          </cell>
          <cell r="AF1368">
            <v>646463</v>
          </cell>
          <cell r="AG1368">
            <v>0</v>
          </cell>
          <cell r="AH1368">
            <v>0</v>
          </cell>
          <cell r="AI1368">
            <v>0</v>
          </cell>
          <cell r="AJ1368">
            <v>0</v>
          </cell>
          <cell r="AK1368">
            <v>27431</v>
          </cell>
          <cell r="AL1368">
            <v>60005</v>
          </cell>
          <cell r="AM1368">
            <v>5143</v>
          </cell>
          <cell r="AN1368">
            <v>10287</v>
          </cell>
          <cell r="AO1368">
            <v>3429</v>
          </cell>
          <cell r="AP1368">
            <v>3429</v>
          </cell>
        </row>
        <row r="1369">
          <cell r="D1369" t="str">
            <v>Nghiên cứu, thiết kế nâng cấp hệ thống động lực và tích hợp các thành phần hiện đại hóa trên xe tăng T-54B</v>
          </cell>
          <cell r="G1369" t="str">
            <v>KHCN</v>
          </cell>
          <cell r="I1369" t="str">
            <v>CKTĐH</v>
          </cell>
          <cell r="AC1369">
            <v>930000</v>
          </cell>
          <cell r="AD1369">
            <v>24141396</v>
          </cell>
          <cell r="AE1369">
            <v>919997</v>
          </cell>
          <cell r="AF1369">
            <v>880145</v>
          </cell>
          <cell r="AG1369">
            <v>0</v>
          </cell>
          <cell r="AH1369">
            <v>0</v>
          </cell>
          <cell r="AI1369">
            <v>0</v>
          </cell>
          <cell r="AJ1369">
            <v>0</v>
          </cell>
          <cell r="AK1369">
            <v>30364</v>
          </cell>
          <cell r="AL1369">
            <v>66421</v>
          </cell>
          <cell r="AM1369">
            <v>5693</v>
          </cell>
          <cell r="AN1369">
            <v>11386</v>
          </cell>
          <cell r="AO1369">
            <v>3795</v>
          </cell>
          <cell r="AP1369">
            <v>3795</v>
          </cell>
        </row>
        <row r="1370">
          <cell r="D1370" t="str">
            <v>Nghiên cứu, thiết kế nâng cấp hệ thống động lực và tích hợp các thành phần hiện đại hóa trên xe tăng T-54B</v>
          </cell>
          <cell r="G1370" t="str">
            <v>KHCN</v>
          </cell>
          <cell r="I1370" t="str">
            <v>CKTĐH</v>
          </cell>
          <cell r="AC1370">
            <v>1030000</v>
          </cell>
          <cell r="AD1370">
            <v>40184182</v>
          </cell>
          <cell r="AE1370">
            <v>1598465</v>
          </cell>
          <cell r="AF1370">
            <v>1552046</v>
          </cell>
          <cell r="AG1370">
            <v>0</v>
          </cell>
          <cell r="AH1370">
            <v>0</v>
          </cell>
          <cell r="AI1370">
            <v>0</v>
          </cell>
          <cell r="AJ1370">
            <v>0</v>
          </cell>
          <cell r="AK1370">
            <v>35367</v>
          </cell>
          <cell r="AL1370">
            <v>77365</v>
          </cell>
          <cell r="AM1370">
            <v>6631</v>
          </cell>
          <cell r="AN1370">
            <v>13263</v>
          </cell>
          <cell r="AO1370">
            <v>4421</v>
          </cell>
          <cell r="AP1370">
            <v>4421</v>
          </cell>
        </row>
        <row r="1371">
          <cell r="D1371" t="str">
            <v>Nghiên cứu, thiết kế nâng cấp hệ thống động lực và tích hợp các thành phần hiện đại hóa trên xe tăng T-54B</v>
          </cell>
          <cell r="G1371" t="str">
            <v>KHCN</v>
          </cell>
          <cell r="I1371" t="str">
            <v>CKTĐH</v>
          </cell>
          <cell r="AC1371">
            <v>930000</v>
          </cell>
          <cell r="AD1371">
            <v>29748220</v>
          </cell>
          <cell r="AE1371">
            <v>1159211</v>
          </cell>
          <cell r="AF1371">
            <v>1117320</v>
          </cell>
          <cell r="AG1371">
            <v>0</v>
          </cell>
          <cell r="AH1371">
            <v>0</v>
          </cell>
          <cell r="AI1371">
            <v>0</v>
          </cell>
          <cell r="AJ1371">
            <v>0</v>
          </cell>
          <cell r="AK1371">
            <v>31917</v>
          </cell>
          <cell r="AL1371">
            <v>69817</v>
          </cell>
          <cell r="AM1371">
            <v>5984</v>
          </cell>
          <cell r="AN1371">
            <v>11969</v>
          </cell>
          <cell r="AO1371">
            <v>3990</v>
          </cell>
          <cell r="AP1371">
            <v>3990</v>
          </cell>
        </row>
        <row r="1372">
          <cell r="D1372" t="str">
            <v>Nghiên cứu, thiết kế nâng cấp hệ thống động lực và tích hợp các thành phần hiện đại hóa trên xe tăng T-54B</v>
          </cell>
          <cell r="G1372" t="str">
            <v>KHCN</v>
          </cell>
          <cell r="I1372" t="str">
            <v>CKTĐH</v>
          </cell>
          <cell r="AC1372">
            <v>930000</v>
          </cell>
          <cell r="AD1372">
            <v>20275656</v>
          </cell>
          <cell r="AE1372">
            <v>764591</v>
          </cell>
          <cell r="AF1372">
            <v>730399</v>
          </cell>
          <cell r="AG1372">
            <v>0</v>
          </cell>
          <cell r="AH1372">
            <v>0</v>
          </cell>
          <cell r="AI1372">
            <v>0</v>
          </cell>
          <cell r="AJ1372">
            <v>0</v>
          </cell>
          <cell r="AK1372">
            <v>26051</v>
          </cell>
          <cell r="AL1372">
            <v>56986</v>
          </cell>
          <cell r="AM1372">
            <v>4885</v>
          </cell>
          <cell r="AN1372">
            <v>9769</v>
          </cell>
          <cell r="AO1372">
            <v>3256</v>
          </cell>
          <cell r="AP1372">
            <v>3256</v>
          </cell>
        </row>
        <row r="1373">
          <cell r="D1373" t="str">
            <v>Nghiên cứu, thiết kế nâng cấp hệ thống động lực và tích hợp các thành phần hiện đại hóa trên xe tăng T-54B</v>
          </cell>
          <cell r="G1373" t="str">
            <v>KHCN</v>
          </cell>
          <cell r="I1373" t="str">
            <v>CKTĐH</v>
          </cell>
          <cell r="AC1373">
            <v>930000</v>
          </cell>
          <cell r="AD1373">
            <v>19275656</v>
          </cell>
          <cell r="AE1373">
            <v>721113</v>
          </cell>
          <cell r="AF1373">
            <v>686921</v>
          </cell>
          <cell r="AG1373">
            <v>0</v>
          </cell>
          <cell r="AH1373">
            <v>0</v>
          </cell>
          <cell r="AI1373">
            <v>0</v>
          </cell>
          <cell r="AJ1373">
            <v>0</v>
          </cell>
          <cell r="AK1373">
            <v>26051</v>
          </cell>
          <cell r="AL1373">
            <v>56986</v>
          </cell>
          <cell r="AM1373">
            <v>4885</v>
          </cell>
          <cell r="AN1373">
            <v>9769</v>
          </cell>
          <cell r="AO1373">
            <v>3256</v>
          </cell>
          <cell r="AP1373">
            <v>3256</v>
          </cell>
        </row>
        <row r="1374">
          <cell r="D1374" t="str">
            <v>Nghiên cứu, thiết kế nâng cấp hệ thống động lực và tích hợp các thành phần hiện đại hóa trên xe tăng T-54B</v>
          </cell>
          <cell r="G1374" t="str">
            <v>KHCN</v>
          </cell>
          <cell r="I1374" t="str">
            <v>CKTĐH</v>
          </cell>
          <cell r="AC1374">
            <v>930000</v>
          </cell>
          <cell r="AD1374">
            <v>18480024</v>
          </cell>
          <cell r="AE1374">
            <v>1364932</v>
          </cell>
          <cell r="AF1374">
            <v>1292925</v>
          </cell>
          <cell r="AG1374">
            <v>0</v>
          </cell>
          <cell r="AH1374">
            <v>0</v>
          </cell>
          <cell r="AI1374">
            <v>0</v>
          </cell>
          <cell r="AJ1374">
            <v>0</v>
          </cell>
          <cell r="AK1374">
            <v>54862</v>
          </cell>
          <cell r="AL1374">
            <v>120010</v>
          </cell>
          <cell r="AM1374">
            <v>10287</v>
          </cell>
          <cell r="AN1374">
            <v>20573</v>
          </cell>
          <cell r="AO1374">
            <v>6858</v>
          </cell>
          <cell r="AP1374">
            <v>6858</v>
          </cell>
        </row>
        <row r="1375">
          <cell r="D1375" t="str">
            <v>Nghiên cứu, thiết kế nâng cấp hệ thống động lực và tích hợp các thành phần hiện đại hóa trên xe tăng T-54B</v>
          </cell>
          <cell r="G1375" t="str">
            <v>KHCN</v>
          </cell>
          <cell r="I1375" t="str">
            <v>CKTĐH</v>
          </cell>
          <cell r="AC1375">
            <v>930000</v>
          </cell>
          <cell r="AD1375">
            <v>24962696</v>
          </cell>
          <cell r="AE1375">
            <v>1911412</v>
          </cell>
          <cell r="AF1375">
            <v>1831707</v>
          </cell>
          <cell r="AG1375">
            <v>0</v>
          </cell>
          <cell r="AH1375">
            <v>0</v>
          </cell>
          <cell r="AI1375">
            <v>0</v>
          </cell>
          <cell r="AJ1375">
            <v>0</v>
          </cell>
          <cell r="AK1375">
            <v>60728</v>
          </cell>
          <cell r="AL1375">
            <v>132842</v>
          </cell>
          <cell r="AM1375">
            <v>11386</v>
          </cell>
          <cell r="AN1375">
            <v>22773</v>
          </cell>
          <cell r="AO1375">
            <v>7591</v>
          </cell>
          <cell r="AP1375">
            <v>7591</v>
          </cell>
        </row>
        <row r="1376">
          <cell r="D1376" t="str">
            <v>Nghiên cứu, thiết kế nâng cấp hệ thống động lực và tích hợp các thành phần hiện đại hóa trên xe tăng T-54B</v>
          </cell>
          <cell r="G1376" t="str">
            <v>KHCN</v>
          </cell>
          <cell r="I1376" t="str">
            <v>CKTĐH</v>
          </cell>
          <cell r="AC1376">
            <v>930000</v>
          </cell>
          <cell r="AD1376">
            <v>17275656</v>
          </cell>
          <cell r="AE1376">
            <v>6975722</v>
          </cell>
          <cell r="AF1376">
            <v>6599613</v>
          </cell>
          <cell r="AG1376">
            <v>0</v>
          </cell>
          <cell r="AH1376">
            <v>0</v>
          </cell>
          <cell r="AI1376">
            <v>0</v>
          </cell>
          <cell r="AJ1376">
            <v>0</v>
          </cell>
          <cell r="AK1376">
            <v>286559</v>
          </cell>
          <cell r="AL1376">
            <v>626847</v>
          </cell>
          <cell r="AM1376">
            <v>53730</v>
          </cell>
          <cell r="AN1376">
            <v>107459</v>
          </cell>
          <cell r="AO1376">
            <v>35820</v>
          </cell>
          <cell r="AP1376">
            <v>35820</v>
          </cell>
        </row>
        <row r="1377">
          <cell r="D1377" t="str">
            <v>Nghiên cứu, thiết kế nâng cấp hệ thống động lực và tích hợp các thành phần hiện đại hóa trên xe tăng T-54B</v>
          </cell>
          <cell r="G1377" t="str">
            <v>KHCN</v>
          </cell>
          <cell r="I1377" t="str">
            <v>CKTĐH</v>
          </cell>
          <cell r="AC1377">
            <v>930000</v>
          </cell>
          <cell r="AD1377">
            <v>17275656</v>
          </cell>
          <cell r="AE1377">
            <v>1268313</v>
          </cell>
          <cell r="AF1377">
            <v>1199929</v>
          </cell>
          <cell r="AG1377">
            <v>0</v>
          </cell>
          <cell r="AH1377">
            <v>0</v>
          </cell>
          <cell r="AI1377">
            <v>0</v>
          </cell>
          <cell r="AJ1377">
            <v>0</v>
          </cell>
          <cell r="AK1377">
            <v>52102</v>
          </cell>
          <cell r="AL1377">
            <v>113972</v>
          </cell>
          <cell r="AM1377">
            <v>9769</v>
          </cell>
          <cell r="AN1377">
            <v>19538</v>
          </cell>
          <cell r="AO1377">
            <v>6513</v>
          </cell>
          <cell r="AP1377">
            <v>6513</v>
          </cell>
        </row>
        <row r="1378">
          <cell r="D1378" t="str">
            <v>Nghiên cứu, thiết kế nâng cấp hệ thống động lực và tích hợp các thành phần hiện đại hóa trên xe tăng T-54B</v>
          </cell>
          <cell r="G1378" t="str">
            <v>KHCN</v>
          </cell>
          <cell r="I1378" t="str">
            <v>CKTĐH</v>
          </cell>
          <cell r="AC1378">
            <v>930000</v>
          </cell>
          <cell r="AD1378">
            <v>18480024</v>
          </cell>
          <cell r="AE1378">
            <v>682466</v>
          </cell>
          <cell r="AF1378">
            <v>646463</v>
          </cell>
          <cell r="AG1378">
            <v>0</v>
          </cell>
          <cell r="AH1378">
            <v>0</v>
          </cell>
          <cell r="AI1378">
            <v>0</v>
          </cell>
          <cell r="AJ1378">
            <v>0</v>
          </cell>
          <cell r="AK1378">
            <v>27431</v>
          </cell>
          <cell r="AL1378">
            <v>60005</v>
          </cell>
          <cell r="AM1378">
            <v>5143</v>
          </cell>
          <cell r="AN1378">
            <v>10287</v>
          </cell>
          <cell r="AO1378">
            <v>3429</v>
          </cell>
          <cell r="AP1378">
            <v>3429</v>
          </cell>
        </row>
        <row r="1379">
          <cell r="D1379" t="str">
            <v>Nghiên cứu, thiết kế nâng cấp hệ thống động lực và tích hợp các thành phần hiện đại hóa trên xe tăng T-54B</v>
          </cell>
          <cell r="G1379" t="str">
            <v>KHCN</v>
          </cell>
          <cell r="I1379" t="str">
            <v>CKTĐH</v>
          </cell>
          <cell r="AC1379">
            <v>930000</v>
          </cell>
          <cell r="AD1379">
            <v>17275656</v>
          </cell>
          <cell r="AE1379">
            <v>1268313</v>
          </cell>
          <cell r="AF1379">
            <v>1199929</v>
          </cell>
          <cell r="AG1379">
            <v>0</v>
          </cell>
          <cell r="AH1379">
            <v>0</v>
          </cell>
          <cell r="AI1379">
            <v>0</v>
          </cell>
          <cell r="AJ1379">
            <v>0</v>
          </cell>
          <cell r="AK1379">
            <v>52102</v>
          </cell>
          <cell r="AL1379">
            <v>113972</v>
          </cell>
          <cell r="AM1379">
            <v>9769</v>
          </cell>
          <cell r="AN1379">
            <v>19538</v>
          </cell>
          <cell r="AO1379">
            <v>6513</v>
          </cell>
          <cell r="AP1379">
            <v>6513</v>
          </cell>
        </row>
        <row r="1380">
          <cell r="D1380" t="str">
            <v>Nghiên cứu, thiết kế nâng cấp hệ thống động lực và tích hợp các thành phần hiện đại hóa trên xe tăng T-54B</v>
          </cell>
          <cell r="G1380" t="str">
            <v>KHCN</v>
          </cell>
          <cell r="I1380" t="str">
            <v>CKTĐH</v>
          </cell>
          <cell r="AC1380">
            <v>930000</v>
          </cell>
          <cell r="AD1380">
            <v>16385556</v>
          </cell>
          <cell r="AE1380">
            <v>1190913</v>
          </cell>
          <cell r="AF1380">
            <v>1122529</v>
          </cell>
          <cell r="AG1380">
            <v>0</v>
          </cell>
          <cell r="AH1380">
            <v>0</v>
          </cell>
          <cell r="AI1380">
            <v>0</v>
          </cell>
          <cell r="AJ1380">
            <v>0</v>
          </cell>
          <cell r="AK1380">
            <v>52102</v>
          </cell>
          <cell r="AL1380">
            <v>113972</v>
          </cell>
          <cell r="AM1380">
            <v>9769</v>
          </cell>
          <cell r="AN1380">
            <v>19538</v>
          </cell>
          <cell r="AO1380">
            <v>6513</v>
          </cell>
          <cell r="AP1380">
            <v>6513</v>
          </cell>
        </row>
        <row r="1381">
          <cell r="D1381" t="str">
            <v>Nghiên cứu, thiết kế nâng cấp hệ thống động lực và tích hợp các thành phần hiện đại hóa trên xe tăng T-54B</v>
          </cell>
          <cell r="G1381" t="str">
            <v>KHCN</v>
          </cell>
          <cell r="I1381" t="str">
            <v>CKTĐH</v>
          </cell>
          <cell r="AC1381">
            <v>1047000</v>
          </cell>
          <cell r="AD1381">
            <v>18111124</v>
          </cell>
          <cell r="AE1381">
            <v>1322680</v>
          </cell>
          <cell r="AF1381">
            <v>1250673</v>
          </cell>
          <cell r="AG1381">
            <v>0</v>
          </cell>
          <cell r="AH1381">
            <v>0</v>
          </cell>
          <cell r="AI1381">
            <v>0</v>
          </cell>
          <cell r="AJ1381">
            <v>0</v>
          </cell>
          <cell r="AK1381">
            <v>54862</v>
          </cell>
          <cell r="AL1381">
            <v>120010</v>
          </cell>
          <cell r="AM1381">
            <v>10287</v>
          </cell>
          <cell r="AN1381">
            <v>20573</v>
          </cell>
          <cell r="AO1381">
            <v>6858</v>
          </cell>
          <cell r="AP1381">
            <v>6858</v>
          </cell>
        </row>
        <row r="1382">
          <cell r="D1382" t="str">
            <v>Nghiên cứu, thiết kế nâng cấp hệ thống động lực và tích hợp các thành phần hiện đại hóa trên xe tăng T-54B</v>
          </cell>
          <cell r="G1382" t="str">
            <v>KHCN</v>
          </cell>
          <cell r="I1382" t="str">
            <v>CKTĐH</v>
          </cell>
          <cell r="AC1382">
            <v>930000</v>
          </cell>
          <cell r="AD1382">
            <v>16385556</v>
          </cell>
          <cell r="AE1382">
            <v>6550022</v>
          </cell>
          <cell r="AF1382">
            <v>6173913</v>
          </cell>
          <cell r="AG1382">
            <v>0</v>
          </cell>
          <cell r="AH1382">
            <v>0</v>
          </cell>
          <cell r="AI1382">
            <v>0</v>
          </cell>
          <cell r="AJ1382">
            <v>0</v>
          </cell>
          <cell r="AK1382">
            <v>286559</v>
          </cell>
          <cell r="AL1382">
            <v>626847</v>
          </cell>
          <cell r="AM1382">
            <v>53730</v>
          </cell>
          <cell r="AN1382">
            <v>107459</v>
          </cell>
          <cell r="AO1382">
            <v>35820</v>
          </cell>
          <cell r="AP1382">
            <v>35820</v>
          </cell>
        </row>
        <row r="1383">
          <cell r="D1383" t="str">
            <v>Nghiên cứu, thiết kế nâng cấp hệ thống động lực và tích hợp các thành phần hiện đại hóa trên xe tăng T-54B</v>
          </cell>
          <cell r="G1383" t="str">
            <v>KHCN</v>
          </cell>
          <cell r="I1383" t="str">
            <v>CKTĐH</v>
          </cell>
          <cell r="AC1383">
            <v>930000</v>
          </cell>
          <cell r="AD1383">
            <v>16385556</v>
          </cell>
          <cell r="AE1383">
            <v>1190913</v>
          </cell>
          <cell r="AF1383">
            <v>1122529</v>
          </cell>
          <cell r="AG1383">
            <v>0</v>
          </cell>
          <cell r="AH1383">
            <v>0</v>
          </cell>
          <cell r="AI1383">
            <v>0</v>
          </cell>
          <cell r="AJ1383">
            <v>0</v>
          </cell>
          <cell r="AK1383">
            <v>52102</v>
          </cell>
          <cell r="AL1383">
            <v>113972</v>
          </cell>
          <cell r="AM1383">
            <v>9769</v>
          </cell>
          <cell r="AN1383">
            <v>19538</v>
          </cell>
          <cell r="AO1383">
            <v>6513</v>
          </cell>
          <cell r="AP1383">
            <v>6513</v>
          </cell>
        </row>
        <row r="1384">
          <cell r="D1384" t="str">
            <v>Nghiên cứu, thiết kế nâng cấp hệ thống động lực và tích hợp các thành phần hiện đại hóa trên xe tăng T-54B</v>
          </cell>
          <cell r="G1384" t="str">
            <v>KHCN</v>
          </cell>
          <cell r="I1384" t="str">
            <v>CKTĐH</v>
          </cell>
          <cell r="AC1384">
            <v>930000</v>
          </cell>
          <cell r="AD1384">
            <v>16385556</v>
          </cell>
          <cell r="AE1384">
            <v>6550022</v>
          </cell>
          <cell r="AF1384">
            <v>6173913</v>
          </cell>
          <cell r="AG1384">
            <v>0</v>
          </cell>
          <cell r="AH1384">
            <v>0</v>
          </cell>
          <cell r="AI1384">
            <v>0</v>
          </cell>
          <cell r="AJ1384">
            <v>0</v>
          </cell>
          <cell r="AK1384">
            <v>286559</v>
          </cell>
          <cell r="AL1384">
            <v>626847</v>
          </cell>
          <cell r="AM1384">
            <v>53730</v>
          </cell>
          <cell r="AN1384">
            <v>107459</v>
          </cell>
          <cell r="AO1384">
            <v>35820</v>
          </cell>
          <cell r="AP1384">
            <v>35820</v>
          </cell>
        </row>
        <row r="1385">
          <cell r="D1385" t="str">
            <v>Nghiên cứu, thiết kế nâng cấp hệ thống động lực và tích hợp các thành phần hiện đại hóa trên xe tăng T-54B</v>
          </cell>
          <cell r="G1385" t="str">
            <v>KHCN</v>
          </cell>
          <cell r="I1385" t="str">
            <v>CKTĐH</v>
          </cell>
          <cell r="AC1385">
            <v>930000</v>
          </cell>
          <cell r="AD1385">
            <v>22309612</v>
          </cell>
          <cell r="AE1385">
            <v>8449157</v>
          </cell>
          <cell r="AF1385">
            <v>8071011</v>
          </cell>
          <cell r="AG1385">
            <v>0</v>
          </cell>
          <cell r="AH1385">
            <v>0</v>
          </cell>
          <cell r="AI1385">
            <v>0</v>
          </cell>
          <cell r="AJ1385">
            <v>0</v>
          </cell>
          <cell r="AK1385">
            <v>288111</v>
          </cell>
          <cell r="AL1385">
            <v>630243</v>
          </cell>
          <cell r="AM1385">
            <v>54021</v>
          </cell>
          <cell r="AN1385">
            <v>108042</v>
          </cell>
          <cell r="AO1385">
            <v>36014</v>
          </cell>
          <cell r="AP1385">
            <v>36014</v>
          </cell>
        </row>
        <row r="1386">
          <cell r="D1386" t="str">
            <v>Nghiên cứu, thiết kế nâng cấp hệ thống động lực và tích hợp các thành phần hiện đại hóa trên xe tăng T-54B</v>
          </cell>
          <cell r="G1386" t="str">
            <v>KHCN</v>
          </cell>
          <cell r="I1386" t="str">
            <v>CKTĐH</v>
          </cell>
          <cell r="AC1386">
            <v>930000</v>
          </cell>
          <cell r="AD1386">
            <v>22141396</v>
          </cell>
          <cell r="AE1386">
            <v>4998245</v>
          </cell>
          <cell r="AF1386">
            <v>4759130</v>
          </cell>
          <cell r="AG1386">
            <v>0</v>
          </cell>
          <cell r="AH1386">
            <v>0</v>
          </cell>
          <cell r="AI1386">
            <v>0</v>
          </cell>
          <cell r="AJ1386">
            <v>0</v>
          </cell>
          <cell r="AK1386">
            <v>182183</v>
          </cell>
          <cell r="AL1386">
            <v>398525</v>
          </cell>
          <cell r="AM1386">
            <v>34159</v>
          </cell>
          <cell r="AN1386">
            <v>68319</v>
          </cell>
          <cell r="AO1386">
            <v>22773</v>
          </cell>
          <cell r="AP1386">
            <v>22773</v>
          </cell>
        </row>
        <row r="1387">
          <cell r="D1387" t="str">
            <v>Nghiên cứu, thiết kế nâng cấp hệ thống động lực và tích hợp các thành phần hiện đại hóa trên xe tăng T-54B</v>
          </cell>
          <cell r="G1387" t="str">
            <v>KHCN</v>
          </cell>
          <cell r="I1387" t="str">
            <v>CKTĐH</v>
          </cell>
          <cell r="AC1387">
            <v>930000</v>
          </cell>
          <cell r="AD1387">
            <v>14515216</v>
          </cell>
          <cell r="AE1387">
            <v>5739130</v>
          </cell>
          <cell r="AF1387">
            <v>5400383</v>
          </cell>
          <cell r="AG1387">
            <v>0</v>
          </cell>
          <cell r="AH1387">
            <v>0</v>
          </cell>
          <cell r="AI1387">
            <v>0</v>
          </cell>
          <cell r="AJ1387">
            <v>0</v>
          </cell>
          <cell r="AK1387">
            <v>258093</v>
          </cell>
          <cell r="AL1387">
            <v>564577</v>
          </cell>
          <cell r="AM1387">
            <v>48392</v>
          </cell>
          <cell r="AN1387">
            <v>96785</v>
          </cell>
          <cell r="AO1387">
            <v>32262</v>
          </cell>
          <cell r="AP1387">
            <v>32262</v>
          </cell>
        </row>
        <row r="1388">
          <cell r="D1388" t="str">
            <v>Nghiên cứu, thiết kế nâng cấp hệ thống động lực và tích hợp các thành phần hiện đại hóa trên xe tăng T-54B</v>
          </cell>
          <cell r="G1388" t="str">
            <v>KHCN</v>
          </cell>
          <cell r="I1388" t="str">
            <v>CKTĐH</v>
          </cell>
          <cell r="AC1388">
            <v>930000</v>
          </cell>
          <cell r="AD1388">
            <v>17275656</v>
          </cell>
          <cell r="AE1388">
            <v>6975722</v>
          </cell>
          <cell r="AF1388">
            <v>6599613</v>
          </cell>
          <cell r="AG1388">
            <v>0</v>
          </cell>
          <cell r="AH1388">
            <v>0</v>
          </cell>
          <cell r="AI1388">
            <v>0</v>
          </cell>
          <cell r="AJ1388">
            <v>0</v>
          </cell>
          <cell r="AK1388">
            <v>286559</v>
          </cell>
          <cell r="AL1388">
            <v>626847</v>
          </cell>
          <cell r="AM1388">
            <v>53730</v>
          </cell>
          <cell r="AN1388">
            <v>107459</v>
          </cell>
          <cell r="AO1388">
            <v>35820</v>
          </cell>
          <cell r="AP1388">
            <v>35820</v>
          </cell>
        </row>
        <row r="1389">
          <cell r="D1389" t="str">
            <v>Nghiên cứu, thiết kế nâng cấp hệ thống động lực và tích hợp các thành phần hiện đại hóa trên xe tăng T-54B</v>
          </cell>
          <cell r="G1389" t="str">
            <v>KHCN</v>
          </cell>
          <cell r="I1389" t="str">
            <v>CKTĐH</v>
          </cell>
          <cell r="AC1389">
            <v>242609</v>
          </cell>
          <cell r="AD1389">
            <v>3112174</v>
          </cell>
          <cell r="AE1389">
            <v>478261</v>
          </cell>
          <cell r="AF1389">
            <v>478261</v>
          </cell>
          <cell r="AG1389">
            <v>0</v>
          </cell>
          <cell r="AH1389">
            <v>0</v>
          </cell>
          <cell r="AI1389">
            <v>0</v>
          </cell>
          <cell r="AJ1389">
            <v>0</v>
          </cell>
          <cell r="AK1389">
            <v>0</v>
          </cell>
          <cell r="AL1389">
            <v>0</v>
          </cell>
          <cell r="AM1389">
            <v>0</v>
          </cell>
          <cell r="AN1389">
            <v>0</v>
          </cell>
          <cell r="AO1389">
            <v>0</v>
          </cell>
          <cell r="AP1389">
            <v>0</v>
          </cell>
        </row>
        <row r="1390">
          <cell r="D1390" t="str">
            <v>Nghiên cứu, thiết kế nâng cấp hệ thống động lực và tích hợp các thành phần hiện đại hóa trên xe tăng T-54B</v>
          </cell>
          <cell r="G1390" t="str">
            <v>KHCN</v>
          </cell>
          <cell r="I1390" t="str">
            <v>CKTĐH</v>
          </cell>
          <cell r="AC1390">
            <v>930000</v>
          </cell>
          <cell r="AD1390">
            <v>17741776</v>
          </cell>
          <cell r="AE1390">
            <v>7198649</v>
          </cell>
          <cell r="AF1390">
            <v>6822540</v>
          </cell>
          <cell r="AG1390">
            <v>0</v>
          </cell>
          <cell r="AH1390">
            <v>0</v>
          </cell>
          <cell r="AI1390">
            <v>0</v>
          </cell>
          <cell r="AJ1390">
            <v>0</v>
          </cell>
          <cell r="AK1390">
            <v>286559</v>
          </cell>
          <cell r="AL1390">
            <v>626847</v>
          </cell>
          <cell r="AM1390">
            <v>53730</v>
          </cell>
          <cell r="AN1390">
            <v>107459</v>
          </cell>
          <cell r="AO1390">
            <v>35820</v>
          </cell>
          <cell r="AP1390">
            <v>35820</v>
          </cell>
        </row>
        <row r="1391">
          <cell r="D1391" t="str">
            <v>Nghiên cứu, hiện đại hóa đại đội pháo phòng không 57mm có khí tài</v>
          </cell>
          <cell r="G1391" t="str">
            <v>KHCN</v>
          </cell>
          <cell r="I1391" t="str">
            <v>CKTĐH</v>
          </cell>
          <cell r="AC1391">
            <v>1381000</v>
          </cell>
          <cell r="AD1391">
            <v>33912534</v>
          </cell>
          <cell r="AE1391">
            <v>13105241</v>
          </cell>
          <cell r="AF1391">
            <v>12641049</v>
          </cell>
          <cell r="AG1391">
            <v>0</v>
          </cell>
          <cell r="AH1391">
            <v>0</v>
          </cell>
          <cell r="AI1391">
            <v>0</v>
          </cell>
          <cell r="AJ1391">
            <v>0</v>
          </cell>
          <cell r="AK1391">
            <v>353670</v>
          </cell>
          <cell r="AL1391">
            <v>773652</v>
          </cell>
          <cell r="AM1391">
            <v>66313</v>
          </cell>
          <cell r="AN1391">
            <v>132626</v>
          </cell>
          <cell r="AO1391">
            <v>44209</v>
          </cell>
          <cell r="AP1391">
            <v>44209</v>
          </cell>
        </row>
        <row r="1392">
          <cell r="D1392" t="str">
            <v>Nghiên cứu, hiện đại hóa đại đội pháo phòng không 57mm có khí tài</v>
          </cell>
          <cell r="G1392" t="str">
            <v>KHCN</v>
          </cell>
          <cell r="I1392" t="str">
            <v>CKTĐH</v>
          </cell>
          <cell r="AC1392">
            <v>930000</v>
          </cell>
          <cell r="AD1392">
            <v>18480024</v>
          </cell>
          <cell r="AE1392">
            <v>682466</v>
          </cell>
          <cell r="AF1392">
            <v>646463</v>
          </cell>
          <cell r="AG1392">
            <v>0</v>
          </cell>
          <cell r="AH1392">
            <v>0</v>
          </cell>
          <cell r="AI1392">
            <v>0</v>
          </cell>
          <cell r="AJ1392">
            <v>0</v>
          </cell>
          <cell r="AK1392">
            <v>27431</v>
          </cell>
          <cell r="AL1392">
            <v>60005</v>
          </cell>
          <cell r="AM1392">
            <v>5143</v>
          </cell>
          <cell r="AN1392">
            <v>10287</v>
          </cell>
          <cell r="AO1392">
            <v>3429</v>
          </cell>
          <cell r="AP1392">
            <v>3429</v>
          </cell>
        </row>
        <row r="1393">
          <cell r="D1393" t="str">
            <v>Nghiên cứu, hiện đại hóa đại đội pháo phòng không 57mm có khí tài</v>
          </cell>
          <cell r="G1393" t="str">
            <v>KHCN</v>
          </cell>
          <cell r="I1393" t="str">
            <v>CKTĐH</v>
          </cell>
          <cell r="AC1393">
            <v>1030000</v>
          </cell>
          <cell r="AD1393">
            <v>42232547</v>
          </cell>
          <cell r="AE1393">
            <v>3375049</v>
          </cell>
          <cell r="AF1393">
            <v>3282210</v>
          </cell>
          <cell r="AG1393">
            <v>0</v>
          </cell>
          <cell r="AH1393">
            <v>0</v>
          </cell>
          <cell r="AI1393">
            <v>0</v>
          </cell>
          <cell r="AJ1393">
            <v>0</v>
          </cell>
          <cell r="AK1393">
            <v>70734</v>
          </cell>
          <cell r="AL1393">
            <v>154730</v>
          </cell>
          <cell r="AM1393">
            <v>13263</v>
          </cell>
          <cell r="AN1393">
            <v>26525</v>
          </cell>
          <cell r="AO1393">
            <v>8842</v>
          </cell>
          <cell r="AP1393">
            <v>8842</v>
          </cell>
        </row>
        <row r="1394">
          <cell r="D1394" t="str">
            <v>Nghiên cứu, hiện đại hóa đại đội pháo phòng không 57mm có khí tài</v>
          </cell>
          <cell r="G1394" t="str">
            <v>KHCN</v>
          </cell>
          <cell r="I1394" t="str">
            <v>CKTĐH</v>
          </cell>
          <cell r="AC1394">
            <v>1398000</v>
          </cell>
          <cell r="AD1394">
            <v>35631490</v>
          </cell>
          <cell r="AE1394">
            <v>2779180</v>
          </cell>
          <cell r="AF1394">
            <v>2690871</v>
          </cell>
          <cell r="AG1394">
            <v>0</v>
          </cell>
          <cell r="AH1394">
            <v>0</v>
          </cell>
          <cell r="AI1394">
            <v>0</v>
          </cell>
          <cell r="AJ1394">
            <v>0</v>
          </cell>
          <cell r="AK1394">
            <v>67283</v>
          </cell>
          <cell r="AL1394">
            <v>147183</v>
          </cell>
          <cell r="AM1394">
            <v>12616</v>
          </cell>
          <cell r="AN1394">
            <v>25231</v>
          </cell>
          <cell r="AO1394">
            <v>8410</v>
          </cell>
          <cell r="AP1394">
            <v>8410</v>
          </cell>
        </row>
        <row r="1395">
          <cell r="D1395" t="str">
            <v>Nghiên cứu, hiện đại hóa đại đội pháo phòng không 57mm có khí tài</v>
          </cell>
          <cell r="G1395" t="str">
            <v>KHCN</v>
          </cell>
          <cell r="I1395" t="str">
            <v>CKTĐH</v>
          </cell>
          <cell r="AC1395">
            <v>930000</v>
          </cell>
          <cell r="AD1395">
            <v>24141396</v>
          </cell>
          <cell r="AE1395">
            <v>919997</v>
          </cell>
          <cell r="AF1395">
            <v>880145</v>
          </cell>
          <cell r="AG1395">
            <v>0</v>
          </cell>
          <cell r="AH1395">
            <v>0</v>
          </cell>
          <cell r="AI1395">
            <v>0</v>
          </cell>
          <cell r="AJ1395">
            <v>0</v>
          </cell>
          <cell r="AK1395">
            <v>30364</v>
          </cell>
          <cell r="AL1395">
            <v>66421</v>
          </cell>
          <cell r="AM1395">
            <v>5693</v>
          </cell>
          <cell r="AN1395">
            <v>11386</v>
          </cell>
          <cell r="AO1395">
            <v>3795</v>
          </cell>
          <cell r="AP1395">
            <v>3795</v>
          </cell>
        </row>
        <row r="1396">
          <cell r="D1396" t="str">
            <v>Nghiên cứu, hiện đại hóa đại đội pháo phòng không 57mm có khí tài</v>
          </cell>
          <cell r="G1396" t="str">
            <v>KHCN</v>
          </cell>
          <cell r="I1396" t="str">
            <v>CKTĐH</v>
          </cell>
          <cell r="AC1396">
            <v>930000</v>
          </cell>
          <cell r="AD1396">
            <v>15796808</v>
          </cell>
          <cell r="AE1396">
            <v>5165217</v>
          </cell>
          <cell r="AF1396">
            <v>4873796</v>
          </cell>
          <cell r="AG1396">
            <v>0</v>
          </cell>
          <cell r="AH1396">
            <v>0</v>
          </cell>
          <cell r="AI1396">
            <v>0</v>
          </cell>
          <cell r="AJ1396">
            <v>0</v>
          </cell>
          <cell r="AK1396">
            <v>222035</v>
          </cell>
          <cell r="AL1396">
            <v>485703</v>
          </cell>
          <cell r="AM1396">
            <v>41632</v>
          </cell>
          <cell r="AN1396">
            <v>83263</v>
          </cell>
          <cell r="AO1396">
            <v>27754</v>
          </cell>
          <cell r="AP1396">
            <v>27754</v>
          </cell>
        </row>
        <row r="1397">
          <cell r="D1397" t="str">
            <v>Nghiên cứu, hiện đại hóa đại đội pháo phòng không 57mm có khí tài</v>
          </cell>
          <cell r="G1397" t="str">
            <v>KHCN</v>
          </cell>
          <cell r="I1397" t="str">
            <v>CKTĐH</v>
          </cell>
          <cell r="AC1397">
            <v>1030000</v>
          </cell>
          <cell r="AD1397">
            <v>40184182</v>
          </cell>
          <cell r="AE1397">
            <v>15984653</v>
          </cell>
          <cell r="AF1397">
            <v>15520461</v>
          </cell>
          <cell r="AG1397">
            <v>0</v>
          </cell>
          <cell r="AH1397">
            <v>0</v>
          </cell>
          <cell r="AI1397">
            <v>0</v>
          </cell>
          <cell r="AJ1397">
            <v>0</v>
          </cell>
          <cell r="AK1397">
            <v>353670</v>
          </cell>
          <cell r="AL1397">
            <v>773652</v>
          </cell>
          <cell r="AM1397">
            <v>66313</v>
          </cell>
          <cell r="AN1397">
            <v>132626</v>
          </cell>
          <cell r="AO1397">
            <v>44209</v>
          </cell>
          <cell r="AP1397">
            <v>44209</v>
          </cell>
        </row>
        <row r="1398">
          <cell r="D1398" t="str">
            <v>Nghiên cứu, hiện đại hóa đại đội pháo phòng không 57mm có khí tài</v>
          </cell>
          <cell r="G1398" t="str">
            <v>KHCN</v>
          </cell>
          <cell r="I1398" t="str">
            <v>CKTĐH</v>
          </cell>
          <cell r="AC1398">
            <v>930000</v>
          </cell>
          <cell r="AD1398">
            <v>29748220</v>
          </cell>
          <cell r="AE1398">
            <v>11592113</v>
          </cell>
          <cell r="AF1398">
            <v>11173209</v>
          </cell>
          <cell r="AG1398">
            <v>0</v>
          </cell>
          <cell r="AH1398">
            <v>0</v>
          </cell>
          <cell r="AI1398">
            <v>0</v>
          </cell>
          <cell r="AJ1398">
            <v>0</v>
          </cell>
          <cell r="AK1398">
            <v>319165</v>
          </cell>
          <cell r="AL1398">
            <v>698174</v>
          </cell>
          <cell r="AM1398">
            <v>59843</v>
          </cell>
          <cell r="AN1398">
            <v>119687</v>
          </cell>
          <cell r="AO1398">
            <v>39896</v>
          </cell>
          <cell r="AP1398">
            <v>39896</v>
          </cell>
        </row>
        <row r="1399">
          <cell r="D1399" t="str">
            <v>Nghiên cứu, hiện đại hóa đại đội pháo phòng không 57mm có khí tài</v>
          </cell>
          <cell r="G1399" t="str">
            <v>KHCN</v>
          </cell>
          <cell r="I1399" t="str">
            <v>CKTĐH</v>
          </cell>
          <cell r="AC1399">
            <v>930000</v>
          </cell>
          <cell r="AD1399">
            <v>20275656</v>
          </cell>
          <cell r="AE1399">
            <v>7645913</v>
          </cell>
          <cell r="AF1399">
            <v>7303997</v>
          </cell>
          <cell r="AG1399">
            <v>0</v>
          </cell>
          <cell r="AH1399">
            <v>0</v>
          </cell>
          <cell r="AI1399">
            <v>0</v>
          </cell>
          <cell r="AJ1399">
            <v>0</v>
          </cell>
          <cell r="AK1399">
            <v>260508</v>
          </cell>
          <cell r="AL1399">
            <v>569861</v>
          </cell>
          <cell r="AM1399">
            <v>48845</v>
          </cell>
          <cell r="AN1399">
            <v>97690</v>
          </cell>
          <cell r="AO1399">
            <v>32563</v>
          </cell>
          <cell r="AP1399">
            <v>32563</v>
          </cell>
        </row>
        <row r="1400">
          <cell r="D1400" t="str">
            <v>Nghiên cứu, hiện đại hóa đại đội pháo phòng không 57mm có khí tài</v>
          </cell>
          <cell r="G1400" t="str">
            <v>KHCN</v>
          </cell>
          <cell r="I1400" t="str">
            <v>CKTĐH</v>
          </cell>
          <cell r="AC1400">
            <v>930000</v>
          </cell>
          <cell r="AD1400">
            <v>19275656</v>
          </cell>
          <cell r="AE1400">
            <v>721113</v>
          </cell>
          <cell r="AF1400">
            <v>686921</v>
          </cell>
          <cell r="AG1400">
            <v>0</v>
          </cell>
          <cell r="AH1400">
            <v>0</v>
          </cell>
          <cell r="AI1400">
            <v>0</v>
          </cell>
          <cell r="AJ1400">
            <v>0</v>
          </cell>
          <cell r="AK1400">
            <v>26051</v>
          </cell>
          <cell r="AL1400">
            <v>56986</v>
          </cell>
          <cell r="AM1400">
            <v>4885</v>
          </cell>
          <cell r="AN1400">
            <v>9769</v>
          </cell>
          <cell r="AO1400">
            <v>3256</v>
          </cell>
          <cell r="AP1400">
            <v>3256</v>
          </cell>
        </row>
        <row r="1401">
          <cell r="D1401" t="str">
            <v>Nghiên cứu, hiện đại hóa đại đội pháo phòng không 57mm có khí tài</v>
          </cell>
          <cell r="G1401" t="str">
            <v>KHCN</v>
          </cell>
          <cell r="I1401" t="str">
            <v>CKTĐH</v>
          </cell>
          <cell r="AC1401">
            <v>930000</v>
          </cell>
          <cell r="AD1401">
            <v>18480024</v>
          </cell>
          <cell r="AE1401">
            <v>6142195</v>
          </cell>
          <cell r="AF1401">
            <v>5818166</v>
          </cell>
          <cell r="AG1401">
            <v>0</v>
          </cell>
          <cell r="AH1401">
            <v>0</v>
          </cell>
          <cell r="AI1401">
            <v>0</v>
          </cell>
          <cell r="AJ1401">
            <v>0</v>
          </cell>
          <cell r="AK1401">
            <v>246879</v>
          </cell>
          <cell r="AL1401">
            <v>540047</v>
          </cell>
          <cell r="AM1401">
            <v>46290</v>
          </cell>
          <cell r="AN1401">
            <v>92579</v>
          </cell>
          <cell r="AO1401">
            <v>30860</v>
          </cell>
          <cell r="AP1401">
            <v>30860</v>
          </cell>
        </row>
        <row r="1402">
          <cell r="D1402" t="str">
            <v>Nghiên cứu, hiện đại hóa đại đội pháo phòng không 57mm có khí tài</v>
          </cell>
          <cell r="G1402" t="str">
            <v>KHCN</v>
          </cell>
          <cell r="I1402" t="str">
            <v>CKTĐH</v>
          </cell>
          <cell r="AC1402">
            <v>930000</v>
          </cell>
          <cell r="AD1402">
            <v>24962696</v>
          </cell>
          <cell r="AE1402">
            <v>9557061</v>
          </cell>
          <cell r="AF1402">
            <v>9158536</v>
          </cell>
          <cell r="AG1402">
            <v>0</v>
          </cell>
          <cell r="AH1402">
            <v>0</v>
          </cell>
          <cell r="AI1402">
            <v>0</v>
          </cell>
          <cell r="AJ1402">
            <v>0</v>
          </cell>
          <cell r="AK1402">
            <v>303638</v>
          </cell>
          <cell r="AL1402">
            <v>664209</v>
          </cell>
          <cell r="AM1402">
            <v>56932</v>
          </cell>
          <cell r="AN1402">
            <v>113864</v>
          </cell>
          <cell r="AO1402">
            <v>37955</v>
          </cell>
          <cell r="AP1402">
            <v>37955</v>
          </cell>
        </row>
        <row r="1403">
          <cell r="D1403" t="str">
            <v>Nghiên cứu, hiện đại hóa đại đội pháo phòng không 57mm có khí tài</v>
          </cell>
          <cell r="G1403" t="str">
            <v>KHCN</v>
          </cell>
          <cell r="I1403" t="str">
            <v>CKTĐH</v>
          </cell>
          <cell r="AC1403">
            <v>930000</v>
          </cell>
          <cell r="AD1403">
            <v>17275656</v>
          </cell>
          <cell r="AE1403">
            <v>6341565</v>
          </cell>
          <cell r="AF1403">
            <v>5999649</v>
          </cell>
          <cell r="AG1403">
            <v>0</v>
          </cell>
          <cell r="AH1403">
            <v>0</v>
          </cell>
          <cell r="AI1403">
            <v>0</v>
          </cell>
          <cell r="AJ1403">
            <v>0</v>
          </cell>
          <cell r="AK1403">
            <v>260508</v>
          </cell>
          <cell r="AL1403">
            <v>569861</v>
          </cell>
          <cell r="AM1403">
            <v>48845</v>
          </cell>
          <cell r="AN1403">
            <v>97690</v>
          </cell>
          <cell r="AO1403">
            <v>32563</v>
          </cell>
          <cell r="AP1403">
            <v>32563</v>
          </cell>
        </row>
        <row r="1404">
          <cell r="D1404" t="str">
            <v>Nghiên cứu, hiện đại hóa đại đội pháo phòng không 57mm có khí tài</v>
          </cell>
          <cell r="G1404" t="str">
            <v>KHCN</v>
          </cell>
          <cell r="I1404" t="str">
            <v>CKTĐH</v>
          </cell>
          <cell r="AC1404">
            <v>930000</v>
          </cell>
          <cell r="AD1404">
            <v>18480024</v>
          </cell>
          <cell r="AE1404">
            <v>6824661</v>
          </cell>
          <cell r="AF1404">
            <v>6464629</v>
          </cell>
          <cell r="AG1404">
            <v>0</v>
          </cell>
          <cell r="AH1404">
            <v>0</v>
          </cell>
          <cell r="AI1404">
            <v>0</v>
          </cell>
          <cell r="AJ1404">
            <v>0</v>
          </cell>
          <cell r="AK1404">
            <v>274310</v>
          </cell>
          <cell r="AL1404">
            <v>600052</v>
          </cell>
          <cell r="AM1404">
            <v>51433</v>
          </cell>
          <cell r="AN1404">
            <v>102866</v>
          </cell>
          <cell r="AO1404">
            <v>34289</v>
          </cell>
          <cell r="AP1404">
            <v>34289</v>
          </cell>
        </row>
        <row r="1405">
          <cell r="D1405" t="str">
            <v>Nghiên cứu, hiện đại hóa đại đội pháo phòng không 57mm có khí tài</v>
          </cell>
          <cell r="G1405" t="str">
            <v>KHCN</v>
          </cell>
          <cell r="I1405" t="str">
            <v>CKTĐH</v>
          </cell>
          <cell r="AC1405">
            <v>930000</v>
          </cell>
          <cell r="AD1405">
            <v>17275656</v>
          </cell>
          <cell r="AE1405">
            <v>6341565</v>
          </cell>
          <cell r="AF1405">
            <v>5999649</v>
          </cell>
          <cell r="AG1405">
            <v>0</v>
          </cell>
          <cell r="AH1405">
            <v>0</v>
          </cell>
          <cell r="AI1405">
            <v>0</v>
          </cell>
          <cell r="AJ1405">
            <v>0</v>
          </cell>
          <cell r="AK1405">
            <v>260508</v>
          </cell>
          <cell r="AL1405">
            <v>569861</v>
          </cell>
          <cell r="AM1405">
            <v>48845</v>
          </cell>
          <cell r="AN1405">
            <v>97690</v>
          </cell>
          <cell r="AO1405">
            <v>32563</v>
          </cell>
          <cell r="AP1405">
            <v>32563</v>
          </cell>
        </row>
        <row r="1406">
          <cell r="D1406" t="str">
            <v>Nghiên cứu, hiện đại hóa đại đội pháo phòng không 57mm có khí tài</v>
          </cell>
          <cell r="G1406" t="str">
            <v>KHCN</v>
          </cell>
          <cell r="I1406" t="str">
            <v>CKTĐH</v>
          </cell>
          <cell r="AC1406">
            <v>930000</v>
          </cell>
          <cell r="AD1406">
            <v>16385556</v>
          </cell>
          <cell r="AE1406">
            <v>5954565</v>
          </cell>
          <cell r="AF1406">
            <v>5612649</v>
          </cell>
          <cell r="AG1406">
            <v>0</v>
          </cell>
          <cell r="AH1406">
            <v>0</v>
          </cell>
          <cell r="AI1406">
            <v>0</v>
          </cell>
          <cell r="AJ1406">
            <v>0</v>
          </cell>
          <cell r="AK1406">
            <v>260508</v>
          </cell>
          <cell r="AL1406">
            <v>569861</v>
          </cell>
          <cell r="AM1406">
            <v>48845</v>
          </cell>
          <cell r="AN1406">
            <v>97690</v>
          </cell>
          <cell r="AO1406">
            <v>32563</v>
          </cell>
          <cell r="AP1406">
            <v>32563</v>
          </cell>
        </row>
        <row r="1407">
          <cell r="D1407" t="str">
            <v>Nghiên cứu, hiện đại hóa đại đội pháo phòng không 57mm có khí tài</v>
          </cell>
          <cell r="G1407" t="str">
            <v>KHCN</v>
          </cell>
          <cell r="I1407" t="str">
            <v>CKTĐH</v>
          </cell>
          <cell r="AC1407">
            <v>1047000</v>
          </cell>
          <cell r="AD1407">
            <v>18111124</v>
          </cell>
          <cell r="AE1407">
            <v>5952060</v>
          </cell>
          <cell r="AF1407">
            <v>5628031</v>
          </cell>
          <cell r="AG1407">
            <v>0</v>
          </cell>
          <cell r="AH1407">
            <v>0</v>
          </cell>
          <cell r="AI1407">
            <v>0</v>
          </cell>
          <cell r="AJ1407">
            <v>0</v>
          </cell>
          <cell r="AK1407">
            <v>246879</v>
          </cell>
          <cell r="AL1407">
            <v>540047</v>
          </cell>
          <cell r="AM1407">
            <v>46290</v>
          </cell>
          <cell r="AN1407">
            <v>92579</v>
          </cell>
          <cell r="AO1407">
            <v>30860</v>
          </cell>
          <cell r="AP1407">
            <v>30860</v>
          </cell>
        </row>
        <row r="1408">
          <cell r="D1408" t="str">
            <v>Nghiên cứu, hiện đại hóa đại đội pháo phòng không 57mm có khí tài</v>
          </cell>
          <cell r="G1408" t="str">
            <v>KHCN</v>
          </cell>
          <cell r="I1408" t="str">
            <v>CKTĐH</v>
          </cell>
          <cell r="AC1408">
            <v>930000</v>
          </cell>
          <cell r="AD1408">
            <v>16385556</v>
          </cell>
          <cell r="AE1408">
            <v>5954565</v>
          </cell>
          <cell r="AF1408">
            <v>5612649</v>
          </cell>
          <cell r="AG1408">
            <v>0</v>
          </cell>
          <cell r="AH1408">
            <v>0</v>
          </cell>
          <cell r="AI1408">
            <v>0</v>
          </cell>
          <cell r="AJ1408">
            <v>0</v>
          </cell>
          <cell r="AK1408">
            <v>260508</v>
          </cell>
          <cell r="AL1408">
            <v>569861</v>
          </cell>
          <cell r="AM1408">
            <v>48845</v>
          </cell>
          <cell r="AN1408">
            <v>97690</v>
          </cell>
          <cell r="AO1408">
            <v>32563</v>
          </cell>
          <cell r="AP1408">
            <v>32563</v>
          </cell>
        </row>
        <row r="1409">
          <cell r="D1409" t="str">
            <v>Nghiên cứu, hiện đại hóa đại đội pháo phòng không 57mm có khí tài</v>
          </cell>
          <cell r="G1409" t="str">
            <v>KHCN</v>
          </cell>
          <cell r="I1409" t="str">
            <v>CKTĐH</v>
          </cell>
          <cell r="AC1409">
            <v>930000</v>
          </cell>
          <cell r="AD1409">
            <v>16676236</v>
          </cell>
          <cell r="AE1409">
            <v>1216190</v>
          </cell>
          <cell r="AF1409">
            <v>1147806</v>
          </cell>
          <cell r="AG1409">
            <v>0</v>
          </cell>
          <cell r="AH1409">
            <v>0</v>
          </cell>
          <cell r="AI1409">
            <v>0</v>
          </cell>
          <cell r="AJ1409">
            <v>0</v>
          </cell>
          <cell r="AK1409">
            <v>52102</v>
          </cell>
          <cell r="AL1409">
            <v>113972</v>
          </cell>
          <cell r="AM1409">
            <v>9769</v>
          </cell>
          <cell r="AN1409">
            <v>19538</v>
          </cell>
          <cell r="AO1409">
            <v>6513</v>
          </cell>
          <cell r="AP1409">
            <v>6513</v>
          </cell>
        </row>
        <row r="1410">
          <cell r="D1410" t="str">
            <v>Sản xuất 02 xe ra đa chỉ thị mục tiêu VRS-MCX, 05 đài ra đa cảnh giới biển tầm trung cơ động VRS-MSX và gói vật tư dự phòng (Xe ra đa VRS-MCX)</v>
          </cell>
          <cell r="G1410" t="str">
            <v>SXKD</v>
          </cell>
          <cell r="I1410" t="str">
            <v>CKTĐH</v>
          </cell>
          <cell r="AC1410">
            <v>1230000</v>
          </cell>
          <cell r="AD1410">
            <v>84284243</v>
          </cell>
          <cell r="AE1410">
            <v>6989990</v>
          </cell>
          <cell r="AF1410">
            <v>6894762</v>
          </cell>
          <cell r="AG1410">
            <v>0</v>
          </cell>
          <cell r="AH1410">
            <v>0</v>
          </cell>
          <cell r="AI1410">
            <v>0</v>
          </cell>
          <cell r="AJ1410">
            <v>0</v>
          </cell>
          <cell r="AK1410">
            <v>95228</v>
          </cell>
          <cell r="AL1410">
            <v>208311</v>
          </cell>
          <cell r="AM1410">
            <v>0</v>
          </cell>
          <cell r="AN1410">
            <v>0</v>
          </cell>
          <cell r="AO1410">
            <v>0</v>
          </cell>
          <cell r="AP1410">
            <v>0</v>
          </cell>
        </row>
        <row r="1411">
          <cell r="D1411" t="str">
            <v>Sản xuất 02 xe ra đa chỉ thị mục tiêu VRS-MCX, 05 đài ra đa cảnh giới biển tầm trung cơ động VRS-MSX và gói vật tư dự phòng (Xe ra đa VRS-MCX)</v>
          </cell>
          <cell r="G1411" t="str">
            <v>SXKD</v>
          </cell>
          <cell r="I1411" t="str">
            <v>CKTĐH</v>
          </cell>
          <cell r="AC1411">
            <v>1030000</v>
          </cell>
          <cell r="AD1411">
            <v>42232547</v>
          </cell>
          <cell r="AE1411">
            <v>5062574</v>
          </cell>
          <cell r="AF1411">
            <v>4923316</v>
          </cell>
          <cell r="AG1411">
            <v>0</v>
          </cell>
          <cell r="AH1411">
            <v>0</v>
          </cell>
          <cell r="AI1411">
            <v>0</v>
          </cell>
          <cell r="AJ1411">
            <v>0</v>
          </cell>
          <cell r="AK1411">
            <v>106101</v>
          </cell>
          <cell r="AL1411">
            <v>232096</v>
          </cell>
          <cell r="AM1411">
            <v>19894</v>
          </cell>
          <cell r="AN1411">
            <v>39788</v>
          </cell>
          <cell r="AO1411">
            <v>13263</v>
          </cell>
          <cell r="AP1411">
            <v>13263</v>
          </cell>
        </row>
        <row r="1412">
          <cell r="D1412" t="str">
            <v>Sản xuất 02 xe ra đa chỉ thị mục tiêu VRS-MCX, 05 đài ra đa cảnh giới biển tầm trung cơ động VRS-MSX và gói vật tư dự phòng (Xe ra đa VRS-MCX)</v>
          </cell>
          <cell r="G1412" t="str">
            <v>SXKD</v>
          </cell>
          <cell r="I1412" t="str">
            <v>CKTĐH</v>
          </cell>
          <cell r="AC1412">
            <v>930000</v>
          </cell>
          <cell r="AD1412">
            <v>16676236</v>
          </cell>
          <cell r="AE1412">
            <v>1216190</v>
          </cell>
          <cell r="AF1412">
            <v>1147806</v>
          </cell>
          <cell r="AG1412">
            <v>0</v>
          </cell>
          <cell r="AH1412">
            <v>0</v>
          </cell>
          <cell r="AI1412">
            <v>0</v>
          </cell>
          <cell r="AJ1412">
            <v>0</v>
          </cell>
          <cell r="AK1412">
            <v>52102</v>
          </cell>
          <cell r="AL1412">
            <v>113972</v>
          </cell>
          <cell r="AM1412">
            <v>9769</v>
          </cell>
          <cell r="AN1412">
            <v>19538</v>
          </cell>
          <cell r="AO1412">
            <v>6513</v>
          </cell>
          <cell r="AP1412">
            <v>6513</v>
          </cell>
        </row>
        <row r="1413">
          <cell r="D1413" t="str">
            <v>Sản xuất 02 xe ra đa chỉ thị mục tiêu VRS-MCX, 05 đài ra đa cảnh giới biển tầm trung cơ động VRS-MSX và gói vật tư dự phòng (Xe ra đa VRS-MCX)</v>
          </cell>
          <cell r="G1413" t="str">
            <v>SXKD</v>
          </cell>
          <cell r="I1413" t="str">
            <v>CKTĐH</v>
          </cell>
          <cell r="AC1413">
            <v>930000</v>
          </cell>
          <cell r="AD1413">
            <v>24141396</v>
          </cell>
          <cell r="AE1413">
            <v>1839995</v>
          </cell>
          <cell r="AF1413">
            <v>1760290</v>
          </cell>
          <cell r="AG1413">
            <v>0</v>
          </cell>
          <cell r="AH1413">
            <v>0</v>
          </cell>
          <cell r="AI1413">
            <v>0</v>
          </cell>
          <cell r="AJ1413">
            <v>0</v>
          </cell>
          <cell r="AK1413">
            <v>60728</v>
          </cell>
          <cell r="AL1413">
            <v>132842</v>
          </cell>
          <cell r="AM1413">
            <v>11386</v>
          </cell>
          <cell r="AN1413">
            <v>22773</v>
          </cell>
          <cell r="AO1413">
            <v>7591</v>
          </cell>
          <cell r="AP1413">
            <v>7591</v>
          </cell>
        </row>
        <row r="1414">
          <cell r="D1414" t="str">
            <v>Sản xuất 02 xe ra đa chỉ thị mục tiêu VRS-MCX, 05 đài ra đa cảnh giới biển tầm trung cơ động VRS-MSX và gói vật tư dự phòng (Xe ra đa VRS-MCX)</v>
          </cell>
          <cell r="G1414" t="str">
            <v>SXKD</v>
          </cell>
          <cell r="I1414" t="str">
            <v>CKTĐH</v>
          </cell>
          <cell r="AC1414">
            <v>930000</v>
          </cell>
          <cell r="AD1414">
            <v>18480024</v>
          </cell>
          <cell r="AE1414">
            <v>1364932</v>
          </cell>
          <cell r="AF1414">
            <v>1292925</v>
          </cell>
          <cell r="AG1414">
            <v>0</v>
          </cell>
          <cell r="AH1414">
            <v>0</v>
          </cell>
          <cell r="AI1414">
            <v>0</v>
          </cell>
          <cell r="AJ1414">
            <v>0</v>
          </cell>
          <cell r="AK1414">
            <v>54862</v>
          </cell>
          <cell r="AL1414">
            <v>120010</v>
          </cell>
          <cell r="AM1414">
            <v>10287</v>
          </cell>
          <cell r="AN1414">
            <v>20573</v>
          </cell>
          <cell r="AO1414">
            <v>6858</v>
          </cell>
          <cell r="AP1414">
            <v>6858</v>
          </cell>
        </row>
        <row r="1415">
          <cell r="D1415" t="str">
            <v>Sản xuất 02 xe ra đa chỉ thị mục tiêu VRS-MCX, 05 đài ra đa cảnh giới biển tầm trung cơ động VRS-MSX và gói vật tư dự phòng (Xe ra đa VRS-MCX)</v>
          </cell>
          <cell r="G1415" t="str">
            <v>SXKD</v>
          </cell>
          <cell r="I1415" t="str">
            <v>CKTĐH</v>
          </cell>
          <cell r="AC1415">
            <v>930000</v>
          </cell>
          <cell r="AD1415">
            <v>19275656</v>
          </cell>
          <cell r="AE1415">
            <v>1442226</v>
          </cell>
          <cell r="AF1415">
            <v>1373842</v>
          </cell>
          <cell r="AG1415">
            <v>0</v>
          </cell>
          <cell r="AH1415">
            <v>0</v>
          </cell>
          <cell r="AI1415">
            <v>0</v>
          </cell>
          <cell r="AJ1415">
            <v>0</v>
          </cell>
          <cell r="AK1415">
            <v>52102</v>
          </cell>
          <cell r="AL1415">
            <v>113972</v>
          </cell>
          <cell r="AM1415">
            <v>9769</v>
          </cell>
          <cell r="AN1415">
            <v>19538</v>
          </cell>
          <cell r="AO1415">
            <v>6513</v>
          </cell>
          <cell r="AP1415">
            <v>6513</v>
          </cell>
        </row>
        <row r="1416">
          <cell r="D1416" t="str">
            <v>Sản xuất 02 xe ra đa chỉ thị mục tiêu VRS-MCX, 05 đài ra đa cảnh giới biển tầm trung cơ động VRS-MSX và gói vật tư dự phòng (Xe ra đa VRS-MCX)</v>
          </cell>
          <cell r="G1416" t="str">
            <v>SXKD</v>
          </cell>
          <cell r="I1416" t="str">
            <v>CKTĐH</v>
          </cell>
          <cell r="AC1416">
            <v>1398000</v>
          </cell>
          <cell r="AD1416">
            <v>35631490</v>
          </cell>
          <cell r="AE1416">
            <v>2779180</v>
          </cell>
          <cell r="AF1416">
            <v>2690871</v>
          </cell>
          <cell r="AG1416">
            <v>0</v>
          </cell>
          <cell r="AH1416">
            <v>0</v>
          </cell>
          <cell r="AI1416">
            <v>0</v>
          </cell>
          <cell r="AJ1416">
            <v>0</v>
          </cell>
          <cell r="AK1416">
            <v>67283</v>
          </cell>
          <cell r="AL1416">
            <v>147183</v>
          </cell>
          <cell r="AM1416">
            <v>12616</v>
          </cell>
          <cell r="AN1416">
            <v>25231</v>
          </cell>
          <cell r="AO1416">
            <v>8410</v>
          </cell>
          <cell r="AP1416">
            <v>8410</v>
          </cell>
        </row>
        <row r="1417">
          <cell r="D1417" t="str">
            <v>Sản xuất 02 xe ra đa chỉ thị mục tiêu VRS-MCX, 05 đài ra đa cảnh giới biển tầm trung cơ động VRS-MSX và gói vật tư dự phòng (Đài ra đa VRS-MSX)</v>
          </cell>
          <cell r="G1417" t="str">
            <v>SXKD</v>
          </cell>
          <cell r="I1417" t="str">
            <v>CKTĐH</v>
          </cell>
          <cell r="AC1417">
            <v>1230000</v>
          </cell>
          <cell r="AD1417">
            <v>84284243</v>
          </cell>
          <cell r="AE1417">
            <v>20969971</v>
          </cell>
          <cell r="AF1417">
            <v>20684288</v>
          </cell>
          <cell r="AG1417">
            <v>0</v>
          </cell>
          <cell r="AH1417">
            <v>0</v>
          </cell>
          <cell r="AI1417">
            <v>0</v>
          </cell>
          <cell r="AJ1417">
            <v>0</v>
          </cell>
          <cell r="AK1417">
            <v>285683</v>
          </cell>
          <cell r="AL1417">
            <v>624933</v>
          </cell>
          <cell r="AM1417">
            <v>0</v>
          </cell>
          <cell r="AN1417">
            <v>0</v>
          </cell>
          <cell r="AO1417">
            <v>0</v>
          </cell>
          <cell r="AP1417">
            <v>0</v>
          </cell>
        </row>
        <row r="1418">
          <cell r="D1418" t="str">
            <v>Sản xuất 02 xe ra đa chỉ thị mục tiêu VRS-MCX, 05 đài ra đa cảnh giới biển tầm trung cơ động VRS-MSX và gói vật tư dự phòng (Đài ra đa VRS-MSX)</v>
          </cell>
          <cell r="G1418" t="str">
            <v>SXKD</v>
          </cell>
          <cell r="I1418" t="str">
            <v>CKTĐH</v>
          </cell>
          <cell r="AC1418">
            <v>1030000</v>
          </cell>
          <cell r="AD1418">
            <v>42232547</v>
          </cell>
          <cell r="AE1418">
            <v>13500197</v>
          </cell>
          <cell r="AF1418">
            <v>13128844</v>
          </cell>
          <cell r="AG1418">
            <v>0</v>
          </cell>
          <cell r="AH1418">
            <v>0</v>
          </cell>
          <cell r="AI1418">
            <v>0</v>
          </cell>
          <cell r="AJ1418">
            <v>0</v>
          </cell>
          <cell r="AK1418">
            <v>282936</v>
          </cell>
          <cell r="AL1418">
            <v>618922</v>
          </cell>
          <cell r="AM1418">
            <v>53050</v>
          </cell>
          <cell r="AN1418">
            <v>106101</v>
          </cell>
          <cell r="AO1418">
            <v>35367</v>
          </cell>
          <cell r="AP1418">
            <v>35367</v>
          </cell>
        </row>
        <row r="1419">
          <cell r="D1419" t="str">
            <v>Sản xuất 02 xe ra đa chỉ thị mục tiêu VRS-MCX, 05 đài ra đa cảnh giới biển tầm trung cơ động VRS-MSX và gói vật tư dự phòng (Đài ra đa VRS-MSX)</v>
          </cell>
          <cell r="G1419" t="str">
            <v>SXKD</v>
          </cell>
          <cell r="I1419" t="str">
            <v>CKTĐH</v>
          </cell>
          <cell r="AC1419">
            <v>930000</v>
          </cell>
          <cell r="AD1419">
            <v>16676236</v>
          </cell>
          <cell r="AE1419">
            <v>4864758</v>
          </cell>
          <cell r="AF1419">
            <v>4591225</v>
          </cell>
          <cell r="AG1419">
            <v>0</v>
          </cell>
          <cell r="AH1419">
            <v>0</v>
          </cell>
          <cell r="AI1419">
            <v>0</v>
          </cell>
          <cell r="AJ1419">
            <v>0</v>
          </cell>
          <cell r="AK1419">
            <v>208406</v>
          </cell>
          <cell r="AL1419">
            <v>455889</v>
          </cell>
          <cell r="AM1419">
            <v>39076</v>
          </cell>
          <cell r="AN1419">
            <v>78152</v>
          </cell>
          <cell r="AO1419">
            <v>26051</v>
          </cell>
          <cell r="AP1419">
            <v>26051</v>
          </cell>
        </row>
        <row r="1420">
          <cell r="D1420" t="str">
            <v>Sản xuất 02 xe ra đa chỉ thị mục tiêu VRS-MCX, 05 đài ra đa cảnh giới biển tầm trung cơ động VRS-MSX và gói vật tư dự phòng (Đài ra đa VRS-MSX)</v>
          </cell>
          <cell r="G1420" t="str">
            <v>SXKD</v>
          </cell>
          <cell r="I1420" t="str">
            <v>CKTĐH</v>
          </cell>
          <cell r="AC1420">
            <v>930000</v>
          </cell>
          <cell r="AD1420">
            <v>24141396</v>
          </cell>
          <cell r="AE1420">
            <v>8279977</v>
          </cell>
          <cell r="AF1420">
            <v>7921305</v>
          </cell>
          <cell r="AG1420">
            <v>0</v>
          </cell>
          <cell r="AH1420">
            <v>0</v>
          </cell>
          <cell r="AI1420">
            <v>0</v>
          </cell>
          <cell r="AJ1420">
            <v>0</v>
          </cell>
          <cell r="AK1420">
            <v>273274</v>
          </cell>
          <cell r="AL1420">
            <v>597788</v>
          </cell>
          <cell r="AM1420">
            <v>51239</v>
          </cell>
          <cell r="AN1420">
            <v>102478</v>
          </cell>
          <cell r="AO1420">
            <v>34159</v>
          </cell>
          <cell r="AP1420">
            <v>34159</v>
          </cell>
        </row>
        <row r="1421">
          <cell r="D1421" t="str">
            <v>Sản xuất 02 xe ra đa chỉ thị mục tiêu VRS-MCX, 05 đài ra đa cảnh giới biển tầm trung cơ động VRS-MSX và gói vật tư dự phòng (Đài ra đa VRS-MSX)</v>
          </cell>
          <cell r="G1421" t="str">
            <v>SXKD</v>
          </cell>
          <cell r="I1421" t="str">
            <v>CKTĐH</v>
          </cell>
          <cell r="AC1421">
            <v>930000</v>
          </cell>
          <cell r="AD1421">
            <v>18480024</v>
          </cell>
          <cell r="AE1421">
            <v>5459729</v>
          </cell>
          <cell r="AF1421">
            <v>5171704</v>
          </cell>
          <cell r="AG1421">
            <v>0</v>
          </cell>
          <cell r="AH1421">
            <v>0</v>
          </cell>
          <cell r="AI1421">
            <v>0</v>
          </cell>
          <cell r="AJ1421">
            <v>0</v>
          </cell>
          <cell r="AK1421">
            <v>219448</v>
          </cell>
          <cell r="AL1421">
            <v>480042</v>
          </cell>
          <cell r="AM1421">
            <v>41146</v>
          </cell>
          <cell r="AN1421">
            <v>82293</v>
          </cell>
          <cell r="AO1421">
            <v>27431</v>
          </cell>
          <cell r="AP1421">
            <v>27431</v>
          </cell>
        </row>
        <row r="1422">
          <cell r="D1422" t="str">
            <v>Sản xuất 02 xe ra đa chỉ thị mục tiêu VRS-MCX, 05 đài ra đa cảnh giới biển tầm trung cơ động VRS-MSX và gói vật tư dự phòng (Đài ra đa VRS-MSX)</v>
          </cell>
          <cell r="G1422" t="str">
            <v>SXKD</v>
          </cell>
          <cell r="I1422" t="str">
            <v>CKTĐH</v>
          </cell>
          <cell r="AC1422">
            <v>930000</v>
          </cell>
          <cell r="AD1422">
            <v>19275656</v>
          </cell>
          <cell r="AE1422">
            <v>5768904</v>
          </cell>
          <cell r="AF1422">
            <v>5495371</v>
          </cell>
          <cell r="AG1422">
            <v>0</v>
          </cell>
          <cell r="AH1422">
            <v>0</v>
          </cell>
          <cell r="AI1422">
            <v>0</v>
          </cell>
          <cell r="AJ1422">
            <v>0</v>
          </cell>
          <cell r="AK1422">
            <v>208406</v>
          </cell>
          <cell r="AL1422">
            <v>455889</v>
          </cell>
          <cell r="AM1422">
            <v>39076</v>
          </cell>
          <cell r="AN1422">
            <v>78152</v>
          </cell>
          <cell r="AO1422">
            <v>26051</v>
          </cell>
          <cell r="AP1422">
            <v>26051</v>
          </cell>
        </row>
        <row r="1423">
          <cell r="D1423" t="str">
            <v>Sản xuất 02 xe ra đa chỉ thị mục tiêu VRS-MCX, 05 đài ra đa cảnh giới biển tầm trung cơ động VRS-MSX và gói vật tư dự phòng (Đài ra đa VRS-MSX)</v>
          </cell>
          <cell r="G1423" t="str">
            <v>SXKD</v>
          </cell>
          <cell r="I1423" t="str">
            <v>CKTĐH</v>
          </cell>
          <cell r="AC1423">
            <v>1398000</v>
          </cell>
          <cell r="AD1423">
            <v>35631490</v>
          </cell>
          <cell r="AE1423">
            <v>11116720</v>
          </cell>
          <cell r="AF1423">
            <v>10763481</v>
          </cell>
          <cell r="AG1423">
            <v>0</v>
          </cell>
          <cell r="AH1423">
            <v>0</v>
          </cell>
          <cell r="AI1423">
            <v>0</v>
          </cell>
          <cell r="AJ1423">
            <v>0</v>
          </cell>
          <cell r="AK1423">
            <v>269134</v>
          </cell>
          <cell r="AL1423">
            <v>588730</v>
          </cell>
          <cell r="AM1423">
            <v>50463</v>
          </cell>
          <cell r="AN1423">
            <v>100925</v>
          </cell>
          <cell r="AO1423">
            <v>33642</v>
          </cell>
          <cell r="AP1423">
            <v>33642</v>
          </cell>
        </row>
        <row r="1424">
          <cell r="D1424" t="str">
            <v>Nghiên cứu, xây dựng nền tảng cho UAV hạng nhẹ</v>
          </cell>
          <cell r="G1424" t="str">
            <v>KHCN</v>
          </cell>
          <cell r="I1424" t="str">
            <v>CKTĐH</v>
          </cell>
          <cell r="AC1424">
            <v>930000</v>
          </cell>
          <cell r="AD1424">
            <v>22141396</v>
          </cell>
          <cell r="AE1424">
            <v>4165204</v>
          </cell>
          <cell r="AF1424">
            <v>3965942</v>
          </cell>
          <cell r="AG1424">
            <v>0</v>
          </cell>
          <cell r="AH1424">
            <v>0</v>
          </cell>
          <cell r="AI1424">
            <v>0</v>
          </cell>
          <cell r="AJ1424">
            <v>0</v>
          </cell>
          <cell r="AK1424">
            <v>151819</v>
          </cell>
          <cell r="AL1424">
            <v>332104</v>
          </cell>
          <cell r="AM1424">
            <v>28466</v>
          </cell>
          <cell r="AN1424">
            <v>56932</v>
          </cell>
          <cell r="AO1424">
            <v>18977</v>
          </cell>
          <cell r="AP1424">
            <v>18977</v>
          </cell>
        </row>
        <row r="1425">
          <cell r="D1425" t="str">
            <v>Cung cấp 55 xe chỉ huy tham mưu đa năng năm 2024</v>
          </cell>
          <cell r="G1425" t="str">
            <v>SXKD</v>
          </cell>
          <cell r="I1425" t="str">
            <v>CKTĐH</v>
          </cell>
          <cell r="AC1425">
            <v>1030000</v>
          </cell>
          <cell r="AD1425">
            <v>36530615</v>
          </cell>
          <cell r="AE1425">
            <v>33111135</v>
          </cell>
          <cell r="AF1425">
            <v>32043495</v>
          </cell>
          <cell r="AG1425">
            <v>0</v>
          </cell>
          <cell r="AH1425">
            <v>0</v>
          </cell>
          <cell r="AI1425">
            <v>0</v>
          </cell>
          <cell r="AJ1425">
            <v>0</v>
          </cell>
          <cell r="AK1425">
            <v>813440</v>
          </cell>
          <cell r="AL1425">
            <v>1779400</v>
          </cell>
          <cell r="AM1425">
            <v>152520</v>
          </cell>
          <cell r="AN1425">
            <v>305040</v>
          </cell>
          <cell r="AO1425">
            <v>101680</v>
          </cell>
          <cell r="AP1425">
            <v>101680</v>
          </cell>
        </row>
        <row r="1426">
          <cell r="D1426" t="str">
            <v>Cung cấp 55 xe chỉ huy tham mưu đa năng năm 2024</v>
          </cell>
          <cell r="G1426" t="str">
            <v>SXKD</v>
          </cell>
          <cell r="I1426" t="str">
            <v>CKTĐH</v>
          </cell>
          <cell r="AC1426">
            <v>930000</v>
          </cell>
          <cell r="AD1426">
            <v>18646004</v>
          </cell>
          <cell r="AE1426">
            <v>15173017</v>
          </cell>
          <cell r="AF1426">
            <v>14380948</v>
          </cell>
          <cell r="AG1426">
            <v>0</v>
          </cell>
          <cell r="AH1426">
            <v>0</v>
          </cell>
          <cell r="AI1426">
            <v>0</v>
          </cell>
          <cell r="AJ1426">
            <v>0</v>
          </cell>
          <cell r="AK1426">
            <v>603481</v>
          </cell>
          <cell r="AL1426">
            <v>1320115</v>
          </cell>
          <cell r="AM1426">
            <v>113153</v>
          </cell>
          <cell r="AN1426">
            <v>226305</v>
          </cell>
          <cell r="AO1426">
            <v>75435</v>
          </cell>
          <cell r="AP1426">
            <v>75435</v>
          </cell>
        </row>
        <row r="1427">
          <cell r="D1427" t="str">
            <v>Nghiên cứu nền tảng tự động hóa chỉ huy cấp chiến thuật VTC2-BMS</v>
          </cell>
          <cell r="G1427" t="str">
            <v>KHCN</v>
          </cell>
          <cell r="I1427" t="str">
            <v>ĐBCL</v>
          </cell>
          <cell r="AC1427">
            <v>1247000</v>
          </cell>
          <cell r="AD1427">
            <v>49596890</v>
          </cell>
          <cell r="AE1427">
            <v>5961388</v>
          </cell>
          <cell r="AF1427">
            <v>5807186</v>
          </cell>
          <cell r="AG1427">
            <v>0</v>
          </cell>
          <cell r="AH1427">
            <v>0</v>
          </cell>
          <cell r="AI1427">
            <v>0</v>
          </cell>
          <cell r="AJ1427">
            <v>0</v>
          </cell>
          <cell r="AK1427">
            <v>117487</v>
          </cell>
          <cell r="AL1427">
            <v>257003</v>
          </cell>
          <cell r="AM1427">
            <v>22029</v>
          </cell>
          <cell r="AN1427">
            <v>44058</v>
          </cell>
          <cell r="AO1427">
            <v>14686</v>
          </cell>
          <cell r="AP1427">
            <v>14686</v>
          </cell>
        </row>
        <row r="1428">
          <cell r="D1428" t="str">
            <v>Nghiên cứu nền tảng tự động hóa chỉ huy cấp chiến thuật VTC2-BMS</v>
          </cell>
          <cell r="G1428" t="str">
            <v>KHCN</v>
          </cell>
          <cell r="I1428" t="str">
            <v>ĐBCL</v>
          </cell>
          <cell r="AC1428">
            <v>1047000</v>
          </cell>
          <cell r="AD1428">
            <v>28635964</v>
          </cell>
          <cell r="AE1428">
            <v>9906278</v>
          </cell>
          <cell r="AF1428">
            <v>9508885</v>
          </cell>
          <cell r="AG1428">
            <v>0</v>
          </cell>
          <cell r="AH1428">
            <v>0</v>
          </cell>
          <cell r="AI1428">
            <v>0</v>
          </cell>
          <cell r="AJ1428">
            <v>0</v>
          </cell>
          <cell r="AK1428">
            <v>302776</v>
          </cell>
          <cell r="AL1428">
            <v>662322</v>
          </cell>
          <cell r="AM1428">
            <v>56770</v>
          </cell>
          <cell r="AN1428">
            <v>113541</v>
          </cell>
          <cell r="AO1428">
            <v>37847</v>
          </cell>
          <cell r="AP1428">
            <v>37847</v>
          </cell>
        </row>
        <row r="1429">
          <cell r="D1429" t="str">
            <v>Nghiên cứu nền tảng tự động hóa chỉ huy cấp chiến thuật VTC2-BMS</v>
          </cell>
          <cell r="G1429" t="str">
            <v>KHCN</v>
          </cell>
          <cell r="I1429" t="str">
            <v>ĐBCL</v>
          </cell>
          <cell r="AC1429">
            <v>1047000</v>
          </cell>
          <cell r="AD1429">
            <v>15102220</v>
          </cell>
          <cell r="AE1429">
            <v>4847639</v>
          </cell>
          <cell r="AF1429">
            <v>4556218</v>
          </cell>
          <cell r="AG1429">
            <v>0</v>
          </cell>
          <cell r="AH1429">
            <v>0</v>
          </cell>
          <cell r="AI1429">
            <v>0</v>
          </cell>
          <cell r="AJ1429">
            <v>0</v>
          </cell>
          <cell r="AK1429">
            <v>222035</v>
          </cell>
          <cell r="AL1429">
            <v>485703</v>
          </cell>
          <cell r="AM1429">
            <v>41632</v>
          </cell>
          <cell r="AN1429">
            <v>83263</v>
          </cell>
          <cell r="AO1429">
            <v>27754</v>
          </cell>
          <cell r="AP1429">
            <v>27754</v>
          </cell>
        </row>
        <row r="1430">
          <cell r="D1430" t="str">
            <v>Nghiên cứu, thiết kế nền tảng mô phỏng tàu chiến và chế tạo hệ thống mô phỏng huấn luyện tàu chiến 12418</v>
          </cell>
          <cell r="G1430" t="str">
            <v>KHCN</v>
          </cell>
          <cell r="I1430" t="str">
            <v>ĐBCL</v>
          </cell>
          <cell r="AC1430">
            <v>1047000</v>
          </cell>
          <cell r="AD1430">
            <v>23195590</v>
          </cell>
          <cell r="AE1430">
            <v>13980615</v>
          </cell>
          <cell r="AF1430">
            <v>13342975</v>
          </cell>
          <cell r="AG1430">
            <v>0</v>
          </cell>
          <cell r="AH1430">
            <v>0</v>
          </cell>
          <cell r="AI1430">
            <v>0</v>
          </cell>
          <cell r="AJ1430">
            <v>0</v>
          </cell>
          <cell r="AK1430">
            <v>485821</v>
          </cell>
          <cell r="AL1430">
            <v>1062734</v>
          </cell>
          <cell r="AM1430">
            <v>91091</v>
          </cell>
          <cell r="AN1430">
            <v>182183</v>
          </cell>
          <cell r="AO1430">
            <v>60728</v>
          </cell>
          <cell r="AP1430">
            <v>60728</v>
          </cell>
        </row>
        <row r="1431">
          <cell r="D1431" t="str">
            <v>Nghiên cứu, thiết kế nền tảng mô phỏng tàu chiến và chế tạo hệ thống mô phỏng huấn luyện tàu chiến 12418</v>
          </cell>
          <cell r="G1431" t="str">
            <v>KHCN</v>
          </cell>
          <cell r="I1431" t="str">
            <v>ĐBCL</v>
          </cell>
          <cell r="AC1431">
            <v>1247000</v>
          </cell>
          <cell r="AD1431">
            <v>49596890</v>
          </cell>
          <cell r="AE1431">
            <v>17884165</v>
          </cell>
          <cell r="AF1431">
            <v>17421558</v>
          </cell>
          <cell r="AG1431">
            <v>0</v>
          </cell>
          <cell r="AH1431">
            <v>0</v>
          </cell>
          <cell r="AI1431">
            <v>0</v>
          </cell>
          <cell r="AJ1431">
            <v>0</v>
          </cell>
          <cell r="AK1431">
            <v>352462</v>
          </cell>
          <cell r="AL1431">
            <v>771010</v>
          </cell>
          <cell r="AM1431">
            <v>66087</v>
          </cell>
          <cell r="AN1431">
            <v>132173</v>
          </cell>
          <cell r="AO1431">
            <v>44058</v>
          </cell>
          <cell r="AP1431">
            <v>44058</v>
          </cell>
        </row>
        <row r="1432">
          <cell r="D1432" t="str">
            <v>Nghiên cứu, thiết kế nền tảng mô phỏng tàu chiến và chế tạo hệ thống mô phỏng huấn luyện tàu chiến 12418</v>
          </cell>
          <cell r="G1432" t="str">
            <v>KHCN</v>
          </cell>
          <cell r="I1432" t="str">
            <v>ĐBCL</v>
          </cell>
          <cell r="AC1432">
            <v>1047000</v>
          </cell>
          <cell r="AD1432">
            <v>13637636</v>
          </cell>
          <cell r="AE1432">
            <v>4784965</v>
          </cell>
          <cell r="AF1432">
            <v>4477013</v>
          </cell>
          <cell r="AG1432">
            <v>0</v>
          </cell>
          <cell r="AH1432">
            <v>0</v>
          </cell>
          <cell r="AI1432">
            <v>0</v>
          </cell>
          <cell r="AJ1432">
            <v>0</v>
          </cell>
          <cell r="AK1432">
            <v>234630</v>
          </cell>
          <cell r="AL1432">
            <v>513252</v>
          </cell>
          <cell r="AM1432">
            <v>43993</v>
          </cell>
          <cell r="AN1432">
            <v>87986</v>
          </cell>
          <cell r="AO1432">
            <v>29329</v>
          </cell>
          <cell r="AP1432">
            <v>29329</v>
          </cell>
        </row>
        <row r="1433">
          <cell r="D1433" t="str">
            <v>Nghiên cứu, thiết kế nền tảng mô phỏng tàu chiến và chế tạo hệ thống mô phỏng huấn luyện tàu chiến 12418</v>
          </cell>
          <cell r="G1433" t="str">
            <v>KHCN</v>
          </cell>
          <cell r="I1433" t="str">
            <v>ĐBCL</v>
          </cell>
          <cell r="AC1433">
            <v>1047000</v>
          </cell>
          <cell r="AD1433">
            <v>17047160</v>
          </cell>
          <cell r="AE1433">
            <v>3095675</v>
          </cell>
          <cell r="AF1433">
            <v>2924716</v>
          </cell>
          <cell r="AG1433">
            <v>0</v>
          </cell>
          <cell r="AH1433">
            <v>0</v>
          </cell>
          <cell r="AI1433">
            <v>0</v>
          </cell>
          <cell r="AJ1433">
            <v>0</v>
          </cell>
          <cell r="AK1433">
            <v>130254</v>
          </cell>
          <cell r="AL1433">
            <v>284930</v>
          </cell>
          <cell r="AM1433">
            <v>24423</v>
          </cell>
          <cell r="AN1433">
            <v>48845</v>
          </cell>
          <cell r="AO1433">
            <v>16282</v>
          </cell>
          <cell r="AP1433">
            <v>16282</v>
          </cell>
        </row>
        <row r="1434">
          <cell r="D1434" t="str">
            <v>Sản xuất 05 hệ thống trinh sát điện tử thông minh V-ELINT18 năm 2021 (Hệ thống trinh sát điện tử thông minh V-ELINT18)</v>
          </cell>
          <cell r="G1434" t="str">
            <v>Bán hàng</v>
          </cell>
          <cell r="I1434" t="str">
            <v>ĐBCL</v>
          </cell>
          <cell r="AC1434">
            <v>930000</v>
          </cell>
          <cell r="AD1434">
            <v>24816840</v>
          </cell>
          <cell r="AE1434">
            <v>3779214</v>
          </cell>
          <cell r="AF1434">
            <v>3611653</v>
          </cell>
          <cell r="AG1434">
            <v>0</v>
          </cell>
          <cell r="AH1434">
            <v>0</v>
          </cell>
          <cell r="AI1434">
            <v>0</v>
          </cell>
          <cell r="AJ1434">
            <v>0</v>
          </cell>
          <cell r="AK1434">
            <v>127666</v>
          </cell>
          <cell r="AL1434">
            <v>279270</v>
          </cell>
          <cell r="AM1434">
            <v>23937</v>
          </cell>
          <cell r="AN1434">
            <v>47875</v>
          </cell>
          <cell r="AO1434">
            <v>15958</v>
          </cell>
          <cell r="AP1434">
            <v>15958</v>
          </cell>
        </row>
        <row r="1435">
          <cell r="D1435" t="str">
            <v>Sản xuất 05 hệ thống trinh sát điện tử thông minh V-ELINT18 năm 2021 (Hệ thống trinh sát điện tử thông minh V-ELINT18)</v>
          </cell>
          <cell r="G1435" t="str">
            <v>Bán hàng</v>
          </cell>
          <cell r="I1435" t="str">
            <v>ĐBCL</v>
          </cell>
          <cell r="AC1435">
            <v>930000</v>
          </cell>
          <cell r="AD1435">
            <v>27408299</v>
          </cell>
          <cell r="AE1435">
            <v>6314447</v>
          </cell>
          <cell r="AF1435">
            <v>6049519</v>
          </cell>
          <cell r="AG1435">
            <v>0</v>
          </cell>
          <cell r="AH1435">
            <v>0</v>
          </cell>
          <cell r="AI1435">
            <v>0</v>
          </cell>
          <cell r="AJ1435">
            <v>0</v>
          </cell>
          <cell r="AK1435">
            <v>201850</v>
          </cell>
          <cell r="AL1435">
            <v>441548</v>
          </cell>
          <cell r="AM1435">
            <v>37847</v>
          </cell>
          <cell r="AN1435">
            <v>75694</v>
          </cell>
          <cell r="AO1435">
            <v>25231</v>
          </cell>
          <cell r="AP1435">
            <v>25231</v>
          </cell>
        </row>
        <row r="1436">
          <cell r="D1436" t="str">
            <v>Sản xuất 05 hệ thống trinh sát điện tử thông minh V-ELINT18 năm 2021 (Hệ thống trinh sát điện tử thông minh V-ELINT18)</v>
          </cell>
          <cell r="G1436" t="str">
            <v>Bán hàng</v>
          </cell>
          <cell r="I1436" t="str">
            <v>ĐBCL</v>
          </cell>
          <cell r="AC1436">
            <v>930000</v>
          </cell>
          <cell r="AD1436">
            <v>18316624</v>
          </cell>
          <cell r="AE1436">
            <v>5402894</v>
          </cell>
          <cell r="AF1436">
            <v>5114869</v>
          </cell>
          <cell r="AG1436">
            <v>0</v>
          </cell>
          <cell r="AH1436">
            <v>0</v>
          </cell>
          <cell r="AI1436">
            <v>0</v>
          </cell>
          <cell r="AJ1436">
            <v>0</v>
          </cell>
          <cell r="AK1436">
            <v>219448</v>
          </cell>
          <cell r="AL1436">
            <v>480042</v>
          </cell>
          <cell r="AM1436">
            <v>41146</v>
          </cell>
          <cell r="AN1436">
            <v>82293</v>
          </cell>
          <cell r="AO1436">
            <v>27431</v>
          </cell>
          <cell r="AP1436">
            <v>27431</v>
          </cell>
        </row>
        <row r="1437">
          <cell r="D1437" t="str">
            <v>Sản xuất 05 hệ thống trinh sát điện tử thông minh V-ELINT18 năm 2021 (Hệ thống trinh sát điện tử thông minh V-ELINT18)</v>
          </cell>
          <cell r="G1437" t="str">
            <v>Bán hàng</v>
          </cell>
          <cell r="I1437" t="str">
            <v>ĐBCL</v>
          </cell>
          <cell r="AC1437">
            <v>1030000</v>
          </cell>
          <cell r="AD1437">
            <v>29601668</v>
          </cell>
          <cell r="AE1437">
            <v>9147391</v>
          </cell>
          <cell r="AF1437">
            <v>8794152</v>
          </cell>
          <cell r="AG1437">
            <v>0</v>
          </cell>
          <cell r="AH1437">
            <v>0</v>
          </cell>
          <cell r="AI1437">
            <v>0</v>
          </cell>
          <cell r="AJ1437">
            <v>0</v>
          </cell>
          <cell r="AK1437">
            <v>269134</v>
          </cell>
          <cell r="AL1437">
            <v>588730</v>
          </cell>
          <cell r="AM1437">
            <v>50463</v>
          </cell>
          <cell r="AN1437">
            <v>100925</v>
          </cell>
          <cell r="AO1437">
            <v>33642</v>
          </cell>
          <cell r="AP1437">
            <v>33642</v>
          </cell>
        </row>
        <row r="1438">
          <cell r="D1438" t="str">
            <v>Sản xuất 05 hệ thống trinh sát điện tử thông minh V-ELINT18 năm 2021 (Hệ thống trinh sát điện tử thông minh V-ELINT18)</v>
          </cell>
          <cell r="G1438" t="str">
            <v>Bán hàng</v>
          </cell>
          <cell r="I1438" t="str">
            <v>ĐBCL</v>
          </cell>
          <cell r="AC1438">
            <v>1247000</v>
          </cell>
          <cell r="AD1438">
            <v>49596890</v>
          </cell>
          <cell r="AE1438">
            <v>7948518</v>
          </cell>
          <cell r="AF1438">
            <v>7742915</v>
          </cell>
          <cell r="AG1438">
            <v>0</v>
          </cell>
          <cell r="AH1438">
            <v>0</v>
          </cell>
          <cell r="AI1438">
            <v>0</v>
          </cell>
          <cell r="AJ1438">
            <v>0</v>
          </cell>
          <cell r="AK1438">
            <v>156650</v>
          </cell>
          <cell r="AL1438">
            <v>342671</v>
          </cell>
          <cell r="AM1438">
            <v>29372</v>
          </cell>
          <cell r="AN1438">
            <v>58744</v>
          </cell>
          <cell r="AO1438">
            <v>19581</v>
          </cell>
          <cell r="AP1438">
            <v>19581</v>
          </cell>
        </row>
        <row r="1439">
          <cell r="D1439" t="str">
            <v>Sản xuất 05 hệ thống trinh sát điện tử thông minh V-ELINT18 năm 2021 (Hệ thống trinh sát điện tử thông minh V-ELINT18)</v>
          </cell>
          <cell r="G1439" t="str">
            <v>Bán hàng</v>
          </cell>
          <cell r="I1439" t="str">
            <v>ĐBCL</v>
          </cell>
          <cell r="AC1439">
            <v>1047000</v>
          </cell>
          <cell r="AD1439">
            <v>22058016</v>
          </cell>
          <cell r="AE1439">
            <v>18959560</v>
          </cell>
          <cell r="AF1439">
            <v>18042952</v>
          </cell>
          <cell r="AG1439">
            <v>0</v>
          </cell>
          <cell r="AH1439">
            <v>0</v>
          </cell>
          <cell r="AI1439">
            <v>0</v>
          </cell>
          <cell r="AJ1439">
            <v>0</v>
          </cell>
          <cell r="AK1439">
            <v>698368</v>
          </cell>
          <cell r="AL1439">
            <v>1527680</v>
          </cell>
          <cell r="AM1439">
            <v>130944</v>
          </cell>
          <cell r="AN1439">
            <v>261888</v>
          </cell>
          <cell r="AO1439">
            <v>87296</v>
          </cell>
          <cell r="AP1439">
            <v>87296</v>
          </cell>
        </row>
        <row r="1440">
          <cell r="D1440" t="str">
            <v xml:space="preserve">Sản xuất, triển khai hệ thống tự động hóa chỉ huy cho Quân chủng hải quân giai đoạn II </v>
          </cell>
          <cell r="G1440" t="str">
            <v>Bảo hành</v>
          </cell>
          <cell r="I1440" t="str">
            <v>ĐBCL</v>
          </cell>
          <cell r="AC1440">
            <v>1730000</v>
          </cell>
          <cell r="AD1440">
            <v>77166854</v>
          </cell>
          <cell r="AE1440">
            <v>3180057</v>
          </cell>
          <cell r="AF1440">
            <v>3137916</v>
          </cell>
          <cell r="AG1440">
            <v>0</v>
          </cell>
          <cell r="AH1440">
            <v>0</v>
          </cell>
          <cell r="AI1440">
            <v>0</v>
          </cell>
          <cell r="AJ1440">
            <v>0</v>
          </cell>
          <cell r="AK1440">
            <v>35487</v>
          </cell>
          <cell r="AL1440">
            <v>77627</v>
          </cell>
          <cell r="AM1440">
            <v>6654</v>
          </cell>
          <cell r="AN1440">
            <v>13307</v>
          </cell>
          <cell r="AO1440">
            <v>0</v>
          </cell>
          <cell r="AP1440">
            <v>0</v>
          </cell>
        </row>
        <row r="1441">
          <cell r="D1441" t="str">
            <v xml:space="preserve">Sản xuất, triển khai hệ thống tự động hóa chỉ huy cho Quân chủng hải quân giai đoạn II </v>
          </cell>
          <cell r="G1441" t="str">
            <v>Bảo hành</v>
          </cell>
          <cell r="I1441" t="str">
            <v>ĐBCL</v>
          </cell>
          <cell r="AC1441">
            <v>1047000</v>
          </cell>
          <cell r="AD1441">
            <v>28635964</v>
          </cell>
          <cell r="AE1441">
            <v>15409766</v>
          </cell>
          <cell r="AF1441">
            <v>14791599</v>
          </cell>
          <cell r="AG1441">
            <v>0</v>
          </cell>
          <cell r="AH1441">
            <v>0</v>
          </cell>
          <cell r="AI1441">
            <v>0</v>
          </cell>
          <cell r="AJ1441">
            <v>0</v>
          </cell>
          <cell r="AK1441">
            <v>470984</v>
          </cell>
          <cell r="AL1441">
            <v>1030278</v>
          </cell>
          <cell r="AM1441">
            <v>88310</v>
          </cell>
          <cell r="AN1441">
            <v>176619</v>
          </cell>
          <cell r="AO1441">
            <v>58873</v>
          </cell>
          <cell r="AP1441">
            <v>58873</v>
          </cell>
        </row>
        <row r="1442">
          <cell r="D1442" t="str">
            <v xml:space="preserve">Sản xuất, triển khai hệ thống tự động hóa chỉ huy cho Quân chủng hải quân giai đoạn II </v>
          </cell>
          <cell r="G1442" t="str">
            <v>Bảo hành</v>
          </cell>
          <cell r="I1442" t="str">
            <v>ĐBCL</v>
          </cell>
          <cell r="AC1442">
            <v>1047000</v>
          </cell>
          <cell r="AD1442">
            <v>15102220</v>
          </cell>
          <cell r="AE1442">
            <v>7540773</v>
          </cell>
          <cell r="AF1442">
            <v>7087450</v>
          </cell>
          <cell r="AG1442">
            <v>0</v>
          </cell>
          <cell r="AH1442">
            <v>0</v>
          </cell>
          <cell r="AI1442">
            <v>0</v>
          </cell>
          <cell r="AJ1442">
            <v>0</v>
          </cell>
          <cell r="AK1442">
            <v>345389</v>
          </cell>
          <cell r="AL1442">
            <v>755537</v>
          </cell>
          <cell r="AM1442">
            <v>64760</v>
          </cell>
          <cell r="AN1442">
            <v>129521</v>
          </cell>
          <cell r="AO1442">
            <v>43174</v>
          </cell>
          <cell r="AP1442">
            <v>43174</v>
          </cell>
        </row>
        <row r="1443">
          <cell r="D1443" t="str">
            <v>Cung cấp 500 bộ Kính ngắm ảnh nhiệt VEE-W01 cho Bộ Quốc phòng</v>
          </cell>
          <cell r="G1443" t="str">
            <v>SXKD</v>
          </cell>
          <cell r="I1443" t="str">
            <v>ĐBCL</v>
          </cell>
          <cell r="AC1443">
            <v>1730000</v>
          </cell>
          <cell r="AD1443">
            <v>77166854</v>
          </cell>
          <cell r="AE1443">
            <v>9540171</v>
          </cell>
          <cell r="AF1443">
            <v>9413750</v>
          </cell>
          <cell r="AG1443">
            <v>0</v>
          </cell>
          <cell r="AH1443">
            <v>0</v>
          </cell>
          <cell r="AI1443">
            <v>0</v>
          </cell>
          <cell r="AJ1443">
            <v>0</v>
          </cell>
          <cell r="AK1443">
            <v>106460</v>
          </cell>
          <cell r="AL1443">
            <v>232881</v>
          </cell>
          <cell r="AM1443">
            <v>19961</v>
          </cell>
          <cell r="AN1443">
            <v>39922</v>
          </cell>
          <cell r="AO1443">
            <v>0</v>
          </cell>
          <cell r="AP1443">
            <v>0</v>
          </cell>
        </row>
        <row r="1444">
          <cell r="D1444" t="str">
            <v>Cung cấp 500 bộ Kính ngắm ảnh nhiệt VEE-W01 cho Bộ Quốc phòng</v>
          </cell>
          <cell r="G1444" t="str">
            <v>SXKD</v>
          </cell>
          <cell r="I1444" t="str">
            <v>ĐBCL</v>
          </cell>
          <cell r="AC1444">
            <v>930000</v>
          </cell>
          <cell r="AD1444">
            <v>21248732</v>
          </cell>
          <cell r="AE1444">
            <v>9585485</v>
          </cell>
          <cell r="AF1444">
            <v>9131709</v>
          </cell>
          <cell r="AG1444">
            <v>0</v>
          </cell>
          <cell r="AH1444">
            <v>0</v>
          </cell>
          <cell r="AI1444">
            <v>0</v>
          </cell>
          <cell r="AJ1444">
            <v>0</v>
          </cell>
          <cell r="AK1444">
            <v>345734</v>
          </cell>
          <cell r="AL1444">
            <v>756292</v>
          </cell>
          <cell r="AM1444">
            <v>64825</v>
          </cell>
          <cell r="AN1444">
            <v>129650</v>
          </cell>
          <cell r="AO1444">
            <v>43217</v>
          </cell>
          <cell r="AP1444">
            <v>43217</v>
          </cell>
        </row>
        <row r="1445">
          <cell r="D1445" t="str">
            <v>Cung cấp 500 bộ Kính ngắm ảnh nhiệt VEE-W01 cho Bộ Quốc phòng</v>
          </cell>
          <cell r="G1445" t="str">
            <v>SXKD</v>
          </cell>
          <cell r="I1445" t="str">
            <v>ĐBCL</v>
          </cell>
          <cell r="AC1445">
            <v>1047000</v>
          </cell>
          <cell r="AD1445">
            <v>20692300</v>
          </cell>
          <cell r="AE1445">
            <v>17698748</v>
          </cell>
          <cell r="AF1445">
            <v>16829012</v>
          </cell>
          <cell r="AG1445">
            <v>0</v>
          </cell>
          <cell r="AH1445">
            <v>0</v>
          </cell>
          <cell r="AI1445">
            <v>0</v>
          </cell>
          <cell r="AJ1445">
            <v>0</v>
          </cell>
          <cell r="AK1445">
            <v>662656</v>
          </cell>
          <cell r="AL1445">
            <v>1449560</v>
          </cell>
          <cell r="AM1445">
            <v>124248</v>
          </cell>
          <cell r="AN1445">
            <v>248496</v>
          </cell>
          <cell r="AO1445">
            <v>82832</v>
          </cell>
          <cell r="AP1445">
            <v>82832</v>
          </cell>
        </row>
        <row r="1446">
          <cell r="D1446" t="str">
            <v>Cung cấp 500 bộ Kính ngắm ảnh nhiệt VEE-W01 cho Bộ Quốc phòng</v>
          </cell>
          <cell r="G1446" t="str">
            <v>SXKD</v>
          </cell>
          <cell r="I1446" t="str">
            <v>ĐBCL</v>
          </cell>
          <cell r="AC1446">
            <v>930000</v>
          </cell>
          <cell r="AD1446">
            <v>30163490</v>
          </cell>
          <cell r="AE1446">
            <v>17582980</v>
          </cell>
          <cell r="AF1446">
            <v>16920659</v>
          </cell>
          <cell r="AG1446">
            <v>0</v>
          </cell>
          <cell r="AH1446">
            <v>0</v>
          </cell>
          <cell r="AI1446">
            <v>0</v>
          </cell>
          <cell r="AJ1446">
            <v>0</v>
          </cell>
          <cell r="AK1446">
            <v>504626</v>
          </cell>
          <cell r="AL1446">
            <v>1103870</v>
          </cell>
          <cell r="AM1446">
            <v>94617</v>
          </cell>
          <cell r="AN1446">
            <v>189235</v>
          </cell>
          <cell r="AO1446">
            <v>63078</v>
          </cell>
          <cell r="AP1446">
            <v>63078</v>
          </cell>
        </row>
        <row r="1447">
          <cell r="D1447" t="str">
            <v>Sản xuất 2000 hệ thống thông tin (bao gồm máy VRU812/S 50W và VIS) kèm vật tư dự phòng và Lắp đặt trên xe tăng thiết giáp, xe đặc chủng năm 2024 (Máy thông tin vô tuyến điện VRU812/S – 50W)</v>
          </cell>
          <cell r="G1447" t="str">
            <v>SXKD</v>
          </cell>
          <cell r="I1447" t="str">
            <v>ĐBCL</v>
          </cell>
          <cell r="AC1447">
            <v>1730000</v>
          </cell>
          <cell r="AD1447">
            <v>77166854</v>
          </cell>
          <cell r="AE1447">
            <v>12720229</v>
          </cell>
          <cell r="AF1447">
            <v>12551668</v>
          </cell>
          <cell r="AG1447">
            <v>0</v>
          </cell>
          <cell r="AH1447">
            <v>0</v>
          </cell>
          <cell r="AI1447">
            <v>0</v>
          </cell>
          <cell r="AJ1447">
            <v>0</v>
          </cell>
          <cell r="AK1447">
            <v>141946</v>
          </cell>
          <cell r="AL1447">
            <v>310508</v>
          </cell>
          <cell r="AM1447">
            <v>26615</v>
          </cell>
          <cell r="AN1447">
            <v>53230</v>
          </cell>
          <cell r="AO1447">
            <v>0</v>
          </cell>
          <cell r="AP1447">
            <v>0</v>
          </cell>
        </row>
        <row r="1448">
          <cell r="D1448" t="str">
            <v>Sản xuất 2000 hệ thống thông tin (bao gồm máy VRU812/S 50W và VIS) kèm vật tư dự phòng và Lắp đặt trên xe tăng thiết giáp, xe đặc chủng năm 2024 (Máy thông tin vô tuyến điện VRU812/S – 50W)</v>
          </cell>
          <cell r="G1448" t="str">
            <v>SXKD</v>
          </cell>
          <cell r="I1448" t="str">
            <v>ĐBCL</v>
          </cell>
          <cell r="AC1448">
            <v>930000</v>
          </cell>
          <cell r="AD1448">
            <v>30163490</v>
          </cell>
          <cell r="AE1448">
            <v>10549788</v>
          </cell>
          <cell r="AF1448">
            <v>10152395</v>
          </cell>
          <cell r="AG1448">
            <v>0</v>
          </cell>
          <cell r="AH1448">
            <v>0</v>
          </cell>
          <cell r="AI1448">
            <v>0</v>
          </cell>
          <cell r="AJ1448">
            <v>0</v>
          </cell>
          <cell r="AK1448">
            <v>302776</v>
          </cell>
          <cell r="AL1448">
            <v>662322</v>
          </cell>
          <cell r="AM1448">
            <v>56770</v>
          </cell>
          <cell r="AN1448">
            <v>113541</v>
          </cell>
          <cell r="AO1448">
            <v>37847</v>
          </cell>
          <cell r="AP1448">
            <v>37847</v>
          </cell>
        </row>
        <row r="1449">
          <cell r="D1449" t="str">
            <v>Sản xuất 2000 hệ thống thông tin (bao gồm máy VRU812/S 50W và VIS) kèm vật tư dự phòng và Lắp đặt trên xe tăng thiết giáp, xe đặc chủng năm 2024 (Máy thông tin vô tuyến điện VRU812/S – 50W)</v>
          </cell>
          <cell r="G1449" t="str">
            <v>SXKD</v>
          </cell>
          <cell r="I1449" t="str">
            <v>ĐBCL</v>
          </cell>
          <cell r="AC1449">
            <v>930000</v>
          </cell>
          <cell r="AD1449">
            <v>19150250</v>
          </cell>
          <cell r="AE1449">
            <v>6367969</v>
          </cell>
          <cell r="AF1449">
            <v>6027637</v>
          </cell>
          <cell r="AG1449">
            <v>0</v>
          </cell>
          <cell r="AH1449">
            <v>0</v>
          </cell>
          <cell r="AI1449">
            <v>0</v>
          </cell>
          <cell r="AJ1449">
            <v>0</v>
          </cell>
          <cell r="AK1449">
            <v>259300</v>
          </cell>
          <cell r="AL1449">
            <v>567219</v>
          </cell>
          <cell r="AM1449">
            <v>48619</v>
          </cell>
          <cell r="AN1449">
            <v>97238</v>
          </cell>
          <cell r="AO1449">
            <v>32413</v>
          </cell>
          <cell r="AP1449">
            <v>32413</v>
          </cell>
        </row>
        <row r="1450">
          <cell r="D1450" t="str">
            <v>Sản xuất 2000 hệ thống thông tin (bao gồm máy VRU812/S 50W và VIS) kèm vật tư dự phòng và Lắp đặt trên xe tăng thiết giáp, xe đặc chủng năm 2024 (Máy thông tin vô tuyến điện VRU812/S – 50W)</v>
          </cell>
          <cell r="G1450" t="str">
            <v>SXKD</v>
          </cell>
          <cell r="I1450" t="str">
            <v>ĐBCL</v>
          </cell>
          <cell r="AC1450">
            <v>1515000</v>
          </cell>
          <cell r="AD1450">
            <v>27194286</v>
          </cell>
          <cell r="AE1450">
            <v>9204623</v>
          </cell>
          <cell r="AF1450">
            <v>8827609</v>
          </cell>
          <cell r="AG1450">
            <v>0</v>
          </cell>
          <cell r="AH1450">
            <v>0</v>
          </cell>
          <cell r="AI1450">
            <v>0</v>
          </cell>
          <cell r="AJ1450">
            <v>0</v>
          </cell>
          <cell r="AK1450">
            <v>287249</v>
          </cell>
          <cell r="AL1450">
            <v>628357</v>
          </cell>
          <cell r="AM1450">
            <v>53859</v>
          </cell>
          <cell r="AN1450">
            <v>107718</v>
          </cell>
          <cell r="AO1450">
            <v>35906</v>
          </cell>
          <cell r="AP1450">
            <v>35906</v>
          </cell>
        </row>
        <row r="1451">
          <cell r="D1451" t="str">
            <v>Sản xuất 2000 hệ thống thông tin (bao gồm máy VRU812/S 50W và VIS) kèm vật tư dự phòng và Lắp đặt trên xe tăng thiết giáp, xe đặc chủng năm 2024 (Máy thông tin vô tuyến điện VRU812/S – 50W)</v>
          </cell>
          <cell r="G1451" t="str">
            <v>SXKD</v>
          </cell>
          <cell r="I1451" t="str">
            <v>ĐBCL</v>
          </cell>
          <cell r="AC1451">
            <v>930000</v>
          </cell>
          <cell r="AD1451">
            <v>20085068</v>
          </cell>
          <cell r="AE1451">
            <v>6770255</v>
          </cell>
          <cell r="AF1451">
            <v>6446226</v>
          </cell>
          <cell r="AG1451">
            <v>0</v>
          </cell>
          <cell r="AH1451">
            <v>0</v>
          </cell>
          <cell r="AI1451">
            <v>0</v>
          </cell>
          <cell r="AJ1451">
            <v>0</v>
          </cell>
          <cell r="AK1451">
            <v>246879</v>
          </cell>
          <cell r="AL1451">
            <v>540047</v>
          </cell>
          <cell r="AM1451">
            <v>46290</v>
          </cell>
          <cell r="AN1451">
            <v>92579</v>
          </cell>
          <cell r="AO1451">
            <v>30860</v>
          </cell>
          <cell r="AP1451">
            <v>30860</v>
          </cell>
        </row>
        <row r="1452">
          <cell r="D1452" t="str">
            <v>Sản xuất 2000 hệ thống thông tin (bao gồm máy VRU812/S 50W và VIS) kèm vật tư dự phòng và Lắp đặt trên xe tăng thiết giáp, xe đặc chủng năm 2024 (Máy thông tin vô tuyến điện VRU812/S – 50W)</v>
          </cell>
          <cell r="G1452" t="str">
            <v>SXKD</v>
          </cell>
          <cell r="I1452" t="str">
            <v>ĐBCL</v>
          </cell>
          <cell r="AC1452">
            <v>1047000</v>
          </cell>
          <cell r="AD1452">
            <v>20796412</v>
          </cell>
          <cell r="AE1452">
            <v>6966337</v>
          </cell>
          <cell r="AF1452">
            <v>6626005</v>
          </cell>
          <cell r="AG1452">
            <v>0</v>
          </cell>
          <cell r="AH1452">
            <v>0</v>
          </cell>
          <cell r="AI1452">
            <v>0</v>
          </cell>
          <cell r="AJ1452">
            <v>0</v>
          </cell>
          <cell r="AK1452">
            <v>259300</v>
          </cell>
          <cell r="AL1452">
            <v>567219</v>
          </cell>
          <cell r="AM1452">
            <v>48619</v>
          </cell>
          <cell r="AN1452">
            <v>97238</v>
          </cell>
          <cell r="AO1452">
            <v>32413</v>
          </cell>
          <cell r="AP1452">
            <v>32413</v>
          </cell>
        </row>
        <row r="1453">
          <cell r="D1453" t="str">
            <v>Sản xuất 2000 hệ thống thông tin (bao gồm máy VRU812/S 50W và VIS) kèm vật tư dự phòng và Lắp đặt trên xe tăng thiết giáp, xe đặc chủng năm 2024 (Máy thông tin vô tuyến điện VRU812/S – 50W)</v>
          </cell>
          <cell r="G1453" t="str">
            <v>SXKD</v>
          </cell>
          <cell r="I1453" t="str">
            <v>ĐBCL</v>
          </cell>
          <cell r="AC1453">
            <v>930000</v>
          </cell>
          <cell r="AD1453">
            <v>22547316</v>
          </cell>
          <cell r="AE1453">
            <v>7656206</v>
          </cell>
          <cell r="AF1453">
            <v>7297534</v>
          </cell>
          <cell r="AG1453">
            <v>0</v>
          </cell>
          <cell r="AH1453">
            <v>0</v>
          </cell>
          <cell r="AI1453">
            <v>0</v>
          </cell>
          <cell r="AJ1453">
            <v>0</v>
          </cell>
          <cell r="AK1453">
            <v>273274</v>
          </cell>
          <cell r="AL1453">
            <v>597788</v>
          </cell>
          <cell r="AM1453">
            <v>51239</v>
          </cell>
          <cell r="AN1453">
            <v>102478</v>
          </cell>
          <cell r="AO1453">
            <v>34159</v>
          </cell>
          <cell r="AP1453">
            <v>34159</v>
          </cell>
        </row>
        <row r="1454">
          <cell r="D1454" t="str">
            <v>Sản xuất 28 đài ra đa VRS-SRS, 28 bộ thiết bị nhận dạng IFF,  gói vật tư dự phòng và gói triển khai hạ tầng (Đài ra đa VRS-SRS)</v>
          </cell>
          <cell r="G1454" t="str">
            <v>SXKD</v>
          </cell>
          <cell r="I1454" t="str">
            <v>ĐBCL</v>
          </cell>
          <cell r="AC1454">
            <v>1730000</v>
          </cell>
          <cell r="AD1454">
            <v>77166854</v>
          </cell>
          <cell r="AE1454">
            <v>3180057</v>
          </cell>
          <cell r="AF1454">
            <v>3137916</v>
          </cell>
          <cell r="AG1454">
            <v>0</v>
          </cell>
          <cell r="AH1454">
            <v>0</v>
          </cell>
          <cell r="AI1454">
            <v>0</v>
          </cell>
          <cell r="AJ1454">
            <v>0</v>
          </cell>
          <cell r="AK1454">
            <v>35487</v>
          </cell>
          <cell r="AL1454">
            <v>77627</v>
          </cell>
          <cell r="AM1454">
            <v>6654</v>
          </cell>
          <cell r="AN1454">
            <v>13307</v>
          </cell>
          <cell r="AO1454">
            <v>0</v>
          </cell>
          <cell r="AP1454">
            <v>0</v>
          </cell>
        </row>
        <row r="1455">
          <cell r="D1455" t="str">
            <v>Sản xuất 28 đài ra đa VRS-SRS, 28 bộ thiết bị nhận dạng IFF,  gói vật tư dự phòng và gói triển khai hạ tầng (Đài ra đa VRS-SRS)</v>
          </cell>
          <cell r="G1455" t="str">
            <v>SXKD</v>
          </cell>
          <cell r="I1455" t="str">
            <v>ĐBCL</v>
          </cell>
          <cell r="AC1455">
            <v>930000</v>
          </cell>
          <cell r="AD1455">
            <v>21248732</v>
          </cell>
          <cell r="AE1455">
            <v>8786695</v>
          </cell>
          <cell r="AF1455">
            <v>8370735</v>
          </cell>
          <cell r="AG1455">
            <v>0</v>
          </cell>
          <cell r="AH1455">
            <v>0</v>
          </cell>
          <cell r="AI1455">
            <v>0</v>
          </cell>
          <cell r="AJ1455">
            <v>0</v>
          </cell>
          <cell r="AK1455">
            <v>316922</v>
          </cell>
          <cell r="AL1455">
            <v>693268</v>
          </cell>
          <cell r="AM1455">
            <v>59423</v>
          </cell>
          <cell r="AN1455">
            <v>118846</v>
          </cell>
          <cell r="AO1455">
            <v>39615</v>
          </cell>
          <cell r="AP1455">
            <v>39615</v>
          </cell>
        </row>
        <row r="1456">
          <cell r="D1456" t="str">
            <v>Sản xuất 28 đài ra đa VRS-SRS, 28 bộ thiết bị nhận dạng IFF,  gói vật tư dự phòng và gói triển khai hạ tầng (Đài ra đa VRS-SRS)</v>
          </cell>
          <cell r="G1456" t="str">
            <v>SXKD</v>
          </cell>
          <cell r="I1456" t="str">
            <v>ĐBCL</v>
          </cell>
          <cell r="AC1456">
            <v>930000</v>
          </cell>
          <cell r="AD1456">
            <v>18316624</v>
          </cell>
          <cell r="AE1456">
            <v>10130426</v>
          </cell>
          <cell r="AF1456">
            <v>9590379</v>
          </cell>
          <cell r="AG1456">
            <v>0</v>
          </cell>
          <cell r="AH1456">
            <v>0</v>
          </cell>
          <cell r="AI1456">
            <v>0</v>
          </cell>
          <cell r="AJ1456">
            <v>0</v>
          </cell>
          <cell r="AK1456">
            <v>411464</v>
          </cell>
          <cell r="AL1456">
            <v>900078</v>
          </cell>
          <cell r="AM1456">
            <v>77150</v>
          </cell>
          <cell r="AN1456">
            <v>154299</v>
          </cell>
          <cell r="AO1456">
            <v>51433</v>
          </cell>
          <cell r="AP1456">
            <v>51433</v>
          </cell>
        </row>
        <row r="1457">
          <cell r="D1457" t="str">
            <v>Sản xuất 28 đài ra đa VRS-SRS, 28 bộ thiết bị nhận dạng IFF,  gói vật tư dự phòng và gói triển khai hạ tầng (Đài ra đa VRS-SRS)</v>
          </cell>
          <cell r="G1457" t="str">
            <v>SXKD</v>
          </cell>
          <cell r="I1457" t="str">
            <v>ĐBCL</v>
          </cell>
          <cell r="AC1457">
            <v>1030000</v>
          </cell>
          <cell r="AD1457">
            <v>29601668</v>
          </cell>
          <cell r="AE1457">
            <v>13721086</v>
          </cell>
          <cell r="AF1457">
            <v>13191228</v>
          </cell>
          <cell r="AG1457">
            <v>0</v>
          </cell>
          <cell r="AH1457">
            <v>0</v>
          </cell>
          <cell r="AI1457">
            <v>0</v>
          </cell>
          <cell r="AJ1457">
            <v>0</v>
          </cell>
          <cell r="AK1457">
            <v>403701</v>
          </cell>
          <cell r="AL1457">
            <v>883096</v>
          </cell>
          <cell r="AM1457">
            <v>75694</v>
          </cell>
          <cell r="AN1457">
            <v>151388</v>
          </cell>
          <cell r="AO1457">
            <v>50463</v>
          </cell>
          <cell r="AP1457">
            <v>50463</v>
          </cell>
        </row>
        <row r="1458">
          <cell r="D1458" t="str">
            <v>Sản xuất 28 đài ra đa VRS-SRS, 28 bộ thiết bị nhận dạng IFF,  gói vật tư dự phòng và gói triển khai hạ tầng (Đài ra đa VRS-SRS)</v>
          </cell>
          <cell r="G1458" t="str">
            <v>SXKD</v>
          </cell>
          <cell r="I1458" t="str">
            <v>ĐBCL</v>
          </cell>
          <cell r="AC1458">
            <v>1515000</v>
          </cell>
          <cell r="AD1458">
            <v>26705669</v>
          </cell>
          <cell r="AE1458">
            <v>13019392</v>
          </cell>
          <cell r="AF1458">
            <v>12474816</v>
          </cell>
          <cell r="AG1458">
            <v>0</v>
          </cell>
          <cell r="AH1458">
            <v>0</v>
          </cell>
          <cell r="AI1458">
            <v>0</v>
          </cell>
          <cell r="AJ1458">
            <v>0</v>
          </cell>
          <cell r="AK1458">
            <v>414915</v>
          </cell>
          <cell r="AL1458">
            <v>907626</v>
          </cell>
          <cell r="AM1458">
            <v>77797</v>
          </cell>
          <cell r="AN1458">
            <v>155593</v>
          </cell>
          <cell r="AO1458">
            <v>51864</v>
          </cell>
          <cell r="AP1458">
            <v>51864</v>
          </cell>
        </row>
        <row r="1459">
          <cell r="D1459" t="str">
            <v>Sản xuất 28 đài ra đa VRS-SRS, 28 bộ thiết bị nhận dạng IFF,  gói vật tư dự phòng và gói triển khai hạ tầng (Đài ra đa VRS-SRS)</v>
          </cell>
          <cell r="G1459" t="str">
            <v>SXKD</v>
          </cell>
          <cell r="I1459" t="str">
            <v>ĐBCL</v>
          </cell>
          <cell r="AC1459">
            <v>1030000</v>
          </cell>
          <cell r="AD1459">
            <v>32627144</v>
          </cell>
          <cell r="AE1459">
            <v>24128070</v>
          </cell>
          <cell r="AF1459">
            <v>23246106</v>
          </cell>
          <cell r="AG1459">
            <v>0</v>
          </cell>
          <cell r="AH1459">
            <v>0</v>
          </cell>
          <cell r="AI1459">
            <v>0</v>
          </cell>
          <cell r="AJ1459">
            <v>0</v>
          </cell>
          <cell r="AK1459">
            <v>671972</v>
          </cell>
          <cell r="AL1459">
            <v>1469939</v>
          </cell>
          <cell r="AM1459">
            <v>125995</v>
          </cell>
          <cell r="AN1459">
            <v>251990</v>
          </cell>
          <cell r="AO1459">
            <v>83997</v>
          </cell>
          <cell r="AP1459">
            <v>83997</v>
          </cell>
        </row>
        <row r="1460">
          <cell r="D1460" t="str">
            <v>Nghiên cứu, xây dựng nền tảng cho UAV hạng nhẹ</v>
          </cell>
          <cell r="G1460" t="str">
            <v>KHCN</v>
          </cell>
          <cell r="I1460" t="str">
            <v>ĐBCL</v>
          </cell>
          <cell r="AC1460">
            <v>1230000</v>
          </cell>
          <cell r="AD1460">
            <v>66670483</v>
          </cell>
          <cell r="AE1460">
            <v>62611423</v>
          </cell>
          <cell r="AF1460">
            <v>61450783</v>
          </cell>
          <cell r="AG1460">
            <v>0</v>
          </cell>
          <cell r="AH1460">
            <v>0</v>
          </cell>
          <cell r="AI1460">
            <v>0</v>
          </cell>
          <cell r="AJ1460">
            <v>0</v>
          </cell>
          <cell r="AK1460">
            <v>1160640</v>
          </cell>
          <cell r="AL1460">
            <v>2538900</v>
          </cell>
          <cell r="AM1460">
            <v>0</v>
          </cell>
          <cell r="AN1460">
            <v>0</v>
          </cell>
          <cell r="AO1460">
            <v>0</v>
          </cell>
          <cell r="AP1460">
            <v>0</v>
          </cell>
        </row>
        <row r="1461">
          <cell r="D1461" t="str">
            <v>Nghiên cứu, xây dựng nền tảng cho UAV hạng nhẹ</v>
          </cell>
          <cell r="G1461" t="str">
            <v>KHCN</v>
          </cell>
          <cell r="I1461" t="str">
            <v>ĐBCL</v>
          </cell>
          <cell r="AC1461">
            <v>930000</v>
          </cell>
          <cell r="AD1461">
            <v>21248732</v>
          </cell>
          <cell r="AE1461">
            <v>18372180</v>
          </cell>
          <cell r="AF1461">
            <v>17502444</v>
          </cell>
          <cell r="AG1461">
            <v>0</v>
          </cell>
          <cell r="AH1461">
            <v>0</v>
          </cell>
          <cell r="AI1461">
            <v>0</v>
          </cell>
          <cell r="AJ1461">
            <v>0</v>
          </cell>
          <cell r="AK1461">
            <v>662656</v>
          </cell>
          <cell r="AL1461">
            <v>1449560</v>
          </cell>
          <cell r="AM1461">
            <v>124248</v>
          </cell>
          <cell r="AN1461">
            <v>248496</v>
          </cell>
          <cell r="AO1461">
            <v>82832</v>
          </cell>
          <cell r="AP1461">
            <v>82832</v>
          </cell>
        </row>
        <row r="1462">
          <cell r="D1462" t="str">
            <v>Nghiên cứu, xây dựng nền tảng cho UAV hạng nhẹ</v>
          </cell>
          <cell r="G1462" t="str">
            <v>KHCN</v>
          </cell>
          <cell r="I1462" t="str">
            <v>ĐBCL</v>
          </cell>
          <cell r="AC1462">
            <v>1515000</v>
          </cell>
          <cell r="AD1462">
            <v>26705669</v>
          </cell>
          <cell r="AE1462">
            <v>10014917</v>
          </cell>
          <cell r="AF1462">
            <v>9596013</v>
          </cell>
          <cell r="AG1462">
            <v>0</v>
          </cell>
          <cell r="AH1462">
            <v>0</v>
          </cell>
          <cell r="AI1462">
            <v>0</v>
          </cell>
          <cell r="AJ1462">
            <v>0</v>
          </cell>
          <cell r="AK1462">
            <v>319165</v>
          </cell>
          <cell r="AL1462">
            <v>698174</v>
          </cell>
          <cell r="AM1462">
            <v>59843</v>
          </cell>
          <cell r="AN1462">
            <v>119687</v>
          </cell>
          <cell r="AO1462">
            <v>39896</v>
          </cell>
          <cell r="AP1462">
            <v>39896</v>
          </cell>
        </row>
        <row r="1463">
          <cell r="D1463" t="str">
            <v>Nghiên cứu thiết kế chế tạo đài ra-đa 3D băng Ku công nghệ FMCW</v>
          </cell>
          <cell r="G1463" t="str">
            <v>KHCN</v>
          </cell>
          <cell r="I1463" t="str">
            <v>ĐBCL</v>
          </cell>
          <cell r="AC1463">
            <v>1030000</v>
          </cell>
          <cell r="AD1463">
            <v>29601668</v>
          </cell>
          <cell r="AE1463">
            <v>3430271</v>
          </cell>
          <cell r="AF1463">
            <v>3297808</v>
          </cell>
          <cell r="AG1463">
            <v>0</v>
          </cell>
          <cell r="AH1463">
            <v>0</v>
          </cell>
          <cell r="AI1463">
            <v>0</v>
          </cell>
          <cell r="AJ1463">
            <v>0</v>
          </cell>
          <cell r="AK1463">
            <v>100925</v>
          </cell>
          <cell r="AL1463">
            <v>220774</v>
          </cell>
          <cell r="AM1463">
            <v>18923</v>
          </cell>
          <cell r="AN1463">
            <v>37847</v>
          </cell>
          <cell r="AO1463">
            <v>12615</v>
          </cell>
          <cell r="AP1463">
            <v>12615</v>
          </cell>
        </row>
        <row r="1464">
          <cell r="D1464" t="str">
            <v>Nghiên cứu, thiết kế, chế tạo tổ hợp ra-đa – quang điện tử cảnh giới biển tầm gần phục vụ tác chiến trên đảo và nhà giàn</v>
          </cell>
          <cell r="G1464" t="str">
            <v>KHCN</v>
          </cell>
          <cell r="I1464" t="str">
            <v>ĐBCL</v>
          </cell>
          <cell r="AC1464">
            <v>1030000</v>
          </cell>
          <cell r="AD1464">
            <v>32627144</v>
          </cell>
          <cell r="AE1464">
            <v>5079594</v>
          </cell>
          <cell r="AF1464">
            <v>4893918</v>
          </cell>
          <cell r="AG1464">
            <v>0</v>
          </cell>
          <cell r="AH1464">
            <v>0</v>
          </cell>
          <cell r="AI1464">
            <v>0</v>
          </cell>
          <cell r="AJ1464">
            <v>0</v>
          </cell>
          <cell r="AK1464">
            <v>141468</v>
          </cell>
          <cell r="AL1464">
            <v>309461</v>
          </cell>
          <cell r="AM1464">
            <v>26525</v>
          </cell>
          <cell r="AN1464">
            <v>53050</v>
          </cell>
          <cell r="AO1464">
            <v>17683</v>
          </cell>
          <cell r="AP1464">
            <v>17683</v>
          </cell>
        </row>
        <row r="1465">
          <cell r="D1465" t="str">
            <v>Nghiên cứu công nghệ và chế tạo hệ thống trinh sát, chế áp phương tiện bay không người lái hạng nhẹ</v>
          </cell>
          <cell r="G1465" t="str">
            <v>KHCN</v>
          </cell>
          <cell r="I1465" t="str">
            <v>ĐBCL</v>
          </cell>
          <cell r="AC1465">
            <v>930000</v>
          </cell>
          <cell r="AD1465">
            <v>24816840</v>
          </cell>
          <cell r="AE1465">
            <v>17951266</v>
          </cell>
          <cell r="AF1465">
            <v>17155347</v>
          </cell>
          <cell r="AG1465">
            <v>0</v>
          </cell>
          <cell r="AH1465">
            <v>0</v>
          </cell>
          <cell r="AI1465">
            <v>0</v>
          </cell>
          <cell r="AJ1465">
            <v>0</v>
          </cell>
          <cell r="AK1465">
            <v>606414</v>
          </cell>
          <cell r="AL1465">
            <v>1326530</v>
          </cell>
          <cell r="AM1465">
            <v>113703</v>
          </cell>
          <cell r="AN1465">
            <v>227405</v>
          </cell>
          <cell r="AO1465">
            <v>75802</v>
          </cell>
          <cell r="AP1465">
            <v>75802</v>
          </cell>
        </row>
        <row r="1466">
          <cell r="D1466" t="str">
            <v>Sản xuất 01 hệ thống mô phỏng huấn luyện kíp chỉ huy bay và 02 hệ thống mô phỏng huấn luyện phi công SU-30MK2 (01 hệ thống mô phỏng huấn luyện kíp chỉ huy bay)</v>
          </cell>
          <cell r="G1466" t="str">
            <v>SXKD</v>
          </cell>
          <cell r="I1466" t="str">
            <v>ĐBCL</v>
          </cell>
          <cell r="AC1466">
            <v>1730000</v>
          </cell>
          <cell r="AD1466">
            <v>77166854</v>
          </cell>
          <cell r="AE1466">
            <v>6360114</v>
          </cell>
          <cell r="AF1466">
            <v>6275834</v>
          </cell>
          <cell r="AG1466">
            <v>0</v>
          </cell>
          <cell r="AH1466">
            <v>0</v>
          </cell>
          <cell r="AI1466">
            <v>0</v>
          </cell>
          <cell r="AJ1466">
            <v>0</v>
          </cell>
          <cell r="AK1466">
            <v>70973</v>
          </cell>
          <cell r="AL1466">
            <v>155254</v>
          </cell>
          <cell r="AM1466">
            <v>13307</v>
          </cell>
          <cell r="AN1466">
            <v>26615</v>
          </cell>
          <cell r="AO1466">
            <v>0</v>
          </cell>
          <cell r="AP1466">
            <v>0</v>
          </cell>
        </row>
        <row r="1467">
          <cell r="D1467" t="str">
            <v>Sản xuất 01 hệ thống mô phỏng huấn luyện kíp chỉ huy bay và 02 hệ thống mô phỏng huấn luyện phi công SU-30MK2 (01 hệ thống mô phỏng huấn luyện kíp chỉ huy bay)</v>
          </cell>
          <cell r="G1467" t="str">
            <v>SXKD</v>
          </cell>
          <cell r="I1467" t="str">
            <v>ĐBCL</v>
          </cell>
          <cell r="AC1467">
            <v>930000</v>
          </cell>
          <cell r="AD1467">
            <v>30163490</v>
          </cell>
          <cell r="AE1467">
            <v>2344397</v>
          </cell>
          <cell r="AF1467">
            <v>2256088</v>
          </cell>
          <cell r="AG1467">
            <v>0</v>
          </cell>
          <cell r="AH1467">
            <v>0</v>
          </cell>
          <cell r="AI1467">
            <v>0</v>
          </cell>
          <cell r="AJ1467">
            <v>0</v>
          </cell>
          <cell r="AK1467">
            <v>67283</v>
          </cell>
          <cell r="AL1467">
            <v>147183</v>
          </cell>
          <cell r="AM1467">
            <v>12616</v>
          </cell>
          <cell r="AN1467">
            <v>25231</v>
          </cell>
          <cell r="AO1467">
            <v>8410</v>
          </cell>
          <cell r="AP1467">
            <v>8410</v>
          </cell>
        </row>
        <row r="1468">
          <cell r="D1468" t="str">
            <v>Sản xuất 01 hệ thống mô phỏng huấn luyện kíp chỉ huy bay và 02 hệ thống mô phỏng huấn luyện phi công SU-30MK2 (01 hệ thống mô phỏng huấn luyện kíp chỉ huy bay)</v>
          </cell>
          <cell r="G1468" t="str">
            <v>SXKD</v>
          </cell>
          <cell r="I1468" t="str">
            <v>ĐBCL</v>
          </cell>
          <cell r="AC1468">
            <v>1047000</v>
          </cell>
          <cell r="AD1468">
            <v>17047160</v>
          </cell>
          <cell r="AE1468">
            <v>6191350</v>
          </cell>
          <cell r="AF1468">
            <v>5849434</v>
          </cell>
          <cell r="AG1468">
            <v>0</v>
          </cell>
          <cell r="AH1468">
            <v>0</v>
          </cell>
          <cell r="AI1468">
            <v>0</v>
          </cell>
          <cell r="AJ1468">
            <v>0</v>
          </cell>
          <cell r="AK1468">
            <v>260508</v>
          </cell>
          <cell r="AL1468">
            <v>569861</v>
          </cell>
          <cell r="AM1468">
            <v>48845</v>
          </cell>
          <cell r="AN1468">
            <v>97690</v>
          </cell>
          <cell r="AO1468">
            <v>32563</v>
          </cell>
          <cell r="AP1468">
            <v>32563</v>
          </cell>
        </row>
        <row r="1469">
          <cell r="D1469" t="str">
            <v>Sản xuất 02 xe ra đa chỉ thị mục tiêu VRS-MCX, 05 đài ra đa cảnh giới biển tầm trung cơ động VRS-MSX và gói vật tư dự phòng (Đài ra đa VRS-MSX)</v>
          </cell>
          <cell r="G1469" t="str">
            <v>SXKD</v>
          </cell>
          <cell r="I1469" t="str">
            <v>ĐBCL</v>
          </cell>
          <cell r="AC1469">
            <v>1730000</v>
          </cell>
          <cell r="AD1469">
            <v>77166854</v>
          </cell>
          <cell r="AE1469">
            <v>15900286</v>
          </cell>
          <cell r="AF1469">
            <v>15689584</v>
          </cell>
          <cell r="AG1469">
            <v>0</v>
          </cell>
          <cell r="AH1469">
            <v>0</v>
          </cell>
          <cell r="AI1469">
            <v>0</v>
          </cell>
          <cell r="AJ1469">
            <v>0</v>
          </cell>
          <cell r="AK1469">
            <v>177433</v>
          </cell>
          <cell r="AL1469">
            <v>388135</v>
          </cell>
          <cell r="AM1469">
            <v>33269</v>
          </cell>
          <cell r="AN1469">
            <v>66537</v>
          </cell>
          <cell r="AO1469">
            <v>0</v>
          </cell>
          <cell r="AP1469">
            <v>0</v>
          </cell>
        </row>
        <row r="1470">
          <cell r="D1470" t="str">
            <v>Sản xuất 02 xe ra đa chỉ thị mục tiêu VRS-MCX, 05 đài ra đa cảnh giới biển tầm trung cơ động VRS-MSX và gói vật tư dự phòng (Đài ra đa VRS-MSX)</v>
          </cell>
          <cell r="G1470" t="str">
            <v>SXKD</v>
          </cell>
          <cell r="I1470" t="str">
            <v>ĐBCL</v>
          </cell>
          <cell r="AC1470">
            <v>930000</v>
          </cell>
          <cell r="AD1470">
            <v>27408299</v>
          </cell>
          <cell r="AE1470">
            <v>17890932</v>
          </cell>
          <cell r="AF1470">
            <v>17140300</v>
          </cell>
          <cell r="AG1470">
            <v>0</v>
          </cell>
          <cell r="AH1470">
            <v>0</v>
          </cell>
          <cell r="AI1470">
            <v>0</v>
          </cell>
          <cell r="AJ1470">
            <v>0</v>
          </cell>
          <cell r="AK1470">
            <v>571910</v>
          </cell>
          <cell r="AL1470">
            <v>1251052</v>
          </cell>
          <cell r="AM1470">
            <v>107233</v>
          </cell>
          <cell r="AN1470">
            <v>214466</v>
          </cell>
          <cell r="AO1470">
            <v>71489</v>
          </cell>
          <cell r="AP1470">
            <v>71489</v>
          </cell>
        </row>
        <row r="1471">
          <cell r="D1471" t="str">
            <v>Nghiên cứu, thiết kế nền tảng mô phỏng tàu chiến và chế tạo hệ thống mô phỏng huấn luyện tàu chiến 12418</v>
          </cell>
          <cell r="G1471" t="str">
            <v>KHCN</v>
          </cell>
          <cell r="I1471" t="str">
            <v>KDDH</v>
          </cell>
          <cell r="AC1471">
            <v>1347000</v>
          </cell>
          <cell r="AD1471">
            <v>76141940</v>
          </cell>
          <cell r="AE1471">
            <v>3146883</v>
          </cell>
          <cell r="AF1471">
            <v>3102519</v>
          </cell>
          <cell r="AG1471">
            <v>0</v>
          </cell>
          <cell r="AH1471">
            <v>0</v>
          </cell>
          <cell r="AI1471">
            <v>0</v>
          </cell>
          <cell r="AJ1471">
            <v>0</v>
          </cell>
          <cell r="AK1471">
            <v>37359</v>
          </cell>
          <cell r="AL1471">
            <v>81722</v>
          </cell>
          <cell r="AM1471">
            <v>7005</v>
          </cell>
          <cell r="AN1471">
            <v>14009</v>
          </cell>
          <cell r="AO1471">
            <v>0</v>
          </cell>
          <cell r="AP1471">
            <v>0</v>
          </cell>
        </row>
        <row r="1472">
          <cell r="D1472" t="str">
            <v>Nghiên cứu, thiết kế nền tảng mô phỏng tàu chiến và chế tạo hệ thống mô phỏng huấn luyện tàu chiến 12418</v>
          </cell>
          <cell r="G1472" t="str">
            <v>KHCN</v>
          </cell>
          <cell r="I1472" t="str">
            <v>KDDH</v>
          </cell>
          <cell r="AC1472">
            <v>1047000</v>
          </cell>
          <cell r="AD1472">
            <v>30280490</v>
          </cell>
          <cell r="AE1472">
            <v>12894186</v>
          </cell>
          <cell r="AF1472">
            <v>12408484</v>
          </cell>
          <cell r="AG1472">
            <v>0</v>
          </cell>
          <cell r="AH1472">
            <v>0</v>
          </cell>
          <cell r="AI1472">
            <v>0</v>
          </cell>
          <cell r="AJ1472">
            <v>0</v>
          </cell>
          <cell r="AK1472">
            <v>370059</v>
          </cell>
          <cell r="AL1472">
            <v>809504</v>
          </cell>
          <cell r="AM1472">
            <v>69386</v>
          </cell>
          <cell r="AN1472">
            <v>138772</v>
          </cell>
          <cell r="AO1472">
            <v>46257</v>
          </cell>
          <cell r="AP1472">
            <v>46257</v>
          </cell>
        </row>
        <row r="1473">
          <cell r="D1473" t="str">
            <v>Nghiên cứu, thiết kế nền tảng mô phỏng tàu chiến và chế tạo hệ thống mô phỏng huấn luyện tàu chiến 12418</v>
          </cell>
          <cell r="G1473" t="str">
            <v>KHCN</v>
          </cell>
          <cell r="I1473" t="str">
            <v>KDDH</v>
          </cell>
          <cell r="AC1473">
            <v>1030000</v>
          </cell>
          <cell r="AD1473">
            <v>27879781</v>
          </cell>
          <cell r="AE1473">
            <v>1073627</v>
          </cell>
          <cell r="AF1473">
            <v>1031736</v>
          </cell>
          <cell r="AG1473">
            <v>0</v>
          </cell>
          <cell r="AH1473">
            <v>0</v>
          </cell>
          <cell r="AI1473">
            <v>0</v>
          </cell>
          <cell r="AJ1473">
            <v>0</v>
          </cell>
          <cell r="AK1473">
            <v>31917</v>
          </cell>
          <cell r="AL1473">
            <v>69817</v>
          </cell>
          <cell r="AM1473">
            <v>5984</v>
          </cell>
          <cell r="AN1473">
            <v>11969</v>
          </cell>
          <cell r="AO1473">
            <v>3990</v>
          </cell>
          <cell r="AP1473">
            <v>3990</v>
          </cell>
        </row>
        <row r="1474">
          <cell r="D1474" t="str">
            <v>Nghiên cứu, thiết kế nền tảng mô phỏng tàu chiến và chế tạo hệ thống mô phỏng huấn luyện tàu chiến 12418</v>
          </cell>
          <cell r="G1474" t="str">
            <v>KHCN</v>
          </cell>
          <cell r="I1474" t="str">
            <v>KDDH</v>
          </cell>
          <cell r="AC1474">
            <v>1030000</v>
          </cell>
          <cell r="AD1474">
            <v>39198549</v>
          </cell>
          <cell r="AE1474">
            <v>3100074</v>
          </cell>
          <cell r="AF1474">
            <v>3002255</v>
          </cell>
          <cell r="AG1474">
            <v>0</v>
          </cell>
          <cell r="AH1474">
            <v>0</v>
          </cell>
          <cell r="AI1474">
            <v>0</v>
          </cell>
          <cell r="AJ1474">
            <v>0</v>
          </cell>
          <cell r="AK1474">
            <v>74529</v>
          </cell>
          <cell r="AL1474">
            <v>163033</v>
          </cell>
          <cell r="AM1474">
            <v>13974</v>
          </cell>
          <cell r="AN1474">
            <v>27949</v>
          </cell>
          <cell r="AO1474">
            <v>9316</v>
          </cell>
          <cell r="AP1474">
            <v>9316</v>
          </cell>
        </row>
        <row r="1475">
          <cell r="D1475" t="str">
            <v>Nghiên cứu, thiết kế nền tảng mô phỏng tàu chiến và chế tạo hệ thống mô phỏng huấn luyện tàu chiến 12418</v>
          </cell>
          <cell r="G1475" t="str">
            <v>KHCN</v>
          </cell>
          <cell r="I1475" t="str">
            <v>KDDH</v>
          </cell>
          <cell r="AC1475">
            <v>1047000</v>
          </cell>
          <cell r="AD1475">
            <v>22674084</v>
          </cell>
          <cell r="AE1475">
            <v>3422701</v>
          </cell>
          <cell r="AF1475">
            <v>3271442</v>
          </cell>
          <cell r="AG1475">
            <v>0</v>
          </cell>
          <cell r="AH1475">
            <v>0</v>
          </cell>
          <cell r="AI1475">
            <v>0</v>
          </cell>
          <cell r="AJ1475">
            <v>0</v>
          </cell>
          <cell r="AK1475">
            <v>115245</v>
          </cell>
          <cell r="AL1475">
            <v>252097</v>
          </cell>
          <cell r="AM1475">
            <v>21608</v>
          </cell>
          <cell r="AN1475">
            <v>43217</v>
          </cell>
          <cell r="AO1475">
            <v>14406</v>
          </cell>
          <cell r="AP1475">
            <v>14406</v>
          </cell>
        </row>
        <row r="1476">
          <cell r="D1476" t="str">
            <v>Nghiên cứu, thiết kế nền tảng mô phỏng tàu chiến và chế tạo hệ thống mô phỏng huấn luyện tàu chiến 12418</v>
          </cell>
          <cell r="G1476" t="str">
            <v>KHCN</v>
          </cell>
          <cell r="I1476" t="str">
            <v>KDDH</v>
          </cell>
          <cell r="AC1476">
            <v>1147000</v>
          </cell>
          <cell r="AD1476">
            <v>29718668</v>
          </cell>
          <cell r="AE1476">
            <v>2286848</v>
          </cell>
          <cell r="AF1476">
            <v>2198539</v>
          </cell>
          <cell r="AG1476">
            <v>0</v>
          </cell>
          <cell r="AH1476">
            <v>0</v>
          </cell>
          <cell r="AI1476">
            <v>0</v>
          </cell>
          <cell r="AJ1476">
            <v>0</v>
          </cell>
          <cell r="AK1476">
            <v>67283</v>
          </cell>
          <cell r="AL1476">
            <v>147183</v>
          </cell>
          <cell r="AM1476">
            <v>12616</v>
          </cell>
          <cell r="AN1476">
            <v>25231</v>
          </cell>
          <cell r="AO1476">
            <v>8410</v>
          </cell>
          <cell r="AP1476">
            <v>8410</v>
          </cell>
        </row>
        <row r="1477">
          <cell r="D1477" t="str">
            <v>Nghiên cứu, thiết kế, chế tạo hệ thống quan sát, chỉ thị mục tiêu và hệ thống điều khiển hỏa lực cho tăng T-54B/T-55</v>
          </cell>
          <cell r="G1477" t="str">
            <v>KHCN</v>
          </cell>
          <cell r="I1477" t="str">
            <v>KDDH</v>
          </cell>
          <cell r="AC1477">
            <v>1047000</v>
          </cell>
          <cell r="AD1477">
            <v>24041160</v>
          </cell>
          <cell r="AE1477">
            <v>4529957</v>
          </cell>
          <cell r="AF1477">
            <v>4320504</v>
          </cell>
          <cell r="AG1477">
            <v>0</v>
          </cell>
          <cell r="AH1477">
            <v>0</v>
          </cell>
          <cell r="AI1477">
            <v>0</v>
          </cell>
          <cell r="AJ1477">
            <v>0</v>
          </cell>
          <cell r="AK1477">
            <v>159583</v>
          </cell>
          <cell r="AL1477">
            <v>349087</v>
          </cell>
          <cell r="AM1477">
            <v>29922</v>
          </cell>
          <cell r="AN1477">
            <v>59843</v>
          </cell>
          <cell r="AO1477">
            <v>19948</v>
          </cell>
          <cell r="AP1477">
            <v>19948</v>
          </cell>
        </row>
        <row r="1478">
          <cell r="D1478" t="str">
            <v>Nghiên cứu, thiết kế, chế tạo hệ thống quan sát, chỉ thị mục tiêu và hệ thống điều khiển hỏa lực cho tăng T-54B/T-55</v>
          </cell>
          <cell r="G1478" t="str">
            <v>KHCN</v>
          </cell>
          <cell r="I1478" t="str">
            <v>KDDH</v>
          </cell>
          <cell r="AC1478">
            <v>1030000</v>
          </cell>
          <cell r="AD1478">
            <v>39198549</v>
          </cell>
          <cell r="AE1478">
            <v>10850260</v>
          </cell>
          <cell r="AF1478">
            <v>10507890</v>
          </cell>
          <cell r="AG1478">
            <v>0</v>
          </cell>
          <cell r="AH1478">
            <v>0</v>
          </cell>
          <cell r="AI1478">
            <v>0</v>
          </cell>
          <cell r="AJ1478">
            <v>0</v>
          </cell>
          <cell r="AK1478">
            <v>260853</v>
          </cell>
          <cell r="AL1478">
            <v>570616</v>
          </cell>
          <cell r="AM1478">
            <v>48910</v>
          </cell>
          <cell r="AN1478">
            <v>97820</v>
          </cell>
          <cell r="AO1478">
            <v>32607</v>
          </cell>
          <cell r="AP1478">
            <v>32607</v>
          </cell>
        </row>
        <row r="1479">
          <cell r="D1479" t="str">
            <v>Nghiên cứu, thiết kế, chế tạo hệ thống quan sát, chỉ thị mục tiêu và hệ thống điều khiển hỏa lực cho tăng T-54B/T-55</v>
          </cell>
          <cell r="G1479" t="str">
            <v>KHCN</v>
          </cell>
          <cell r="I1479" t="str">
            <v>KDDH</v>
          </cell>
          <cell r="AC1479">
            <v>1030000</v>
          </cell>
          <cell r="AD1479">
            <v>33660671</v>
          </cell>
          <cell r="AE1479">
            <v>7919413</v>
          </cell>
          <cell r="AF1479">
            <v>7654485</v>
          </cell>
          <cell r="AG1479">
            <v>0</v>
          </cell>
          <cell r="AH1479">
            <v>0</v>
          </cell>
          <cell r="AI1479">
            <v>0</v>
          </cell>
          <cell r="AJ1479">
            <v>0</v>
          </cell>
          <cell r="AK1479">
            <v>201850</v>
          </cell>
          <cell r="AL1479">
            <v>441548</v>
          </cell>
          <cell r="AM1479">
            <v>37847</v>
          </cell>
          <cell r="AN1479">
            <v>75694</v>
          </cell>
          <cell r="AO1479">
            <v>25231</v>
          </cell>
          <cell r="AP1479">
            <v>25231</v>
          </cell>
        </row>
        <row r="1480">
          <cell r="D1480" t="str">
            <v>Nghiên cứu, thiết kế, chế tạo hệ thống quan sát, chỉ thị mục tiêu và hệ thống điều khiển hỏa lực cho tăng T-54B/T-55</v>
          </cell>
          <cell r="G1480" t="str">
            <v>KHCN</v>
          </cell>
          <cell r="I1480" t="str">
            <v>KDDH</v>
          </cell>
          <cell r="AC1480">
            <v>1147000</v>
          </cell>
          <cell r="AD1480">
            <v>29718668</v>
          </cell>
          <cell r="AE1480">
            <v>12577662</v>
          </cell>
          <cell r="AF1480">
            <v>12091960</v>
          </cell>
          <cell r="AG1480">
            <v>0</v>
          </cell>
          <cell r="AH1480">
            <v>0</v>
          </cell>
          <cell r="AI1480">
            <v>0</v>
          </cell>
          <cell r="AJ1480">
            <v>0</v>
          </cell>
          <cell r="AK1480">
            <v>370059</v>
          </cell>
          <cell r="AL1480">
            <v>809504</v>
          </cell>
          <cell r="AM1480">
            <v>69386</v>
          </cell>
          <cell r="AN1480">
            <v>138772</v>
          </cell>
          <cell r="AO1480">
            <v>46257</v>
          </cell>
          <cell r="AP1480">
            <v>46257</v>
          </cell>
        </row>
        <row r="1481">
          <cell r="D1481" t="str">
            <v>Nghiên cứu thiết kế chế tạo đài ra-đa 3D băng Ku công nghệ FMCW</v>
          </cell>
          <cell r="G1481" t="str">
            <v>KHCN</v>
          </cell>
          <cell r="I1481" t="str">
            <v>KDDH</v>
          </cell>
          <cell r="AC1481">
            <v>1347000</v>
          </cell>
          <cell r="AD1481">
            <v>76141940</v>
          </cell>
          <cell r="AE1481">
            <v>3146883</v>
          </cell>
          <cell r="AF1481">
            <v>3102519</v>
          </cell>
          <cell r="AG1481">
            <v>0</v>
          </cell>
          <cell r="AH1481">
            <v>0</v>
          </cell>
          <cell r="AI1481">
            <v>0</v>
          </cell>
          <cell r="AJ1481">
            <v>0</v>
          </cell>
          <cell r="AK1481">
            <v>37359</v>
          </cell>
          <cell r="AL1481">
            <v>81722</v>
          </cell>
          <cell r="AM1481">
            <v>7005</v>
          </cell>
          <cell r="AN1481">
            <v>14009</v>
          </cell>
          <cell r="AO1481">
            <v>0</v>
          </cell>
          <cell r="AP1481">
            <v>0</v>
          </cell>
        </row>
        <row r="1482">
          <cell r="D1482" t="str">
            <v>Nghiên cứu thiết kế chế tạo đài ra-đa 3D băng Ku công nghệ FMCW</v>
          </cell>
          <cell r="G1482" t="str">
            <v>KHCN</v>
          </cell>
          <cell r="I1482" t="str">
            <v>KDDH</v>
          </cell>
          <cell r="AC1482">
            <v>1147000</v>
          </cell>
          <cell r="AD1482">
            <v>34970271</v>
          </cell>
          <cell r="AE1482">
            <v>2733373</v>
          </cell>
          <cell r="AF1482">
            <v>2640534</v>
          </cell>
          <cell r="AG1482">
            <v>0</v>
          </cell>
          <cell r="AH1482">
            <v>0</v>
          </cell>
          <cell r="AI1482">
            <v>0</v>
          </cell>
          <cell r="AJ1482">
            <v>0</v>
          </cell>
          <cell r="AK1482">
            <v>70734</v>
          </cell>
          <cell r="AL1482">
            <v>154730</v>
          </cell>
          <cell r="AM1482">
            <v>13263</v>
          </cell>
          <cell r="AN1482">
            <v>26525</v>
          </cell>
          <cell r="AO1482">
            <v>8842</v>
          </cell>
          <cell r="AP1482">
            <v>8842</v>
          </cell>
        </row>
        <row r="1483">
          <cell r="D1483" t="str">
            <v>Nghiên cứu thiết kế chế tạo đài ra-đa 3D băng Ku công nghệ FMCW</v>
          </cell>
          <cell r="G1483" t="str">
            <v>KHCN</v>
          </cell>
          <cell r="I1483" t="str">
            <v>KDDH</v>
          </cell>
          <cell r="AC1483">
            <v>1047000</v>
          </cell>
          <cell r="AD1483">
            <v>25459420</v>
          </cell>
          <cell r="AE1483">
            <v>1935310</v>
          </cell>
          <cell r="AF1483">
            <v>1851529</v>
          </cell>
          <cell r="AG1483">
            <v>0</v>
          </cell>
          <cell r="AH1483">
            <v>0</v>
          </cell>
          <cell r="AI1483">
            <v>0</v>
          </cell>
          <cell r="AJ1483">
            <v>0</v>
          </cell>
          <cell r="AK1483">
            <v>63833</v>
          </cell>
          <cell r="AL1483">
            <v>139635</v>
          </cell>
          <cell r="AM1483">
            <v>11969</v>
          </cell>
          <cell r="AN1483">
            <v>23937</v>
          </cell>
          <cell r="AO1483">
            <v>7979</v>
          </cell>
          <cell r="AP1483">
            <v>7979</v>
          </cell>
        </row>
        <row r="1484">
          <cell r="D1484" t="str">
            <v>Nghiên cứu, hiện đại hóa đại đội pháo phòng không 57mm có khí tài</v>
          </cell>
          <cell r="G1484" t="str">
            <v>KHCN</v>
          </cell>
          <cell r="I1484" t="str">
            <v>KDDH</v>
          </cell>
          <cell r="AC1484">
            <v>1347000</v>
          </cell>
          <cell r="AD1484">
            <v>76141940</v>
          </cell>
          <cell r="AE1484">
            <v>6293766</v>
          </cell>
          <cell r="AF1484">
            <v>6205040</v>
          </cell>
          <cell r="AG1484">
            <v>0</v>
          </cell>
          <cell r="AH1484">
            <v>0</v>
          </cell>
          <cell r="AI1484">
            <v>0</v>
          </cell>
          <cell r="AJ1484">
            <v>0</v>
          </cell>
          <cell r="AK1484">
            <v>74717</v>
          </cell>
          <cell r="AL1484">
            <v>163444</v>
          </cell>
          <cell r="AM1484">
            <v>14009</v>
          </cell>
          <cell r="AN1484">
            <v>28019</v>
          </cell>
          <cell r="AO1484">
            <v>0</v>
          </cell>
          <cell r="AP1484">
            <v>0</v>
          </cell>
        </row>
        <row r="1485">
          <cell r="D1485" t="str">
            <v>Nghiên cứu, hiện đại hóa đại đội pháo phòng không 57mm có khí tài</v>
          </cell>
          <cell r="G1485" t="str">
            <v>KHCN</v>
          </cell>
          <cell r="I1485" t="str">
            <v>KDDH</v>
          </cell>
          <cell r="AC1485">
            <v>1030000</v>
          </cell>
          <cell r="AD1485">
            <v>47311866</v>
          </cell>
          <cell r="AE1485">
            <v>3782268</v>
          </cell>
          <cell r="AF1485">
            <v>3674033</v>
          </cell>
          <cell r="AG1485">
            <v>0</v>
          </cell>
          <cell r="AH1485">
            <v>0</v>
          </cell>
          <cell r="AI1485">
            <v>0</v>
          </cell>
          <cell r="AJ1485">
            <v>0</v>
          </cell>
          <cell r="AK1485">
            <v>82465</v>
          </cell>
          <cell r="AL1485">
            <v>180393</v>
          </cell>
          <cell r="AM1485">
            <v>15462</v>
          </cell>
          <cell r="AN1485">
            <v>30925</v>
          </cell>
          <cell r="AO1485">
            <v>10308</v>
          </cell>
          <cell r="AP1485">
            <v>10308</v>
          </cell>
        </row>
        <row r="1486">
          <cell r="D1486" t="str">
            <v>Nghiên cứu, hiện đại hóa đại đội pháo phòng không 57mm có khí tài</v>
          </cell>
          <cell r="G1486" t="str">
            <v>KHCN</v>
          </cell>
          <cell r="I1486" t="str">
            <v>KDDH</v>
          </cell>
          <cell r="AC1486">
            <v>1047000</v>
          </cell>
          <cell r="AD1486">
            <v>24041160</v>
          </cell>
          <cell r="AE1486">
            <v>4529957</v>
          </cell>
          <cell r="AF1486">
            <v>4320504</v>
          </cell>
          <cell r="AG1486">
            <v>0</v>
          </cell>
          <cell r="AH1486">
            <v>0</v>
          </cell>
          <cell r="AI1486">
            <v>0</v>
          </cell>
          <cell r="AJ1486">
            <v>0</v>
          </cell>
          <cell r="AK1486">
            <v>159583</v>
          </cell>
          <cell r="AL1486">
            <v>349087</v>
          </cell>
          <cell r="AM1486">
            <v>29922</v>
          </cell>
          <cell r="AN1486">
            <v>59843</v>
          </cell>
          <cell r="AO1486">
            <v>19948</v>
          </cell>
          <cell r="AP1486">
            <v>19948</v>
          </cell>
        </row>
        <row r="1487">
          <cell r="D1487" t="str">
            <v>Nghiên cứu, hiện đại hóa đại đội pháo phòng không 57mm có khí tài</v>
          </cell>
          <cell r="G1487" t="str">
            <v>KHCN</v>
          </cell>
          <cell r="I1487" t="str">
            <v>KDDH</v>
          </cell>
          <cell r="AC1487">
            <v>1030000</v>
          </cell>
          <cell r="AD1487">
            <v>39198549</v>
          </cell>
          <cell r="AE1487">
            <v>6200148</v>
          </cell>
          <cell r="AF1487">
            <v>6004508</v>
          </cell>
          <cell r="AG1487">
            <v>0</v>
          </cell>
          <cell r="AH1487">
            <v>0</v>
          </cell>
          <cell r="AI1487">
            <v>0</v>
          </cell>
          <cell r="AJ1487">
            <v>0</v>
          </cell>
          <cell r="AK1487">
            <v>149059</v>
          </cell>
          <cell r="AL1487">
            <v>326066</v>
          </cell>
          <cell r="AM1487">
            <v>27949</v>
          </cell>
          <cell r="AN1487">
            <v>55897</v>
          </cell>
          <cell r="AO1487">
            <v>18632</v>
          </cell>
          <cell r="AP1487">
            <v>18632</v>
          </cell>
        </row>
        <row r="1488">
          <cell r="D1488" t="str">
            <v>Nghiên cứu, hiện đại hóa đại đội pháo phòng không 57mm có khí tài</v>
          </cell>
          <cell r="G1488" t="str">
            <v>KHCN</v>
          </cell>
          <cell r="I1488" t="str">
            <v>KDDH</v>
          </cell>
          <cell r="AC1488">
            <v>1047000</v>
          </cell>
          <cell r="AD1488">
            <v>22674084</v>
          </cell>
          <cell r="AE1488">
            <v>2567026</v>
          </cell>
          <cell r="AF1488">
            <v>2453582</v>
          </cell>
          <cell r="AG1488">
            <v>0</v>
          </cell>
          <cell r="AH1488">
            <v>0</v>
          </cell>
          <cell r="AI1488">
            <v>0</v>
          </cell>
          <cell r="AJ1488">
            <v>0</v>
          </cell>
          <cell r="AK1488">
            <v>86433</v>
          </cell>
          <cell r="AL1488">
            <v>189073</v>
          </cell>
          <cell r="AM1488">
            <v>16207</v>
          </cell>
          <cell r="AN1488">
            <v>32412</v>
          </cell>
          <cell r="AO1488">
            <v>10804</v>
          </cell>
          <cell r="AP1488">
            <v>10804</v>
          </cell>
        </row>
        <row r="1489">
          <cell r="D1489" t="str">
            <v>Nghiên cứu, hiện đại hóa đại đội pháo phòng không 57mm có khí tài</v>
          </cell>
          <cell r="G1489" t="str">
            <v>KHCN</v>
          </cell>
          <cell r="I1489" t="str">
            <v>KDDH</v>
          </cell>
          <cell r="AC1489">
            <v>1147000</v>
          </cell>
          <cell r="AD1489">
            <v>34970271</v>
          </cell>
          <cell r="AE1489">
            <v>17766925</v>
          </cell>
          <cell r="AF1489">
            <v>17163477</v>
          </cell>
          <cell r="AG1489">
            <v>0</v>
          </cell>
          <cell r="AH1489">
            <v>0</v>
          </cell>
          <cell r="AI1489">
            <v>0</v>
          </cell>
          <cell r="AJ1489">
            <v>0</v>
          </cell>
          <cell r="AK1489">
            <v>459770</v>
          </cell>
          <cell r="AL1489">
            <v>1005748</v>
          </cell>
          <cell r="AM1489">
            <v>86207</v>
          </cell>
          <cell r="AN1489">
            <v>172414</v>
          </cell>
          <cell r="AO1489">
            <v>57471</v>
          </cell>
          <cell r="AP1489">
            <v>57471</v>
          </cell>
        </row>
        <row r="1490">
          <cell r="D1490" t="str">
            <v>Nghiên cứu, hiện đại hóa đại đội pháo phòng không 57mm có khí tài</v>
          </cell>
          <cell r="G1490" t="str">
            <v>KHCN</v>
          </cell>
          <cell r="I1490" t="str">
            <v>KDDH</v>
          </cell>
          <cell r="AC1490">
            <v>1047000</v>
          </cell>
          <cell r="AD1490">
            <v>25459420</v>
          </cell>
          <cell r="AE1490">
            <v>3870619</v>
          </cell>
          <cell r="AF1490">
            <v>3703058</v>
          </cell>
          <cell r="AG1490">
            <v>0</v>
          </cell>
          <cell r="AH1490">
            <v>0</v>
          </cell>
          <cell r="AI1490">
            <v>0</v>
          </cell>
          <cell r="AJ1490">
            <v>0</v>
          </cell>
          <cell r="AK1490">
            <v>127666</v>
          </cell>
          <cell r="AL1490">
            <v>279270</v>
          </cell>
          <cell r="AM1490">
            <v>23937</v>
          </cell>
          <cell r="AN1490">
            <v>47875</v>
          </cell>
          <cell r="AO1490">
            <v>15958</v>
          </cell>
          <cell r="AP1490">
            <v>15958</v>
          </cell>
        </row>
        <row r="1491">
          <cell r="D1491" t="str">
            <v>Nghiên cứu, hiện đại hóa đại đội pháo phòng không 57mm có khí tài</v>
          </cell>
          <cell r="G1491" t="str">
            <v>KHCN</v>
          </cell>
          <cell r="I1491" t="str">
            <v>KDDH</v>
          </cell>
          <cell r="AC1491">
            <v>1047000</v>
          </cell>
          <cell r="AD1491">
            <v>30517090</v>
          </cell>
          <cell r="AE1491">
            <v>13007342</v>
          </cell>
          <cell r="AF1491">
            <v>12521640</v>
          </cell>
          <cell r="AG1491">
            <v>0</v>
          </cell>
          <cell r="AH1491">
            <v>0</v>
          </cell>
          <cell r="AI1491">
            <v>0</v>
          </cell>
          <cell r="AJ1491">
            <v>0</v>
          </cell>
          <cell r="AK1491">
            <v>370059</v>
          </cell>
          <cell r="AL1491">
            <v>809504</v>
          </cell>
          <cell r="AM1491">
            <v>69386</v>
          </cell>
          <cell r="AN1491">
            <v>138772</v>
          </cell>
          <cell r="AO1491">
            <v>46257</v>
          </cell>
          <cell r="AP1491">
            <v>46257</v>
          </cell>
        </row>
        <row r="1492">
          <cell r="D1492" t="str">
            <v>Nghiên cứu, hiện đại hóa đại đội pháo phòng không 57mm có khí tài</v>
          </cell>
          <cell r="G1492" t="str">
            <v>KHCN</v>
          </cell>
          <cell r="I1492" t="str">
            <v>KDDH</v>
          </cell>
          <cell r="AC1492">
            <v>1030000</v>
          </cell>
          <cell r="AD1492">
            <v>26976540</v>
          </cell>
          <cell r="AE1492">
            <v>11377912</v>
          </cell>
          <cell r="AF1492">
            <v>10917117</v>
          </cell>
          <cell r="AG1492">
            <v>0</v>
          </cell>
          <cell r="AH1492">
            <v>0</v>
          </cell>
          <cell r="AI1492">
            <v>0</v>
          </cell>
          <cell r="AJ1492">
            <v>0</v>
          </cell>
          <cell r="AK1492">
            <v>351082</v>
          </cell>
          <cell r="AL1492">
            <v>767991</v>
          </cell>
          <cell r="AM1492">
            <v>65828</v>
          </cell>
          <cell r="AN1492">
            <v>131656</v>
          </cell>
          <cell r="AO1492">
            <v>43885</v>
          </cell>
          <cell r="AP1492">
            <v>43885</v>
          </cell>
        </row>
        <row r="1493">
          <cell r="D1493" t="str">
            <v>Nghiên cứu, thiết kế, chế tạo tổ hợp ra-đa – quang điện tử cảnh giới biển tầm gần phục vụ tác chiến trên đảo và nhà giàn</v>
          </cell>
          <cell r="G1493" t="str">
            <v>KHCN</v>
          </cell>
          <cell r="I1493" t="str">
            <v>KDDH</v>
          </cell>
          <cell r="AC1493">
            <v>1347000</v>
          </cell>
          <cell r="AD1493">
            <v>76141940</v>
          </cell>
          <cell r="AE1493">
            <v>3146883</v>
          </cell>
          <cell r="AF1493">
            <v>3102519</v>
          </cell>
          <cell r="AG1493">
            <v>0</v>
          </cell>
          <cell r="AH1493">
            <v>0</v>
          </cell>
          <cell r="AI1493">
            <v>0</v>
          </cell>
          <cell r="AJ1493">
            <v>0</v>
          </cell>
          <cell r="AK1493">
            <v>37359</v>
          </cell>
          <cell r="AL1493">
            <v>81722</v>
          </cell>
          <cell r="AM1493">
            <v>7005</v>
          </cell>
          <cell r="AN1493">
            <v>14009</v>
          </cell>
          <cell r="AO1493">
            <v>0</v>
          </cell>
          <cell r="AP1493">
            <v>0</v>
          </cell>
        </row>
        <row r="1494">
          <cell r="D1494" t="str">
            <v>Nghiên cứu, thiết kế, chế tạo tổ hợp ra-đa – quang điện tử cảnh giới biển tầm gần phục vụ tác chiến trên đảo và nhà giàn</v>
          </cell>
          <cell r="G1494" t="str">
            <v>KHCN</v>
          </cell>
          <cell r="I1494" t="str">
            <v>KDDH</v>
          </cell>
          <cell r="AC1494">
            <v>1030000</v>
          </cell>
          <cell r="AD1494">
            <v>25315380</v>
          </cell>
          <cell r="AE1494">
            <v>3866769</v>
          </cell>
          <cell r="AF1494">
            <v>3707359</v>
          </cell>
          <cell r="AG1494">
            <v>0</v>
          </cell>
          <cell r="AH1494">
            <v>0</v>
          </cell>
          <cell r="AI1494">
            <v>0</v>
          </cell>
          <cell r="AJ1494">
            <v>0</v>
          </cell>
          <cell r="AK1494">
            <v>121455</v>
          </cell>
          <cell r="AL1494">
            <v>265683</v>
          </cell>
          <cell r="AM1494">
            <v>22773</v>
          </cell>
          <cell r="AN1494">
            <v>45546</v>
          </cell>
          <cell r="AO1494">
            <v>15182</v>
          </cell>
          <cell r="AP1494">
            <v>15182</v>
          </cell>
        </row>
        <row r="1495">
          <cell r="D1495" t="str">
            <v>Nghiên cứu, chế tạo máy thông tin cầm tay đa băng tần V-UHF ứng dụng công nghệ vô tuyến thích nghi - VRH811/S1</v>
          </cell>
          <cell r="G1495" t="str">
            <v>KHCN</v>
          </cell>
          <cell r="I1495" t="str">
            <v>KDDH</v>
          </cell>
          <cell r="AC1495">
            <v>1347000</v>
          </cell>
          <cell r="AD1495">
            <v>76141940</v>
          </cell>
          <cell r="AE1495">
            <v>3146883</v>
          </cell>
          <cell r="AF1495">
            <v>3102519</v>
          </cell>
          <cell r="AG1495">
            <v>0</v>
          </cell>
          <cell r="AH1495">
            <v>0</v>
          </cell>
          <cell r="AI1495">
            <v>0</v>
          </cell>
          <cell r="AJ1495">
            <v>0</v>
          </cell>
          <cell r="AK1495">
            <v>37359</v>
          </cell>
          <cell r="AL1495">
            <v>81722</v>
          </cell>
          <cell r="AM1495">
            <v>7005</v>
          </cell>
          <cell r="AN1495">
            <v>14009</v>
          </cell>
          <cell r="AO1495">
            <v>0</v>
          </cell>
          <cell r="AP1495">
            <v>0</v>
          </cell>
        </row>
        <row r="1496">
          <cell r="D1496" t="str">
            <v>Nghiên cứu, chế tạo máy thông tin cầm tay đa băng tần V-UHF ứng dụng công nghệ vô tuyến thích nghi - VRH811/S1</v>
          </cell>
          <cell r="G1496" t="str">
            <v>KHCN</v>
          </cell>
          <cell r="I1496" t="str">
            <v>KDDH</v>
          </cell>
          <cell r="AC1496">
            <v>1030000</v>
          </cell>
          <cell r="AD1496">
            <v>47311866</v>
          </cell>
          <cell r="AE1496">
            <v>1891134</v>
          </cell>
          <cell r="AF1496">
            <v>1837016</v>
          </cell>
          <cell r="AG1496">
            <v>0</v>
          </cell>
          <cell r="AH1496">
            <v>0</v>
          </cell>
          <cell r="AI1496">
            <v>0</v>
          </cell>
          <cell r="AJ1496">
            <v>0</v>
          </cell>
          <cell r="AK1496">
            <v>41233</v>
          </cell>
          <cell r="AL1496">
            <v>90197</v>
          </cell>
          <cell r="AM1496">
            <v>7731</v>
          </cell>
          <cell r="AN1496">
            <v>15462</v>
          </cell>
          <cell r="AO1496">
            <v>5154</v>
          </cell>
          <cell r="AP1496">
            <v>5154</v>
          </cell>
        </row>
        <row r="1497">
          <cell r="D1497" t="str">
            <v>Nghiên cứu, chế tạo máy thông tin cầm tay đa băng tần V-UHF ứng dụng công nghệ vô tuyến thích nghi - VRH811/S1</v>
          </cell>
          <cell r="G1497" t="str">
            <v>KHCN</v>
          </cell>
          <cell r="I1497" t="str">
            <v>KDDH</v>
          </cell>
          <cell r="AC1497">
            <v>1030000</v>
          </cell>
          <cell r="AD1497">
            <v>39198549</v>
          </cell>
          <cell r="AE1497">
            <v>3100074</v>
          </cell>
          <cell r="AF1497">
            <v>3002255</v>
          </cell>
          <cell r="AG1497">
            <v>0</v>
          </cell>
          <cell r="AH1497">
            <v>0</v>
          </cell>
          <cell r="AI1497">
            <v>0</v>
          </cell>
          <cell r="AJ1497">
            <v>0</v>
          </cell>
          <cell r="AK1497">
            <v>74529</v>
          </cell>
          <cell r="AL1497">
            <v>163033</v>
          </cell>
          <cell r="AM1497">
            <v>13974</v>
          </cell>
          <cell r="AN1497">
            <v>27949</v>
          </cell>
          <cell r="AO1497">
            <v>9316</v>
          </cell>
          <cell r="AP1497">
            <v>9316</v>
          </cell>
        </row>
        <row r="1498">
          <cell r="D1498" t="str">
            <v>Nghiên cứu, chế tạo máy thông tin cầm tay đa băng tần V-UHF ứng dụng công nghệ vô tuyến thích nghi - VRH811/S1</v>
          </cell>
          <cell r="G1498" t="str">
            <v>KHCN</v>
          </cell>
          <cell r="I1498" t="str">
            <v>KDDH</v>
          </cell>
          <cell r="AC1498">
            <v>1147000</v>
          </cell>
          <cell r="AD1498">
            <v>34970271</v>
          </cell>
          <cell r="AE1498">
            <v>1366687</v>
          </cell>
          <cell r="AF1498">
            <v>1320268</v>
          </cell>
          <cell r="AG1498">
            <v>0</v>
          </cell>
          <cell r="AH1498">
            <v>0</v>
          </cell>
          <cell r="AI1498">
            <v>0</v>
          </cell>
          <cell r="AJ1498">
            <v>0</v>
          </cell>
          <cell r="AK1498">
            <v>35367</v>
          </cell>
          <cell r="AL1498">
            <v>77365</v>
          </cell>
          <cell r="AM1498">
            <v>6631</v>
          </cell>
          <cell r="AN1498">
            <v>13263</v>
          </cell>
          <cell r="AO1498">
            <v>4421</v>
          </cell>
          <cell r="AP1498">
            <v>4421</v>
          </cell>
        </row>
        <row r="1499">
          <cell r="D1499" t="str">
            <v>Nghiên cứu, chế tạo máy thông tin cầm tay đa băng tần V-UHF ứng dụng công nghệ vô tuyến thích nghi - VRH811/S1</v>
          </cell>
          <cell r="G1499" t="str">
            <v>KHCN</v>
          </cell>
          <cell r="I1499" t="str">
            <v>KDDH</v>
          </cell>
          <cell r="AC1499">
            <v>1030000</v>
          </cell>
          <cell r="AD1499">
            <v>33660671</v>
          </cell>
          <cell r="AE1499">
            <v>9239316</v>
          </cell>
          <cell r="AF1499">
            <v>8930232</v>
          </cell>
          <cell r="AG1499">
            <v>0</v>
          </cell>
          <cell r="AH1499">
            <v>0</v>
          </cell>
          <cell r="AI1499">
            <v>0</v>
          </cell>
          <cell r="AJ1499">
            <v>0</v>
          </cell>
          <cell r="AK1499">
            <v>235492</v>
          </cell>
          <cell r="AL1499">
            <v>515139</v>
          </cell>
          <cell r="AM1499">
            <v>44155</v>
          </cell>
          <cell r="AN1499">
            <v>88310</v>
          </cell>
          <cell r="AO1499">
            <v>29437</v>
          </cell>
          <cell r="AP1499">
            <v>29437</v>
          </cell>
        </row>
        <row r="1500">
          <cell r="D1500" t="str">
            <v>Nghiên cứu, chế tạo máy thông tin cầm tay đa băng tần V-UHF ứng dụng công nghệ vô tuyến thích nghi - VRH811/S1</v>
          </cell>
          <cell r="G1500" t="str">
            <v>KHCN</v>
          </cell>
          <cell r="I1500" t="str">
            <v>KDDH</v>
          </cell>
          <cell r="AC1500">
            <v>1030000</v>
          </cell>
          <cell r="AD1500">
            <v>25315380</v>
          </cell>
          <cell r="AE1500">
            <v>7733539</v>
          </cell>
          <cell r="AF1500">
            <v>7414718</v>
          </cell>
          <cell r="AG1500">
            <v>0</v>
          </cell>
          <cell r="AH1500">
            <v>0</v>
          </cell>
          <cell r="AI1500">
            <v>0</v>
          </cell>
          <cell r="AJ1500">
            <v>0</v>
          </cell>
          <cell r="AK1500">
            <v>242911</v>
          </cell>
          <cell r="AL1500">
            <v>531367</v>
          </cell>
          <cell r="AM1500">
            <v>45546</v>
          </cell>
          <cell r="AN1500">
            <v>91091</v>
          </cell>
          <cell r="AO1500">
            <v>30364</v>
          </cell>
          <cell r="AP1500">
            <v>30364</v>
          </cell>
        </row>
        <row r="1501">
          <cell r="D1501" t="str">
            <v>Nghiên cứu, thiết kế, chế tạo khối khuếch đại công suất 50W đa băng VHF/UHF dải rộng cho hệ thống thông tin thế hệ mới</v>
          </cell>
          <cell r="G1501" t="str">
            <v>KHCN</v>
          </cell>
          <cell r="I1501" t="str">
            <v>KDDH</v>
          </cell>
          <cell r="AC1501">
            <v>1347000</v>
          </cell>
          <cell r="AD1501">
            <v>76141940</v>
          </cell>
          <cell r="AE1501">
            <v>3146883</v>
          </cell>
          <cell r="AF1501">
            <v>3102519</v>
          </cell>
          <cell r="AG1501">
            <v>0</v>
          </cell>
          <cell r="AH1501">
            <v>0</v>
          </cell>
          <cell r="AI1501">
            <v>0</v>
          </cell>
          <cell r="AJ1501">
            <v>0</v>
          </cell>
          <cell r="AK1501">
            <v>37359</v>
          </cell>
          <cell r="AL1501">
            <v>81722</v>
          </cell>
          <cell r="AM1501">
            <v>7005</v>
          </cell>
          <cell r="AN1501">
            <v>14009</v>
          </cell>
          <cell r="AO1501">
            <v>0</v>
          </cell>
          <cell r="AP1501">
            <v>0</v>
          </cell>
        </row>
        <row r="1502">
          <cell r="D1502" t="str">
            <v>Nghiên cứu, thiết kế, chế tạo khối khuếch đại công suất 50W đa băng VHF/UHF dải rộng cho hệ thống thông tin thế hệ mới</v>
          </cell>
          <cell r="G1502" t="str">
            <v>KHCN</v>
          </cell>
          <cell r="I1502" t="str">
            <v>KDDH</v>
          </cell>
          <cell r="AC1502">
            <v>1030000</v>
          </cell>
          <cell r="AD1502">
            <v>47311866</v>
          </cell>
          <cell r="AE1502">
            <v>1891134</v>
          </cell>
          <cell r="AF1502">
            <v>1837016</v>
          </cell>
          <cell r="AG1502">
            <v>0</v>
          </cell>
          <cell r="AH1502">
            <v>0</v>
          </cell>
          <cell r="AI1502">
            <v>0</v>
          </cell>
          <cell r="AJ1502">
            <v>0</v>
          </cell>
          <cell r="AK1502">
            <v>41233</v>
          </cell>
          <cell r="AL1502">
            <v>90197</v>
          </cell>
          <cell r="AM1502">
            <v>7731</v>
          </cell>
          <cell r="AN1502">
            <v>15462</v>
          </cell>
          <cell r="AO1502">
            <v>5154</v>
          </cell>
          <cell r="AP1502">
            <v>5154</v>
          </cell>
        </row>
        <row r="1503">
          <cell r="D1503" t="str">
            <v>Nghiên cứu, thiết kế, chế tạo khối khuếch đại công suất 50W đa băng VHF/UHF dải rộng cho hệ thống thông tin thế hệ mới</v>
          </cell>
          <cell r="G1503" t="str">
            <v>KHCN</v>
          </cell>
          <cell r="I1503" t="str">
            <v>KDDH</v>
          </cell>
          <cell r="AC1503">
            <v>1147000</v>
          </cell>
          <cell r="AD1503">
            <v>34970271</v>
          </cell>
          <cell r="AE1503">
            <v>1366687</v>
          </cell>
          <cell r="AF1503">
            <v>1320268</v>
          </cell>
          <cell r="AG1503">
            <v>0</v>
          </cell>
          <cell r="AH1503">
            <v>0</v>
          </cell>
          <cell r="AI1503">
            <v>0</v>
          </cell>
          <cell r="AJ1503">
            <v>0</v>
          </cell>
          <cell r="AK1503">
            <v>35367</v>
          </cell>
          <cell r="AL1503">
            <v>77365</v>
          </cell>
          <cell r="AM1503">
            <v>6631</v>
          </cell>
          <cell r="AN1503">
            <v>13263</v>
          </cell>
          <cell r="AO1503">
            <v>4421</v>
          </cell>
          <cell r="AP1503">
            <v>4421</v>
          </cell>
        </row>
        <row r="1504">
          <cell r="D1504" t="str">
            <v>Nghiên cứu, thiết kế, chế tạo khối khuếch đại công suất 50W đa băng VHF/UHF dải rộng cho hệ thống thông tin thế hệ mới</v>
          </cell>
          <cell r="G1504" t="str">
            <v>KHCN</v>
          </cell>
          <cell r="I1504" t="str">
            <v>KDDH</v>
          </cell>
          <cell r="AC1504">
            <v>1030000</v>
          </cell>
          <cell r="AD1504">
            <v>26976540</v>
          </cell>
          <cell r="AE1504">
            <v>1034356</v>
          </cell>
          <cell r="AF1504">
            <v>992465</v>
          </cell>
          <cell r="AG1504">
            <v>0</v>
          </cell>
          <cell r="AH1504">
            <v>0</v>
          </cell>
          <cell r="AI1504">
            <v>0</v>
          </cell>
          <cell r="AJ1504">
            <v>0</v>
          </cell>
          <cell r="AK1504">
            <v>31917</v>
          </cell>
          <cell r="AL1504">
            <v>69817</v>
          </cell>
          <cell r="AM1504">
            <v>5984</v>
          </cell>
          <cell r="AN1504">
            <v>11969</v>
          </cell>
          <cell r="AO1504">
            <v>3990</v>
          </cell>
          <cell r="AP1504">
            <v>3990</v>
          </cell>
        </row>
        <row r="1505">
          <cell r="D1505" t="str">
            <v>Nghiên cứu, thiết kế, chế tạo khối khuếch đại công suất 50W đa băng VHF/UHF dải rộng cho hệ thống thông tin thế hệ mới</v>
          </cell>
          <cell r="G1505" t="str">
            <v>KHCN</v>
          </cell>
          <cell r="I1505" t="str">
            <v>KDDH</v>
          </cell>
          <cell r="AC1505">
            <v>1147000</v>
          </cell>
          <cell r="AD1505">
            <v>29718668</v>
          </cell>
          <cell r="AE1505">
            <v>1143424</v>
          </cell>
          <cell r="AF1505">
            <v>1099269</v>
          </cell>
          <cell r="AG1505">
            <v>0</v>
          </cell>
          <cell r="AH1505">
            <v>0</v>
          </cell>
          <cell r="AI1505">
            <v>0</v>
          </cell>
          <cell r="AJ1505">
            <v>0</v>
          </cell>
          <cell r="AK1505">
            <v>33642</v>
          </cell>
          <cell r="AL1505">
            <v>73591</v>
          </cell>
          <cell r="AM1505">
            <v>6308</v>
          </cell>
          <cell r="AN1505">
            <v>12616</v>
          </cell>
          <cell r="AO1505">
            <v>4205</v>
          </cell>
          <cell r="AP1505">
            <v>4205</v>
          </cell>
        </row>
        <row r="1506">
          <cell r="D1506" t="str">
            <v>Nghiên cứu công nghệ và chế tạo hệ thống trinh sát, chế áp phương tiện bay không người lái hạng nhẹ</v>
          </cell>
          <cell r="G1506" t="str">
            <v>KHCN</v>
          </cell>
          <cell r="I1506" t="str">
            <v>KDDH</v>
          </cell>
          <cell r="AC1506">
            <v>1347000</v>
          </cell>
          <cell r="AD1506">
            <v>76141940</v>
          </cell>
          <cell r="AE1506">
            <v>3146883</v>
          </cell>
          <cell r="AF1506">
            <v>3102519</v>
          </cell>
          <cell r="AG1506">
            <v>0</v>
          </cell>
          <cell r="AH1506">
            <v>0</v>
          </cell>
          <cell r="AI1506">
            <v>0</v>
          </cell>
          <cell r="AJ1506">
            <v>0</v>
          </cell>
          <cell r="AK1506">
            <v>37359</v>
          </cell>
          <cell r="AL1506">
            <v>81722</v>
          </cell>
          <cell r="AM1506">
            <v>7005</v>
          </cell>
          <cell r="AN1506">
            <v>14009</v>
          </cell>
          <cell r="AO1506">
            <v>0</v>
          </cell>
          <cell r="AP1506">
            <v>0</v>
          </cell>
        </row>
        <row r="1507">
          <cell r="D1507" t="str">
            <v>Nghiên cứu công nghệ và chế tạo hệ thống trinh sát, chế áp phương tiện bay không người lái hạng nhẹ</v>
          </cell>
          <cell r="G1507" t="str">
            <v>KHCN</v>
          </cell>
          <cell r="I1507" t="str">
            <v>KDDH</v>
          </cell>
          <cell r="AC1507">
            <v>1030000</v>
          </cell>
          <cell r="AD1507">
            <v>27879781</v>
          </cell>
          <cell r="AE1507">
            <v>3220881</v>
          </cell>
          <cell r="AF1507">
            <v>3095209</v>
          </cell>
          <cell r="AG1507">
            <v>0</v>
          </cell>
          <cell r="AH1507">
            <v>0</v>
          </cell>
          <cell r="AI1507">
            <v>0</v>
          </cell>
          <cell r="AJ1507">
            <v>0</v>
          </cell>
          <cell r="AK1507">
            <v>95750</v>
          </cell>
          <cell r="AL1507">
            <v>209452</v>
          </cell>
          <cell r="AM1507">
            <v>17953</v>
          </cell>
          <cell r="AN1507">
            <v>35906</v>
          </cell>
          <cell r="AO1507">
            <v>11969</v>
          </cell>
          <cell r="AP1507">
            <v>11969</v>
          </cell>
        </row>
        <row r="1508">
          <cell r="D1508" t="str">
            <v>Nghiên cứu công nghệ và chế tạo hệ thống trinh sát, chế áp phương tiện bay không người lái hạng nhẹ</v>
          </cell>
          <cell r="G1508" t="str">
            <v>KHCN</v>
          </cell>
          <cell r="I1508" t="str">
            <v>KDDH</v>
          </cell>
          <cell r="AC1508">
            <v>1030000</v>
          </cell>
          <cell r="AD1508">
            <v>47311866</v>
          </cell>
          <cell r="AE1508">
            <v>3782268</v>
          </cell>
          <cell r="AF1508">
            <v>3674033</v>
          </cell>
          <cell r="AG1508">
            <v>0</v>
          </cell>
          <cell r="AH1508">
            <v>0</v>
          </cell>
          <cell r="AI1508">
            <v>0</v>
          </cell>
          <cell r="AJ1508">
            <v>0</v>
          </cell>
          <cell r="AK1508">
            <v>82465</v>
          </cell>
          <cell r="AL1508">
            <v>180393</v>
          </cell>
          <cell r="AM1508">
            <v>15462</v>
          </cell>
          <cell r="AN1508">
            <v>30925</v>
          </cell>
          <cell r="AO1508">
            <v>10308</v>
          </cell>
          <cell r="AP1508">
            <v>10308</v>
          </cell>
        </row>
        <row r="1509">
          <cell r="D1509" t="str">
            <v>Nghiên cứu công nghệ và chế tạo hệ thống trinh sát, chế áp phương tiện bay không người lái hạng nhẹ</v>
          </cell>
          <cell r="G1509" t="str">
            <v>KHCN</v>
          </cell>
          <cell r="I1509" t="str">
            <v>KDDH</v>
          </cell>
          <cell r="AC1509">
            <v>1030000</v>
          </cell>
          <cell r="AD1509">
            <v>39198549</v>
          </cell>
          <cell r="AE1509">
            <v>6200148</v>
          </cell>
          <cell r="AF1509">
            <v>6004508</v>
          </cell>
          <cell r="AG1509">
            <v>0</v>
          </cell>
          <cell r="AH1509">
            <v>0</v>
          </cell>
          <cell r="AI1509">
            <v>0</v>
          </cell>
          <cell r="AJ1509">
            <v>0</v>
          </cell>
          <cell r="AK1509">
            <v>149059</v>
          </cell>
          <cell r="AL1509">
            <v>326066</v>
          </cell>
          <cell r="AM1509">
            <v>27949</v>
          </cell>
          <cell r="AN1509">
            <v>55897</v>
          </cell>
          <cell r="AO1509">
            <v>18632</v>
          </cell>
          <cell r="AP1509">
            <v>18632</v>
          </cell>
        </row>
        <row r="1510">
          <cell r="D1510" t="str">
            <v>Nghiên cứu công nghệ và chế tạo hệ thống trinh sát, chế áp phương tiện bay không người lái hạng nhẹ</v>
          </cell>
          <cell r="G1510" t="str">
            <v>KHCN</v>
          </cell>
          <cell r="I1510" t="str">
            <v>KDDH</v>
          </cell>
          <cell r="AC1510">
            <v>1047000</v>
          </cell>
          <cell r="AD1510">
            <v>25459420</v>
          </cell>
          <cell r="AE1510">
            <v>1935310</v>
          </cell>
          <cell r="AF1510">
            <v>1851529</v>
          </cell>
          <cell r="AG1510">
            <v>0</v>
          </cell>
          <cell r="AH1510">
            <v>0</v>
          </cell>
          <cell r="AI1510">
            <v>0</v>
          </cell>
          <cell r="AJ1510">
            <v>0</v>
          </cell>
          <cell r="AK1510">
            <v>63833</v>
          </cell>
          <cell r="AL1510">
            <v>139635</v>
          </cell>
          <cell r="AM1510">
            <v>11969</v>
          </cell>
          <cell r="AN1510">
            <v>23937</v>
          </cell>
          <cell r="AO1510">
            <v>7979</v>
          </cell>
          <cell r="AP1510">
            <v>7979</v>
          </cell>
        </row>
        <row r="1511">
          <cell r="D1511" t="str">
            <v>Nghiên cứu công nghệ và chế tạo hệ thống trinh sát, chế áp phương tiện bay không người lái hạng nhẹ</v>
          </cell>
          <cell r="G1511" t="str">
            <v>KHCN</v>
          </cell>
          <cell r="I1511" t="str">
            <v>KDDH</v>
          </cell>
          <cell r="AC1511">
            <v>1047000</v>
          </cell>
          <cell r="AD1511">
            <v>30517090</v>
          </cell>
          <cell r="AE1511">
            <v>4729943</v>
          </cell>
          <cell r="AF1511">
            <v>4553324</v>
          </cell>
          <cell r="AG1511">
            <v>0</v>
          </cell>
          <cell r="AH1511">
            <v>0</v>
          </cell>
          <cell r="AI1511">
            <v>0</v>
          </cell>
          <cell r="AJ1511">
            <v>0</v>
          </cell>
          <cell r="AK1511">
            <v>134567</v>
          </cell>
          <cell r="AL1511">
            <v>294365</v>
          </cell>
          <cell r="AM1511">
            <v>25231</v>
          </cell>
          <cell r="AN1511">
            <v>50463</v>
          </cell>
          <cell r="AO1511">
            <v>16821</v>
          </cell>
          <cell r="AP1511">
            <v>16821</v>
          </cell>
        </row>
        <row r="1512">
          <cell r="D1512" t="str">
            <v>Nghiên cứu công nghệ và chế tạo hệ thống trinh sát, chế áp phương tiện bay không người lái hạng nhẹ</v>
          </cell>
          <cell r="G1512" t="str">
            <v>KHCN</v>
          </cell>
          <cell r="I1512" t="str">
            <v>KDDH</v>
          </cell>
          <cell r="AC1512">
            <v>1147000</v>
          </cell>
          <cell r="AD1512">
            <v>29718668</v>
          </cell>
          <cell r="AE1512">
            <v>2286848</v>
          </cell>
          <cell r="AF1512">
            <v>2198539</v>
          </cell>
          <cell r="AG1512">
            <v>0</v>
          </cell>
          <cell r="AH1512">
            <v>0</v>
          </cell>
          <cell r="AI1512">
            <v>0</v>
          </cell>
          <cell r="AJ1512">
            <v>0</v>
          </cell>
          <cell r="AK1512">
            <v>67283</v>
          </cell>
          <cell r="AL1512">
            <v>147183</v>
          </cell>
          <cell r="AM1512">
            <v>12616</v>
          </cell>
          <cell r="AN1512">
            <v>25231</v>
          </cell>
          <cell r="AO1512">
            <v>8410</v>
          </cell>
          <cell r="AP1512">
            <v>8410</v>
          </cell>
        </row>
        <row r="1513">
          <cell r="D1513" t="str">
            <v>Nghiên cứu, xây dựng nền tảng khung thân vỏ, hệ thống động lực nhiên liệu và hệ thống điện cho UAV đa năng tầm xa</v>
          </cell>
          <cell r="G1513" t="str">
            <v>KHCN</v>
          </cell>
          <cell r="I1513" t="str">
            <v>KDDH</v>
          </cell>
          <cell r="AC1513">
            <v>1347000</v>
          </cell>
          <cell r="AD1513">
            <v>76141940</v>
          </cell>
          <cell r="AE1513">
            <v>3146883</v>
          </cell>
          <cell r="AF1513">
            <v>3102519</v>
          </cell>
          <cell r="AG1513">
            <v>0</v>
          </cell>
          <cell r="AH1513">
            <v>0</v>
          </cell>
          <cell r="AI1513">
            <v>0</v>
          </cell>
          <cell r="AJ1513">
            <v>0</v>
          </cell>
          <cell r="AK1513">
            <v>37359</v>
          </cell>
          <cell r="AL1513">
            <v>81722</v>
          </cell>
          <cell r="AM1513">
            <v>7005</v>
          </cell>
          <cell r="AN1513">
            <v>14009</v>
          </cell>
          <cell r="AO1513">
            <v>0</v>
          </cell>
          <cell r="AP1513">
            <v>0</v>
          </cell>
        </row>
        <row r="1514">
          <cell r="D1514" t="str">
            <v>Nghiên cứu, xây dựng nền tảng khung thân vỏ, hệ thống động lực nhiên liệu và hệ thống điện cho UAV đa năng tầm xa</v>
          </cell>
          <cell r="G1514" t="str">
            <v>KHCN</v>
          </cell>
          <cell r="I1514" t="str">
            <v>KDDH</v>
          </cell>
          <cell r="AC1514">
            <v>1030000</v>
          </cell>
          <cell r="AD1514">
            <v>27879781</v>
          </cell>
          <cell r="AE1514">
            <v>1073627</v>
          </cell>
          <cell r="AF1514">
            <v>1031736</v>
          </cell>
          <cell r="AG1514">
            <v>0</v>
          </cell>
          <cell r="AH1514">
            <v>0</v>
          </cell>
          <cell r="AI1514">
            <v>0</v>
          </cell>
          <cell r="AJ1514">
            <v>0</v>
          </cell>
          <cell r="AK1514">
            <v>31917</v>
          </cell>
          <cell r="AL1514">
            <v>69817</v>
          </cell>
          <cell r="AM1514">
            <v>5984</v>
          </cell>
          <cell r="AN1514">
            <v>11969</v>
          </cell>
          <cell r="AO1514">
            <v>3990</v>
          </cell>
          <cell r="AP1514">
            <v>3990</v>
          </cell>
        </row>
        <row r="1515">
          <cell r="D1515" t="str">
            <v>Nghiên cứu, xây dựng nền tảng khung thân vỏ, hệ thống động lực nhiên liệu và hệ thống điện cho UAV đa năng tầm xa</v>
          </cell>
          <cell r="G1515" t="str">
            <v>KHCN</v>
          </cell>
          <cell r="I1515" t="str">
            <v>KDDH</v>
          </cell>
          <cell r="AC1515">
            <v>1030000</v>
          </cell>
          <cell r="AD1515">
            <v>47311866</v>
          </cell>
          <cell r="AE1515">
            <v>1891134</v>
          </cell>
          <cell r="AF1515">
            <v>1837016</v>
          </cell>
          <cell r="AG1515">
            <v>0</v>
          </cell>
          <cell r="AH1515">
            <v>0</v>
          </cell>
          <cell r="AI1515">
            <v>0</v>
          </cell>
          <cell r="AJ1515">
            <v>0</v>
          </cell>
          <cell r="AK1515">
            <v>41233</v>
          </cell>
          <cell r="AL1515">
            <v>90197</v>
          </cell>
          <cell r="AM1515">
            <v>7731</v>
          </cell>
          <cell r="AN1515">
            <v>15462</v>
          </cell>
          <cell r="AO1515">
            <v>5154</v>
          </cell>
          <cell r="AP1515">
            <v>5154</v>
          </cell>
        </row>
        <row r="1516">
          <cell r="D1516" t="str">
            <v>Nghiên cứu, xây dựng nền tảng khung thân vỏ, hệ thống động lực nhiên liệu và hệ thống điện cho UAV đa năng tầm xa</v>
          </cell>
          <cell r="G1516" t="str">
            <v>KHCN</v>
          </cell>
          <cell r="I1516" t="str">
            <v>KDDH</v>
          </cell>
          <cell r="AC1516">
            <v>1047000</v>
          </cell>
          <cell r="AD1516">
            <v>24041160</v>
          </cell>
          <cell r="AE1516">
            <v>1811983</v>
          </cell>
          <cell r="AF1516">
            <v>1728202</v>
          </cell>
          <cell r="AG1516">
            <v>0</v>
          </cell>
          <cell r="AH1516">
            <v>0</v>
          </cell>
          <cell r="AI1516">
            <v>0</v>
          </cell>
          <cell r="AJ1516">
            <v>0</v>
          </cell>
          <cell r="AK1516">
            <v>63833</v>
          </cell>
          <cell r="AL1516">
            <v>139635</v>
          </cell>
          <cell r="AM1516">
            <v>11969</v>
          </cell>
          <cell r="AN1516">
            <v>23937</v>
          </cell>
          <cell r="AO1516">
            <v>7979</v>
          </cell>
          <cell r="AP1516">
            <v>7979</v>
          </cell>
        </row>
        <row r="1517">
          <cell r="D1517" t="str">
            <v>Nghiên cứu, xây dựng nền tảng khung thân vỏ, hệ thống động lực nhiên liệu và hệ thống điện cho UAV đa năng tầm xa</v>
          </cell>
          <cell r="G1517" t="str">
            <v>KHCN</v>
          </cell>
          <cell r="I1517" t="str">
            <v>KDDH</v>
          </cell>
          <cell r="AC1517">
            <v>1030000</v>
          </cell>
          <cell r="AD1517">
            <v>39198549</v>
          </cell>
          <cell r="AE1517">
            <v>3100074</v>
          </cell>
          <cell r="AF1517">
            <v>3002255</v>
          </cell>
          <cell r="AG1517">
            <v>0</v>
          </cell>
          <cell r="AH1517">
            <v>0</v>
          </cell>
          <cell r="AI1517">
            <v>0</v>
          </cell>
          <cell r="AJ1517">
            <v>0</v>
          </cell>
          <cell r="AK1517">
            <v>74529</v>
          </cell>
          <cell r="AL1517">
            <v>163033</v>
          </cell>
          <cell r="AM1517">
            <v>13974</v>
          </cell>
          <cell r="AN1517">
            <v>27949</v>
          </cell>
          <cell r="AO1517">
            <v>9316</v>
          </cell>
          <cell r="AP1517">
            <v>9316</v>
          </cell>
        </row>
        <row r="1518">
          <cell r="D1518" t="str">
            <v>Nghiên cứu, xây dựng nền tảng khung thân vỏ, hệ thống động lực nhiên liệu và hệ thống điện cho UAV đa năng tầm xa</v>
          </cell>
          <cell r="G1518" t="str">
            <v>KHCN</v>
          </cell>
          <cell r="I1518" t="str">
            <v>KDDH</v>
          </cell>
          <cell r="AC1518">
            <v>1047000</v>
          </cell>
          <cell r="AD1518">
            <v>21667678</v>
          </cell>
          <cell r="AE1518">
            <v>2435756</v>
          </cell>
          <cell r="AF1518">
            <v>2322313</v>
          </cell>
          <cell r="AG1518">
            <v>0</v>
          </cell>
          <cell r="AH1518">
            <v>0</v>
          </cell>
          <cell r="AI1518">
            <v>0</v>
          </cell>
          <cell r="AJ1518">
            <v>0</v>
          </cell>
          <cell r="AK1518">
            <v>86433</v>
          </cell>
          <cell r="AL1518">
            <v>189073</v>
          </cell>
          <cell r="AM1518">
            <v>16206</v>
          </cell>
          <cell r="AN1518">
            <v>32413</v>
          </cell>
          <cell r="AO1518">
            <v>10804</v>
          </cell>
          <cell r="AP1518">
            <v>10804</v>
          </cell>
        </row>
        <row r="1519">
          <cell r="D1519" t="str">
            <v>Nghiên cứu, xây dựng nền tảng khung thân vỏ, hệ thống động lực nhiên liệu và hệ thống điện cho UAV đa năng tầm xa</v>
          </cell>
          <cell r="G1519" t="str">
            <v>KHCN</v>
          </cell>
          <cell r="I1519" t="str">
            <v>KDDH</v>
          </cell>
          <cell r="AC1519">
            <v>1030000</v>
          </cell>
          <cell r="AD1519">
            <v>33660671</v>
          </cell>
          <cell r="AE1519">
            <v>3959707</v>
          </cell>
          <cell r="AF1519">
            <v>3827243</v>
          </cell>
          <cell r="AG1519">
            <v>0</v>
          </cell>
          <cell r="AH1519">
            <v>0</v>
          </cell>
          <cell r="AI1519">
            <v>0</v>
          </cell>
          <cell r="AJ1519">
            <v>0</v>
          </cell>
          <cell r="AK1519">
            <v>100925</v>
          </cell>
          <cell r="AL1519">
            <v>220774</v>
          </cell>
          <cell r="AM1519">
            <v>18923</v>
          </cell>
          <cell r="AN1519">
            <v>37847</v>
          </cell>
          <cell r="AO1519">
            <v>12616</v>
          </cell>
          <cell r="AP1519">
            <v>12616</v>
          </cell>
        </row>
        <row r="1520">
          <cell r="D1520" t="str">
            <v>Nghiên cứu, xây dựng nền tảng khung thân vỏ, hệ thống động lực nhiên liệu và hệ thống điện cho UAV đa năng tầm xa</v>
          </cell>
          <cell r="G1520" t="str">
            <v>KHCN</v>
          </cell>
          <cell r="I1520" t="str">
            <v>KDDH</v>
          </cell>
          <cell r="AC1520">
            <v>1030000</v>
          </cell>
          <cell r="AD1520">
            <v>25315380</v>
          </cell>
          <cell r="AE1520">
            <v>4833462</v>
          </cell>
          <cell r="AF1520">
            <v>4634200</v>
          </cell>
          <cell r="AG1520">
            <v>0</v>
          </cell>
          <cell r="AH1520">
            <v>0</v>
          </cell>
          <cell r="AI1520">
            <v>0</v>
          </cell>
          <cell r="AJ1520">
            <v>0</v>
          </cell>
          <cell r="AK1520">
            <v>151819</v>
          </cell>
          <cell r="AL1520">
            <v>332104</v>
          </cell>
          <cell r="AM1520">
            <v>28466</v>
          </cell>
          <cell r="AN1520">
            <v>56932</v>
          </cell>
          <cell r="AO1520">
            <v>18977</v>
          </cell>
          <cell r="AP1520">
            <v>18977</v>
          </cell>
        </row>
        <row r="1521">
          <cell r="D1521" t="str">
            <v>Nghiên cứu, xây dựng nền tảng khung thân vỏ, hệ thống động lực nhiên liệu và hệ thống điện cho UAV đa năng tầm xa</v>
          </cell>
          <cell r="G1521" t="str">
            <v>KHCN</v>
          </cell>
          <cell r="I1521" t="str">
            <v>KDDH</v>
          </cell>
          <cell r="AC1521">
            <v>1147000</v>
          </cell>
          <cell r="AD1521">
            <v>29718668</v>
          </cell>
          <cell r="AE1521">
            <v>4573695</v>
          </cell>
          <cell r="AF1521">
            <v>4397076</v>
          </cell>
          <cell r="AG1521">
            <v>0</v>
          </cell>
          <cell r="AH1521">
            <v>0</v>
          </cell>
          <cell r="AI1521">
            <v>0</v>
          </cell>
          <cell r="AJ1521">
            <v>0</v>
          </cell>
          <cell r="AK1521">
            <v>134567</v>
          </cell>
          <cell r="AL1521">
            <v>294365</v>
          </cell>
          <cell r="AM1521">
            <v>25231</v>
          </cell>
          <cell r="AN1521">
            <v>50463</v>
          </cell>
          <cell r="AO1521">
            <v>16821</v>
          </cell>
          <cell r="AP1521">
            <v>16821</v>
          </cell>
        </row>
        <row r="1522">
          <cell r="D1522" t="str">
            <v>Nghiên cứu, xây dựng nền tảng khung thân vỏ, hệ thống động lực nhiên liệu và hệ thống điện cho UAV đa năng tầm xa</v>
          </cell>
          <cell r="G1522" t="str">
            <v>KHCN</v>
          </cell>
          <cell r="I1522" t="str">
            <v>KDDH</v>
          </cell>
          <cell r="AC1522">
            <v>1047000</v>
          </cell>
          <cell r="AD1522">
            <v>21860216</v>
          </cell>
          <cell r="AE1522">
            <v>1631457</v>
          </cell>
          <cell r="AF1522">
            <v>1551752</v>
          </cell>
          <cell r="AG1522">
            <v>0</v>
          </cell>
          <cell r="AH1522">
            <v>0</v>
          </cell>
          <cell r="AI1522">
            <v>0</v>
          </cell>
          <cell r="AJ1522">
            <v>0</v>
          </cell>
          <cell r="AK1522">
            <v>60728</v>
          </cell>
          <cell r="AL1522">
            <v>132842</v>
          </cell>
          <cell r="AM1522">
            <v>11386</v>
          </cell>
          <cell r="AN1522">
            <v>22773</v>
          </cell>
          <cell r="AO1522">
            <v>7591</v>
          </cell>
          <cell r="AP1522">
            <v>7591</v>
          </cell>
        </row>
        <row r="1523">
          <cell r="D1523" t="str">
            <v>Sản xuất 06 tổ hợp trinh sát, gây nhiễu chống phương tiện bay không người lái cấp chiến thuật BV5 và bộ ZIP vật tư dự phòng năm 2024 (Tổ hợp BV5 chống UAV)</v>
          </cell>
          <cell r="G1523" t="str">
            <v>SXKD</v>
          </cell>
          <cell r="I1523" t="str">
            <v>KDDH</v>
          </cell>
          <cell r="AC1523">
            <v>1347000</v>
          </cell>
          <cell r="AD1523">
            <v>76141940</v>
          </cell>
          <cell r="AE1523">
            <v>3146883</v>
          </cell>
          <cell r="AF1523">
            <v>3102519</v>
          </cell>
          <cell r="AG1523">
            <v>0</v>
          </cell>
          <cell r="AH1523">
            <v>0</v>
          </cell>
          <cell r="AI1523">
            <v>0</v>
          </cell>
          <cell r="AJ1523">
            <v>0</v>
          </cell>
          <cell r="AK1523">
            <v>37359</v>
          </cell>
          <cell r="AL1523">
            <v>81722</v>
          </cell>
          <cell r="AM1523">
            <v>7005</v>
          </cell>
          <cell r="AN1523">
            <v>14009</v>
          </cell>
          <cell r="AO1523">
            <v>0</v>
          </cell>
          <cell r="AP1523">
            <v>0</v>
          </cell>
        </row>
        <row r="1524">
          <cell r="D1524" t="str">
            <v>Sản xuất 06 tổ hợp trinh sát, gây nhiễu chống phương tiện bay không người lái cấp chiến thuật BV5 và bộ ZIP vật tư dự phòng năm 2024 (Tổ hợp BV5 chống UAV)</v>
          </cell>
          <cell r="G1524" t="str">
            <v>SXKD</v>
          </cell>
          <cell r="I1524" t="str">
            <v>KDDH</v>
          </cell>
          <cell r="AC1524">
            <v>1030000</v>
          </cell>
          <cell r="AD1524">
            <v>27879781</v>
          </cell>
          <cell r="AE1524">
            <v>5368135</v>
          </cell>
          <cell r="AF1524">
            <v>5158682</v>
          </cell>
          <cell r="AG1524">
            <v>0</v>
          </cell>
          <cell r="AH1524">
            <v>0</v>
          </cell>
          <cell r="AI1524">
            <v>0</v>
          </cell>
          <cell r="AJ1524">
            <v>0</v>
          </cell>
          <cell r="AK1524">
            <v>159583</v>
          </cell>
          <cell r="AL1524">
            <v>349087</v>
          </cell>
          <cell r="AM1524">
            <v>29922</v>
          </cell>
          <cell r="AN1524">
            <v>59843</v>
          </cell>
          <cell r="AO1524">
            <v>19948</v>
          </cell>
          <cell r="AP1524">
            <v>19948</v>
          </cell>
        </row>
        <row r="1525">
          <cell r="D1525" t="str">
            <v>Sản xuất 06 tổ hợp trinh sát, gây nhiễu chống phương tiện bay không người lái cấp chiến thuật BV5 và bộ ZIP vật tư dự phòng năm 2024 (Tổ hợp BV5 chống UAV)</v>
          </cell>
          <cell r="G1525" t="str">
            <v>SXKD</v>
          </cell>
          <cell r="I1525" t="str">
            <v>KDDH</v>
          </cell>
          <cell r="AC1525">
            <v>1030000</v>
          </cell>
          <cell r="AD1525">
            <v>47311866</v>
          </cell>
          <cell r="AE1525">
            <v>7564536</v>
          </cell>
          <cell r="AF1525">
            <v>7348064</v>
          </cell>
          <cell r="AG1525">
            <v>0</v>
          </cell>
          <cell r="AH1525">
            <v>0</v>
          </cell>
          <cell r="AI1525">
            <v>0</v>
          </cell>
          <cell r="AJ1525">
            <v>0</v>
          </cell>
          <cell r="AK1525">
            <v>164931</v>
          </cell>
          <cell r="AL1525">
            <v>360786</v>
          </cell>
          <cell r="AM1525">
            <v>30925</v>
          </cell>
          <cell r="AN1525">
            <v>61849</v>
          </cell>
          <cell r="AO1525">
            <v>20616</v>
          </cell>
          <cell r="AP1525">
            <v>20616</v>
          </cell>
        </row>
        <row r="1526">
          <cell r="D1526" t="str">
            <v>Sản xuất 06 tổ hợp trinh sát, gây nhiễu chống phương tiện bay không người lái cấp chiến thuật BV5 và bộ ZIP vật tư dự phòng năm 2024 (Tổ hợp BV5 chống UAV)</v>
          </cell>
          <cell r="G1526" t="str">
            <v>SXKD</v>
          </cell>
          <cell r="I1526" t="str">
            <v>KDDH</v>
          </cell>
          <cell r="AC1526">
            <v>1030000</v>
          </cell>
          <cell r="AD1526">
            <v>39198549</v>
          </cell>
          <cell r="AE1526">
            <v>6200148</v>
          </cell>
          <cell r="AF1526">
            <v>6004508</v>
          </cell>
          <cell r="AG1526">
            <v>0</v>
          </cell>
          <cell r="AH1526">
            <v>0</v>
          </cell>
          <cell r="AI1526">
            <v>0</v>
          </cell>
          <cell r="AJ1526">
            <v>0</v>
          </cell>
          <cell r="AK1526">
            <v>149059</v>
          </cell>
          <cell r="AL1526">
            <v>326066</v>
          </cell>
          <cell r="AM1526">
            <v>27949</v>
          </cell>
          <cell r="AN1526">
            <v>55897</v>
          </cell>
          <cell r="AO1526">
            <v>18632</v>
          </cell>
          <cell r="AP1526">
            <v>18632</v>
          </cell>
        </row>
        <row r="1527">
          <cell r="D1527" t="str">
            <v>Sản xuất 06 tổ hợp trinh sát, gây nhiễu chống phương tiện bay không người lái cấp chiến thuật BV5 và bộ ZIP vật tư dự phòng năm 2024 (Tổ hợp BV5 chống UAV)</v>
          </cell>
          <cell r="G1527" t="str">
            <v>SXKD</v>
          </cell>
          <cell r="I1527" t="str">
            <v>KDDH</v>
          </cell>
          <cell r="AC1527">
            <v>1047000</v>
          </cell>
          <cell r="AD1527">
            <v>21860216</v>
          </cell>
          <cell r="AE1527">
            <v>4078643</v>
          </cell>
          <cell r="AF1527">
            <v>3879381</v>
          </cell>
          <cell r="AG1527">
            <v>0</v>
          </cell>
          <cell r="AH1527">
            <v>0</v>
          </cell>
          <cell r="AI1527">
            <v>0</v>
          </cell>
          <cell r="AJ1527">
            <v>0</v>
          </cell>
          <cell r="AK1527">
            <v>151819</v>
          </cell>
          <cell r="AL1527">
            <v>332104</v>
          </cell>
          <cell r="AM1527">
            <v>28466</v>
          </cell>
          <cell r="AN1527">
            <v>56932</v>
          </cell>
          <cell r="AO1527">
            <v>18977</v>
          </cell>
          <cell r="AP1527">
            <v>18977</v>
          </cell>
        </row>
        <row r="1528">
          <cell r="D1528" t="str">
            <v>Cung cấp 55 xe chỉ huy tham mưu đa năng năm 2024</v>
          </cell>
          <cell r="G1528" t="str">
            <v>SXKD</v>
          </cell>
          <cell r="I1528" t="str">
            <v>KDDH</v>
          </cell>
          <cell r="AC1528">
            <v>1347000</v>
          </cell>
          <cell r="AD1528">
            <v>76141940</v>
          </cell>
          <cell r="AE1528">
            <v>3146883</v>
          </cell>
          <cell r="AF1528">
            <v>3102519</v>
          </cell>
          <cell r="AG1528">
            <v>0</v>
          </cell>
          <cell r="AH1528">
            <v>0</v>
          </cell>
          <cell r="AI1528">
            <v>0</v>
          </cell>
          <cell r="AJ1528">
            <v>0</v>
          </cell>
          <cell r="AK1528">
            <v>37359</v>
          </cell>
          <cell r="AL1528">
            <v>81722</v>
          </cell>
          <cell r="AM1528">
            <v>7005</v>
          </cell>
          <cell r="AN1528">
            <v>14009</v>
          </cell>
          <cell r="AO1528">
            <v>0</v>
          </cell>
          <cell r="AP1528">
            <v>0</v>
          </cell>
        </row>
        <row r="1529">
          <cell r="D1529" t="str">
            <v>Cung cấp 55 xe chỉ huy tham mưu đa năng năm 2024</v>
          </cell>
          <cell r="G1529" t="str">
            <v>SXKD</v>
          </cell>
          <cell r="I1529" t="str">
            <v>KDDH</v>
          </cell>
          <cell r="AC1529">
            <v>1030000</v>
          </cell>
          <cell r="AD1529">
            <v>47311866</v>
          </cell>
          <cell r="AE1529">
            <v>3782268</v>
          </cell>
          <cell r="AF1529">
            <v>3674033</v>
          </cell>
          <cell r="AG1529">
            <v>0</v>
          </cell>
          <cell r="AH1529">
            <v>0</v>
          </cell>
          <cell r="AI1529">
            <v>0</v>
          </cell>
          <cell r="AJ1529">
            <v>0</v>
          </cell>
          <cell r="AK1529">
            <v>82465</v>
          </cell>
          <cell r="AL1529">
            <v>180393</v>
          </cell>
          <cell r="AM1529">
            <v>15462</v>
          </cell>
          <cell r="AN1529">
            <v>30925</v>
          </cell>
          <cell r="AO1529">
            <v>10308</v>
          </cell>
          <cell r="AP1529">
            <v>10308</v>
          </cell>
        </row>
        <row r="1530">
          <cell r="D1530" t="str">
            <v>Cung cấp 55 xe chỉ huy tham mưu đa năng năm 2024</v>
          </cell>
          <cell r="G1530" t="str">
            <v>SXKD</v>
          </cell>
          <cell r="I1530" t="str">
            <v>KDDH</v>
          </cell>
          <cell r="AC1530">
            <v>1030000</v>
          </cell>
          <cell r="AD1530">
            <v>39198549</v>
          </cell>
          <cell r="AE1530">
            <v>7750185</v>
          </cell>
          <cell r="AF1530">
            <v>7505636</v>
          </cell>
          <cell r="AG1530">
            <v>0</v>
          </cell>
          <cell r="AH1530">
            <v>0</v>
          </cell>
          <cell r="AI1530">
            <v>0</v>
          </cell>
          <cell r="AJ1530">
            <v>0</v>
          </cell>
          <cell r="AK1530">
            <v>186323</v>
          </cell>
          <cell r="AL1530">
            <v>407583</v>
          </cell>
          <cell r="AM1530">
            <v>34936</v>
          </cell>
          <cell r="AN1530">
            <v>69871</v>
          </cell>
          <cell r="AO1530">
            <v>23290</v>
          </cell>
          <cell r="AP1530">
            <v>23290</v>
          </cell>
        </row>
        <row r="1531">
          <cell r="D1531" t="str">
            <v>Cung cấp 55 xe chỉ huy tham mưu đa năng năm 2024</v>
          </cell>
          <cell r="G1531" t="str">
            <v>SXKD</v>
          </cell>
          <cell r="I1531" t="str">
            <v>KDDH</v>
          </cell>
          <cell r="AC1531">
            <v>1030000</v>
          </cell>
          <cell r="AD1531">
            <v>33660671</v>
          </cell>
          <cell r="AE1531">
            <v>9239315</v>
          </cell>
          <cell r="AF1531">
            <v>8930231</v>
          </cell>
          <cell r="AG1531">
            <v>0</v>
          </cell>
          <cell r="AH1531">
            <v>0</v>
          </cell>
          <cell r="AI1531">
            <v>0</v>
          </cell>
          <cell r="AJ1531">
            <v>0</v>
          </cell>
          <cell r="AK1531">
            <v>235493</v>
          </cell>
          <cell r="AL1531">
            <v>515139</v>
          </cell>
          <cell r="AM1531">
            <v>44155</v>
          </cell>
          <cell r="AN1531">
            <v>88309</v>
          </cell>
          <cell r="AO1531">
            <v>29436</v>
          </cell>
          <cell r="AP1531">
            <v>29436</v>
          </cell>
        </row>
        <row r="1532">
          <cell r="D1532" t="str">
            <v>Cung cấp 55 xe chỉ huy tham mưu đa năng năm 2024</v>
          </cell>
          <cell r="G1532" t="str">
            <v>SXKD</v>
          </cell>
          <cell r="I1532" t="str">
            <v>KDDH</v>
          </cell>
          <cell r="AC1532">
            <v>1030000</v>
          </cell>
          <cell r="AD1532">
            <v>26976540</v>
          </cell>
          <cell r="AE1532">
            <v>9309201</v>
          </cell>
          <cell r="AF1532">
            <v>8932187</v>
          </cell>
          <cell r="AG1532">
            <v>0</v>
          </cell>
          <cell r="AH1532">
            <v>0</v>
          </cell>
          <cell r="AI1532">
            <v>0</v>
          </cell>
          <cell r="AJ1532">
            <v>0</v>
          </cell>
          <cell r="AK1532">
            <v>287249</v>
          </cell>
          <cell r="AL1532">
            <v>628357</v>
          </cell>
          <cell r="AM1532">
            <v>53859</v>
          </cell>
          <cell r="AN1532">
            <v>107718</v>
          </cell>
          <cell r="AO1532">
            <v>35906</v>
          </cell>
          <cell r="AP1532">
            <v>35906</v>
          </cell>
        </row>
        <row r="1533">
          <cell r="D1533" t="str">
            <v>Nghiên cứu, thiết kế, chế tạo khối vô tuyến RRU 5G Macrocell ORAN hỗ trợ lên tới 64 thu phát</v>
          </cell>
          <cell r="G1533" t="str">
            <v>KHCN</v>
          </cell>
          <cell r="I1533" t="str">
            <v>DVSBH</v>
          </cell>
          <cell r="AC1533">
            <v>1030000</v>
          </cell>
          <cell r="AD1533">
            <v>35519651</v>
          </cell>
          <cell r="AE1533">
            <v>6978298</v>
          </cell>
          <cell r="AF1533">
            <v>6746202</v>
          </cell>
          <cell r="AG1533">
            <v>0</v>
          </cell>
          <cell r="AH1533">
            <v>0</v>
          </cell>
          <cell r="AI1533">
            <v>0</v>
          </cell>
          <cell r="AJ1533">
            <v>0</v>
          </cell>
          <cell r="AK1533">
            <v>176835</v>
          </cell>
          <cell r="AL1533">
            <v>386826</v>
          </cell>
          <cell r="AM1533">
            <v>33157</v>
          </cell>
          <cell r="AN1533">
            <v>66313</v>
          </cell>
          <cell r="AO1533">
            <v>22104</v>
          </cell>
          <cell r="AP1533">
            <v>22104</v>
          </cell>
        </row>
        <row r="1534">
          <cell r="D1534" t="str">
            <v>Nghiên cứu, thiết kế, chế tạo khối vô tuyến RRU 5G Macrocell ORAN hỗ trợ lên tới 64 thu phát</v>
          </cell>
          <cell r="G1534" t="str">
            <v>KHCN</v>
          </cell>
          <cell r="I1534" t="str">
            <v>VTBR</v>
          </cell>
          <cell r="AC1534">
            <v>1730000</v>
          </cell>
          <cell r="AD1534">
            <v>108167965</v>
          </cell>
          <cell r="AE1534">
            <v>103105606</v>
          </cell>
          <cell r="AF1534">
            <v>101738484</v>
          </cell>
          <cell r="AG1534">
            <v>0</v>
          </cell>
          <cell r="AH1534">
            <v>0</v>
          </cell>
          <cell r="AI1534">
            <v>0</v>
          </cell>
          <cell r="AJ1534">
            <v>0</v>
          </cell>
          <cell r="AK1534">
            <v>1367122</v>
          </cell>
          <cell r="AL1534">
            <v>2990579</v>
          </cell>
          <cell r="AM1534">
            <v>0</v>
          </cell>
          <cell r="AN1534">
            <v>0</v>
          </cell>
          <cell r="AO1534">
            <v>0</v>
          </cell>
          <cell r="AP1534">
            <v>0</v>
          </cell>
        </row>
        <row r="1535">
          <cell r="D1535" t="str">
            <v>Nghiên cứu, thiết kế, chế tạo khối vô tuyến RRU 5G Macrocell ORAN hỗ trợ lên tới 64 thu phát</v>
          </cell>
          <cell r="G1535" t="str">
            <v>KHCN</v>
          </cell>
          <cell r="I1535" t="str">
            <v>VTBR</v>
          </cell>
          <cell r="AC1535">
            <v>1130000</v>
          </cell>
          <cell r="AD1535">
            <v>63684198</v>
          </cell>
          <cell r="AE1535">
            <v>36295634</v>
          </cell>
          <cell r="AF1535">
            <v>35499943</v>
          </cell>
          <cell r="AG1535">
            <v>0</v>
          </cell>
          <cell r="AH1535">
            <v>0</v>
          </cell>
          <cell r="AI1535">
            <v>0</v>
          </cell>
          <cell r="AJ1535">
            <v>0</v>
          </cell>
          <cell r="AK1535">
            <v>606241</v>
          </cell>
          <cell r="AL1535">
            <v>1326153</v>
          </cell>
          <cell r="AM1535">
            <v>113670</v>
          </cell>
          <cell r="AN1535">
            <v>227341</v>
          </cell>
          <cell r="AO1535">
            <v>75780</v>
          </cell>
          <cell r="AP1535">
            <v>75780</v>
          </cell>
        </row>
        <row r="1536">
          <cell r="D1536" t="str">
            <v>Nghiên cứu, thiết kế, chế tạo khối vô tuyến RRU 5G Macrocell ORAN hỗ trợ lên tới 64 thu phát</v>
          </cell>
          <cell r="G1536" t="str">
            <v>KHCN</v>
          </cell>
          <cell r="I1536" t="str">
            <v>VTBR</v>
          </cell>
          <cell r="AC1536">
            <v>1030000</v>
          </cell>
          <cell r="AD1536">
            <v>32627144</v>
          </cell>
          <cell r="AE1536">
            <v>5079594</v>
          </cell>
          <cell r="AF1536">
            <v>4893918</v>
          </cell>
          <cell r="AG1536">
            <v>0</v>
          </cell>
          <cell r="AH1536">
            <v>0</v>
          </cell>
          <cell r="AI1536">
            <v>0</v>
          </cell>
          <cell r="AJ1536">
            <v>0</v>
          </cell>
          <cell r="AK1536">
            <v>141468</v>
          </cell>
          <cell r="AL1536">
            <v>309461</v>
          </cell>
          <cell r="AM1536">
            <v>26525</v>
          </cell>
          <cell r="AN1536">
            <v>53050</v>
          </cell>
          <cell r="AO1536">
            <v>17683</v>
          </cell>
          <cell r="AP1536">
            <v>17683</v>
          </cell>
        </row>
        <row r="1537">
          <cell r="D1537" t="str">
            <v>Nghiên cứu, thiết kế, chế tạo khối vô tuyến RRU 5G Macrocell ORAN hỗ trợ lên tới 64 thu phát</v>
          </cell>
          <cell r="G1537" t="str">
            <v>KHCN</v>
          </cell>
          <cell r="I1537" t="str">
            <v>VTBR</v>
          </cell>
          <cell r="AC1537">
            <v>930000</v>
          </cell>
          <cell r="AD1537">
            <v>22092921</v>
          </cell>
          <cell r="AE1537">
            <v>7519449</v>
          </cell>
          <cell r="AF1537">
            <v>7179117</v>
          </cell>
          <cell r="AG1537">
            <v>0</v>
          </cell>
          <cell r="AH1537">
            <v>0</v>
          </cell>
          <cell r="AI1537">
            <v>0</v>
          </cell>
          <cell r="AJ1537">
            <v>0</v>
          </cell>
          <cell r="AK1537">
            <v>259300</v>
          </cell>
          <cell r="AL1537">
            <v>567219</v>
          </cell>
          <cell r="AM1537">
            <v>48619</v>
          </cell>
          <cell r="AN1537">
            <v>97238</v>
          </cell>
          <cell r="AO1537">
            <v>32413</v>
          </cell>
          <cell r="AP1537">
            <v>32413</v>
          </cell>
        </row>
        <row r="1538">
          <cell r="D1538" t="str">
            <v>Nghiên cứu, thiết kế, chế tạo khối vô tuyến RRU 5G Macrocell ORAN hỗ trợ lên tới 64 thu phát</v>
          </cell>
          <cell r="G1538" t="str">
            <v>KHCN</v>
          </cell>
          <cell r="I1538" t="str">
            <v>VTBR</v>
          </cell>
          <cell r="AC1538">
            <v>930000</v>
          </cell>
          <cell r="AD1538">
            <v>19499984</v>
          </cell>
          <cell r="AE1538">
            <v>6541310</v>
          </cell>
          <cell r="AF1538">
            <v>6217281</v>
          </cell>
          <cell r="AG1538">
            <v>0</v>
          </cell>
          <cell r="AH1538">
            <v>0</v>
          </cell>
          <cell r="AI1538">
            <v>0</v>
          </cell>
          <cell r="AJ1538">
            <v>0</v>
          </cell>
          <cell r="AK1538">
            <v>246879</v>
          </cell>
          <cell r="AL1538">
            <v>540047</v>
          </cell>
          <cell r="AM1538">
            <v>46290</v>
          </cell>
          <cell r="AN1538">
            <v>92579</v>
          </cell>
          <cell r="AO1538">
            <v>30860</v>
          </cell>
          <cell r="AP1538">
            <v>30860</v>
          </cell>
        </row>
        <row r="1539">
          <cell r="D1539" t="str">
            <v>Nghiên cứu, thiết kế, chế tạo khối vô tuyến RRU 5G Macrocell ORAN hỗ trợ lên tới 64 thu phát</v>
          </cell>
          <cell r="G1539" t="str">
            <v>KHCN</v>
          </cell>
          <cell r="I1539" t="str">
            <v>VTBR</v>
          </cell>
          <cell r="AC1539">
            <v>1130000</v>
          </cell>
          <cell r="AD1539">
            <v>66105408</v>
          </cell>
          <cell r="AE1539">
            <v>27222358</v>
          </cell>
          <cell r="AF1539">
            <v>26788390</v>
          </cell>
          <cell r="AG1539">
            <v>0</v>
          </cell>
          <cell r="AH1539">
            <v>0</v>
          </cell>
          <cell r="AI1539">
            <v>0</v>
          </cell>
          <cell r="AJ1539">
            <v>0</v>
          </cell>
          <cell r="AK1539">
            <v>365447</v>
          </cell>
          <cell r="AL1539">
            <v>799415</v>
          </cell>
          <cell r="AM1539">
            <v>68521</v>
          </cell>
          <cell r="AN1539">
            <v>137043</v>
          </cell>
          <cell r="AO1539">
            <v>0</v>
          </cell>
          <cell r="AP1539">
            <v>0</v>
          </cell>
        </row>
        <row r="1540">
          <cell r="D1540" t="str">
            <v>Nghiên cứu, thiết kế, chế tạo khối vô tuyến RRU 5G Macrocell ORAN hỗ trợ lên tới 64 thu phát</v>
          </cell>
          <cell r="G1540" t="str">
            <v>KHCN</v>
          </cell>
          <cell r="I1540" t="str">
            <v>VTBR</v>
          </cell>
          <cell r="AC1540">
            <v>1030000</v>
          </cell>
          <cell r="AD1540">
            <v>51101970</v>
          </cell>
          <cell r="AE1540">
            <v>14473040</v>
          </cell>
          <cell r="AF1540">
            <v>14130670</v>
          </cell>
          <cell r="AG1540">
            <v>0</v>
          </cell>
          <cell r="AH1540">
            <v>0</v>
          </cell>
          <cell r="AI1540">
            <v>0</v>
          </cell>
          <cell r="AJ1540">
            <v>0</v>
          </cell>
          <cell r="AK1540">
            <v>260853</v>
          </cell>
          <cell r="AL1540">
            <v>570616</v>
          </cell>
          <cell r="AM1540">
            <v>48910</v>
          </cell>
          <cell r="AN1540">
            <v>97820</v>
          </cell>
          <cell r="AO1540">
            <v>32607</v>
          </cell>
          <cell r="AP1540">
            <v>32607</v>
          </cell>
        </row>
        <row r="1541">
          <cell r="D1541" t="str">
            <v>Nghiên cứu, thiết kế, chế tạo khối vô tuyến RRU 5G Macrocell ORAN hỗ trợ lên tới 64 thu phát</v>
          </cell>
          <cell r="G1541" t="str">
            <v>KHCN</v>
          </cell>
          <cell r="I1541" t="str">
            <v>VTBR</v>
          </cell>
          <cell r="AC1541">
            <v>1030000</v>
          </cell>
          <cell r="AD1541">
            <v>32415793</v>
          </cell>
          <cell r="AE1541">
            <v>6217707</v>
          </cell>
          <cell r="AF1541">
            <v>5969382</v>
          </cell>
          <cell r="AG1541">
            <v>0</v>
          </cell>
          <cell r="AH1541">
            <v>0</v>
          </cell>
          <cell r="AI1541">
            <v>0</v>
          </cell>
          <cell r="AJ1541">
            <v>0</v>
          </cell>
          <cell r="AK1541">
            <v>248325</v>
          </cell>
          <cell r="AL1541">
            <v>543211</v>
          </cell>
          <cell r="AM1541">
            <v>0</v>
          </cell>
          <cell r="AN1541">
            <v>0</v>
          </cell>
          <cell r="AO1541">
            <v>0</v>
          </cell>
          <cell r="AP1541">
            <v>0</v>
          </cell>
        </row>
        <row r="1542">
          <cell r="D1542" t="str">
            <v>Nghiên cứu, thiết kế, chế tạo khối vô tuyến RRU 5G Macrocell ORAN hỗ trợ lên tới 64 thu phát</v>
          </cell>
          <cell r="G1542" t="str">
            <v>KHCN</v>
          </cell>
          <cell r="I1542" t="str">
            <v>VTBR</v>
          </cell>
          <cell r="AC1542">
            <v>1030000</v>
          </cell>
          <cell r="AD1542">
            <v>54948602</v>
          </cell>
          <cell r="AE1542">
            <v>8916990</v>
          </cell>
          <cell r="AF1542">
            <v>8711387</v>
          </cell>
          <cell r="AG1542">
            <v>0</v>
          </cell>
          <cell r="AH1542">
            <v>0</v>
          </cell>
          <cell r="AI1542">
            <v>0</v>
          </cell>
          <cell r="AJ1542">
            <v>0</v>
          </cell>
          <cell r="AK1542">
            <v>156650</v>
          </cell>
          <cell r="AL1542">
            <v>342671</v>
          </cell>
          <cell r="AM1542">
            <v>29372</v>
          </cell>
          <cell r="AN1542">
            <v>58744</v>
          </cell>
          <cell r="AO1542">
            <v>19581</v>
          </cell>
          <cell r="AP1542">
            <v>19581</v>
          </cell>
        </row>
        <row r="1543">
          <cell r="D1543" t="str">
            <v>Nghiên cứu, thiết kế, chế tạo khối vô tuyến RRU 5G Macrocell ORAN hỗ trợ lên tới 64 thu phát</v>
          </cell>
          <cell r="G1543" t="str">
            <v>KHCN</v>
          </cell>
          <cell r="I1543" t="str">
            <v>VTBR</v>
          </cell>
          <cell r="AC1543">
            <v>1030000</v>
          </cell>
          <cell r="AD1543">
            <v>44198549</v>
          </cell>
          <cell r="AE1543">
            <v>7069714</v>
          </cell>
          <cell r="AF1543">
            <v>6874074</v>
          </cell>
          <cell r="AG1543">
            <v>0</v>
          </cell>
          <cell r="AH1543">
            <v>0</v>
          </cell>
          <cell r="AI1543">
            <v>0</v>
          </cell>
          <cell r="AJ1543">
            <v>0</v>
          </cell>
          <cell r="AK1543">
            <v>149059</v>
          </cell>
          <cell r="AL1543">
            <v>326066</v>
          </cell>
          <cell r="AM1543">
            <v>27949</v>
          </cell>
          <cell r="AN1543">
            <v>55897</v>
          </cell>
          <cell r="AO1543">
            <v>18632</v>
          </cell>
          <cell r="AP1543">
            <v>18632</v>
          </cell>
        </row>
        <row r="1544">
          <cell r="D1544" t="str">
            <v>Nghiên cứu, thiết kế, chế tạo khối vô tuyến RRU 5G Macrocell ORAN hỗ trợ lên tới 64 thu phát</v>
          </cell>
          <cell r="G1544" t="str">
            <v>KHCN</v>
          </cell>
          <cell r="I1544" t="str">
            <v>VTBR</v>
          </cell>
          <cell r="AC1544">
            <v>1030000</v>
          </cell>
          <cell r="AD1544">
            <v>31904370</v>
          </cell>
          <cell r="AE1544">
            <v>28601450</v>
          </cell>
          <cell r="AF1544">
            <v>27585890</v>
          </cell>
          <cell r="AG1544">
            <v>0</v>
          </cell>
          <cell r="AH1544">
            <v>0</v>
          </cell>
          <cell r="AI1544">
            <v>0</v>
          </cell>
          <cell r="AJ1544">
            <v>0</v>
          </cell>
          <cell r="AK1544">
            <v>773760</v>
          </cell>
          <cell r="AL1544">
            <v>1692600</v>
          </cell>
          <cell r="AM1544">
            <v>145080</v>
          </cell>
          <cell r="AN1544">
            <v>290160</v>
          </cell>
          <cell r="AO1544">
            <v>96720</v>
          </cell>
          <cell r="AP1544">
            <v>96720</v>
          </cell>
        </row>
        <row r="1545">
          <cell r="D1545" t="str">
            <v>Nghiên cứu, thiết kế, chế tạo khối vô tuyến RRU 5G Macrocell ORAN hỗ trợ lên tới 64 thu phát</v>
          </cell>
          <cell r="G1545" t="str">
            <v>KHCN</v>
          </cell>
          <cell r="I1545" t="str">
            <v>VTBR</v>
          </cell>
          <cell r="AC1545">
            <v>1030000</v>
          </cell>
          <cell r="AD1545">
            <v>49176088</v>
          </cell>
          <cell r="AE1545">
            <v>19721871</v>
          </cell>
          <cell r="AF1545">
            <v>19180692</v>
          </cell>
          <cell r="AG1545">
            <v>0</v>
          </cell>
          <cell r="AH1545">
            <v>0</v>
          </cell>
          <cell r="AI1545">
            <v>0</v>
          </cell>
          <cell r="AJ1545">
            <v>0</v>
          </cell>
          <cell r="AK1545">
            <v>412327</v>
          </cell>
          <cell r="AL1545">
            <v>901965</v>
          </cell>
          <cell r="AM1545">
            <v>77311</v>
          </cell>
          <cell r="AN1545">
            <v>154623</v>
          </cell>
          <cell r="AO1545">
            <v>51541</v>
          </cell>
          <cell r="AP1545">
            <v>51541</v>
          </cell>
        </row>
        <row r="1546">
          <cell r="D1546" t="str">
            <v>Nghiên cứu, thiết kế, chế tạo khối vô tuyến RRU 5G Macrocell ORAN hỗ trợ lên tới 64 thu phát</v>
          </cell>
          <cell r="G1546" t="str">
            <v>KHCN</v>
          </cell>
          <cell r="I1546" t="str">
            <v>VTBR</v>
          </cell>
          <cell r="AC1546">
            <v>1030000</v>
          </cell>
          <cell r="AD1546">
            <v>22996200</v>
          </cell>
          <cell r="AE1546">
            <v>8704195</v>
          </cell>
          <cell r="AF1546">
            <v>8326049</v>
          </cell>
          <cell r="AG1546">
            <v>0</v>
          </cell>
          <cell r="AH1546">
            <v>0</v>
          </cell>
          <cell r="AI1546">
            <v>0</v>
          </cell>
          <cell r="AJ1546">
            <v>0</v>
          </cell>
          <cell r="AK1546">
            <v>288111</v>
          </cell>
          <cell r="AL1546">
            <v>630243</v>
          </cell>
          <cell r="AM1546">
            <v>54021</v>
          </cell>
          <cell r="AN1546">
            <v>108042</v>
          </cell>
          <cell r="AO1546">
            <v>36014</v>
          </cell>
          <cell r="AP1546">
            <v>36014</v>
          </cell>
        </row>
        <row r="1547">
          <cell r="D1547" t="str">
            <v>Nghiên cứu, thiết kế, chế tạo khối vô tuyến RRU 5G Macrocell ORAN hỗ trợ lên tới 64 thu phát</v>
          </cell>
          <cell r="G1547" t="str">
            <v>KHCN</v>
          </cell>
          <cell r="I1547" t="str">
            <v>VTBR</v>
          </cell>
          <cell r="AC1547">
            <v>1047000</v>
          </cell>
          <cell r="AD1547">
            <v>22402498</v>
          </cell>
          <cell r="AE1547">
            <v>19304042</v>
          </cell>
          <cell r="AF1547">
            <v>18387434</v>
          </cell>
          <cell r="AG1547">
            <v>0</v>
          </cell>
          <cell r="AH1547">
            <v>0</v>
          </cell>
          <cell r="AI1547">
            <v>0</v>
          </cell>
          <cell r="AJ1547">
            <v>0</v>
          </cell>
          <cell r="AK1547">
            <v>698368</v>
          </cell>
          <cell r="AL1547">
            <v>1527680</v>
          </cell>
          <cell r="AM1547">
            <v>130944</v>
          </cell>
          <cell r="AN1547">
            <v>261888</v>
          </cell>
          <cell r="AO1547">
            <v>87296</v>
          </cell>
          <cell r="AP1547">
            <v>87296</v>
          </cell>
        </row>
        <row r="1548">
          <cell r="D1548" t="str">
            <v>Nghiên cứu, thiết kế, chế tạo khối vô tuyến RRU 5G Macrocell ORAN hỗ trợ lên tới 64 thu phát</v>
          </cell>
          <cell r="G1548" t="str">
            <v>KHCN</v>
          </cell>
          <cell r="I1548" t="str">
            <v>DVSBH</v>
          </cell>
          <cell r="AC1548">
            <v>930000</v>
          </cell>
          <cell r="AD1548">
            <v>14515216</v>
          </cell>
          <cell r="AE1548">
            <v>2608696</v>
          </cell>
          <cell r="AF1548">
            <v>2454720</v>
          </cell>
          <cell r="AG1548">
            <v>0</v>
          </cell>
          <cell r="AH1548">
            <v>0</v>
          </cell>
          <cell r="AI1548">
            <v>0</v>
          </cell>
          <cell r="AJ1548">
            <v>0</v>
          </cell>
          <cell r="AK1548">
            <v>117315</v>
          </cell>
          <cell r="AL1548">
            <v>256626</v>
          </cell>
          <cell r="AM1548">
            <v>21997</v>
          </cell>
          <cell r="AN1548">
            <v>43993</v>
          </cell>
          <cell r="AO1548">
            <v>14664</v>
          </cell>
          <cell r="AP1548">
            <v>14664</v>
          </cell>
        </row>
        <row r="1549">
          <cell r="D1549" t="str">
            <v>Nghiên cứu, phát triển nền tảng khối xử lý băng gốc cho trạm 5G Massive MIMO</v>
          </cell>
          <cell r="G1549" t="str">
            <v>KHCN</v>
          </cell>
          <cell r="I1549" t="str">
            <v>VTBR</v>
          </cell>
          <cell r="AC1549">
            <v>1030000</v>
          </cell>
          <cell r="AD1549">
            <v>32627144</v>
          </cell>
          <cell r="AE1549">
            <v>24128070</v>
          </cell>
          <cell r="AF1549">
            <v>23246106</v>
          </cell>
          <cell r="AG1549">
            <v>0</v>
          </cell>
          <cell r="AH1549">
            <v>0</v>
          </cell>
          <cell r="AI1549">
            <v>0</v>
          </cell>
          <cell r="AJ1549">
            <v>0</v>
          </cell>
          <cell r="AK1549">
            <v>671972</v>
          </cell>
          <cell r="AL1549">
            <v>1469939</v>
          </cell>
          <cell r="AM1549">
            <v>125995</v>
          </cell>
          <cell r="AN1549">
            <v>251990</v>
          </cell>
          <cell r="AO1549">
            <v>83997</v>
          </cell>
          <cell r="AP1549">
            <v>83997</v>
          </cell>
        </row>
        <row r="1550">
          <cell r="D1550" t="str">
            <v>Nghiên cứu, phát triển nền tảng khối xử lý băng gốc cho trạm 5G Massive MIMO</v>
          </cell>
          <cell r="G1550" t="str">
            <v>KHCN</v>
          </cell>
          <cell r="I1550" t="str">
            <v>VTBR</v>
          </cell>
          <cell r="AC1550">
            <v>930000</v>
          </cell>
          <cell r="AD1550">
            <v>22092921</v>
          </cell>
          <cell r="AE1550">
            <v>5848460</v>
          </cell>
          <cell r="AF1550">
            <v>5583757</v>
          </cell>
          <cell r="AG1550">
            <v>0</v>
          </cell>
          <cell r="AH1550">
            <v>0</v>
          </cell>
          <cell r="AI1550">
            <v>0</v>
          </cell>
          <cell r="AJ1550">
            <v>0</v>
          </cell>
          <cell r="AK1550">
            <v>201678</v>
          </cell>
          <cell r="AL1550">
            <v>441170</v>
          </cell>
          <cell r="AM1550">
            <v>37815</v>
          </cell>
          <cell r="AN1550">
            <v>75629</v>
          </cell>
          <cell r="AO1550">
            <v>25210</v>
          </cell>
          <cell r="AP1550">
            <v>25210</v>
          </cell>
        </row>
        <row r="1551">
          <cell r="D1551" t="str">
            <v>Nghiên cứu, phát triển nền tảng khối xử lý băng gốc cho trạm 5G Massive MIMO</v>
          </cell>
          <cell r="G1551" t="str">
            <v>KHCN</v>
          </cell>
          <cell r="I1551" t="str">
            <v>VTBR</v>
          </cell>
          <cell r="AC1551">
            <v>930000</v>
          </cell>
          <cell r="AD1551">
            <v>19499984</v>
          </cell>
          <cell r="AE1551">
            <v>10175370</v>
          </cell>
          <cell r="AF1551">
            <v>9671327</v>
          </cell>
          <cell r="AG1551">
            <v>0</v>
          </cell>
          <cell r="AH1551">
            <v>0</v>
          </cell>
          <cell r="AI1551">
            <v>0</v>
          </cell>
          <cell r="AJ1551">
            <v>0</v>
          </cell>
          <cell r="AK1551">
            <v>384033</v>
          </cell>
          <cell r="AL1551">
            <v>840073</v>
          </cell>
          <cell r="AM1551">
            <v>72006</v>
          </cell>
          <cell r="AN1551">
            <v>144013</v>
          </cell>
          <cell r="AO1551">
            <v>48004</v>
          </cell>
          <cell r="AP1551">
            <v>48004</v>
          </cell>
        </row>
        <row r="1552">
          <cell r="D1552" t="str">
            <v>Nghiên cứu, phát triển nền tảng khối xử lý băng gốc cho trạm 5G Massive MIMO</v>
          </cell>
          <cell r="G1552" t="str">
            <v>KHCN</v>
          </cell>
          <cell r="I1552" t="str">
            <v>VTBR</v>
          </cell>
          <cell r="AC1552">
            <v>1130000</v>
          </cell>
          <cell r="AD1552">
            <v>66105408</v>
          </cell>
          <cell r="AE1552">
            <v>35389065</v>
          </cell>
          <cell r="AF1552">
            <v>34824906</v>
          </cell>
          <cell r="AG1552">
            <v>0</v>
          </cell>
          <cell r="AH1552">
            <v>0</v>
          </cell>
          <cell r="AI1552">
            <v>0</v>
          </cell>
          <cell r="AJ1552">
            <v>0</v>
          </cell>
          <cell r="AK1552">
            <v>475081</v>
          </cell>
          <cell r="AL1552">
            <v>1039240</v>
          </cell>
          <cell r="AM1552">
            <v>89078</v>
          </cell>
          <cell r="AN1552">
            <v>178155</v>
          </cell>
          <cell r="AO1552">
            <v>0</v>
          </cell>
          <cell r="AP1552">
            <v>0</v>
          </cell>
        </row>
        <row r="1553">
          <cell r="D1553" t="str">
            <v>Nghiên cứu, phát triển nền tảng khối xử lý băng gốc cho trạm 5G Massive MIMO</v>
          </cell>
          <cell r="G1553" t="str">
            <v>KHCN</v>
          </cell>
          <cell r="I1553" t="str">
            <v>VTBR</v>
          </cell>
          <cell r="AC1553">
            <v>1030000</v>
          </cell>
          <cell r="AD1553">
            <v>51101970</v>
          </cell>
          <cell r="AE1553">
            <v>28946080</v>
          </cell>
          <cell r="AF1553">
            <v>28261341</v>
          </cell>
          <cell r="AG1553">
            <v>0</v>
          </cell>
          <cell r="AH1553">
            <v>0</v>
          </cell>
          <cell r="AI1553">
            <v>0</v>
          </cell>
          <cell r="AJ1553">
            <v>0</v>
          </cell>
          <cell r="AK1553">
            <v>521706</v>
          </cell>
          <cell r="AL1553">
            <v>1141231</v>
          </cell>
          <cell r="AM1553">
            <v>97820</v>
          </cell>
          <cell r="AN1553">
            <v>195640</v>
          </cell>
          <cell r="AO1553">
            <v>65213</v>
          </cell>
          <cell r="AP1553">
            <v>65213</v>
          </cell>
        </row>
        <row r="1554">
          <cell r="D1554" t="str">
            <v>Nghiên cứu, phát triển nền tảng khối xử lý băng gốc cho trạm 5G Massive MIMO</v>
          </cell>
          <cell r="G1554" t="str">
            <v>KHCN</v>
          </cell>
          <cell r="I1554" t="str">
            <v>VTBR</v>
          </cell>
          <cell r="AC1554">
            <v>1030000</v>
          </cell>
          <cell r="AD1554">
            <v>32415793</v>
          </cell>
          <cell r="AE1554">
            <v>22383743</v>
          </cell>
          <cell r="AF1554">
            <v>21489774</v>
          </cell>
          <cell r="AG1554">
            <v>0</v>
          </cell>
          <cell r="AH1554">
            <v>0</v>
          </cell>
          <cell r="AI1554">
            <v>0</v>
          </cell>
          <cell r="AJ1554">
            <v>0</v>
          </cell>
          <cell r="AK1554">
            <v>893969</v>
          </cell>
          <cell r="AL1554">
            <v>1955558</v>
          </cell>
          <cell r="AM1554">
            <v>0</v>
          </cell>
          <cell r="AN1554">
            <v>0</v>
          </cell>
          <cell r="AO1554">
            <v>0</v>
          </cell>
          <cell r="AP1554">
            <v>0</v>
          </cell>
        </row>
        <row r="1555">
          <cell r="D1555" t="str">
            <v>Nghiên cứu, phát triển nền tảng khối xử lý băng gốc cho trạm 5G Massive MIMO</v>
          </cell>
          <cell r="G1555" t="str">
            <v>KHCN</v>
          </cell>
          <cell r="I1555" t="str">
            <v>VTBR</v>
          </cell>
          <cell r="AC1555">
            <v>1030000</v>
          </cell>
          <cell r="AD1555">
            <v>49176088</v>
          </cell>
          <cell r="AE1555">
            <v>25638433</v>
          </cell>
          <cell r="AF1555">
            <v>24934900</v>
          </cell>
          <cell r="AG1555">
            <v>0</v>
          </cell>
          <cell r="AH1555">
            <v>0</v>
          </cell>
          <cell r="AI1555">
            <v>0</v>
          </cell>
          <cell r="AJ1555">
            <v>0</v>
          </cell>
          <cell r="AK1555">
            <v>536025</v>
          </cell>
          <cell r="AL1555">
            <v>1172555</v>
          </cell>
          <cell r="AM1555">
            <v>100505</v>
          </cell>
          <cell r="AN1555">
            <v>201009</v>
          </cell>
          <cell r="AO1555">
            <v>67003</v>
          </cell>
          <cell r="AP1555">
            <v>67003</v>
          </cell>
        </row>
        <row r="1556">
          <cell r="D1556" t="str">
            <v>Nghiên cứu, phát triển nền tảng khối xử lý băng gốc cho trạm 5G Massive MIMO</v>
          </cell>
          <cell r="G1556" t="str">
            <v>KHCN</v>
          </cell>
          <cell r="I1556" t="str">
            <v>VTBR</v>
          </cell>
          <cell r="AC1556">
            <v>1030000</v>
          </cell>
          <cell r="AD1556">
            <v>22996200</v>
          </cell>
          <cell r="AE1556">
            <v>11315453</v>
          </cell>
          <cell r="AF1556">
            <v>10823863</v>
          </cell>
          <cell r="AG1556">
            <v>0</v>
          </cell>
          <cell r="AH1556">
            <v>0</v>
          </cell>
          <cell r="AI1556">
            <v>0</v>
          </cell>
          <cell r="AJ1556">
            <v>0</v>
          </cell>
          <cell r="AK1556">
            <v>374545</v>
          </cell>
          <cell r="AL1556">
            <v>819317</v>
          </cell>
          <cell r="AM1556">
            <v>70227</v>
          </cell>
          <cell r="AN1556">
            <v>140454</v>
          </cell>
          <cell r="AO1556">
            <v>46818</v>
          </cell>
          <cell r="AP1556">
            <v>46818</v>
          </cell>
        </row>
        <row r="1557">
          <cell r="D1557" t="str">
            <v>Nghiên cứu, phát triển nền tảng khối xử lý băng gốc cho trạm 5G Massive MIMO</v>
          </cell>
          <cell r="G1557" t="str">
            <v>KHCN</v>
          </cell>
          <cell r="I1557" t="str">
            <v>VTBR</v>
          </cell>
          <cell r="AC1557">
            <v>1230000</v>
          </cell>
          <cell r="AD1557">
            <v>91501755</v>
          </cell>
          <cell r="AE1557">
            <v>68290572</v>
          </cell>
          <cell r="AF1557">
            <v>67323643</v>
          </cell>
          <cell r="AG1557">
            <v>0</v>
          </cell>
          <cell r="AH1557">
            <v>0</v>
          </cell>
          <cell r="AI1557">
            <v>0</v>
          </cell>
          <cell r="AJ1557">
            <v>0</v>
          </cell>
          <cell r="AK1557">
            <v>966929</v>
          </cell>
          <cell r="AL1557">
            <v>2115157</v>
          </cell>
          <cell r="AM1557">
            <v>0</v>
          </cell>
          <cell r="AN1557">
            <v>0</v>
          </cell>
          <cell r="AO1557">
            <v>0</v>
          </cell>
          <cell r="AP1557">
            <v>0</v>
          </cell>
        </row>
        <row r="1558">
          <cell r="D1558" t="str">
            <v>Nghiên cứu, phát triển nền tảng khối xử lý băng gốc cho trạm 5G Massive MIMO</v>
          </cell>
          <cell r="G1558" t="str">
            <v>KHCN</v>
          </cell>
          <cell r="I1558" t="str">
            <v>VTBR</v>
          </cell>
          <cell r="AC1558">
            <v>1030000</v>
          </cell>
          <cell r="AD1558">
            <v>56120531</v>
          </cell>
          <cell r="AE1558">
            <v>52304747</v>
          </cell>
          <cell r="AF1558">
            <v>51060035</v>
          </cell>
          <cell r="AG1558">
            <v>0</v>
          </cell>
          <cell r="AH1558">
            <v>0</v>
          </cell>
          <cell r="AI1558">
            <v>0</v>
          </cell>
          <cell r="AJ1558">
            <v>0</v>
          </cell>
          <cell r="AK1558">
            <v>948352</v>
          </cell>
          <cell r="AL1558">
            <v>2074520</v>
          </cell>
          <cell r="AM1558">
            <v>177816</v>
          </cell>
          <cell r="AN1558">
            <v>355632</v>
          </cell>
          <cell r="AO1558">
            <v>118544</v>
          </cell>
          <cell r="AP1558">
            <v>118544</v>
          </cell>
        </row>
        <row r="1559">
          <cell r="D1559" t="str">
            <v>Nghiên cứu, phát triển nền tảng khối xử lý băng gốc cho trạm 5G Massive MIMO</v>
          </cell>
          <cell r="G1559" t="str">
            <v>KHCN</v>
          </cell>
          <cell r="I1559" t="str">
            <v>VTBR</v>
          </cell>
          <cell r="AC1559">
            <v>1030000</v>
          </cell>
          <cell r="AD1559">
            <v>54518327</v>
          </cell>
          <cell r="AE1559">
            <v>30947557</v>
          </cell>
          <cell r="AF1559">
            <v>30227948</v>
          </cell>
          <cell r="AG1559">
            <v>0</v>
          </cell>
          <cell r="AH1559">
            <v>0</v>
          </cell>
          <cell r="AI1559">
            <v>0</v>
          </cell>
          <cell r="AJ1559">
            <v>0</v>
          </cell>
          <cell r="AK1559">
            <v>548274</v>
          </cell>
          <cell r="AL1559">
            <v>1199350</v>
          </cell>
          <cell r="AM1559">
            <v>102801</v>
          </cell>
          <cell r="AN1559">
            <v>205603</v>
          </cell>
          <cell r="AO1559">
            <v>68534</v>
          </cell>
          <cell r="AP1559">
            <v>68534</v>
          </cell>
        </row>
        <row r="1560">
          <cell r="D1560" t="str">
            <v>Nghiên cứu, phát triển nền tảng khối xử lý băng gốc cho trạm 5G Massive MIMO</v>
          </cell>
          <cell r="G1560" t="str">
            <v>KHCN</v>
          </cell>
          <cell r="I1560" t="str">
            <v>VTBR</v>
          </cell>
          <cell r="AC1560">
            <v>1030000</v>
          </cell>
          <cell r="AD1560">
            <v>46101970</v>
          </cell>
          <cell r="AE1560">
            <v>42554274</v>
          </cell>
          <cell r="AF1560">
            <v>41429346</v>
          </cell>
          <cell r="AG1560">
            <v>0</v>
          </cell>
          <cell r="AH1560">
            <v>0</v>
          </cell>
          <cell r="AI1560">
            <v>0</v>
          </cell>
          <cell r="AJ1560">
            <v>0</v>
          </cell>
          <cell r="AK1560">
            <v>857088</v>
          </cell>
          <cell r="AL1560">
            <v>1874880</v>
          </cell>
          <cell r="AM1560">
            <v>160704</v>
          </cell>
          <cell r="AN1560">
            <v>321408</v>
          </cell>
          <cell r="AO1560">
            <v>107136</v>
          </cell>
          <cell r="AP1560">
            <v>107136</v>
          </cell>
        </row>
        <row r="1561">
          <cell r="D1561" t="str">
            <v>Nghiên cứu, phát triển nền tảng khối xử lý băng gốc cho trạm 5G Massive MIMO</v>
          </cell>
          <cell r="G1561" t="str">
            <v>KHCN</v>
          </cell>
          <cell r="I1561" t="str">
            <v>VTBR</v>
          </cell>
          <cell r="AC1561">
            <v>1030000</v>
          </cell>
          <cell r="AD1561">
            <v>38094601</v>
          </cell>
          <cell r="AE1561">
            <v>34546905</v>
          </cell>
          <cell r="AF1561">
            <v>33421977</v>
          </cell>
          <cell r="AG1561">
            <v>0</v>
          </cell>
          <cell r="AH1561">
            <v>0</v>
          </cell>
          <cell r="AI1561">
            <v>0</v>
          </cell>
          <cell r="AJ1561">
            <v>0</v>
          </cell>
          <cell r="AK1561">
            <v>857088</v>
          </cell>
          <cell r="AL1561">
            <v>1874880</v>
          </cell>
          <cell r="AM1561">
            <v>160704</v>
          </cell>
          <cell r="AN1561">
            <v>321408</v>
          </cell>
          <cell r="AO1561">
            <v>107136</v>
          </cell>
          <cell r="AP1561">
            <v>107136</v>
          </cell>
        </row>
        <row r="1562">
          <cell r="D1562" t="str">
            <v>Nghiên cứu, phát triển nền tảng khối xử lý băng gốc cho trạm 5G Massive MIMO</v>
          </cell>
          <cell r="G1562" t="str">
            <v>KHCN</v>
          </cell>
          <cell r="I1562" t="str">
            <v>VTBR</v>
          </cell>
          <cell r="AC1562">
            <v>1030000</v>
          </cell>
          <cell r="AD1562">
            <v>37200566</v>
          </cell>
          <cell r="AE1562">
            <v>33781086</v>
          </cell>
          <cell r="AF1562">
            <v>32713446</v>
          </cell>
          <cell r="AG1562">
            <v>0</v>
          </cell>
          <cell r="AH1562">
            <v>0</v>
          </cell>
          <cell r="AI1562">
            <v>0</v>
          </cell>
          <cell r="AJ1562">
            <v>0</v>
          </cell>
          <cell r="AK1562">
            <v>813440</v>
          </cell>
          <cell r="AL1562">
            <v>1779400</v>
          </cell>
          <cell r="AM1562">
            <v>152520</v>
          </cell>
          <cell r="AN1562">
            <v>305040</v>
          </cell>
          <cell r="AO1562">
            <v>101680</v>
          </cell>
          <cell r="AP1562">
            <v>101680</v>
          </cell>
        </row>
        <row r="1563">
          <cell r="D1563" t="str">
            <v>Nghiên cứu, phát triển nền tảng khối xử lý băng gốc cho trạm 5G Massive MIMO</v>
          </cell>
          <cell r="G1563" t="str">
            <v>KHCN</v>
          </cell>
          <cell r="I1563" t="str">
            <v>VTBR</v>
          </cell>
          <cell r="AC1563">
            <v>1030000</v>
          </cell>
          <cell r="AD1563">
            <v>45709982</v>
          </cell>
          <cell r="AE1563">
            <v>42162286</v>
          </cell>
          <cell r="AF1563">
            <v>41037358</v>
          </cell>
          <cell r="AG1563">
            <v>0</v>
          </cell>
          <cell r="AH1563">
            <v>0</v>
          </cell>
          <cell r="AI1563">
            <v>0</v>
          </cell>
          <cell r="AJ1563">
            <v>0</v>
          </cell>
          <cell r="AK1563">
            <v>857088</v>
          </cell>
          <cell r="AL1563">
            <v>1874880</v>
          </cell>
          <cell r="AM1563">
            <v>160704</v>
          </cell>
          <cell r="AN1563">
            <v>321408</v>
          </cell>
          <cell r="AO1563">
            <v>107136</v>
          </cell>
          <cell r="AP1563">
            <v>107136</v>
          </cell>
        </row>
        <row r="1564">
          <cell r="D1564" t="str">
            <v>Nghiên cứu, phát triển nền tảng khối xử lý băng gốc cho trạm 5G Massive MIMO</v>
          </cell>
          <cell r="G1564" t="str">
            <v>KHCN</v>
          </cell>
          <cell r="I1564" t="str">
            <v>VTBR</v>
          </cell>
          <cell r="AC1564">
            <v>930000</v>
          </cell>
          <cell r="AD1564">
            <v>25110104</v>
          </cell>
          <cell r="AE1564">
            <v>22023744</v>
          </cell>
          <cell r="AF1564">
            <v>21060264</v>
          </cell>
          <cell r="AG1564">
            <v>0</v>
          </cell>
          <cell r="AH1564">
            <v>0</v>
          </cell>
          <cell r="AI1564">
            <v>0</v>
          </cell>
          <cell r="AJ1564">
            <v>0</v>
          </cell>
          <cell r="AK1564">
            <v>734080</v>
          </cell>
          <cell r="AL1564">
            <v>1605800</v>
          </cell>
          <cell r="AM1564">
            <v>137640</v>
          </cell>
          <cell r="AN1564">
            <v>275280</v>
          </cell>
          <cell r="AO1564">
            <v>91760</v>
          </cell>
          <cell r="AP1564">
            <v>91760</v>
          </cell>
        </row>
        <row r="1565">
          <cell r="D1565" t="str">
            <v>Nghiên cứu, phát triển nền tảng khối xử lý băng gốc cho trạm 5G Massive MIMO</v>
          </cell>
          <cell r="G1565" t="str">
            <v>KHCN</v>
          </cell>
          <cell r="I1565" t="str">
            <v>VTBR</v>
          </cell>
          <cell r="AC1565">
            <v>930000</v>
          </cell>
          <cell r="AD1565">
            <v>25110104</v>
          </cell>
          <cell r="AE1565">
            <v>12448203</v>
          </cell>
          <cell r="AF1565">
            <v>11903627</v>
          </cell>
          <cell r="AG1565">
            <v>0</v>
          </cell>
          <cell r="AH1565">
            <v>0</v>
          </cell>
          <cell r="AI1565">
            <v>0</v>
          </cell>
          <cell r="AJ1565">
            <v>0</v>
          </cell>
          <cell r="AK1565">
            <v>414915</v>
          </cell>
          <cell r="AL1565">
            <v>907626</v>
          </cell>
          <cell r="AM1565">
            <v>77797</v>
          </cell>
          <cell r="AN1565">
            <v>155593</v>
          </cell>
          <cell r="AO1565">
            <v>51864</v>
          </cell>
          <cell r="AP1565">
            <v>51864</v>
          </cell>
        </row>
        <row r="1566">
          <cell r="D1566" t="str">
            <v>Nghiên cứu, phát triển nền tảng khối xử lý băng gốc cho trạm 5G Massive MIMO</v>
          </cell>
          <cell r="G1566" t="str">
            <v>KHCN</v>
          </cell>
          <cell r="I1566" t="str">
            <v>VTBR</v>
          </cell>
          <cell r="AC1566">
            <v>1030000</v>
          </cell>
          <cell r="AD1566">
            <v>35078557</v>
          </cell>
          <cell r="AE1566">
            <v>31659077</v>
          </cell>
          <cell r="AF1566">
            <v>30591437</v>
          </cell>
          <cell r="AG1566">
            <v>0</v>
          </cell>
          <cell r="AH1566">
            <v>0</v>
          </cell>
          <cell r="AI1566">
            <v>0</v>
          </cell>
          <cell r="AJ1566">
            <v>0</v>
          </cell>
          <cell r="AK1566">
            <v>813440</v>
          </cell>
          <cell r="AL1566">
            <v>1779400</v>
          </cell>
          <cell r="AM1566">
            <v>152520</v>
          </cell>
          <cell r="AN1566">
            <v>305040</v>
          </cell>
          <cell r="AO1566">
            <v>101680</v>
          </cell>
          <cell r="AP1566">
            <v>101680</v>
          </cell>
        </row>
        <row r="1567">
          <cell r="D1567" t="str">
            <v>Nghiên cứu, phát triển nền tảng khối xử lý băng gốc cho trạm 5G Massive MIMO</v>
          </cell>
          <cell r="G1567" t="str">
            <v>KHCN</v>
          </cell>
          <cell r="I1567" t="str">
            <v>VTBR</v>
          </cell>
          <cell r="AC1567">
            <v>930000</v>
          </cell>
          <cell r="AD1567">
            <v>22604601</v>
          </cell>
          <cell r="AE1567">
            <v>19623145</v>
          </cell>
          <cell r="AF1567">
            <v>18706537</v>
          </cell>
          <cell r="AG1567">
            <v>0</v>
          </cell>
          <cell r="AH1567">
            <v>0</v>
          </cell>
          <cell r="AI1567">
            <v>0</v>
          </cell>
          <cell r="AJ1567">
            <v>0</v>
          </cell>
          <cell r="AK1567">
            <v>698368</v>
          </cell>
          <cell r="AL1567">
            <v>1527680</v>
          </cell>
          <cell r="AM1567">
            <v>130944</v>
          </cell>
          <cell r="AN1567">
            <v>261888</v>
          </cell>
          <cell r="AO1567">
            <v>87296</v>
          </cell>
          <cell r="AP1567">
            <v>87296</v>
          </cell>
        </row>
        <row r="1568">
          <cell r="D1568" t="str">
            <v>Nghiên cứu, phát triển nền tảng khối xử lý băng gốc cho trạm 5G Massive MIMO</v>
          </cell>
          <cell r="G1568" t="str">
            <v>KHCN</v>
          </cell>
          <cell r="I1568" t="str">
            <v>VTBR</v>
          </cell>
          <cell r="AC1568">
            <v>930000</v>
          </cell>
          <cell r="AD1568">
            <v>21693266</v>
          </cell>
          <cell r="AE1568">
            <v>18816714</v>
          </cell>
          <cell r="AF1568">
            <v>17946978</v>
          </cell>
          <cell r="AG1568">
            <v>0</v>
          </cell>
          <cell r="AH1568">
            <v>0</v>
          </cell>
          <cell r="AI1568">
            <v>0</v>
          </cell>
          <cell r="AJ1568">
            <v>0</v>
          </cell>
          <cell r="AK1568">
            <v>662656</v>
          </cell>
          <cell r="AL1568">
            <v>1449560</v>
          </cell>
          <cell r="AM1568">
            <v>124248</v>
          </cell>
          <cell r="AN1568">
            <v>248496</v>
          </cell>
          <cell r="AO1568">
            <v>82832</v>
          </cell>
          <cell r="AP1568">
            <v>82832</v>
          </cell>
        </row>
        <row r="1569">
          <cell r="D1569" t="str">
            <v>Nghiên cứu, phát triển nền tảng khối xử lý băng gốc cho trạm 5G Massive MIMO</v>
          </cell>
          <cell r="G1569" t="str">
            <v>KHCN</v>
          </cell>
          <cell r="I1569" t="str">
            <v>VTBR</v>
          </cell>
          <cell r="AC1569">
            <v>930000</v>
          </cell>
          <cell r="AD1569">
            <v>15400156</v>
          </cell>
          <cell r="AE1569">
            <v>12710100</v>
          </cell>
          <cell r="AF1569">
            <v>11923692</v>
          </cell>
          <cell r="AG1569">
            <v>0</v>
          </cell>
          <cell r="AH1569">
            <v>0</v>
          </cell>
          <cell r="AI1569">
            <v>0</v>
          </cell>
          <cell r="AJ1569">
            <v>0</v>
          </cell>
          <cell r="AK1569">
            <v>599168</v>
          </cell>
          <cell r="AL1569">
            <v>1310680</v>
          </cell>
          <cell r="AM1569">
            <v>112344</v>
          </cell>
          <cell r="AN1569">
            <v>224688</v>
          </cell>
          <cell r="AO1569">
            <v>74896</v>
          </cell>
          <cell r="AP1569">
            <v>74896</v>
          </cell>
        </row>
        <row r="1570">
          <cell r="D1570" t="str">
            <v>Nghiên cứu, phát triển nền tảng khối xử lý băng gốc cho trạm 5G Massive MIMO</v>
          </cell>
          <cell r="G1570" t="str">
            <v>KHCN</v>
          </cell>
          <cell r="I1570" t="str">
            <v>VTBR</v>
          </cell>
          <cell r="AC1570">
            <v>930000</v>
          </cell>
          <cell r="AD1570">
            <v>19153404</v>
          </cell>
          <cell r="AE1570">
            <v>16370100</v>
          </cell>
          <cell r="AF1570">
            <v>15542028</v>
          </cell>
          <cell r="AG1570">
            <v>0</v>
          </cell>
          <cell r="AH1570">
            <v>0</v>
          </cell>
          <cell r="AI1570">
            <v>0</v>
          </cell>
          <cell r="AJ1570">
            <v>0</v>
          </cell>
          <cell r="AK1570">
            <v>630912</v>
          </cell>
          <cell r="AL1570">
            <v>1380120</v>
          </cell>
          <cell r="AM1570">
            <v>118296</v>
          </cell>
          <cell r="AN1570">
            <v>236592</v>
          </cell>
          <cell r="AO1570">
            <v>78864</v>
          </cell>
          <cell r="AP1570">
            <v>78864</v>
          </cell>
        </row>
        <row r="1571">
          <cell r="D1571" t="str">
            <v>Nghiên cứu, phát triển nền tảng khối xử lý băng gốc cho trạm 5G Massive MIMO</v>
          </cell>
          <cell r="G1571" t="str">
            <v>KHCN</v>
          </cell>
          <cell r="I1571" t="str">
            <v>VTBR</v>
          </cell>
          <cell r="AC1571">
            <v>930000</v>
          </cell>
          <cell r="AD1571">
            <v>19769532</v>
          </cell>
          <cell r="AE1571">
            <v>16892980</v>
          </cell>
          <cell r="AF1571">
            <v>16023244</v>
          </cell>
          <cell r="AG1571">
            <v>0</v>
          </cell>
          <cell r="AH1571">
            <v>0</v>
          </cell>
          <cell r="AI1571">
            <v>0</v>
          </cell>
          <cell r="AJ1571">
            <v>0</v>
          </cell>
          <cell r="AK1571">
            <v>662656</v>
          </cell>
          <cell r="AL1571">
            <v>1449560</v>
          </cell>
          <cell r="AM1571">
            <v>124248</v>
          </cell>
          <cell r="AN1571">
            <v>248496</v>
          </cell>
          <cell r="AO1571">
            <v>82832</v>
          </cell>
          <cell r="AP1571">
            <v>82832</v>
          </cell>
        </row>
        <row r="1572">
          <cell r="D1572" t="str">
            <v>Nghiên cứu, phát triển nền tảng khối xử lý băng gốc cho trạm 5G Massive MIMO</v>
          </cell>
          <cell r="G1572" t="str">
            <v>KHCN</v>
          </cell>
          <cell r="I1572" t="str">
            <v>VTBR</v>
          </cell>
          <cell r="AC1572">
            <v>930000</v>
          </cell>
          <cell r="AD1572">
            <v>18810430</v>
          </cell>
          <cell r="AE1572">
            <v>15370780</v>
          </cell>
          <cell r="AF1572">
            <v>14341180</v>
          </cell>
          <cell r="AG1572">
            <v>0</v>
          </cell>
          <cell r="AH1572">
            <v>0</v>
          </cell>
          <cell r="AI1572">
            <v>0</v>
          </cell>
          <cell r="AJ1572">
            <v>0</v>
          </cell>
          <cell r="AK1572">
            <v>1029600</v>
          </cell>
          <cell r="AL1572">
            <v>2252250</v>
          </cell>
          <cell r="AM1572">
            <v>0</v>
          </cell>
          <cell r="AN1572">
            <v>0</v>
          </cell>
          <cell r="AO1572">
            <v>0</v>
          </cell>
          <cell r="AP1572">
            <v>0</v>
          </cell>
        </row>
        <row r="1573">
          <cell r="D1573" t="str">
            <v>Nghiên cứu, phát triển nền tảng khối xử lý băng gốc cho trạm 5G Massive MIMO</v>
          </cell>
          <cell r="G1573" t="str">
            <v>KHCN</v>
          </cell>
          <cell r="I1573" t="str">
            <v>VTBR</v>
          </cell>
          <cell r="AC1573">
            <v>1130000</v>
          </cell>
          <cell r="AD1573">
            <v>66279153</v>
          </cell>
          <cell r="AE1573">
            <v>54444716</v>
          </cell>
          <cell r="AF1573">
            <v>53512989</v>
          </cell>
          <cell r="AG1573">
            <v>0</v>
          </cell>
          <cell r="AH1573">
            <v>0</v>
          </cell>
          <cell r="AI1573">
            <v>0</v>
          </cell>
          <cell r="AJ1573">
            <v>0</v>
          </cell>
          <cell r="AK1573">
            <v>784612</v>
          </cell>
          <cell r="AL1573">
            <v>1716339</v>
          </cell>
          <cell r="AM1573">
            <v>147115</v>
          </cell>
          <cell r="AN1573">
            <v>294230</v>
          </cell>
          <cell r="AO1573">
            <v>0</v>
          </cell>
          <cell r="AP1573">
            <v>0</v>
          </cell>
        </row>
        <row r="1574">
          <cell r="D1574" t="str">
            <v>Nghiên cứu, phát triển nền tảng khối xử lý băng gốc cho trạm 5G Massive MIMO</v>
          </cell>
          <cell r="G1574" t="str">
            <v>KHCN</v>
          </cell>
          <cell r="I1574" t="str">
            <v>VTBR</v>
          </cell>
          <cell r="AC1574">
            <v>1030000</v>
          </cell>
          <cell r="AD1574">
            <v>60120531</v>
          </cell>
          <cell r="AE1574">
            <v>48960650</v>
          </cell>
          <cell r="AF1574">
            <v>47878291</v>
          </cell>
          <cell r="AG1574">
            <v>0</v>
          </cell>
          <cell r="AH1574">
            <v>0</v>
          </cell>
          <cell r="AI1574">
            <v>0</v>
          </cell>
          <cell r="AJ1574">
            <v>0</v>
          </cell>
          <cell r="AK1574">
            <v>824654</v>
          </cell>
          <cell r="AL1574">
            <v>1803930</v>
          </cell>
          <cell r="AM1574">
            <v>154623</v>
          </cell>
          <cell r="AN1574">
            <v>309245</v>
          </cell>
          <cell r="AO1574">
            <v>103082</v>
          </cell>
          <cell r="AP1574">
            <v>103082</v>
          </cell>
        </row>
        <row r="1575">
          <cell r="D1575" t="str">
            <v>Nghiên cứu, phát triển nền tảng khối xử lý băng gốc cho trạm 5G Massive MIMO</v>
          </cell>
          <cell r="G1575" t="str">
            <v>KHCN</v>
          </cell>
          <cell r="I1575" t="str">
            <v>VTBR</v>
          </cell>
          <cell r="AC1575">
            <v>1030000</v>
          </cell>
          <cell r="AD1575">
            <v>54176088</v>
          </cell>
          <cell r="AE1575">
            <v>43791569</v>
          </cell>
          <cell r="AF1575">
            <v>42709210</v>
          </cell>
          <cell r="AG1575">
            <v>0</v>
          </cell>
          <cell r="AH1575">
            <v>0</v>
          </cell>
          <cell r="AI1575">
            <v>0</v>
          </cell>
          <cell r="AJ1575">
            <v>0</v>
          </cell>
          <cell r="AK1575">
            <v>824654</v>
          </cell>
          <cell r="AL1575">
            <v>1803930</v>
          </cell>
          <cell r="AM1575">
            <v>154623</v>
          </cell>
          <cell r="AN1575">
            <v>309245</v>
          </cell>
          <cell r="AO1575">
            <v>103082</v>
          </cell>
          <cell r="AP1575">
            <v>103082</v>
          </cell>
        </row>
        <row r="1576">
          <cell r="D1576" t="str">
            <v>Nghiên cứu, phát triển nền tảng khối xử lý băng gốc cho trạm 5G Massive MIMO</v>
          </cell>
          <cell r="G1576" t="str">
            <v>KHCN</v>
          </cell>
          <cell r="I1576" t="str">
            <v>VTBR</v>
          </cell>
          <cell r="AC1576">
            <v>1030000</v>
          </cell>
          <cell r="AD1576">
            <v>44198549</v>
          </cell>
          <cell r="AE1576">
            <v>40650853</v>
          </cell>
          <cell r="AF1576">
            <v>39525925</v>
          </cell>
          <cell r="AG1576">
            <v>0</v>
          </cell>
          <cell r="AH1576">
            <v>0</v>
          </cell>
          <cell r="AI1576">
            <v>0</v>
          </cell>
          <cell r="AJ1576">
            <v>0</v>
          </cell>
          <cell r="AK1576">
            <v>857088</v>
          </cell>
          <cell r="AL1576">
            <v>1874880</v>
          </cell>
          <cell r="AM1576">
            <v>160704</v>
          </cell>
          <cell r="AN1576">
            <v>321408</v>
          </cell>
          <cell r="AO1576">
            <v>107136</v>
          </cell>
          <cell r="AP1576">
            <v>107136</v>
          </cell>
        </row>
        <row r="1577">
          <cell r="D1577" t="str">
            <v>Nghiên cứu, phát triển nền tảng khối xử lý băng gốc cho trạm 5G Massive MIMO</v>
          </cell>
          <cell r="G1577" t="str">
            <v>KHCN</v>
          </cell>
          <cell r="I1577" t="str">
            <v>VTBR</v>
          </cell>
          <cell r="AC1577">
            <v>930000</v>
          </cell>
          <cell r="AD1577">
            <v>21747584</v>
          </cell>
          <cell r="AE1577">
            <v>18871032</v>
          </cell>
          <cell r="AF1577">
            <v>18001296</v>
          </cell>
          <cell r="AG1577">
            <v>0</v>
          </cell>
          <cell r="AH1577">
            <v>0</v>
          </cell>
          <cell r="AI1577">
            <v>0</v>
          </cell>
          <cell r="AJ1577">
            <v>0</v>
          </cell>
          <cell r="AK1577">
            <v>662656</v>
          </cell>
          <cell r="AL1577">
            <v>1449560</v>
          </cell>
          <cell r="AM1577">
            <v>124248</v>
          </cell>
          <cell r="AN1577">
            <v>248496</v>
          </cell>
          <cell r="AO1577">
            <v>82832</v>
          </cell>
          <cell r="AP1577">
            <v>82832</v>
          </cell>
        </row>
        <row r="1578">
          <cell r="D1578" t="str">
            <v>Nghiên cứu, phát triển nền tảng khối xử lý băng gốc cho trạm 5G Massive MIMO</v>
          </cell>
          <cell r="G1578" t="str">
            <v>KHCN</v>
          </cell>
          <cell r="I1578" t="str">
            <v>VTBR</v>
          </cell>
          <cell r="AC1578">
            <v>1030000</v>
          </cell>
          <cell r="AD1578">
            <v>34878795</v>
          </cell>
          <cell r="AE1578">
            <v>31575875</v>
          </cell>
          <cell r="AF1578">
            <v>30560315</v>
          </cell>
          <cell r="AG1578">
            <v>0</v>
          </cell>
          <cell r="AH1578">
            <v>0</v>
          </cell>
          <cell r="AI1578">
            <v>0</v>
          </cell>
          <cell r="AJ1578">
            <v>0</v>
          </cell>
          <cell r="AK1578">
            <v>773760</v>
          </cell>
          <cell r="AL1578">
            <v>1692600</v>
          </cell>
          <cell r="AM1578">
            <v>145080</v>
          </cell>
          <cell r="AN1578">
            <v>290160</v>
          </cell>
          <cell r="AO1578">
            <v>96720</v>
          </cell>
          <cell r="AP1578">
            <v>96720</v>
          </cell>
        </row>
        <row r="1579">
          <cell r="D1579" t="str">
            <v>Nghiên cứu, phát triển nền tảng khối xử lý băng gốc cho trạm 5G Massive MIMO</v>
          </cell>
          <cell r="G1579" t="str">
            <v>KHCN</v>
          </cell>
          <cell r="I1579" t="str">
            <v>VTBR</v>
          </cell>
          <cell r="AC1579">
            <v>930000</v>
          </cell>
          <cell r="AD1579">
            <v>25815064</v>
          </cell>
          <cell r="AE1579">
            <v>22728704</v>
          </cell>
          <cell r="AF1579">
            <v>21765224</v>
          </cell>
          <cell r="AG1579">
            <v>0</v>
          </cell>
          <cell r="AH1579">
            <v>0</v>
          </cell>
          <cell r="AI1579">
            <v>0</v>
          </cell>
          <cell r="AJ1579">
            <v>0</v>
          </cell>
          <cell r="AK1579">
            <v>734080</v>
          </cell>
          <cell r="AL1579">
            <v>1605800</v>
          </cell>
          <cell r="AM1579">
            <v>137640</v>
          </cell>
          <cell r="AN1579">
            <v>275280</v>
          </cell>
          <cell r="AO1579">
            <v>91760</v>
          </cell>
          <cell r="AP1579">
            <v>91760</v>
          </cell>
        </row>
        <row r="1580">
          <cell r="D1580" t="str">
            <v>Nghiên cứu, phát triển nền tảng khối xử lý băng gốc cho trạm 5G Massive MIMO</v>
          </cell>
          <cell r="G1580" t="str">
            <v>KHCN</v>
          </cell>
          <cell r="I1580" t="str">
            <v>VTBR</v>
          </cell>
          <cell r="AC1580">
            <v>1047000</v>
          </cell>
          <cell r="AD1580">
            <v>19616984</v>
          </cell>
          <cell r="AE1580">
            <v>16716680</v>
          </cell>
          <cell r="AF1580">
            <v>15888608</v>
          </cell>
          <cell r="AG1580">
            <v>0</v>
          </cell>
          <cell r="AH1580">
            <v>0</v>
          </cell>
          <cell r="AI1580">
            <v>0</v>
          </cell>
          <cell r="AJ1580">
            <v>0</v>
          </cell>
          <cell r="AK1580">
            <v>630912</v>
          </cell>
          <cell r="AL1580">
            <v>1380120</v>
          </cell>
          <cell r="AM1580">
            <v>118296</v>
          </cell>
          <cell r="AN1580">
            <v>236592</v>
          </cell>
          <cell r="AO1580">
            <v>78864</v>
          </cell>
          <cell r="AP1580">
            <v>78864</v>
          </cell>
        </row>
        <row r="1581">
          <cell r="D1581" t="str">
            <v>Nghiên cứu, phát triển nền tảng khối xử lý băng gốc cho trạm 5G Massive MIMO</v>
          </cell>
          <cell r="G1581" t="str">
            <v>KHCN</v>
          </cell>
          <cell r="I1581" t="str">
            <v>VTBR</v>
          </cell>
          <cell r="AC1581">
            <v>930000</v>
          </cell>
          <cell r="AD1581">
            <v>21891758</v>
          </cell>
          <cell r="AE1581">
            <v>19015206</v>
          </cell>
          <cell r="AF1581">
            <v>18145470</v>
          </cell>
          <cell r="AG1581">
            <v>0</v>
          </cell>
          <cell r="AH1581">
            <v>0</v>
          </cell>
          <cell r="AI1581">
            <v>0</v>
          </cell>
          <cell r="AJ1581">
            <v>0</v>
          </cell>
          <cell r="AK1581">
            <v>662656</v>
          </cell>
          <cell r="AL1581">
            <v>1449560</v>
          </cell>
          <cell r="AM1581">
            <v>124248</v>
          </cell>
          <cell r="AN1581">
            <v>248496</v>
          </cell>
          <cell r="AO1581">
            <v>82832</v>
          </cell>
          <cell r="AP1581">
            <v>82832</v>
          </cell>
        </row>
        <row r="1582">
          <cell r="D1582" t="str">
            <v>Nghiên cứu, phát triển nền tảng khối xử lý băng gốc cho trạm 5G Massive MIMO</v>
          </cell>
          <cell r="G1582" t="str">
            <v>KHCN</v>
          </cell>
          <cell r="I1582" t="str">
            <v>VTBR</v>
          </cell>
          <cell r="AC1582">
            <v>930000</v>
          </cell>
          <cell r="AD1582">
            <v>18812844</v>
          </cell>
          <cell r="AE1582">
            <v>16029540</v>
          </cell>
          <cell r="AF1582">
            <v>15201468</v>
          </cell>
          <cell r="AG1582">
            <v>0</v>
          </cell>
          <cell r="AH1582">
            <v>0</v>
          </cell>
          <cell r="AI1582">
            <v>0</v>
          </cell>
          <cell r="AJ1582">
            <v>0</v>
          </cell>
          <cell r="AK1582">
            <v>630912</v>
          </cell>
          <cell r="AL1582">
            <v>1380120</v>
          </cell>
          <cell r="AM1582">
            <v>118296</v>
          </cell>
          <cell r="AN1582">
            <v>236592</v>
          </cell>
          <cell r="AO1582">
            <v>78864</v>
          </cell>
          <cell r="AP1582">
            <v>78864</v>
          </cell>
        </row>
        <row r="1583">
          <cell r="D1583" t="str">
            <v>Nghiên cứu, phát triển nền tảng khối xử lý băng gốc cho trạm 5G Massive MIMO</v>
          </cell>
          <cell r="G1583" t="str">
            <v>KHCN</v>
          </cell>
          <cell r="I1583" t="str">
            <v>VTBR</v>
          </cell>
          <cell r="AC1583">
            <v>1030000</v>
          </cell>
          <cell r="AD1583">
            <v>58120531</v>
          </cell>
          <cell r="AE1583">
            <v>54304747</v>
          </cell>
          <cell r="AF1583">
            <v>53060035</v>
          </cell>
          <cell r="AG1583">
            <v>0</v>
          </cell>
          <cell r="AH1583">
            <v>0</v>
          </cell>
          <cell r="AI1583">
            <v>0</v>
          </cell>
          <cell r="AJ1583">
            <v>0</v>
          </cell>
          <cell r="AK1583">
            <v>948352</v>
          </cell>
          <cell r="AL1583">
            <v>2074520</v>
          </cell>
          <cell r="AM1583">
            <v>177816</v>
          </cell>
          <cell r="AN1583">
            <v>355632</v>
          </cell>
          <cell r="AO1583">
            <v>118544</v>
          </cell>
          <cell r="AP1583">
            <v>118544</v>
          </cell>
        </row>
        <row r="1584">
          <cell r="D1584" t="str">
            <v>Nghiên cứu, phát triển nền tảng khối xử lý băng gốc cho trạm 5G Massive MIMO</v>
          </cell>
          <cell r="G1584" t="str">
            <v>KHCN</v>
          </cell>
          <cell r="I1584" t="str">
            <v>VTBR</v>
          </cell>
          <cell r="AC1584">
            <v>1498000</v>
          </cell>
          <cell r="AD1584">
            <v>56588531</v>
          </cell>
          <cell r="AE1584">
            <v>52304747</v>
          </cell>
          <cell r="AF1584">
            <v>51060035</v>
          </cell>
          <cell r="AG1584">
            <v>0</v>
          </cell>
          <cell r="AH1584">
            <v>0</v>
          </cell>
          <cell r="AI1584">
            <v>0</v>
          </cell>
          <cell r="AJ1584">
            <v>0</v>
          </cell>
          <cell r="AK1584">
            <v>948352</v>
          </cell>
          <cell r="AL1584">
            <v>2074520</v>
          </cell>
          <cell r="AM1584">
            <v>177816</v>
          </cell>
          <cell r="AN1584">
            <v>355632</v>
          </cell>
          <cell r="AO1584">
            <v>118544</v>
          </cell>
          <cell r="AP1584">
            <v>118544</v>
          </cell>
        </row>
        <row r="1585">
          <cell r="D1585" t="str">
            <v>Nghiên cứu, phát triển nền tảng khối xử lý băng gốc cho trạm 5G Massive MIMO</v>
          </cell>
          <cell r="G1585" t="str">
            <v>KHCN</v>
          </cell>
          <cell r="I1585" t="str">
            <v>VTBR</v>
          </cell>
          <cell r="AC1585">
            <v>1030000</v>
          </cell>
          <cell r="AD1585">
            <v>48826616</v>
          </cell>
          <cell r="AE1585">
            <v>45278920</v>
          </cell>
          <cell r="AF1585">
            <v>44153992</v>
          </cell>
          <cell r="AG1585">
            <v>0</v>
          </cell>
          <cell r="AH1585">
            <v>0</v>
          </cell>
          <cell r="AI1585">
            <v>0</v>
          </cell>
          <cell r="AJ1585">
            <v>0</v>
          </cell>
          <cell r="AK1585">
            <v>857088</v>
          </cell>
          <cell r="AL1585">
            <v>1874880</v>
          </cell>
          <cell r="AM1585">
            <v>160704</v>
          </cell>
          <cell r="AN1585">
            <v>321408</v>
          </cell>
          <cell r="AO1585">
            <v>107136</v>
          </cell>
          <cell r="AP1585">
            <v>107136</v>
          </cell>
        </row>
        <row r="1586">
          <cell r="D1586" t="str">
            <v>Nghiên cứu, phát triển nền tảng khối xử lý băng gốc cho trạm 5G Massive MIMO</v>
          </cell>
          <cell r="G1586" t="str">
            <v>KHCN</v>
          </cell>
          <cell r="I1586" t="str">
            <v>VTBR</v>
          </cell>
          <cell r="AC1586">
            <v>1047000</v>
          </cell>
          <cell r="AD1586">
            <v>23407992</v>
          </cell>
          <cell r="AE1586">
            <v>20309536</v>
          </cell>
          <cell r="AF1586">
            <v>19392928</v>
          </cell>
          <cell r="AG1586">
            <v>0</v>
          </cell>
          <cell r="AH1586">
            <v>0</v>
          </cell>
          <cell r="AI1586">
            <v>0</v>
          </cell>
          <cell r="AJ1586">
            <v>0</v>
          </cell>
          <cell r="AK1586">
            <v>698368</v>
          </cell>
          <cell r="AL1586">
            <v>1527680</v>
          </cell>
          <cell r="AM1586">
            <v>130944</v>
          </cell>
          <cell r="AN1586">
            <v>261888</v>
          </cell>
          <cell r="AO1586">
            <v>87296</v>
          </cell>
          <cell r="AP1586">
            <v>87296</v>
          </cell>
        </row>
        <row r="1587">
          <cell r="D1587" t="str">
            <v>Nghiên cứu, phát triển nền tảng khối xử lý băng gốc cho trạm 5G Massive MIMO</v>
          </cell>
          <cell r="G1587" t="str">
            <v>KHCN</v>
          </cell>
          <cell r="I1587" t="str">
            <v>VTBR</v>
          </cell>
          <cell r="AC1587">
            <v>930000</v>
          </cell>
          <cell r="AD1587">
            <v>24880459</v>
          </cell>
          <cell r="AE1587">
            <v>21794099</v>
          </cell>
          <cell r="AF1587">
            <v>20830619</v>
          </cell>
          <cell r="AG1587">
            <v>0</v>
          </cell>
          <cell r="AH1587">
            <v>0</v>
          </cell>
          <cell r="AI1587">
            <v>0</v>
          </cell>
          <cell r="AJ1587">
            <v>0</v>
          </cell>
          <cell r="AK1587">
            <v>734080</v>
          </cell>
          <cell r="AL1587">
            <v>1605800</v>
          </cell>
          <cell r="AM1587">
            <v>137640</v>
          </cell>
          <cell r="AN1587">
            <v>275280</v>
          </cell>
          <cell r="AO1587">
            <v>91760</v>
          </cell>
          <cell r="AP1587">
            <v>91760</v>
          </cell>
        </row>
        <row r="1588">
          <cell r="D1588" t="str">
            <v>Nghiên cứu, phát triển nền tảng khối xử lý băng gốc cho trạm 5G Massive MIMO</v>
          </cell>
          <cell r="G1588" t="str">
            <v>KHCN</v>
          </cell>
          <cell r="I1588" t="str">
            <v>VTBR</v>
          </cell>
          <cell r="AC1588">
            <v>930000</v>
          </cell>
          <cell r="AD1588">
            <v>20085068</v>
          </cell>
          <cell r="AE1588">
            <v>17301764</v>
          </cell>
          <cell r="AF1588">
            <v>16473692</v>
          </cell>
          <cell r="AG1588">
            <v>0</v>
          </cell>
          <cell r="AH1588">
            <v>0</v>
          </cell>
          <cell r="AI1588">
            <v>0</v>
          </cell>
          <cell r="AJ1588">
            <v>0</v>
          </cell>
          <cell r="AK1588">
            <v>630912</v>
          </cell>
          <cell r="AL1588">
            <v>1380120</v>
          </cell>
          <cell r="AM1588">
            <v>118296</v>
          </cell>
          <cell r="AN1588">
            <v>236592</v>
          </cell>
          <cell r="AO1588">
            <v>78864</v>
          </cell>
          <cell r="AP1588">
            <v>78864</v>
          </cell>
        </row>
        <row r="1589">
          <cell r="D1589" t="str">
            <v>Nghiên cứu, phát triển nền tảng khối xử lý băng gốc cho trạm 5G Massive MIMO</v>
          </cell>
          <cell r="G1589" t="str">
            <v>KHCN</v>
          </cell>
          <cell r="I1589" t="str">
            <v>VTBR</v>
          </cell>
          <cell r="AC1589">
            <v>930000</v>
          </cell>
          <cell r="AD1589">
            <v>16972936</v>
          </cell>
          <cell r="AE1589">
            <v>14282880</v>
          </cell>
          <cell r="AF1589">
            <v>13496472</v>
          </cell>
          <cell r="AG1589">
            <v>0</v>
          </cell>
          <cell r="AH1589">
            <v>0</v>
          </cell>
          <cell r="AI1589">
            <v>0</v>
          </cell>
          <cell r="AJ1589">
            <v>0</v>
          </cell>
          <cell r="AK1589">
            <v>599168</v>
          </cell>
          <cell r="AL1589">
            <v>1310680</v>
          </cell>
          <cell r="AM1589">
            <v>112344</v>
          </cell>
          <cell r="AN1589">
            <v>224688</v>
          </cell>
          <cell r="AO1589">
            <v>74896</v>
          </cell>
          <cell r="AP1589">
            <v>74896</v>
          </cell>
        </row>
        <row r="1590">
          <cell r="D1590" t="str">
            <v>Nghiên cứu, phát triển nền tảng khối xử lý băng gốc cho trạm 5G Massive MIMO</v>
          </cell>
          <cell r="G1590" t="str">
            <v>KHCN</v>
          </cell>
          <cell r="I1590" t="str">
            <v>VTBR</v>
          </cell>
          <cell r="AC1590">
            <v>930000</v>
          </cell>
          <cell r="AD1590">
            <v>16972936</v>
          </cell>
          <cell r="AE1590">
            <v>14282880</v>
          </cell>
          <cell r="AF1590">
            <v>13496472</v>
          </cell>
          <cell r="AG1590">
            <v>0</v>
          </cell>
          <cell r="AH1590">
            <v>0</v>
          </cell>
          <cell r="AI1590">
            <v>0</v>
          </cell>
          <cell r="AJ1590">
            <v>0</v>
          </cell>
          <cell r="AK1590">
            <v>599168</v>
          </cell>
          <cell r="AL1590">
            <v>1310680</v>
          </cell>
          <cell r="AM1590">
            <v>112344</v>
          </cell>
          <cell r="AN1590">
            <v>224688</v>
          </cell>
          <cell r="AO1590">
            <v>74896</v>
          </cell>
          <cell r="AP1590">
            <v>74896</v>
          </cell>
        </row>
        <row r="1591">
          <cell r="D1591" t="str">
            <v>Nghiên cứu, phát triển nền tảng khối xử lý băng gốc cho trạm 5G Massive MIMO</v>
          </cell>
          <cell r="G1591" t="str">
            <v>KHCN</v>
          </cell>
          <cell r="I1591" t="str">
            <v>VTBR</v>
          </cell>
          <cell r="AC1591">
            <v>1130000</v>
          </cell>
          <cell r="AD1591">
            <v>71818607</v>
          </cell>
          <cell r="AE1591">
            <v>67611423</v>
          </cell>
          <cell r="AF1591">
            <v>66236511</v>
          </cell>
          <cell r="AG1591">
            <v>0</v>
          </cell>
          <cell r="AH1591">
            <v>0</v>
          </cell>
          <cell r="AI1591">
            <v>0</v>
          </cell>
          <cell r="AJ1591">
            <v>0</v>
          </cell>
          <cell r="AK1591">
            <v>1047552</v>
          </cell>
          <cell r="AL1591">
            <v>2291520</v>
          </cell>
          <cell r="AM1591">
            <v>196416</v>
          </cell>
          <cell r="AN1591">
            <v>392832</v>
          </cell>
          <cell r="AO1591">
            <v>130944</v>
          </cell>
          <cell r="AP1591">
            <v>130944</v>
          </cell>
        </row>
        <row r="1592">
          <cell r="D1592" t="str">
            <v>Nghiên cứu, phát triển nền tảng khối xử lý băng gốc cho trạm 5G Massive MIMO</v>
          </cell>
          <cell r="G1592" t="str">
            <v>KHCN</v>
          </cell>
          <cell r="I1592" t="str">
            <v>VTBR</v>
          </cell>
          <cell r="AC1592">
            <v>1030000</v>
          </cell>
          <cell r="AD1592">
            <v>47839160</v>
          </cell>
          <cell r="AE1592">
            <v>44163248</v>
          </cell>
          <cell r="AF1592">
            <v>42981032</v>
          </cell>
          <cell r="AG1592">
            <v>0</v>
          </cell>
          <cell r="AH1592">
            <v>0</v>
          </cell>
          <cell r="AI1592">
            <v>0</v>
          </cell>
          <cell r="AJ1592">
            <v>0</v>
          </cell>
          <cell r="AK1592">
            <v>900736</v>
          </cell>
          <cell r="AL1592">
            <v>1970360</v>
          </cell>
          <cell r="AM1592">
            <v>168888</v>
          </cell>
          <cell r="AN1592">
            <v>337776</v>
          </cell>
          <cell r="AO1592">
            <v>112592</v>
          </cell>
          <cell r="AP1592">
            <v>112592</v>
          </cell>
        </row>
        <row r="1593">
          <cell r="D1593" t="str">
            <v>Nghiên cứu, phát triển nền tảng khối xử lý băng gốc cho trạm 5G Massive MIMO</v>
          </cell>
          <cell r="G1593" t="str">
            <v>KHCN</v>
          </cell>
          <cell r="I1593" t="str">
            <v>VTBR</v>
          </cell>
          <cell r="AC1593">
            <v>1030000</v>
          </cell>
          <cell r="AD1593">
            <v>31605365</v>
          </cell>
          <cell r="AE1593">
            <v>28302445</v>
          </cell>
          <cell r="AF1593">
            <v>27286885</v>
          </cell>
          <cell r="AG1593">
            <v>0</v>
          </cell>
          <cell r="AH1593">
            <v>0</v>
          </cell>
          <cell r="AI1593">
            <v>0</v>
          </cell>
          <cell r="AJ1593">
            <v>0</v>
          </cell>
          <cell r="AK1593">
            <v>773760</v>
          </cell>
          <cell r="AL1593">
            <v>1692600</v>
          </cell>
          <cell r="AM1593">
            <v>145080</v>
          </cell>
          <cell r="AN1593">
            <v>290160</v>
          </cell>
          <cell r="AO1593">
            <v>96720</v>
          </cell>
          <cell r="AP1593">
            <v>96720</v>
          </cell>
        </row>
        <row r="1594">
          <cell r="D1594" t="str">
            <v>Nghiên cứu, phát triển nền tảng khối xử lý băng gốc cho trạm 5G Massive MIMO</v>
          </cell>
          <cell r="G1594" t="str">
            <v>KHCN</v>
          </cell>
          <cell r="I1594" t="str">
            <v>VTBR</v>
          </cell>
          <cell r="AC1594">
            <v>930000</v>
          </cell>
          <cell r="AD1594">
            <v>29881806</v>
          </cell>
          <cell r="AE1594">
            <v>26678886</v>
          </cell>
          <cell r="AF1594">
            <v>25663326</v>
          </cell>
          <cell r="AG1594">
            <v>0</v>
          </cell>
          <cell r="AH1594">
            <v>0</v>
          </cell>
          <cell r="AI1594">
            <v>0</v>
          </cell>
          <cell r="AJ1594">
            <v>0</v>
          </cell>
          <cell r="AK1594">
            <v>773760</v>
          </cell>
          <cell r="AL1594">
            <v>1692600</v>
          </cell>
          <cell r="AM1594">
            <v>145080</v>
          </cell>
          <cell r="AN1594">
            <v>290160</v>
          </cell>
          <cell r="AO1594">
            <v>96720</v>
          </cell>
          <cell r="AP1594">
            <v>96720</v>
          </cell>
        </row>
        <row r="1595">
          <cell r="D1595" t="str">
            <v>Nghiên cứu, phát triển nền tảng khối xử lý băng gốc cho trạm 5G Massive MIMO</v>
          </cell>
          <cell r="G1595" t="str">
            <v>KHCN</v>
          </cell>
          <cell r="I1595" t="str">
            <v>VTBR</v>
          </cell>
          <cell r="AC1595">
            <v>1030000</v>
          </cell>
          <cell r="AD1595">
            <v>34097667</v>
          </cell>
          <cell r="AE1595">
            <v>30678187</v>
          </cell>
          <cell r="AF1595">
            <v>29610547</v>
          </cell>
          <cell r="AG1595">
            <v>0</v>
          </cell>
          <cell r="AH1595">
            <v>0</v>
          </cell>
          <cell r="AI1595">
            <v>0</v>
          </cell>
          <cell r="AJ1595">
            <v>0</v>
          </cell>
          <cell r="AK1595">
            <v>813440</v>
          </cell>
          <cell r="AL1595">
            <v>1779400</v>
          </cell>
          <cell r="AM1595">
            <v>152520</v>
          </cell>
          <cell r="AN1595">
            <v>305040</v>
          </cell>
          <cell r="AO1595">
            <v>101680</v>
          </cell>
          <cell r="AP1595">
            <v>101680</v>
          </cell>
        </row>
        <row r="1596">
          <cell r="D1596" t="str">
            <v>Nghiên cứu, phát triển nền tảng khối xử lý băng gốc cho trạm 5G Massive MIMO</v>
          </cell>
          <cell r="G1596" t="str">
            <v>KHCN</v>
          </cell>
          <cell r="I1596" t="str">
            <v>VTBR</v>
          </cell>
          <cell r="AC1596">
            <v>1047000</v>
          </cell>
          <cell r="AD1596">
            <v>25459420</v>
          </cell>
          <cell r="AE1596">
            <v>22256060</v>
          </cell>
          <cell r="AF1596">
            <v>21292580</v>
          </cell>
          <cell r="AG1596">
            <v>0</v>
          </cell>
          <cell r="AH1596">
            <v>0</v>
          </cell>
          <cell r="AI1596">
            <v>0</v>
          </cell>
          <cell r="AJ1596">
            <v>0</v>
          </cell>
          <cell r="AK1596">
            <v>734080</v>
          </cell>
          <cell r="AL1596">
            <v>1605800</v>
          </cell>
          <cell r="AM1596">
            <v>137640</v>
          </cell>
          <cell r="AN1596">
            <v>275280</v>
          </cell>
          <cell r="AO1596">
            <v>91760</v>
          </cell>
          <cell r="AP1596">
            <v>91760</v>
          </cell>
        </row>
        <row r="1597">
          <cell r="D1597" t="str">
            <v>Nghiên cứu, phát triển nền tảng khối xử lý băng gốc cho trạm 5G Massive MIMO</v>
          </cell>
          <cell r="G1597" t="str">
            <v>KHCN</v>
          </cell>
          <cell r="I1597" t="str">
            <v>VTBR</v>
          </cell>
          <cell r="AC1597">
            <v>930000</v>
          </cell>
          <cell r="AD1597">
            <v>18480024</v>
          </cell>
          <cell r="AE1597">
            <v>15696720</v>
          </cell>
          <cell r="AF1597">
            <v>14868648</v>
          </cell>
          <cell r="AG1597">
            <v>0</v>
          </cell>
          <cell r="AH1597">
            <v>0</v>
          </cell>
          <cell r="AI1597">
            <v>0</v>
          </cell>
          <cell r="AJ1597">
            <v>0</v>
          </cell>
          <cell r="AK1597">
            <v>630912</v>
          </cell>
          <cell r="AL1597">
            <v>1380120</v>
          </cell>
          <cell r="AM1597">
            <v>118296</v>
          </cell>
          <cell r="AN1597">
            <v>236592</v>
          </cell>
          <cell r="AO1597">
            <v>78864</v>
          </cell>
          <cell r="AP1597">
            <v>78864</v>
          </cell>
        </row>
        <row r="1598">
          <cell r="D1598" t="str">
            <v>Nghiên cứu, phát triển nền tảng khối xử lý băng gốc cho trạm 5G Massive MIMO</v>
          </cell>
          <cell r="G1598" t="str">
            <v>KHCN</v>
          </cell>
          <cell r="I1598" t="str">
            <v>VTBR</v>
          </cell>
          <cell r="AC1598">
            <v>1230000</v>
          </cell>
          <cell r="AD1598">
            <v>94858063</v>
          </cell>
          <cell r="AE1598">
            <v>90049671</v>
          </cell>
          <cell r="AF1598">
            <v>88450815</v>
          </cell>
          <cell r="AG1598">
            <v>0</v>
          </cell>
          <cell r="AH1598">
            <v>0</v>
          </cell>
          <cell r="AI1598">
            <v>0</v>
          </cell>
          <cell r="AJ1598">
            <v>0</v>
          </cell>
          <cell r="AK1598">
            <v>1218176</v>
          </cell>
          <cell r="AL1598">
            <v>2664760</v>
          </cell>
          <cell r="AM1598">
            <v>228408</v>
          </cell>
          <cell r="AN1598">
            <v>456816</v>
          </cell>
          <cell r="AO1598">
            <v>152272</v>
          </cell>
          <cell r="AP1598">
            <v>152272</v>
          </cell>
        </row>
        <row r="1599">
          <cell r="D1599" t="str">
            <v>Nghiên cứu, phát triển nền tảng khối xử lý băng gốc cho trạm 5G Massive MIMO</v>
          </cell>
          <cell r="G1599" t="str">
            <v>KHCN</v>
          </cell>
          <cell r="I1599" t="str">
            <v>VTBR</v>
          </cell>
          <cell r="AC1599">
            <v>1030000</v>
          </cell>
          <cell r="AD1599">
            <v>54234051</v>
          </cell>
          <cell r="AE1599">
            <v>50418267</v>
          </cell>
          <cell r="AF1599">
            <v>49173555</v>
          </cell>
          <cell r="AG1599">
            <v>0</v>
          </cell>
          <cell r="AH1599">
            <v>0</v>
          </cell>
          <cell r="AI1599">
            <v>0</v>
          </cell>
          <cell r="AJ1599">
            <v>0</v>
          </cell>
          <cell r="AK1599">
            <v>948352</v>
          </cell>
          <cell r="AL1599">
            <v>2074520</v>
          </cell>
          <cell r="AM1599">
            <v>177816</v>
          </cell>
          <cell r="AN1599">
            <v>355632</v>
          </cell>
          <cell r="AO1599">
            <v>118544</v>
          </cell>
          <cell r="AP1599">
            <v>118544</v>
          </cell>
        </row>
        <row r="1600">
          <cell r="D1600" t="str">
            <v>Nghiên cứu, phát triển nền tảng khối xử lý băng gốc cho trạm 5G Massive MIMO</v>
          </cell>
          <cell r="G1600" t="str">
            <v>KHCN</v>
          </cell>
          <cell r="I1600" t="str">
            <v>VTBR</v>
          </cell>
          <cell r="AC1600">
            <v>1030000</v>
          </cell>
          <cell r="AD1600">
            <v>55770401</v>
          </cell>
          <cell r="AE1600">
            <v>51954617</v>
          </cell>
          <cell r="AF1600">
            <v>50709905</v>
          </cell>
          <cell r="AG1600">
            <v>0</v>
          </cell>
          <cell r="AH1600">
            <v>0</v>
          </cell>
          <cell r="AI1600">
            <v>0</v>
          </cell>
          <cell r="AJ1600">
            <v>0</v>
          </cell>
          <cell r="AK1600">
            <v>948352</v>
          </cell>
          <cell r="AL1600">
            <v>2074520</v>
          </cell>
          <cell r="AM1600">
            <v>177816</v>
          </cell>
          <cell r="AN1600">
            <v>355632</v>
          </cell>
          <cell r="AO1600">
            <v>118544</v>
          </cell>
          <cell r="AP1600">
            <v>118544</v>
          </cell>
        </row>
        <row r="1601">
          <cell r="D1601" t="str">
            <v>Nghiên cứu, phát triển nền tảng khối xử lý băng gốc cho trạm 5G Massive MIMO</v>
          </cell>
          <cell r="G1601" t="str">
            <v>KHCN</v>
          </cell>
          <cell r="I1601" t="str">
            <v>VTBR</v>
          </cell>
          <cell r="AC1601">
            <v>930000</v>
          </cell>
          <cell r="AD1601">
            <v>25342420</v>
          </cell>
          <cell r="AE1601">
            <v>22256060</v>
          </cell>
          <cell r="AF1601">
            <v>21292580</v>
          </cell>
          <cell r="AG1601">
            <v>0</v>
          </cell>
          <cell r="AH1601">
            <v>0</v>
          </cell>
          <cell r="AI1601">
            <v>0</v>
          </cell>
          <cell r="AJ1601">
            <v>0</v>
          </cell>
          <cell r="AK1601">
            <v>734080</v>
          </cell>
          <cell r="AL1601">
            <v>1605800</v>
          </cell>
          <cell r="AM1601">
            <v>137640</v>
          </cell>
          <cell r="AN1601">
            <v>275280</v>
          </cell>
          <cell r="AO1601">
            <v>91760</v>
          </cell>
          <cell r="AP1601">
            <v>91760</v>
          </cell>
        </row>
        <row r="1602">
          <cell r="D1602" t="str">
            <v>Nghiên cứu, phát triển nền tảng khối xử lý băng gốc cho trạm 5G Massive MIMO</v>
          </cell>
          <cell r="G1602" t="str">
            <v>KHCN</v>
          </cell>
          <cell r="I1602" t="str">
            <v>VTBR</v>
          </cell>
          <cell r="AC1602">
            <v>1030000</v>
          </cell>
          <cell r="AD1602">
            <v>49176088</v>
          </cell>
          <cell r="AE1602">
            <v>45360304</v>
          </cell>
          <cell r="AF1602">
            <v>44115592</v>
          </cell>
          <cell r="AG1602">
            <v>0</v>
          </cell>
          <cell r="AH1602">
            <v>0</v>
          </cell>
          <cell r="AI1602">
            <v>0</v>
          </cell>
          <cell r="AJ1602">
            <v>0</v>
          </cell>
          <cell r="AK1602">
            <v>948352</v>
          </cell>
          <cell r="AL1602">
            <v>2074520</v>
          </cell>
          <cell r="AM1602">
            <v>177816</v>
          </cell>
          <cell r="AN1602">
            <v>355632</v>
          </cell>
          <cell r="AO1602">
            <v>118544</v>
          </cell>
          <cell r="AP1602">
            <v>118544</v>
          </cell>
        </row>
        <row r="1603">
          <cell r="D1603" t="str">
            <v>Nghiên cứu, phát triển nền tảng khối xử lý băng gốc cho trạm 5G Massive MIMO</v>
          </cell>
          <cell r="G1603" t="str">
            <v>KHCN</v>
          </cell>
          <cell r="I1603" t="str">
            <v>VTBR</v>
          </cell>
          <cell r="AC1603">
            <v>1030000</v>
          </cell>
          <cell r="AD1603">
            <v>55252114</v>
          </cell>
          <cell r="AE1603">
            <v>40363984</v>
          </cell>
          <cell r="AF1603">
            <v>39438772</v>
          </cell>
          <cell r="AG1603">
            <v>0</v>
          </cell>
          <cell r="AH1603">
            <v>0</v>
          </cell>
          <cell r="AI1603">
            <v>0</v>
          </cell>
          <cell r="AJ1603">
            <v>0</v>
          </cell>
          <cell r="AK1603">
            <v>704924</v>
          </cell>
          <cell r="AL1603">
            <v>1542021</v>
          </cell>
          <cell r="AM1603">
            <v>132173</v>
          </cell>
          <cell r="AN1603">
            <v>264346</v>
          </cell>
          <cell r="AO1603">
            <v>88115</v>
          </cell>
          <cell r="AP1603">
            <v>88115</v>
          </cell>
        </row>
        <row r="1604">
          <cell r="D1604" t="str">
            <v>Nghiên cứu, phát triển nền tảng khối xử lý băng gốc cho trạm 5G Massive MIMO</v>
          </cell>
          <cell r="G1604" t="str">
            <v>KHCN</v>
          </cell>
          <cell r="I1604" t="str">
            <v>VTBR</v>
          </cell>
          <cell r="AC1604">
            <v>1030000</v>
          </cell>
          <cell r="AD1604">
            <v>39200566</v>
          </cell>
          <cell r="AE1604">
            <v>28002589</v>
          </cell>
          <cell r="AF1604">
            <v>27167045</v>
          </cell>
          <cell r="AG1604">
            <v>0</v>
          </cell>
          <cell r="AH1604">
            <v>0</v>
          </cell>
          <cell r="AI1604">
            <v>0</v>
          </cell>
          <cell r="AJ1604">
            <v>0</v>
          </cell>
          <cell r="AK1604">
            <v>636605</v>
          </cell>
          <cell r="AL1604">
            <v>1392574</v>
          </cell>
          <cell r="AM1604">
            <v>119363</v>
          </cell>
          <cell r="AN1604">
            <v>238727</v>
          </cell>
          <cell r="AO1604">
            <v>79576</v>
          </cell>
          <cell r="AP1604">
            <v>79576</v>
          </cell>
        </row>
        <row r="1605">
          <cell r="D1605" t="str">
            <v>Nghiên cứu, phát triển nền tảng khối xử lý băng gốc cho trạm 5G Massive MIMO</v>
          </cell>
          <cell r="G1605" t="str">
            <v>KHCN</v>
          </cell>
          <cell r="I1605" t="str">
            <v>VTBR</v>
          </cell>
          <cell r="AC1605">
            <v>930000</v>
          </cell>
          <cell r="AD1605">
            <v>24610989</v>
          </cell>
          <cell r="AE1605">
            <v>16927461</v>
          </cell>
          <cell r="AF1605">
            <v>16210115</v>
          </cell>
          <cell r="AG1605">
            <v>0</v>
          </cell>
          <cell r="AH1605">
            <v>0</v>
          </cell>
          <cell r="AI1605">
            <v>0</v>
          </cell>
          <cell r="AJ1605">
            <v>0</v>
          </cell>
          <cell r="AK1605">
            <v>546549</v>
          </cell>
          <cell r="AL1605">
            <v>1195576</v>
          </cell>
          <cell r="AM1605">
            <v>102478</v>
          </cell>
          <cell r="AN1605">
            <v>204956</v>
          </cell>
          <cell r="AO1605">
            <v>68319</v>
          </cell>
          <cell r="AP1605">
            <v>68319</v>
          </cell>
        </row>
        <row r="1606">
          <cell r="D1606" t="str">
            <v>Nghiên cứu, phát triển nền tảng khối xử lý băng gốc cho trạm 5G Massive MIMO</v>
          </cell>
          <cell r="G1606" t="str">
            <v>KHCN</v>
          </cell>
          <cell r="I1606" t="str">
            <v>VTBR</v>
          </cell>
          <cell r="AC1606">
            <v>930000</v>
          </cell>
          <cell r="AD1606">
            <v>25110104</v>
          </cell>
          <cell r="AE1606">
            <v>17235974</v>
          </cell>
          <cell r="AF1606">
            <v>16481947</v>
          </cell>
          <cell r="AG1606">
            <v>0</v>
          </cell>
          <cell r="AH1606">
            <v>0</v>
          </cell>
          <cell r="AI1606">
            <v>0</v>
          </cell>
          <cell r="AJ1606">
            <v>0</v>
          </cell>
          <cell r="AK1606">
            <v>574497</v>
          </cell>
          <cell r="AL1606">
            <v>1256713</v>
          </cell>
          <cell r="AM1606">
            <v>107718</v>
          </cell>
          <cell r="AN1606">
            <v>215437</v>
          </cell>
          <cell r="AO1606">
            <v>71812</v>
          </cell>
          <cell r="AP1606">
            <v>71812</v>
          </cell>
        </row>
        <row r="1607">
          <cell r="D1607" t="str">
            <v>Nghiên cứu, phát triển nền tảng khối xử lý băng gốc cho trạm 5G Massive MIMO</v>
          </cell>
          <cell r="G1607" t="str">
            <v>KHCN</v>
          </cell>
          <cell r="I1607" t="str">
            <v>VTBR</v>
          </cell>
          <cell r="AC1607">
            <v>930000</v>
          </cell>
          <cell r="AD1607">
            <v>23173396</v>
          </cell>
          <cell r="AE1607">
            <v>20191940</v>
          </cell>
          <cell r="AF1607">
            <v>19275332</v>
          </cell>
          <cell r="AG1607">
            <v>0</v>
          </cell>
          <cell r="AH1607">
            <v>0</v>
          </cell>
          <cell r="AI1607">
            <v>0</v>
          </cell>
          <cell r="AJ1607">
            <v>0</v>
          </cell>
          <cell r="AK1607">
            <v>698368</v>
          </cell>
          <cell r="AL1607">
            <v>1527680</v>
          </cell>
          <cell r="AM1607">
            <v>130944</v>
          </cell>
          <cell r="AN1607">
            <v>261888</v>
          </cell>
          <cell r="AO1607">
            <v>87296</v>
          </cell>
          <cell r="AP1607">
            <v>87296</v>
          </cell>
        </row>
        <row r="1608">
          <cell r="D1608" t="str">
            <v>Nghiên cứu, phát triển nền tảng khối xử lý băng gốc cho trạm 5G Massive MIMO</v>
          </cell>
          <cell r="G1608" t="str">
            <v>KHCN</v>
          </cell>
          <cell r="I1608" t="str">
            <v>VTBR</v>
          </cell>
          <cell r="AC1608">
            <v>930000</v>
          </cell>
          <cell r="AD1608">
            <v>17275656</v>
          </cell>
          <cell r="AE1608">
            <v>14585600</v>
          </cell>
          <cell r="AF1608">
            <v>13799192</v>
          </cell>
          <cell r="AG1608">
            <v>0</v>
          </cell>
          <cell r="AH1608">
            <v>0</v>
          </cell>
          <cell r="AI1608">
            <v>0</v>
          </cell>
          <cell r="AJ1608">
            <v>0</v>
          </cell>
          <cell r="AK1608">
            <v>599168</v>
          </cell>
          <cell r="AL1608">
            <v>1310680</v>
          </cell>
          <cell r="AM1608">
            <v>112344</v>
          </cell>
          <cell r="AN1608">
            <v>224688</v>
          </cell>
          <cell r="AO1608">
            <v>74896</v>
          </cell>
          <cell r="AP1608">
            <v>74896</v>
          </cell>
        </row>
        <row r="1609">
          <cell r="D1609" t="str">
            <v>Nghiên cứu, phát triển nền tảng khối xử lý băng gốc cho trạm 5G Massive MIMO</v>
          </cell>
          <cell r="G1609" t="str">
            <v>KHCN</v>
          </cell>
          <cell r="I1609" t="str">
            <v>VTBR</v>
          </cell>
          <cell r="AC1609">
            <v>930000</v>
          </cell>
          <cell r="AD1609">
            <v>17994124</v>
          </cell>
          <cell r="AE1609">
            <v>15210820</v>
          </cell>
          <cell r="AF1609">
            <v>14382748</v>
          </cell>
          <cell r="AG1609">
            <v>0</v>
          </cell>
          <cell r="AH1609">
            <v>0</v>
          </cell>
          <cell r="AI1609">
            <v>0</v>
          </cell>
          <cell r="AJ1609">
            <v>0</v>
          </cell>
          <cell r="AK1609">
            <v>630912</v>
          </cell>
          <cell r="AL1609">
            <v>1380120</v>
          </cell>
          <cell r="AM1609">
            <v>118296</v>
          </cell>
          <cell r="AN1609">
            <v>236592</v>
          </cell>
          <cell r="AO1609">
            <v>78864</v>
          </cell>
          <cell r="AP1609">
            <v>78864</v>
          </cell>
        </row>
        <row r="1610">
          <cell r="D1610" t="str">
            <v>Nghiên cứu, phát triển nền tảng khối xử lý băng gốc cho trạm 5G Massive MIMO</v>
          </cell>
          <cell r="G1610" t="str">
            <v>KHCN</v>
          </cell>
          <cell r="I1610" t="str">
            <v>VTBR</v>
          </cell>
          <cell r="AC1610">
            <v>1047000</v>
          </cell>
          <cell r="AD1610">
            <v>20021378</v>
          </cell>
          <cell r="AE1610">
            <v>17121074</v>
          </cell>
          <cell r="AF1610">
            <v>16293002</v>
          </cell>
          <cell r="AG1610">
            <v>0</v>
          </cell>
          <cell r="AH1610">
            <v>0</v>
          </cell>
          <cell r="AI1610">
            <v>0</v>
          </cell>
          <cell r="AJ1610">
            <v>0</v>
          </cell>
          <cell r="AK1610">
            <v>630912</v>
          </cell>
          <cell r="AL1610">
            <v>1380120</v>
          </cell>
          <cell r="AM1610">
            <v>118296</v>
          </cell>
          <cell r="AN1610">
            <v>236592</v>
          </cell>
          <cell r="AO1610">
            <v>78864</v>
          </cell>
          <cell r="AP1610">
            <v>78864</v>
          </cell>
        </row>
        <row r="1611">
          <cell r="D1611" t="str">
            <v>Nghiên cứu, phát triển nền tảng khối xử lý băng gốc cho trạm 5G Massive MIMO</v>
          </cell>
          <cell r="G1611" t="str">
            <v>KHCN</v>
          </cell>
          <cell r="I1611" t="str">
            <v>VTBR</v>
          </cell>
          <cell r="AC1611">
            <v>930000</v>
          </cell>
          <cell r="AD1611">
            <v>16972936</v>
          </cell>
          <cell r="AE1611">
            <v>14282880</v>
          </cell>
          <cell r="AF1611">
            <v>13496472</v>
          </cell>
          <cell r="AG1611">
            <v>0</v>
          </cell>
          <cell r="AH1611">
            <v>0</v>
          </cell>
          <cell r="AI1611">
            <v>0</v>
          </cell>
          <cell r="AJ1611">
            <v>0</v>
          </cell>
          <cell r="AK1611">
            <v>599168</v>
          </cell>
          <cell r="AL1611">
            <v>1310680</v>
          </cell>
          <cell r="AM1611">
            <v>112344</v>
          </cell>
          <cell r="AN1611">
            <v>224688</v>
          </cell>
          <cell r="AO1611">
            <v>74896</v>
          </cell>
          <cell r="AP1611">
            <v>74896</v>
          </cell>
        </row>
        <row r="1612">
          <cell r="D1612" t="str">
            <v>Nghiên cứu, phát triển nền tảng khối xử lý băng gốc cho trạm 5G Massive MIMO</v>
          </cell>
          <cell r="G1612" t="str">
            <v>KHCN</v>
          </cell>
          <cell r="I1612" t="str">
            <v>VTBR</v>
          </cell>
          <cell r="AC1612">
            <v>930000</v>
          </cell>
          <cell r="AD1612">
            <v>16972936</v>
          </cell>
          <cell r="AE1612">
            <v>14282880</v>
          </cell>
          <cell r="AF1612">
            <v>13496472</v>
          </cell>
          <cell r="AG1612">
            <v>0</v>
          </cell>
          <cell r="AH1612">
            <v>0</v>
          </cell>
          <cell r="AI1612">
            <v>0</v>
          </cell>
          <cell r="AJ1612">
            <v>0</v>
          </cell>
          <cell r="AK1612">
            <v>599168</v>
          </cell>
          <cell r="AL1612">
            <v>1310680</v>
          </cell>
          <cell r="AM1612">
            <v>112344</v>
          </cell>
          <cell r="AN1612">
            <v>224688</v>
          </cell>
          <cell r="AO1612">
            <v>74896</v>
          </cell>
          <cell r="AP1612">
            <v>74896</v>
          </cell>
        </row>
        <row r="1613">
          <cell r="D1613" t="str">
            <v>Nghiên cứu, phát triển nền tảng khối xử lý băng gốc cho trạm 5G Massive MIMO</v>
          </cell>
          <cell r="G1613" t="str">
            <v>KHCN</v>
          </cell>
          <cell r="I1613" t="str">
            <v>VTBR</v>
          </cell>
          <cell r="AC1613">
            <v>930000</v>
          </cell>
          <cell r="AD1613">
            <v>16972936</v>
          </cell>
          <cell r="AE1613">
            <v>14282880</v>
          </cell>
          <cell r="AF1613">
            <v>13496472</v>
          </cell>
          <cell r="AG1613">
            <v>0</v>
          </cell>
          <cell r="AH1613">
            <v>0</v>
          </cell>
          <cell r="AI1613">
            <v>0</v>
          </cell>
          <cell r="AJ1613">
            <v>0</v>
          </cell>
          <cell r="AK1613">
            <v>599168</v>
          </cell>
          <cell r="AL1613">
            <v>1310680</v>
          </cell>
          <cell r="AM1613">
            <v>112344</v>
          </cell>
          <cell r="AN1613">
            <v>224688</v>
          </cell>
          <cell r="AO1613">
            <v>74896</v>
          </cell>
          <cell r="AP1613">
            <v>74896</v>
          </cell>
        </row>
        <row r="1614">
          <cell r="D1614" t="str">
            <v>Nghiên cứu, phát triển nền tảng khối xử lý băng gốc cho trạm 5G Massive MIMO</v>
          </cell>
          <cell r="G1614" t="str">
            <v>KHCN</v>
          </cell>
          <cell r="I1614" t="str">
            <v>KTCN</v>
          </cell>
          <cell r="AC1614">
            <v>1130000</v>
          </cell>
          <cell r="AD1614">
            <v>66818607</v>
          </cell>
          <cell r="AE1614">
            <v>62611423</v>
          </cell>
          <cell r="AF1614">
            <v>61236511</v>
          </cell>
          <cell r="AG1614">
            <v>0</v>
          </cell>
          <cell r="AH1614">
            <v>0</v>
          </cell>
          <cell r="AI1614">
            <v>0</v>
          </cell>
          <cell r="AJ1614">
            <v>0</v>
          </cell>
          <cell r="AK1614">
            <v>1047552</v>
          </cell>
          <cell r="AL1614">
            <v>2291520</v>
          </cell>
          <cell r="AM1614">
            <v>196416</v>
          </cell>
          <cell r="AN1614">
            <v>392832</v>
          </cell>
          <cell r="AO1614">
            <v>130944</v>
          </cell>
          <cell r="AP1614">
            <v>130944</v>
          </cell>
        </row>
        <row r="1615">
          <cell r="D1615" t="str">
            <v>Nghiên cứu, phát triển nền tảng khối xử lý băng gốc cho trạm 5G Massive MIMO</v>
          </cell>
          <cell r="G1615" t="str">
            <v>KHCN</v>
          </cell>
          <cell r="I1615" t="str">
            <v>KTCN</v>
          </cell>
          <cell r="AC1615">
            <v>1030000</v>
          </cell>
          <cell r="AD1615">
            <v>48441921</v>
          </cell>
          <cell r="AE1615">
            <v>27326920</v>
          </cell>
          <cell r="AF1615">
            <v>26642181</v>
          </cell>
          <cell r="AG1615">
            <v>0</v>
          </cell>
          <cell r="AH1615">
            <v>0</v>
          </cell>
          <cell r="AI1615">
            <v>0</v>
          </cell>
          <cell r="AJ1615">
            <v>0</v>
          </cell>
          <cell r="AK1615">
            <v>521706</v>
          </cell>
          <cell r="AL1615">
            <v>1141231</v>
          </cell>
          <cell r="AM1615">
            <v>97820</v>
          </cell>
          <cell r="AN1615">
            <v>195640</v>
          </cell>
          <cell r="AO1615">
            <v>65213</v>
          </cell>
          <cell r="AP1615">
            <v>65213</v>
          </cell>
        </row>
        <row r="1616">
          <cell r="D1616" t="str">
            <v>Nghiên cứu, phát triển nền tảng khối xử lý băng gốc cho trạm 5G Massive MIMO</v>
          </cell>
          <cell r="G1616" t="str">
            <v>KHCN</v>
          </cell>
          <cell r="I1616" t="str">
            <v>KTCN</v>
          </cell>
          <cell r="AC1616">
            <v>1030000</v>
          </cell>
          <cell r="AD1616">
            <v>30081579</v>
          </cell>
          <cell r="AE1616">
            <v>26778659</v>
          </cell>
          <cell r="AF1616">
            <v>25763099</v>
          </cell>
          <cell r="AG1616">
            <v>0</v>
          </cell>
          <cell r="AH1616">
            <v>0</v>
          </cell>
          <cell r="AI1616">
            <v>0</v>
          </cell>
          <cell r="AJ1616">
            <v>0</v>
          </cell>
          <cell r="AK1616">
            <v>773760</v>
          </cell>
          <cell r="AL1616">
            <v>1692600</v>
          </cell>
          <cell r="AM1616">
            <v>145080</v>
          </cell>
          <cell r="AN1616">
            <v>290160</v>
          </cell>
          <cell r="AO1616">
            <v>96720</v>
          </cell>
          <cell r="AP1616">
            <v>96720</v>
          </cell>
        </row>
        <row r="1617">
          <cell r="D1617" t="str">
            <v>Nghiên cứu, phát triển nền tảng khối xử lý băng gốc cho trạm 5G Massive MIMO</v>
          </cell>
          <cell r="G1617" t="str">
            <v>KHCN</v>
          </cell>
          <cell r="I1617" t="str">
            <v>KTCN</v>
          </cell>
          <cell r="AC1617">
            <v>1030000</v>
          </cell>
          <cell r="AD1617">
            <v>49198549</v>
          </cell>
          <cell r="AE1617">
            <v>45650853</v>
          </cell>
          <cell r="AF1617">
            <v>44525925</v>
          </cell>
          <cell r="AG1617">
            <v>0</v>
          </cell>
          <cell r="AH1617">
            <v>0</v>
          </cell>
          <cell r="AI1617">
            <v>0</v>
          </cell>
          <cell r="AJ1617">
            <v>0</v>
          </cell>
          <cell r="AK1617">
            <v>857088</v>
          </cell>
          <cell r="AL1617">
            <v>1874880</v>
          </cell>
          <cell r="AM1617">
            <v>160704</v>
          </cell>
          <cell r="AN1617">
            <v>321408</v>
          </cell>
          <cell r="AO1617">
            <v>107136</v>
          </cell>
          <cell r="AP1617">
            <v>107136</v>
          </cell>
        </row>
        <row r="1618">
          <cell r="D1618" t="str">
            <v>Nghiên cứu, phát triển nền tảng khối xử lý băng gốc cho trạm 5G Massive MIMO</v>
          </cell>
          <cell r="G1618" t="str">
            <v>KHCN</v>
          </cell>
          <cell r="I1618" t="str">
            <v>KTCN</v>
          </cell>
          <cell r="AC1618">
            <v>930000</v>
          </cell>
          <cell r="AD1618">
            <v>27734076</v>
          </cell>
          <cell r="AE1618">
            <v>24531156</v>
          </cell>
          <cell r="AF1618">
            <v>23515596</v>
          </cell>
          <cell r="AG1618">
            <v>0</v>
          </cell>
          <cell r="AH1618">
            <v>0</v>
          </cell>
          <cell r="AI1618">
            <v>0</v>
          </cell>
          <cell r="AJ1618">
            <v>0</v>
          </cell>
          <cell r="AK1618">
            <v>773760</v>
          </cell>
          <cell r="AL1618">
            <v>1692600</v>
          </cell>
          <cell r="AM1618">
            <v>145080</v>
          </cell>
          <cell r="AN1618">
            <v>290160</v>
          </cell>
          <cell r="AO1618">
            <v>96720</v>
          </cell>
          <cell r="AP1618">
            <v>96720</v>
          </cell>
        </row>
        <row r="1619">
          <cell r="D1619" t="str">
            <v>Nghiên cứu, phát triển nền tảng khối xử lý băng gốc cho trạm 5G Massive MIMO</v>
          </cell>
          <cell r="G1619" t="str">
            <v>KHCN</v>
          </cell>
          <cell r="I1619" t="str">
            <v>VTBR</v>
          </cell>
          <cell r="AC1619">
            <v>1715000</v>
          </cell>
          <cell r="AD1619">
            <v>42854596</v>
          </cell>
          <cell r="AE1619">
            <v>38750116</v>
          </cell>
          <cell r="AF1619">
            <v>37682476</v>
          </cell>
          <cell r="AG1619">
            <v>0</v>
          </cell>
          <cell r="AH1619">
            <v>0</v>
          </cell>
          <cell r="AI1619">
            <v>0</v>
          </cell>
          <cell r="AJ1619">
            <v>0</v>
          </cell>
          <cell r="AK1619">
            <v>813440</v>
          </cell>
          <cell r="AL1619">
            <v>1779400</v>
          </cell>
          <cell r="AM1619">
            <v>152520</v>
          </cell>
          <cell r="AN1619">
            <v>305040</v>
          </cell>
          <cell r="AO1619">
            <v>101680</v>
          </cell>
          <cell r="AP1619">
            <v>101680</v>
          </cell>
        </row>
        <row r="1620">
          <cell r="D1620" t="str">
            <v>Nghiên cứu, phát triển nền tảng khối xử lý băng gốc cho trạm 5G Massive MIMO</v>
          </cell>
          <cell r="G1620" t="str">
            <v>KHCN</v>
          </cell>
          <cell r="I1620" t="str">
            <v>VTBR</v>
          </cell>
          <cell r="AC1620">
            <v>1047000</v>
          </cell>
          <cell r="AD1620">
            <v>22001394</v>
          </cell>
          <cell r="AE1620">
            <v>18902938</v>
          </cell>
          <cell r="AF1620">
            <v>17986330</v>
          </cell>
          <cell r="AG1620">
            <v>0</v>
          </cell>
          <cell r="AH1620">
            <v>0</v>
          </cell>
          <cell r="AI1620">
            <v>0</v>
          </cell>
          <cell r="AJ1620">
            <v>0</v>
          </cell>
          <cell r="AK1620">
            <v>698368</v>
          </cell>
          <cell r="AL1620">
            <v>1527680</v>
          </cell>
          <cell r="AM1620">
            <v>130944</v>
          </cell>
          <cell r="AN1620">
            <v>261888</v>
          </cell>
          <cell r="AO1620">
            <v>87296</v>
          </cell>
          <cell r="AP1620">
            <v>87296</v>
          </cell>
        </row>
        <row r="1621">
          <cell r="D1621" t="str">
            <v>Nghiên cứu, phát triển nền tảng khối xử lý băng gốc cho trạm 5G Massive MIMO</v>
          </cell>
          <cell r="G1621" t="str">
            <v>KHCN</v>
          </cell>
          <cell r="I1621" t="str">
            <v>VTBR</v>
          </cell>
          <cell r="AC1621">
            <v>1047000</v>
          </cell>
          <cell r="AD1621">
            <v>21419512</v>
          </cell>
          <cell r="AE1621">
            <v>18425960</v>
          </cell>
          <cell r="AF1621">
            <v>17556224</v>
          </cell>
          <cell r="AG1621">
            <v>0</v>
          </cell>
          <cell r="AH1621">
            <v>0</v>
          </cell>
          <cell r="AI1621">
            <v>0</v>
          </cell>
          <cell r="AJ1621">
            <v>0</v>
          </cell>
          <cell r="AK1621">
            <v>662656</v>
          </cell>
          <cell r="AL1621">
            <v>1449560</v>
          </cell>
          <cell r="AM1621">
            <v>124248</v>
          </cell>
          <cell r="AN1621">
            <v>248496</v>
          </cell>
          <cell r="AO1621">
            <v>82832</v>
          </cell>
          <cell r="AP1621">
            <v>82832</v>
          </cell>
        </row>
        <row r="1622">
          <cell r="D1622" t="str">
            <v>Nghiên cứu, phát triển nền tảng khối xử lý băng gốc cho trạm 5G Massive MIMO</v>
          </cell>
          <cell r="G1622" t="str">
            <v>KHCN</v>
          </cell>
          <cell r="I1622" t="str">
            <v>VTBR</v>
          </cell>
          <cell r="AC1622">
            <v>1147000</v>
          </cell>
          <cell r="AD1622">
            <v>38995771</v>
          </cell>
          <cell r="AE1622">
            <v>35459291</v>
          </cell>
          <cell r="AF1622">
            <v>34391651</v>
          </cell>
          <cell r="AG1622">
            <v>0</v>
          </cell>
          <cell r="AH1622">
            <v>0</v>
          </cell>
          <cell r="AI1622">
            <v>0</v>
          </cell>
          <cell r="AJ1622">
            <v>0</v>
          </cell>
          <cell r="AK1622">
            <v>813440</v>
          </cell>
          <cell r="AL1622">
            <v>1779400</v>
          </cell>
          <cell r="AM1622">
            <v>152520</v>
          </cell>
          <cell r="AN1622">
            <v>305040</v>
          </cell>
          <cell r="AO1622">
            <v>101680</v>
          </cell>
          <cell r="AP1622">
            <v>101680</v>
          </cell>
        </row>
        <row r="1623">
          <cell r="D1623" t="str">
            <v>Nghiên cứu, phát triển nền tảng khối xử lý băng gốc cho trạm 5G Massive MIMO</v>
          </cell>
          <cell r="G1623" t="str">
            <v>KHCN</v>
          </cell>
          <cell r="I1623" t="str">
            <v>VTBR</v>
          </cell>
          <cell r="AC1623">
            <v>1047000</v>
          </cell>
          <cell r="AD1623">
            <v>20743316</v>
          </cell>
          <cell r="AE1623">
            <v>17749764</v>
          </cell>
          <cell r="AF1623">
            <v>16880028</v>
          </cell>
          <cell r="AG1623">
            <v>0</v>
          </cell>
          <cell r="AH1623">
            <v>0</v>
          </cell>
          <cell r="AI1623">
            <v>0</v>
          </cell>
          <cell r="AJ1623">
            <v>0</v>
          </cell>
          <cell r="AK1623">
            <v>662656</v>
          </cell>
          <cell r="AL1623">
            <v>1449560</v>
          </cell>
          <cell r="AM1623">
            <v>124248</v>
          </cell>
          <cell r="AN1623">
            <v>248496</v>
          </cell>
          <cell r="AO1623">
            <v>82832</v>
          </cell>
          <cell r="AP1623">
            <v>82832</v>
          </cell>
        </row>
        <row r="1624">
          <cell r="D1624" t="str">
            <v>Nghiên cứu, phát triển nền tảng khối xử lý băng gốc cho trạm 5G Massive MIMO</v>
          </cell>
          <cell r="G1624" t="str">
            <v>KHCN</v>
          </cell>
          <cell r="I1624" t="str">
            <v>VTBR</v>
          </cell>
          <cell r="AC1624">
            <v>1047000</v>
          </cell>
          <cell r="AD1624">
            <v>18065682</v>
          </cell>
          <cell r="AE1624">
            <v>15165378</v>
          </cell>
          <cell r="AF1624">
            <v>14337306</v>
          </cell>
          <cell r="AG1624">
            <v>0</v>
          </cell>
          <cell r="AH1624">
            <v>0</v>
          </cell>
          <cell r="AI1624">
            <v>0</v>
          </cell>
          <cell r="AJ1624">
            <v>0</v>
          </cell>
          <cell r="AK1624">
            <v>630912</v>
          </cell>
          <cell r="AL1624">
            <v>1380120</v>
          </cell>
          <cell r="AM1624">
            <v>118296</v>
          </cell>
          <cell r="AN1624">
            <v>236592</v>
          </cell>
          <cell r="AO1624">
            <v>78864</v>
          </cell>
          <cell r="AP1624">
            <v>78864</v>
          </cell>
        </row>
        <row r="1625">
          <cell r="D1625" t="str">
            <v>Nghiên cứu, phát triển nền tảng khối xử lý băng gốc cho trạm 5G Massive MIMO</v>
          </cell>
          <cell r="G1625" t="str">
            <v>KHCN</v>
          </cell>
          <cell r="I1625" t="str">
            <v>VTBR</v>
          </cell>
          <cell r="AC1625">
            <v>1047000</v>
          </cell>
          <cell r="AD1625">
            <v>29644628</v>
          </cell>
          <cell r="AE1625">
            <v>26324708</v>
          </cell>
          <cell r="AF1625">
            <v>25309148</v>
          </cell>
          <cell r="AG1625">
            <v>0</v>
          </cell>
          <cell r="AH1625">
            <v>0</v>
          </cell>
          <cell r="AI1625">
            <v>0</v>
          </cell>
          <cell r="AJ1625">
            <v>0</v>
          </cell>
          <cell r="AK1625">
            <v>773760</v>
          </cell>
          <cell r="AL1625">
            <v>1692600</v>
          </cell>
          <cell r="AM1625">
            <v>145080</v>
          </cell>
          <cell r="AN1625">
            <v>290160</v>
          </cell>
          <cell r="AO1625">
            <v>96720</v>
          </cell>
          <cell r="AP1625">
            <v>96720</v>
          </cell>
        </row>
        <row r="1626">
          <cell r="D1626" t="str">
            <v>Nghiên cứu, phát triển nền tảng khối xử lý băng gốc cho trạm 5G Massive MIMO</v>
          </cell>
          <cell r="G1626" t="str">
            <v>KHCN</v>
          </cell>
          <cell r="I1626" t="str">
            <v>VTBR</v>
          </cell>
          <cell r="AC1626">
            <v>1047000</v>
          </cell>
          <cell r="AD1626">
            <v>16280500</v>
          </cell>
          <cell r="AE1626">
            <v>13473444</v>
          </cell>
          <cell r="AF1626">
            <v>12687036</v>
          </cell>
          <cell r="AG1626">
            <v>0</v>
          </cell>
          <cell r="AH1626">
            <v>0</v>
          </cell>
          <cell r="AI1626">
            <v>0</v>
          </cell>
          <cell r="AJ1626">
            <v>0</v>
          </cell>
          <cell r="AK1626">
            <v>599168</v>
          </cell>
          <cell r="AL1626">
            <v>1310680</v>
          </cell>
          <cell r="AM1626">
            <v>112344</v>
          </cell>
          <cell r="AN1626">
            <v>224688</v>
          </cell>
          <cell r="AO1626">
            <v>74896</v>
          </cell>
          <cell r="AP1626">
            <v>74896</v>
          </cell>
        </row>
        <row r="1627">
          <cell r="D1627" t="str">
            <v>Nghiên cứu, phát triển nền tảng khối xử lý băng gốc cho trạm 5G Massive MIMO</v>
          </cell>
          <cell r="G1627" t="str">
            <v>KHCN</v>
          </cell>
          <cell r="I1627" t="str">
            <v>VTBR</v>
          </cell>
          <cell r="AC1627">
            <v>1047000</v>
          </cell>
          <cell r="AD1627">
            <v>16711308</v>
          </cell>
          <cell r="AE1627">
            <v>13904252</v>
          </cell>
          <cell r="AF1627">
            <v>13117844</v>
          </cell>
          <cell r="AG1627">
            <v>0</v>
          </cell>
          <cell r="AH1627">
            <v>0</v>
          </cell>
          <cell r="AI1627">
            <v>0</v>
          </cell>
          <cell r="AJ1627">
            <v>0</v>
          </cell>
          <cell r="AK1627">
            <v>599168</v>
          </cell>
          <cell r="AL1627">
            <v>1310680</v>
          </cell>
          <cell r="AM1627">
            <v>112344</v>
          </cell>
          <cell r="AN1627">
            <v>224688</v>
          </cell>
          <cell r="AO1627">
            <v>74896</v>
          </cell>
          <cell r="AP1627">
            <v>74896</v>
          </cell>
        </row>
        <row r="1628">
          <cell r="D1628" t="str">
            <v>Sản xuất và thử nghiệm 500 trạm gNodeB 32T32R</v>
          </cell>
          <cell r="G1628" t="str">
            <v>KHCN</v>
          </cell>
          <cell r="I1628" t="str">
            <v>KTCN</v>
          </cell>
          <cell r="AC1628">
            <v>1130000</v>
          </cell>
          <cell r="AD1628">
            <v>67030591</v>
          </cell>
          <cell r="AE1628">
            <v>63710351</v>
          </cell>
          <cell r="AF1628">
            <v>62785583</v>
          </cell>
          <cell r="AG1628">
            <v>0</v>
          </cell>
          <cell r="AH1628">
            <v>0</v>
          </cell>
          <cell r="AI1628">
            <v>0</v>
          </cell>
          <cell r="AJ1628">
            <v>0</v>
          </cell>
          <cell r="AK1628">
            <v>778752</v>
          </cell>
          <cell r="AL1628">
            <v>1703520</v>
          </cell>
          <cell r="AM1628">
            <v>146016</v>
          </cell>
          <cell r="AN1628">
            <v>292032</v>
          </cell>
          <cell r="AO1628">
            <v>0</v>
          </cell>
          <cell r="AP1628">
            <v>0</v>
          </cell>
        </row>
        <row r="1629">
          <cell r="D1629" t="str">
            <v>Sản xuất và thử nghiệm 500 trạm gNodeB 32T32R</v>
          </cell>
          <cell r="G1629" t="str">
            <v>KHCN</v>
          </cell>
          <cell r="I1629" t="str">
            <v>KTCN</v>
          </cell>
          <cell r="AC1629">
            <v>1130000</v>
          </cell>
          <cell r="AD1629">
            <v>58684198</v>
          </cell>
          <cell r="AE1629">
            <v>21376386</v>
          </cell>
          <cell r="AF1629">
            <v>20864869</v>
          </cell>
          <cell r="AG1629">
            <v>0</v>
          </cell>
          <cell r="AH1629">
            <v>0</v>
          </cell>
          <cell r="AI1629">
            <v>0</v>
          </cell>
          <cell r="AJ1629">
            <v>0</v>
          </cell>
          <cell r="AK1629">
            <v>389727</v>
          </cell>
          <cell r="AL1629">
            <v>852527</v>
          </cell>
          <cell r="AM1629">
            <v>73074</v>
          </cell>
          <cell r="AN1629">
            <v>146147</v>
          </cell>
          <cell r="AO1629">
            <v>48716</v>
          </cell>
          <cell r="AP1629">
            <v>48716</v>
          </cell>
        </row>
        <row r="1630">
          <cell r="D1630" t="str">
            <v>Sản xuất và thử nghiệm 500 trạm gNodeB 32T32R</v>
          </cell>
          <cell r="G1630" t="str">
            <v>KHCN</v>
          </cell>
          <cell r="I1630" t="str">
            <v>KTCN</v>
          </cell>
          <cell r="AC1630">
            <v>930000</v>
          </cell>
          <cell r="AD1630">
            <v>23940052</v>
          </cell>
          <cell r="AE1630">
            <v>12757406</v>
          </cell>
          <cell r="AF1630">
            <v>12199470</v>
          </cell>
          <cell r="AG1630">
            <v>0</v>
          </cell>
          <cell r="AH1630">
            <v>0</v>
          </cell>
          <cell r="AI1630">
            <v>0</v>
          </cell>
          <cell r="AJ1630">
            <v>0</v>
          </cell>
          <cell r="AK1630">
            <v>425094</v>
          </cell>
          <cell r="AL1630">
            <v>929892</v>
          </cell>
          <cell r="AM1630">
            <v>79705</v>
          </cell>
          <cell r="AN1630">
            <v>159410</v>
          </cell>
          <cell r="AO1630">
            <v>53137</v>
          </cell>
          <cell r="AP1630">
            <v>53137</v>
          </cell>
        </row>
        <row r="1631">
          <cell r="D1631" t="str">
            <v>Sản xuất và thử nghiệm 500 trạm gNodeB 32T32R</v>
          </cell>
          <cell r="G1631" t="str">
            <v>KHCN</v>
          </cell>
          <cell r="I1631" t="str">
            <v>KTCN</v>
          </cell>
          <cell r="AC1631">
            <v>930000</v>
          </cell>
          <cell r="AD1631">
            <v>18692061</v>
          </cell>
          <cell r="AE1631">
            <v>9683591</v>
          </cell>
          <cell r="AF1631">
            <v>9179548</v>
          </cell>
          <cell r="AG1631">
            <v>0</v>
          </cell>
          <cell r="AH1631">
            <v>0</v>
          </cell>
          <cell r="AI1631">
            <v>0</v>
          </cell>
          <cell r="AJ1631">
            <v>0</v>
          </cell>
          <cell r="AK1631">
            <v>384033</v>
          </cell>
          <cell r="AL1631">
            <v>840073</v>
          </cell>
          <cell r="AM1631">
            <v>72006</v>
          </cell>
          <cell r="AN1631">
            <v>144013</v>
          </cell>
          <cell r="AO1631">
            <v>48004</v>
          </cell>
          <cell r="AP1631">
            <v>48004</v>
          </cell>
        </row>
        <row r="1632">
          <cell r="D1632" t="str">
            <v>Sản xuất và thử nghiệm 500 trạm gNodeB 32T32R</v>
          </cell>
          <cell r="G1632" t="str">
            <v>KHCN</v>
          </cell>
          <cell r="I1632" t="str">
            <v>KTCN</v>
          </cell>
          <cell r="AC1632">
            <v>1030000</v>
          </cell>
          <cell r="AD1632">
            <v>33791472</v>
          </cell>
          <cell r="AE1632">
            <v>18487299</v>
          </cell>
          <cell r="AF1632">
            <v>17837432</v>
          </cell>
          <cell r="AG1632">
            <v>0</v>
          </cell>
          <cell r="AH1632">
            <v>0</v>
          </cell>
          <cell r="AI1632">
            <v>0</v>
          </cell>
          <cell r="AJ1632">
            <v>0</v>
          </cell>
          <cell r="AK1632">
            <v>495137</v>
          </cell>
          <cell r="AL1632">
            <v>1083113</v>
          </cell>
          <cell r="AM1632">
            <v>92838</v>
          </cell>
          <cell r="AN1632">
            <v>185677</v>
          </cell>
          <cell r="AO1632">
            <v>61892</v>
          </cell>
          <cell r="AP1632">
            <v>61892</v>
          </cell>
        </row>
        <row r="1633">
          <cell r="D1633" t="str">
            <v>Sản xuất và thử nghiệm 500 trạm gNodeB 32T32R</v>
          </cell>
          <cell r="G1633" t="str">
            <v>KHCN</v>
          </cell>
          <cell r="I1633" t="str">
            <v>KTCN</v>
          </cell>
          <cell r="AC1633">
            <v>930000</v>
          </cell>
          <cell r="AD1633">
            <v>23021167</v>
          </cell>
          <cell r="AE1633">
            <v>7841626</v>
          </cell>
          <cell r="AF1633">
            <v>7482954</v>
          </cell>
          <cell r="AG1633">
            <v>0</v>
          </cell>
          <cell r="AH1633">
            <v>0</v>
          </cell>
          <cell r="AI1633">
            <v>0</v>
          </cell>
          <cell r="AJ1633">
            <v>0</v>
          </cell>
          <cell r="AK1633">
            <v>273274</v>
          </cell>
          <cell r="AL1633">
            <v>597788</v>
          </cell>
          <cell r="AM1633">
            <v>51239</v>
          </cell>
          <cell r="AN1633">
            <v>102478</v>
          </cell>
          <cell r="AO1633">
            <v>34159</v>
          </cell>
          <cell r="AP1633">
            <v>34159</v>
          </cell>
        </row>
        <row r="1634">
          <cell r="D1634" t="str">
            <v>Sản xuất và thử nghiệm 500 trạm gNodeB 32T32R</v>
          </cell>
          <cell r="G1634" t="str">
            <v>KHCN</v>
          </cell>
          <cell r="I1634" t="str">
            <v>QLSX</v>
          </cell>
          <cell r="AC1634">
            <v>1147000</v>
          </cell>
          <cell r="AD1634">
            <v>35301182</v>
          </cell>
          <cell r="AE1634">
            <v>31764702</v>
          </cell>
          <cell r="AF1634">
            <v>30697062</v>
          </cell>
          <cell r="AG1634">
            <v>0</v>
          </cell>
          <cell r="AH1634">
            <v>0</v>
          </cell>
          <cell r="AI1634">
            <v>0</v>
          </cell>
          <cell r="AJ1634">
            <v>0</v>
          </cell>
          <cell r="AK1634">
            <v>813440</v>
          </cell>
          <cell r="AL1634">
            <v>1779400</v>
          </cell>
          <cell r="AM1634">
            <v>152520</v>
          </cell>
          <cell r="AN1634">
            <v>305040</v>
          </cell>
          <cell r="AO1634">
            <v>101680</v>
          </cell>
          <cell r="AP1634">
            <v>101680</v>
          </cell>
        </row>
        <row r="1635">
          <cell r="D1635" t="str">
            <v>Sản xuất và thử nghiệm 500 trạm gNodeB 32T32R</v>
          </cell>
          <cell r="G1635" t="str">
            <v>KHCN</v>
          </cell>
          <cell r="I1635" t="str">
            <v>QLSX</v>
          </cell>
          <cell r="AC1635">
            <v>1230000</v>
          </cell>
          <cell r="AD1635">
            <v>55451388</v>
          </cell>
          <cell r="AE1635">
            <v>11151246</v>
          </cell>
          <cell r="AF1635">
            <v>10867070</v>
          </cell>
          <cell r="AG1635">
            <v>0</v>
          </cell>
          <cell r="AH1635">
            <v>0</v>
          </cell>
          <cell r="AI1635">
            <v>0</v>
          </cell>
          <cell r="AJ1635">
            <v>0</v>
          </cell>
          <cell r="AK1635">
            <v>216515</v>
          </cell>
          <cell r="AL1635">
            <v>473626</v>
          </cell>
          <cell r="AM1635">
            <v>40597</v>
          </cell>
          <cell r="AN1635">
            <v>81193</v>
          </cell>
          <cell r="AO1635">
            <v>27064</v>
          </cell>
          <cell r="AP1635">
            <v>27064</v>
          </cell>
        </row>
        <row r="1636">
          <cell r="D1636" t="str">
            <v>Sản xuất và thử nghiệm 500 trạm gNodeB 32T32R</v>
          </cell>
          <cell r="G1636" t="str">
            <v>KHCN</v>
          </cell>
          <cell r="I1636" t="str">
            <v>QLSX</v>
          </cell>
          <cell r="AC1636">
            <v>1030000</v>
          </cell>
          <cell r="AD1636">
            <v>31229808</v>
          </cell>
          <cell r="AE1636">
            <v>1214213</v>
          </cell>
          <cell r="AF1636">
            <v>1170058</v>
          </cell>
          <cell r="AG1636">
            <v>0</v>
          </cell>
          <cell r="AH1636">
            <v>0</v>
          </cell>
          <cell r="AI1636">
            <v>0</v>
          </cell>
          <cell r="AJ1636">
            <v>0</v>
          </cell>
          <cell r="AK1636">
            <v>33642</v>
          </cell>
          <cell r="AL1636">
            <v>73591</v>
          </cell>
          <cell r="AM1636">
            <v>6308</v>
          </cell>
          <cell r="AN1636">
            <v>12616</v>
          </cell>
          <cell r="AO1636">
            <v>4205</v>
          </cell>
          <cell r="AP1636">
            <v>4205</v>
          </cell>
        </row>
        <row r="1637">
          <cell r="D1637" t="str">
            <v>Sản xuất và thử nghiệm 500 trạm gNodeB 32T32R</v>
          </cell>
          <cell r="G1637" t="str">
            <v>KHCN</v>
          </cell>
          <cell r="I1637" t="str">
            <v>CNCM</v>
          </cell>
          <cell r="AC1637">
            <v>1030000</v>
          </cell>
          <cell r="AD1637">
            <v>30263490</v>
          </cell>
          <cell r="AE1637">
            <v>10549788</v>
          </cell>
          <cell r="AF1637">
            <v>10152395</v>
          </cell>
          <cell r="AG1637">
            <v>0</v>
          </cell>
          <cell r="AH1637">
            <v>0</v>
          </cell>
          <cell r="AI1637">
            <v>0</v>
          </cell>
          <cell r="AJ1637">
            <v>0</v>
          </cell>
          <cell r="AK1637">
            <v>302776</v>
          </cell>
          <cell r="AL1637">
            <v>662322</v>
          </cell>
          <cell r="AM1637">
            <v>56770</v>
          </cell>
          <cell r="AN1637">
            <v>113541</v>
          </cell>
          <cell r="AO1637">
            <v>37847</v>
          </cell>
          <cell r="AP1637">
            <v>37847</v>
          </cell>
        </row>
        <row r="1638">
          <cell r="D1638" t="str">
            <v>Sản xuất và thử nghiệm 500 trạm gNodeB 32T32R</v>
          </cell>
          <cell r="G1638" t="str">
            <v>KHCN</v>
          </cell>
          <cell r="I1638" t="str">
            <v>VTBR</v>
          </cell>
          <cell r="AC1638">
            <v>1030000</v>
          </cell>
          <cell r="AD1638">
            <v>29601668</v>
          </cell>
          <cell r="AE1638">
            <v>10290814</v>
          </cell>
          <cell r="AF1638">
            <v>9893421</v>
          </cell>
          <cell r="AG1638">
            <v>0</v>
          </cell>
          <cell r="AH1638">
            <v>0</v>
          </cell>
          <cell r="AI1638">
            <v>0</v>
          </cell>
          <cell r="AJ1638">
            <v>0</v>
          </cell>
          <cell r="AK1638">
            <v>302776</v>
          </cell>
          <cell r="AL1638">
            <v>662322</v>
          </cell>
          <cell r="AM1638">
            <v>56770</v>
          </cell>
          <cell r="AN1638">
            <v>113541</v>
          </cell>
          <cell r="AO1638">
            <v>37847</v>
          </cell>
          <cell r="AP1638">
            <v>37847</v>
          </cell>
        </row>
        <row r="1639">
          <cell r="D1639" t="str">
            <v>Sản xuất và thử nghiệm 500 trạm gNodeB 32T32R</v>
          </cell>
          <cell r="G1639" t="str">
            <v>KHCN</v>
          </cell>
          <cell r="I1639" t="str">
            <v>VTBR</v>
          </cell>
          <cell r="AC1639">
            <v>1030000</v>
          </cell>
          <cell r="AD1639">
            <v>39198549</v>
          </cell>
          <cell r="AE1639">
            <v>21700519</v>
          </cell>
          <cell r="AF1639">
            <v>21015780</v>
          </cell>
          <cell r="AG1639">
            <v>0</v>
          </cell>
          <cell r="AH1639">
            <v>0</v>
          </cell>
          <cell r="AI1639">
            <v>0</v>
          </cell>
          <cell r="AJ1639">
            <v>0</v>
          </cell>
          <cell r="AK1639">
            <v>521706</v>
          </cell>
          <cell r="AL1639">
            <v>1141231</v>
          </cell>
          <cell r="AM1639">
            <v>97820</v>
          </cell>
          <cell r="AN1639">
            <v>195640</v>
          </cell>
          <cell r="AO1639">
            <v>65213</v>
          </cell>
          <cell r="AP1639">
            <v>65213</v>
          </cell>
        </row>
        <row r="1640">
          <cell r="D1640" t="str">
            <v>Sản xuất và thử nghiệm 500 trạm gNodeB 32T32R</v>
          </cell>
          <cell r="G1640" t="str">
            <v>KHCN</v>
          </cell>
          <cell r="I1640" t="str">
            <v>VTBR</v>
          </cell>
          <cell r="AC1640">
            <v>930000</v>
          </cell>
          <cell r="AD1640">
            <v>27868922</v>
          </cell>
          <cell r="AE1640">
            <v>15148892</v>
          </cell>
          <cell r="AF1640">
            <v>14590956</v>
          </cell>
          <cell r="AG1640">
            <v>0</v>
          </cell>
          <cell r="AH1640">
            <v>0</v>
          </cell>
          <cell r="AI1640">
            <v>0</v>
          </cell>
          <cell r="AJ1640">
            <v>0</v>
          </cell>
          <cell r="AK1640">
            <v>425094</v>
          </cell>
          <cell r="AL1640">
            <v>929892</v>
          </cell>
          <cell r="AM1640">
            <v>79705</v>
          </cell>
          <cell r="AN1640">
            <v>159410</v>
          </cell>
          <cell r="AO1640">
            <v>53137</v>
          </cell>
          <cell r="AP1640">
            <v>53137</v>
          </cell>
        </row>
        <row r="1641">
          <cell r="D1641" t="str">
            <v>Sản xuất và thử nghiệm 500 trạm gNodeB 32T32R</v>
          </cell>
          <cell r="G1641" t="str">
            <v>KHCN</v>
          </cell>
          <cell r="I1641" t="str">
            <v>VTBR</v>
          </cell>
          <cell r="AC1641">
            <v>1030000</v>
          </cell>
          <cell r="AD1641">
            <v>35555692</v>
          </cell>
          <cell r="AE1641">
            <v>19483128</v>
          </cell>
          <cell r="AF1641">
            <v>18798389</v>
          </cell>
          <cell r="AG1641">
            <v>0</v>
          </cell>
          <cell r="AH1641">
            <v>0</v>
          </cell>
          <cell r="AI1641">
            <v>0</v>
          </cell>
          <cell r="AJ1641">
            <v>0</v>
          </cell>
          <cell r="AK1641">
            <v>521706</v>
          </cell>
          <cell r="AL1641">
            <v>1141231</v>
          </cell>
          <cell r="AM1641">
            <v>97820</v>
          </cell>
          <cell r="AN1641">
            <v>195640</v>
          </cell>
          <cell r="AO1641">
            <v>65213</v>
          </cell>
          <cell r="AP1641">
            <v>65213</v>
          </cell>
        </row>
        <row r="1642">
          <cell r="D1642" t="str">
            <v>Sản xuất và thử nghiệm 500 trạm gNodeB 32T32R</v>
          </cell>
          <cell r="G1642" t="str">
            <v>KHCN</v>
          </cell>
          <cell r="I1642" t="str">
            <v>DVSBH</v>
          </cell>
          <cell r="AC1642">
            <v>1047000</v>
          </cell>
          <cell r="AD1642">
            <v>23978241</v>
          </cell>
          <cell r="AE1642">
            <v>20879785</v>
          </cell>
          <cell r="AF1642">
            <v>19963177</v>
          </cell>
          <cell r="AG1642">
            <v>0</v>
          </cell>
          <cell r="AH1642">
            <v>0</v>
          </cell>
          <cell r="AI1642">
            <v>0</v>
          </cell>
          <cell r="AJ1642">
            <v>0</v>
          </cell>
          <cell r="AK1642">
            <v>698368</v>
          </cell>
          <cell r="AL1642">
            <v>1527680</v>
          </cell>
          <cell r="AM1642">
            <v>130944</v>
          </cell>
          <cell r="AN1642">
            <v>261888</v>
          </cell>
          <cell r="AO1642">
            <v>87296</v>
          </cell>
          <cell r="AP1642">
            <v>87296</v>
          </cell>
        </row>
        <row r="1643">
          <cell r="D1643" t="str">
            <v>Sản xuất và thử nghiệm 500 trạm gNodeB 32T32R</v>
          </cell>
          <cell r="G1643" t="str">
            <v>KHCN</v>
          </cell>
          <cell r="I1643" t="str">
            <v>DVSBH</v>
          </cell>
          <cell r="AC1643">
            <v>1030000</v>
          </cell>
          <cell r="AD1643">
            <v>35519651</v>
          </cell>
          <cell r="AE1643">
            <v>4186979</v>
          </cell>
          <cell r="AF1643">
            <v>4047721</v>
          </cell>
          <cell r="AG1643">
            <v>0</v>
          </cell>
          <cell r="AH1643">
            <v>0</v>
          </cell>
          <cell r="AI1643">
            <v>0</v>
          </cell>
          <cell r="AJ1643">
            <v>0</v>
          </cell>
          <cell r="AK1643">
            <v>106101</v>
          </cell>
          <cell r="AL1643">
            <v>232096</v>
          </cell>
          <cell r="AM1643">
            <v>19894</v>
          </cell>
          <cell r="AN1643">
            <v>39788</v>
          </cell>
          <cell r="AO1643">
            <v>13263</v>
          </cell>
          <cell r="AP1643">
            <v>13263</v>
          </cell>
        </row>
        <row r="1644">
          <cell r="D1644" t="str">
            <v>Sản xuất và thử nghiệm 500 trạm gNodeB 32T32R</v>
          </cell>
          <cell r="G1644" t="str">
            <v>KHCN</v>
          </cell>
          <cell r="I1644" t="str">
            <v>KTCN</v>
          </cell>
          <cell r="AC1644">
            <v>1030000</v>
          </cell>
          <cell r="AD1644">
            <v>56120531</v>
          </cell>
          <cell r="AE1644">
            <v>52304747</v>
          </cell>
          <cell r="AF1644">
            <v>51060035</v>
          </cell>
          <cell r="AG1644">
            <v>0</v>
          </cell>
          <cell r="AH1644">
            <v>0</v>
          </cell>
          <cell r="AI1644">
            <v>0</v>
          </cell>
          <cell r="AJ1644">
            <v>0</v>
          </cell>
          <cell r="AK1644">
            <v>948352</v>
          </cell>
          <cell r="AL1644">
            <v>2074520</v>
          </cell>
          <cell r="AM1644">
            <v>177816</v>
          </cell>
          <cell r="AN1644">
            <v>355632</v>
          </cell>
          <cell r="AO1644">
            <v>118544</v>
          </cell>
          <cell r="AP1644">
            <v>118544</v>
          </cell>
        </row>
        <row r="1645">
          <cell r="D1645" t="str">
            <v>Sản xuất và thử nghiệm 500 trạm gNodeB 32T32R</v>
          </cell>
          <cell r="G1645" t="str">
            <v>KHCN</v>
          </cell>
          <cell r="I1645" t="str">
            <v>KTCN</v>
          </cell>
          <cell r="AC1645">
            <v>1030000</v>
          </cell>
          <cell r="AD1645">
            <v>34601668</v>
          </cell>
          <cell r="AE1645">
            <v>31298748</v>
          </cell>
          <cell r="AF1645">
            <v>30283188</v>
          </cell>
          <cell r="AG1645">
            <v>0</v>
          </cell>
          <cell r="AH1645">
            <v>0</v>
          </cell>
          <cell r="AI1645">
            <v>0</v>
          </cell>
          <cell r="AJ1645">
            <v>0</v>
          </cell>
          <cell r="AK1645">
            <v>773760</v>
          </cell>
          <cell r="AL1645">
            <v>1692600</v>
          </cell>
          <cell r="AM1645">
            <v>145080</v>
          </cell>
          <cell r="AN1645">
            <v>290160</v>
          </cell>
          <cell r="AO1645">
            <v>96720</v>
          </cell>
          <cell r="AP1645">
            <v>96720</v>
          </cell>
        </row>
        <row r="1646">
          <cell r="D1646" t="str">
            <v>Sản xuất và thử nghiệm 500 trạm gNodeB 32T32R</v>
          </cell>
          <cell r="G1646" t="str">
            <v>KHCN</v>
          </cell>
          <cell r="I1646" t="str">
            <v>KTCN</v>
          </cell>
          <cell r="AC1646">
            <v>1030000</v>
          </cell>
          <cell r="AD1646">
            <v>50321640</v>
          </cell>
          <cell r="AE1646">
            <v>46773944</v>
          </cell>
          <cell r="AF1646">
            <v>45649016</v>
          </cell>
          <cell r="AG1646">
            <v>0</v>
          </cell>
          <cell r="AH1646">
            <v>0</v>
          </cell>
          <cell r="AI1646">
            <v>0</v>
          </cell>
          <cell r="AJ1646">
            <v>0</v>
          </cell>
          <cell r="AK1646">
            <v>857088</v>
          </cell>
          <cell r="AL1646">
            <v>1874880</v>
          </cell>
          <cell r="AM1646">
            <v>160704</v>
          </cell>
          <cell r="AN1646">
            <v>321408</v>
          </cell>
          <cell r="AO1646">
            <v>107136</v>
          </cell>
          <cell r="AP1646">
            <v>107136</v>
          </cell>
        </row>
        <row r="1647">
          <cell r="D1647" t="str">
            <v>Sản xuất và thử nghiệm 500 trạm gNodeB 32T32R</v>
          </cell>
          <cell r="G1647" t="str">
            <v>KHCN</v>
          </cell>
          <cell r="I1647" t="str">
            <v>KTCN</v>
          </cell>
          <cell r="AC1647">
            <v>1030000</v>
          </cell>
          <cell r="AD1647">
            <v>52091698</v>
          </cell>
          <cell r="AE1647">
            <v>48415786</v>
          </cell>
          <cell r="AF1647">
            <v>47233570</v>
          </cell>
          <cell r="AG1647">
            <v>0</v>
          </cell>
          <cell r="AH1647">
            <v>0</v>
          </cell>
          <cell r="AI1647">
            <v>0</v>
          </cell>
          <cell r="AJ1647">
            <v>0</v>
          </cell>
          <cell r="AK1647">
            <v>900736</v>
          </cell>
          <cell r="AL1647">
            <v>1970360</v>
          </cell>
          <cell r="AM1647">
            <v>168888</v>
          </cell>
          <cell r="AN1647">
            <v>337776</v>
          </cell>
          <cell r="AO1647">
            <v>112592</v>
          </cell>
          <cell r="AP1647">
            <v>112592</v>
          </cell>
        </row>
        <row r="1648">
          <cell r="D1648" t="str">
            <v>Sản xuất và thử nghiệm 500 trạm gNodeB 32T32R</v>
          </cell>
          <cell r="G1648" t="str">
            <v>KHCN</v>
          </cell>
          <cell r="I1648" t="str">
            <v>KTCN</v>
          </cell>
          <cell r="AC1648">
            <v>1047000</v>
          </cell>
          <cell r="AD1648">
            <v>24057052</v>
          </cell>
          <cell r="AE1648">
            <v>20958596</v>
          </cell>
          <cell r="AF1648">
            <v>20041988</v>
          </cell>
          <cell r="AG1648">
            <v>0</v>
          </cell>
          <cell r="AH1648">
            <v>0</v>
          </cell>
          <cell r="AI1648">
            <v>0</v>
          </cell>
          <cell r="AJ1648">
            <v>0</v>
          </cell>
          <cell r="AK1648">
            <v>698368</v>
          </cell>
          <cell r="AL1648">
            <v>1527680</v>
          </cell>
          <cell r="AM1648">
            <v>130944</v>
          </cell>
          <cell r="AN1648">
            <v>261888</v>
          </cell>
          <cell r="AO1648">
            <v>87296</v>
          </cell>
          <cell r="AP1648">
            <v>87296</v>
          </cell>
        </row>
        <row r="1649">
          <cell r="D1649" t="str">
            <v>Sản xuất và thử nghiệm 500 trạm gNodeB 32T32R</v>
          </cell>
          <cell r="G1649" t="str">
            <v>KHCN</v>
          </cell>
          <cell r="I1649" t="str">
            <v>KTCN</v>
          </cell>
          <cell r="AC1649">
            <v>1030000</v>
          </cell>
          <cell r="AD1649">
            <v>49557719</v>
          </cell>
          <cell r="AE1649">
            <v>46010023</v>
          </cell>
          <cell r="AF1649">
            <v>44885095</v>
          </cell>
          <cell r="AG1649">
            <v>0</v>
          </cell>
          <cell r="AH1649">
            <v>0</v>
          </cell>
          <cell r="AI1649">
            <v>0</v>
          </cell>
          <cell r="AJ1649">
            <v>0</v>
          </cell>
          <cell r="AK1649">
            <v>857088</v>
          </cell>
          <cell r="AL1649">
            <v>1874880</v>
          </cell>
          <cell r="AM1649">
            <v>160704</v>
          </cell>
          <cell r="AN1649">
            <v>321408</v>
          </cell>
          <cell r="AO1649">
            <v>107136</v>
          </cell>
          <cell r="AP1649">
            <v>107136</v>
          </cell>
        </row>
        <row r="1650">
          <cell r="D1650" t="str">
            <v>Sản xuất và thử nghiệm 500 trạm gNodeB 32T32R</v>
          </cell>
          <cell r="G1650" t="str">
            <v>KHCN</v>
          </cell>
          <cell r="I1650" t="str">
            <v>KTCN</v>
          </cell>
          <cell r="AC1650">
            <v>1047000</v>
          </cell>
          <cell r="AD1650">
            <v>24278570</v>
          </cell>
          <cell r="AE1650">
            <v>21180114</v>
          </cell>
          <cell r="AF1650">
            <v>20263506</v>
          </cell>
          <cell r="AG1650">
            <v>0</v>
          </cell>
          <cell r="AH1650">
            <v>0</v>
          </cell>
          <cell r="AI1650">
            <v>0</v>
          </cell>
          <cell r="AJ1650">
            <v>0</v>
          </cell>
          <cell r="AK1650">
            <v>698368</v>
          </cell>
          <cell r="AL1650">
            <v>1527680</v>
          </cell>
          <cell r="AM1650">
            <v>130944</v>
          </cell>
          <cell r="AN1650">
            <v>261888</v>
          </cell>
          <cell r="AO1650">
            <v>87296</v>
          </cell>
          <cell r="AP1650">
            <v>87296</v>
          </cell>
        </row>
        <row r="1651">
          <cell r="D1651" t="str">
            <v>Sản xuất và thử nghiệm 500 trạm gNodeB 32T32R</v>
          </cell>
          <cell r="G1651" t="str">
            <v>KHCN</v>
          </cell>
          <cell r="I1651" t="str">
            <v>VTBR</v>
          </cell>
          <cell r="AC1651">
            <v>1130000</v>
          </cell>
          <cell r="AD1651">
            <v>60588792</v>
          </cell>
          <cell r="AE1651">
            <v>9856175</v>
          </cell>
          <cell r="AF1651">
            <v>9639703</v>
          </cell>
          <cell r="AG1651">
            <v>0</v>
          </cell>
          <cell r="AH1651">
            <v>0</v>
          </cell>
          <cell r="AI1651">
            <v>0</v>
          </cell>
          <cell r="AJ1651">
            <v>0</v>
          </cell>
          <cell r="AK1651">
            <v>164931</v>
          </cell>
          <cell r="AL1651">
            <v>360786</v>
          </cell>
          <cell r="AM1651">
            <v>30925</v>
          </cell>
          <cell r="AN1651">
            <v>61849</v>
          </cell>
          <cell r="AO1651">
            <v>20616</v>
          </cell>
          <cell r="AP1651">
            <v>20616</v>
          </cell>
        </row>
        <row r="1652">
          <cell r="D1652" t="str">
            <v>Sản xuất và thử nghiệm 500 trạm gNodeB 32T32R</v>
          </cell>
          <cell r="G1652" t="str">
            <v>KHCN</v>
          </cell>
          <cell r="I1652" t="str">
            <v>VTBR</v>
          </cell>
          <cell r="AC1652">
            <v>930000</v>
          </cell>
          <cell r="AD1652">
            <v>29527628</v>
          </cell>
          <cell r="AE1652">
            <v>5722763</v>
          </cell>
          <cell r="AF1652">
            <v>5501989</v>
          </cell>
          <cell r="AG1652">
            <v>0</v>
          </cell>
          <cell r="AH1652">
            <v>0</v>
          </cell>
          <cell r="AI1652">
            <v>0</v>
          </cell>
          <cell r="AJ1652">
            <v>0</v>
          </cell>
          <cell r="AK1652">
            <v>168209</v>
          </cell>
          <cell r="AL1652">
            <v>367957</v>
          </cell>
          <cell r="AM1652">
            <v>31539</v>
          </cell>
          <cell r="AN1652">
            <v>63078</v>
          </cell>
          <cell r="AO1652">
            <v>21026</v>
          </cell>
          <cell r="AP1652">
            <v>21026</v>
          </cell>
        </row>
        <row r="1653">
          <cell r="D1653" t="str">
            <v>Sản xuất và thử nghiệm 500 trạm gNodeB 32T32R</v>
          </cell>
          <cell r="G1653" t="str">
            <v>KHCN</v>
          </cell>
          <cell r="I1653" t="str">
            <v>VTBR</v>
          </cell>
          <cell r="AC1653">
            <v>1130000</v>
          </cell>
          <cell r="AD1653">
            <v>63684198</v>
          </cell>
          <cell r="AE1653">
            <v>23332908</v>
          </cell>
          <cell r="AF1653">
            <v>22821391</v>
          </cell>
          <cell r="AG1653">
            <v>0</v>
          </cell>
          <cell r="AH1653">
            <v>0</v>
          </cell>
          <cell r="AI1653">
            <v>0</v>
          </cell>
          <cell r="AJ1653">
            <v>0</v>
          </cell>
          <cell r="AK1653">
            <v>389727</v>
          </cell>
          <cell r="AL1653">
            <v>852527</v>
          </cell>
          <cell r="AM1653">
            <v>73074</v>
          </cell>
          <cell r="AN1653">
            <v>146147</v>
          </cell>
          <cell r="AO1653">
            <v>48716</v>
          </cell>
          <cell r="AP1653">
            <v>48716</v>
          </cell>
        </row>
        <row r="1654">
          <cell r="D1654" t="str">
            <v>Sản xuất và thử nghiệm 500 trạm gNodeB 32T32R</v>
          </cell>
          <cell r="G1654" t="str">
            <v>KHCN</v>
          </cell>
          <cell r="I1654" t="str">
            <v>VTBR</v>
          </cell>
          <cell r="AC1654">
            <v>930000</v>
          </cell>
          <cell r="AD1654">
            <v>22092921</v>
          </cell>
          <cell r="AE1654">
            <v>5848460</v>
          </cell>
          <cell r="AF1654">
            <v>5583759</v>
          </cell>
          <cell r="AG1654">
            <v>0</v>
          </cell>
          <cell r="AH1654">
            <v>0</v>
          </cell>
          <cell r="AI1654">
            <v>0</v>
          </cell>
          <cell r="AJ1654">
            <v>0</v>
          </cell>
          <cell r="AK1654">
            <v>201678</v>
          </cell>
          <cell r="AL1654">
            <v>441171</v>
          </cell>
          <cell r="AM1654">
            <v>37814</v>
          </cell>
          <cell r="AN1654">
            <v>75629</v>
          </cell>
          <cell r="AO1654">
            <v>25209</v>
          </cell>
          <cell r="AP1654">
            <v>25209</v>
          </cell>
        </row>
        <row r="1655">
          <cell r="D1655" t="str">
            <v>Sản xuất và thử nghiệm 500 trạm gNodeB 32T32R</v>
          </cell>
          <cell r="G1655" t="str">
            <v>KHCN</v>
          </cell>
          <cell r="I1655" t="str">
            <v>VTBR</v>
          </cell>
          <cell r="AC1655">
            <v>1030000</v>
          </cell>
          <cell r="AD1655">
            <v>54518327</v>
          </cell>
          <cell r="AE1655">
            <v>19894858</v>
          </cell>
          <cell r="AF1655">
            <v>19432251</v>
          </cell>
          <cell r="AG1655">
            <v>0</v>
          </cell>
          <cell r="AH1655">
            <v>0</v>
          </cell>
          <cell r="AI1655">
            <v>0</v>
          </cell>
          <cell r="AJ1655">
            <v>0</v>
          </cell>
          <cell r="AK1655">
            <v>352462</v>
          </cell>
          <cell r="AL1655">
            <v>771010</v>
          </cell>
          <cell r="AM1655">
            <v>66087</v>
          </cell>
          <cell r="AN1655">
            <v>132173</v>
          </cell>
          <cell r="AO1655">
            <v>44058</v>
          </cell>
          <cell r="AP1655">
            <v>44058</v>
          </cell>
        </row>
        <row r="1656">
          <cell r="D1656" t="str">
            <v>Sản xuất và thử nghiệm 500 trạm gNodeB 32T32R</v>
          </cell>
          <cell r="G1656" t="str">
            <v>KHCN</v>
          </cell>
          <cell r="I1656" t="str">
            <v>VTBR</v>
          </cell>
          <cell r="AC1656">
            <v>930000</v>
          </cell>
          <cell r="AD1656">
            <v>25110104</v>
          </cell>
          <cell r="AE1656">
            <v>9575541</v>
          </cell>
          <cell r="AF1656">
            <v>9156637</v>
          </cell>
          <cell r="AG1656">
            <v>0</v>
          </cell>
          <cell r="AH1656">
            <v>0</v>
          </cell>
          <cell r="AI1656">
            <v>0</v>
          </cell>
          <cell r="AJ1656">
            <v>0</v>
          </cell>
          <cell r="AK1656">
            <v>319165</v>
          </cell>
          <cell r="AL1656">
            <v>698174</v>
          </cell>
          <cell r="AM1656">
            <v>59843</v>
          </cell>
          <cell r="AN1656">
            <v>119687</v>
          </cell>
          <cell r="AO1656">
            <v>39896</v>
          </cell>
          <cell r="AP1656">
            <v>39896</v>
          </cell>
        </row>
        <row r="1657">
          <cell r="D1657" t="str">
            <v>Sản xuất và thử nghiệm 500 trạm gNodeB 32T32R</v>
          </cell>
          <cell r="G1657" t="str">
            <v>KHCN</v>
          </cell>
          <cell r="I1657" t="str">
            <v>VTBR</v>
          </cell>
          <cell r="AC1657">
            <v>1030000</v>
          </cell>
          <cell r="AD1657">
            <v>55252114</v>
          </cell>
          <cell r="AE1657">
            <v>11212218</v>
          </cell>
          <cell r="AF1657">
            <v>10955214</v>
          </cell>
          <cell r="AG1657">
            <v>0</v>
          </cell>
          <cell r="AH1657">
            <v>0</v>
          </cell>
          <cell r="AI1657">
            <v>0</v>
          </cell>
          <cell r="AJ1657">
            <v>0</v>
          </cell>
          <cell r="AK1657">
            <v>195812</v>
          </cell>
          <cell r="AL1657">
            <v>428339</v>
          </cell>
          <cell r="AM1657">
            <v>36715</v>
          </cell>
          <cell r="AN1657">
            <v>73430</v>
          </cell>
          <cell r="AO1657">
            <v>24477</v>
          </cell>
          <cell r="AP1657">
            <v>24477</v>
          </cell>
        </row>
        <row r="1658">
          <cell r="D1658" t="str">
            <v>Sản xuất và thử nghiệm 500 trạm gNodeB 32T32R</v>
          </cell>
          <cell r="G1658" t="str">
            <v>KHCN</v>
          </cell>
          <cell r="I1658" t="str">
            <v>VTBR</v>
          </cell>
          <cell r="AC1658">
            <v>1030000</v>
          </cell>
          <cell r="AD1658">
            <v>39200566</v>
          </cell>
          <cell r="AE1658">
            <v>7778497</v>
          </cell>
          <cell r="AF1658">
            <v>7546401</v>
          </cell>
          <cell r="AG1658">
            <v>0</v>
          </cell>
          <cell r="AH1658">
            <v>0</v>
          </cell>
          <cell r="AI1658">
            <v>0</v>
          </cell>
          <cell r="AJ1658">
            <v>0</v>
          </cell>
          <cell r="AK1658">
            <v>176835</v>
          </cell>
          <cell r="AL1658">
            <v>386826</v>
          </cell>
          <cell r="AM1658">
            <v>33157</v>
          </cell>
          <cell r="AN1658">
            <v>66313</v>
          </cell>
          <cell r="AO1658">
            <v>22104</v>
          </cell>
          <cell r="AP1658">
            <v>22104</v>
          </cell>
        </row>
        <row r="1659">
          <cell r="D1659" t="str">
            <v>Sản xuất và thử nghiệm 500 trạm gNodeB 32T32R</v>
          </cell>
          <cell r="G1659" t="str">
            <v>KHCN</v>
          </cell>
          <cell r="I1659" t="str">
            <v>VTBR</v>
          </cell>
          <cell r="AC1659">
            <v>930000</v>
          </cell>
          <cell r="AD1659">
            <v>24610989</v>
          </cell>
          <cell r="AE1659">
            <v>4702072</v>
          </cell>
          <cell r="AF1659">
            <v>4502810</v>
          </cell>
          <cell r="AG1659">
            <v>0</v>
          </cell>
          <cell r="AH1659">
            <v>0</v>
          </cell>
          <cell r="AI1659">
            <v>0</v>
          </cell>
          <cell r="AJ1659">
            <v>0</v>
          </cell>
          <cell r="AK1659">
            <v>151819</v>
          </cell>
          <cell r="AL1659">
            <v>332104</v>
          </cell>
          <cell r="AM1659">
            <v>28466</v>
          </cell>
          <cell r="AN1659">
            <v>56932</v>
          </cell>
          <cell r="AO1659">
            <v>18977</v>
          </cell>
          <cell r="AP1659">
            <v>18977</v>
          </cell>
        </row>
        <row r="1660">
          <cell r="D1660" t="str">
            <v>Sản xuất và thử nghiệm 500 trạm gNodeB 32T32R</v>
          </cell>
          <cell r="G1660" t="str">
            <v>KHCN</v>
          </cell>
          <cell r="I1660" t="str">
            <v>VTBR</v>
          </cell>
          <cell r="AC1660">
            <v>930000</v>
          </cell>
          <cell r="AD1660">
            <v>25110104</v>
          </cell>
          <cell r="AE1660">
            <v>4787770</v>
          </cell>
          <cell r="AF1660">
            <v>4578317</v>
          </cell>
          <cell r="AG1660">
            <v>0</v>
          </cell>
          <cell r="AH1660">
            <v>0</v>
          </cell>
          <cell r="AI1660">
            <v>0</v>
          </cell>
          <cell r="AJ1660">
            <v>0</v>
          </cell>
          <cell r="AK1660">
            <v>159583</v>
          </cell>
          <cell r="AL1660">
            <v>349087</v>
          </cell>
          <cell r="AM1660">
            <v>29922</v>
          </cell>
          <cell r="AN1660">
            <v>59843</v>
          </cell>
          <cell r="AO1660">
            <v>19948</v>
          </cell>
          <cell r="AP1660">
            <v>19948</v>
          </cell>
        </row>
        <row r="1661">
          <cell r="D1661" t="str">
            <v>Sản xuất và thử nghiệm 500 trạm gNodeB 32T32R</v>
          </cell>
          <cell r="G1661" t="str">
            <v>KHCN</v>
          </cell>
          <cell r="I1661" t="str">
            <v>KTCN</v>
          </cell>
          <cell r="AC1661">
            <v>1030000</v>
          </cell>
          <cell r="AD1661">
            <v>48441921</v>
          </cell>
          <cell r="AE1661">
            <v>17567305</v>
          </cell>
          <cell r="AF1661">
            <v>17127116</v>
          </cell>
          <cell r="AG1661">
            <v>0</v>
          </cell>
          <cell r="AH1661">
            <v>0</v>
          </cell>
          <cell r="AI1661">
            <v>0</v>
          </cell>
          <cell r="AJ1661">
            <v>0</v>
          </cell>
          <cell r="AK1661">
            <v>335382</v>
          </cell>
          <cell r="AL1661">
            <v>733649</v>
          </cell>
          <cell r="AM1661">
            <v>62884</v>
          </cell>
          <cell r="AN1661">
            <v>125768</v>
          </cell>
          <cell r="AO1661">
            <v>41923</v>
          </cell>
          <cell r="AP1661">
            <v>41923</v>
          </cell>
        </row>
        <row r="1662">
          <cell r="D1662" t="str">
            <v>Sản xuất và thử nghiệm 500 trạm gNodeB 32T32R</v>
          </cell>
          <cell r="G1662" t="str">
            <v>KHCN</v>
          </cell>
          <cell r="I1662" t="str">
            <v>DVSBH</v>
          </cell>
          <cell r="AC1662">
            <v>1130000</v>
          </cell>
          <cell r="AD1662">
            <v>49754678</v>
          </cell>
          <cell r="AE1662">
            <v>45838894</v>
          </cell>
          <cell r="AF1662">
            <v>44594182</v>
          </cell>
          <cell r="AG1662">
            <v>0</v>
          </cell>
          <cell r="AH1662">
            <v>0</v>
          </cell>
          <cell r="AI1662">
            <v>0</v>
          </cell>
          <cell r="AJ1662">
            <v>0</v>
          </cell>
          <cell r="AK1662">
            <v>948352</v>
          </cell>
          <cell r="AL1662">
            <v>2074520</v>
          </cell>
          <cell r="AM1662">
            <v>177816</v>
          </cell>
          <cell r="AN1662">
            <v>355632</v>
          </cell>
          <cell r="AO1662">
            <v>118544</v>
          </cell>
          <cell r="AP1662">
            <v>118544</v>
          </cell>
        </row>
        <row r="1663">
          <cell r="D1663" t="str">
            <v>Sản xuất và thử nghiệm 500 trạm gNodeB 32T32R</v>
          </cell>
          <cell r="G1663" t="str">
            <v>KHCN</v>
          </cell>
          <cell r="I1663" t="str">
            <v>DVSBH</v>
          </cell>
          <cell r="AC1663">
            <v>1030000</v>
          </cell>
          <cell r="AD1663">
            <v>30728406</v>
          </cell>
          <cell r="AE1663">
            <v>14308949</v>
          </cell>
          <cell r="AF1663">
            <v>13779091</v>
          </cell>
          <cell r="AG1663">
            <v>0</v>
          </cell>
          <cell r="AH1663">
            <v>0</v>
          </cell>
          <cell r="AI1663">
            <v>0</v>
          </cell>
          <cell r="AJ1663">
            <v>0</v>
          </cell>
          <cell r="AK1663">
            <v>403701</v>
          </cell>
          <cell r="AL1663">
            <v>883096</v>
          </cell>
          <cell r="AM1663">
            <v>75694</v>
          </cell>
          <cell r="AN1663">
            <v>151388</v>
          </cell>
          <cell r="AO1663">
            <v>50463</v>
          </cell>
          <cell r="AP1663">
            <v>50463</v>
          </cell>
        </row>
        <row r="1664">
          <cell r="D1664" t="str">
            <v>Cung cấp Giải pháp AI Camera cho doanh nghiệp (Giải pháp phần mềm)</v>
          </cell>
          <cell r="G1664" t="str">
            <v>Bán hàng</v>
          </cell>
          <cell r="I1664" t="str">
            <v>KD</v>
          </cell>
          <cell r="AC1664">
            <v>1047000</v>
          </cell>
          <cell r="AD1664">
            <v>17240436</v>
          </cell>
          <cell r="AE1664">
            <v>627538</v>
          </cell>
          <cell r="AF1664">
            <v>593346</v>
          </cell>
          <cell r="AG1664">
            <v>0</v>
          </cell>
          <cell r="AH1664">
            <v>0</v>
          </cell>
          <cell r="AI1664">
            <v>0</v>
          </cell>
          <cell r="AJ1664">
            <v>0</v>
          </cell>
          <cell r="AK1664">
            <v>26051</v>
          </cell>
          <cell r="AL1664">
            <v>56986</v>
          </cell>
          <cell r="AM1664">
            <v>4885</v>
          </cell>
          <cell r="AN1664">
            <v>9769</v>
          </cell>
          <cell r="AO1664">
            <v>3256</v>
          </cell>
          <cell r="AP1664">
            <v>3256</v>
          </cell>
        </row>
        <row r="1665">
          <cell r="D1665" t="str">
            <v>Triển khai phần mềm hệ thống tổng đài tin nhắn SMSC cho Công ty Viettel Cambodia</v>
          </cell>
          <cell r="G1665" t="str">
            <v>SXKD</v>
          </cell>
          <cell r="I1665" t="str">
            <v>DVSBH</v>
          </cell>
          <cell r="AC1665">
            <v>1730000</v>
          </cell>
          <cell r="AD1665">
            <v>78158956</v>
          </cell>
          <cell r="AE1665">
            <v>3180057</v>
          </cell>
          <cell r="AF1665">
            <v>3121415</v>
          </cell>
          <cell r="AG1665">
            <v>0</v>
          </cell>
          <cell r="AH1665">
            <v>0</v>
          </cell>
          <cell r="AI1665">
            <v>0</v>
          </cell>
          <cell r="AJ1665">
            <v>0</v>
          </cell>
          <cell r="AK1665">
            <v>58642</v>
          </cell>
          <cell r="AL1665">
            <v>128280</v>
          </cell>
          <cell r="AM1665">
            <v>0</v>
          </cell>
          <cell r="AN1665">
            <v>0</v>
          </cell>
          <cell r="AO1665">
            <v>0</v>
          </cell>
          <cell r="AP1665">
            <v>0</v>
          </cell>
        </row>
        <row r="1666">
          <cell r="D1666" t="str">
            <v>Triển khai phần mềm hệ thống tổng đài tin nhắn SMSC cho Công ty Viettel Cambodia</v>
          </cell>
          <cell r="G1666" t="str">
            <v>SXKD</v>
          </cell>
          <cell r="I1666" t="str">
            <v>DVSBH</v>
          </cell>
          <cell r="AC1666">
            <v>1630000</v>
          </cell>
          <cell r="AD1666">
            <v>31910007</v>
          </cell>
          <cell r="AE1666">
            <v>9741595</v>
          </cell>
          <cell r="AF1666">
            <v>9388356</v>
          </cell>
          <cell r="AG1666">
            <v>0</v>
          </cell>
          <cell r="AH1666">
            <v>0</v>
          </cell>
          <cell r="AI1666">
            <v>0</v>
          </cell>
          <cell r="AJ1666">
            <v>0</v>
          </cell>
          <cell r="AK1666">
            <v>269134</v>
          </cell>
          <cell r="AL1666">
            <v>588730</v>
          </cell>
          <cell r="AM1666">
            <v>50463</v>
          </cell>
          <cell r="AN1666">
            <v>100925</v>
          </cell>
          <cell r="AO1666">
            <v>33642</v>
          </cell>
          <cell r="AP1666">
            <v>33642</v>
          </cell>
        </row>
        <row r="1667">
          <cell r="D1667" t="str">
            <v>PAKD mở rộng phần mềm hệ thống vSMSC cho Công ty Burundi Business Telecom</v>
          </cell>
          <cell r="G1667" t="str">
            <v>SXKD</v>
          </cell>
          <cell r="I1667" t="str">
            <v>DVSBH</v>
          </cell>
          <cell r="AC1667">
            <v>1730000</v>
          </cell>
          <cell r="AD1667">
            <v>78158956</v>
          </cell>
          <cell r="AE1667">
            <v>3180057</v>
          </cell>
          <cell r="AF1667">
            <v>3121415</v>
          </cell>
          <cell r="AG1667">
            <v>0</v>
          </cell>
          <cell r="AH1667">
            <v>0</v>
          </cell>
          <cell r="AI1667">
            <v>0</v>
          </cell>
          <cell r="AJ1667">
            <v>0</v>
          </cell>
          <cell r="AK1667">
            <v>58642</v>
          </cell>
          <cell r="AL1667">
            <v>128280</v>
          </cell>
          <cell r="AM1667">
            <v>0</v>
          </cell>
          <cell r="AN1667">
            <v>0</v>
          </cell>
          <cell r="AO1667">
            <v>0</v>
          </cell>
          <cell r="AP1667">
            <v>0</v>
          </cell>
        </row>
        <row r="1668">
          <cell r="D1668" t="str">
            <v>PAKD mở rộng phần mềm hệ thống vSMSC cho Công ty Burundi Business Telecom</v>
          </cell>
          <cell r="G1668" t="str">
            <v>SXKD</v>
          </cell>
          <cell r="I1668" t="str">
            <v>DVSBH</v>
          </cell>
          <cell r="AC1668">
            <v>1630000</v>
          </cell>
          <cell r="AD1668">
            <v>31910007</v>
          </cell>
          <cell r="AE1668">
            <v>8523896</v>
          </cell>
          <cell r="AF1668">
            <v>8214812</v>
          </cell>
          <cell r="AG1668">
            <v>0</v>
          </cell>
          <cell r="AH1668">
            <v>0</v>
          </cell>
          <cell r="AI1668">
            <v>0</v>
          </cell>
          <cell r="AJ1668">
            <v>0</v>
          </cell>
          <cell r="AK1668">
            <v>235492</v>
          </cell>
          <cell r="AL1668">
            <v>515139</v>
          </cell>
          <cell r="AM1668">
            <v>44155</v>
          </cell>
          <cell r="AN1668">
            <v>88310</v>
          </cell>
          <cell r="AO1668">
            <v>29437</v>
          </cell>
          <cell r="AP1668">
            <v>29437</v>
          </cell>
        </row>
        <row r="1669">
          <cell r="D1669" t="str">
            <v>PAKD Dịch vụ HTKT cho các Hệ thống đã kinh doanh tại các thị trường năm 2024 (VTNet_Sản phẩm OCS/OCS DR)</v>
          </cell>
          <cell r="G1669" t="str">
            <v>SXKD</v>
          </cell>
          <cell r="I1669" t="str">
            <v>DVSBH</v>
          </cell>
          <cell r="AC1669">
            <v>1730000</v>
          </cell>
          <cell r="AD1669">
            <v>78158956</v>
          </cell>
          <cell r="AE1669">
            <v>3180057</v>
          </cell>
          <cell r="AF1669">
            <v>3121415</v>
          </cell>
          <cell r="AG1669">
            <v>0</v>
          </cell>
          <cell r="AH1669">
            <v>0</v>
          </cell>
          <cell r="AI1669">
            <v>0</v>
          </cell>
          <cell r="AJ1669">
            <v>0</v>
          </cell>
          <cell r="AK1669">
            <v>58642</v>
          </cell>
          <cell r="AL1669">
            <v>128280</v>
          </cell>
          <cell r="AM1669">
            <v>0</v>
          </cell>
          <cell r="AN1669">
            <v>0</v>
          </cell>
          <cell r="AO1669">
            <v>0</v>
          </cell>
          <cell r="AP1669">
            <v>0</v>
          </cell>
        </row>
        <row r="1670">
          <cell r="D1670" t="str">
            <v>PAKD Dịch vụ HTKT cho các Hệ thống đã kinh doanh tại các thị trường năm 2024 (VTNet_Sản phẩm OCS/OCS DR)</v>
          </cell>
          <cell r="G1670" t="str">
            <v>SXKD</v>
          </cell>
          <cell r="I1670" t="str">
            <v>DVSBH</v>
          </cell>
          <cell r="AC1670">
            <v>1047000</v>
          </cell>
          <cell r="AD1670">
            <v>24112143</v>
          </cell>
          <cell r="AE1670">
            <v>913639</v>
          </cell>
          <cell r="AF1670">
            <v>873787</v>
          </cell>
          <cell r="AG1670">
            <v>0</v>
          </cell>
          <cell r="AH1670">
            <v>0</v>
          </cell>
          <cell r="AI1670">
            <v>0</v>
          </cell>
          <cell r="AJ1670">
            <v>0</v>
          </cell>
          <cell r="AK1670">
            <v>30364</v>
          </cell>
          <cell r="AL1670">
            <v>66421</v>
          </cell>
          <cell r="AM1670">
            <v>5693</v>
          </cell>
          <cell r="AN1670">
            <v>11386</v>
          </cell>
          <cell r="AO1670">
            <v>3795</v>
          </cell>
          <cell r="AP1670">
            <v>3795</v>
          </cell>
        </row>
        <row r="1671">
          <cell r="D1671" t="str">
            <v>PAKD Dịch vụ HTKT cho các Hệ thống đã kinh doanh tại các thị trường năm 2024 (VTNet_Sản phẩm OCS/OCS DR)</v>
          </cell>
          <cell r="G1671" t="str">
            <v>SXKD</v>
          </cell>
          <cell r="I1671" t="str">
            <v>DVSBH</v>
          </cell>
          <cell r="AC1671">
            <v>1130000</v>
          </cell>
          <cell r="AD1671">
            <v>52465939</v>
          </cell>
          <cell r="AE1671">
            <v>2110876</v>
          </cell>
          <cell r="AF1671">
            <v>2056758</v>
          </cell>
          <cell r="AG1671">
            <v>0</v>
          </cell>
          <cell r="AH1671">
            <v>0</v>
          </cell>
          <cell r="AI1671">
            <v>0</v>
          </cell>
          <cell r="AJ1671">
            <v>0</v>
          </cell>
          <cell r="AK1671">
            <v>41233</v>
          </cell>
          <cell r="AL1671">
            <v>90197</v>
          </cell>
          <cell r="AM1671">
            <v>7731</v>
          </cell>
          <cell r="AN1671">
            <v>15462</v>
          </cell>
          <cell r="AO1671">
            <v>5154</v>
          </cell>
          <cell r="AP1671">
            <v>5154</v>
          </cell>
        </row>
        <row r="1672">
          <cell r="D1672" t="str">
            <v>PAKD Dịch vụ HTKT cho các Hệ thống đã kinh doanh tại các thị trường năm 2024 (VTNet_Sản phẩm OCS/OCS DR)</v>
          </cell>
          <cell r="G1672" t="str">
            <v>SXKD</v>
          </cell>
          <cell r="I1672" t="str">
            <v>DVSBH</v>
          </cell>
          <cell r="AC1672">
            <v>1030000</v>
          </cell>
          <cell r="AD1672">
            <v>36335808</v>
          </cell>
          <cell r="AE1672">
            <v>12827401</v>
          </cell>
          <cell r="AF1672">
            <v>12410281</v>
          </cell>
          <cell r="AG1672">
            <v>0</v>
          </cell>
          <cell r="AH1672">
            <v>0</v>
          </cell>
          <cell r="AI1672">
            <v>0</v>
          </cell>
          <cell r="AJ1672">
            <v>0</v>
          </cell>
          <cell r="AK1672">
            <v>351259</v>
          </cell>
          <cell r="AL1672">
            <v>768379</v>
          </cell>
          <cell r="AM1672">
            <v>65861</v>
          </cell>
          <cell r="AN1672">
            <v>131722</v>
          </cell>
          <cell r="AO1672">
            <v>0</v>
          </cell>
          <cell r="AP1672">
            <v>0</v>
          </cell>
        </row>
        <row r="1673">
          <cell r="D1673" t="str">
            <v>PAKD Dịch vụ HTKT cho các Hệ thống đã kinh doanh tại các thị trường năm 2024 (VTNet_Sản phẩm OCS/OCS DR)</v>
          </cell>
          <cell r="G1673" t="str">
            <v>SXKD</v>
          </cell>
          <cell r="I1673" t="str">
            <v>DVSBH</v>
          </cell>
          <cell r="AC1673">
            <v>1330000</v>
          </cell>
          <cell r="AD1673">
            <v>46123738</v>
          </cell>
          <cell r="AE1673">
            <v>3665028</v>
          </cell>
          <cell r="AF1673">
            <v>3562226</v>
          </cell>
          <cell r="AG1673">
            <v>0</v>
          </cell>
          <cell r="AH1673">
            <v>0</v>
          </cell>
          <cell r="AI1673">
            <v>0</v>
          </cell>
          <cell r="AJ1673">
            <v>0</v>
          </cell>
          <cell r="AK1673">
            <v>78325</v>
          </cell>
          <cell r="AL1673">
            <v>171336</v>
          </cell>
          <cell r="AM1673">
            <v>14686</v>
          </cell>
          <cell r="AN1673">
            <v>29372</v>
          </cell>
          <cell r="AO1673">
            <v>9791</v>
          </cell>
          <cell r="AP1673">
            <v>9791</v>
          </cell>
        </row>
        <row r="1674">
          <cell r="D1674" t="str">
            <v>PAKD Dịch vụ HTKT cho các Hệ thống đã kinh doanh tại các thị trường năm 2024 (VTNet_Sản phẩm OCS/OCS DR)</v>
          </cell>
          <cell r="G1674" t="str">
            <v>SXKD</v>
          </cell>
          <cell r="I1674" t="str">
            <v>DVSBH</v>
          </cell>
          <cell r="AC1674">
            <v>1398000</v>
          </cell>
          <cell r="AD1674">
            <v>24852912</v>
          </cell>
          <cell r="AE1674">
            <v>1861170</v>
          </cell>
          <cell r="AF1674">
            <v>1781465</v>
          </cell>
          <cell r="AG1674">
            <v>0</v>
          </cell>
          <cell r="AH1674">
            <v>0</v>
          </cell>
          <cell r="AI1674">
            <v>0</v>
          </cell>
          <cell r="AJ1674">
            <v>0</v>
          </cell>
          <cell r="AK1674">
            <v>60728</v>
          </cell>
          <cell r="AL1674">
            <v>132842</v>
          </cell>
          <cell r="AM1674">
            <v>11386</v>
          </cell>
          <cell r="AN1674">
            <v>22773</v>
          </cell>
          <cell r="AO1674">
            <v>7591</v>
          </cell>
          <cell r="AP1674">
            <v>7591</v>
          </cell>
        </row>
        <row r="1675">
          <cell r="D1675" t="str">
            <v>PAKD Dịch vụ HTKT cho các Hệ thống đã kinh doanh tại các thị trường năm 2024 (VTNet_Sản phẩm OCS/OCS DR)</v>
          </cell>
          <cell r="G1675" t="str">
            <v>SXKD</v>
          </cell>
          <cell r="I1675" t="str">
            <v>DVSBH</v>
          </cell>
          <cell r="AC1675">
            <v>1030000</v>
          </cell>
          <cell r="AD1675">
            <v>51950803</v>
          </cell>
          <cell r="AE1675">
            <v>2092827</v>
          </cell>
          <cell r="AF1675">
            <v>2038709</v>
          </cell>
          <cell r="AG1675">
            <v>0</v>
          </cell>
          <cell r="AH1675">
            <v>0</v>
          </cell>
          <cell r="AI1675">
            <v>0</v>
          </cell>
          <cell r="AJ1675">
            <v>0</v>
          </cell>
          <cell r="AK1675">
            <v>41233</v>
          </cell>
          <cell r="AL1675">
            <v>90197</v>
          </cell>
          <cell r="AM1675">
            <v>7731</v>
          </cell>
          <cell r="AN1675">
            <v>15462</v>
          </cell>
          <cell r="AO1675">
            <v>5154</v>
          </cell>
          <cell r="AP1675">
            <v>5154</v>
          </cell>
        </row>
        <row r="1676">
          <cell r="D1676" t="str">
            <v>PAKD Dịch vụ HTKT cho các Hệ thống đã kinh doanh tại các thị trường năm 2024  (VTNet_Sản phẩm MSC)</v>
          </cell>
          <cell r="G1676" t="str">
            <v>SXKD</v>
          </cell>
          <cell r="I1676" t="str">
            <v>DVSBH</v>
          </cell>
          <cell r="AC1676">
            <v>1047000</v>
          </cell>
          <cell r="AD1676">
            <v>24112143</v>
          </cell>
          <cell r="AE1676">
            <v>913639</v>
          </cell>
          <cell r="AF1676">
            <v>873787</v>
          </cell>
          <cell r="AG1676">
            <v>0</v>
          </cell>
          <cell r="AH1676">
            <v>0</v>
          </cell>
          <cell r="AI1676">
            <v>0</v>
          </cell>
          <cell r="AJ1676">
            <v>0</v>
          </cell>
          <cell r="AK1676">
            <v>30364</v>
          </cell>
          <cell r="AL1676">
            <v>66421</v>
          </cell>
          <cell r="AM1676">
            <v>5693</v>
          </cell>
          <cell r="AN1676">
            <v>11386</v>
          </cell>
          <cell r="AO1676">
            <v>3795</v>
          </cell>
          <cell r="AP1676">
            <v>3795</v>
          </cell>
        </row>
        <row r="1677">
          <cell r="D1677" t="str">
            <v>PAKD Dịch vụ HTKT cho các Hệ thống đã kinh doanh tại các thị trường năm 2024  (VTNet_Sản phẩm MSC)</v>
          </cell>
          <cell r="G1677" t="str">
            <v>SXKD</v>
          </cell>
          <cell r="I1677" t="str">
            <v>DVSBH</v>
          </cell>
          <cell r="AC1677">
            <v>1130000</v>
          </cell>
          <cell r="AD1677">
            <v>52465939</v>
          </cell>
          <cell r="AE1677">
            <v>2110876</v>
          </cell>
          <cell r="AF1677">
            <v>2056758</v>
          </cell>
          <cell r="AG1677">
            <v>0</v>
          </cell>
          <cell r="AH1677">
            <v>0</v>
          </cell>
          <cell r="AI1677">
            <v>0</v>
          </cell>
          <cell r="AJ1677">
            <v>0</v>
          </cell>
          <cell r="AK1677">
            <v>41233</v>
          </cell>
          <cell r="AL1677">
            <v>90197</v>
          </cell>
          <cell r="AM1677">
            <v>7731</v>
          </cell>
          <cell r="AN1677">
            <v>15462</v>
          </cell>
          <cell r="AO1677">
            <v>5154</v>
          </cell>
          <cell r="AP1677">
            <v>5154</v>
          </cell>
        </row>
        <row r="1678">
          <cell r="D1678" t="str">
            <v>PAKD Dịch vụ HTKT cho các Hệ thống đã kinh doanh tại các thị trường năm 2024  (VTNet_Sản phẩm MSC)</v>
          </cell>
          <cell r="G1678" t="str">
            <v>SXKD</v>
          </cell>
          <cell r="I1678" t="str">
            <v>DVSBH</v>
          </cell>
          <cell r="AC1678">
            <v>1630000</v>
          </cell>
          <cell r="AD1678">
            <v>31910007</v>
          </cell>
          <cell r="AE1678">
            <v>1217699</v>
          </cell>
          <cell r="AF1678">
            <v>1173544</v>
          </cell>
          <cell r="AG1678">
            <v>0</v>
          </cell>
          <cell r="AH1678">
            <v>0</v>
          </cell>
          <cell r="AI1678">
            <v>0</v>
          </cell>
          <cell r="AJ1678">
            <v>0</v>
          </cell>
          <cell r="AK1678">
            <v>33642</v>
          </cell>
          <cell r="AL1678">
            <v>73591</v>
          </cell>
          <cell r="AM1678">
            <v>6308</v>
          </cell>
          <cell r="AN1678">
            <v>12616</v>
          </cell>
          <cell r="AO1678">
            <v>4205</v>
          </cell>
          <cell r="AP1678">
            <v>4205</v>
          </cell>
        </row>
        <row r="1679">
          <cell r="D1679" t="str">
            <v>PAKD Dịch vụ HTKT cho các Hệ thống đã kinh doanh tại các thị trường năm 2024  (VTNet_Sản phẩm MSC)</v>
          </cell>
          <cell r="G1679" t="str">
            <v>SXKD</v>
          </cell>
          <cell r="I1679" t="str">
            <v>DVSBH</v>
          </cell>
          <cell r="AC1679">
            <v>930000</v>
          </cell>
          <cell r="AD1679">
            <v>27734076</v>
          </cell>
          <cell r="AE1679">
            <v>2133144</v>
          </cell>
          <cell r="AF1679">
            <v>2044835</v>
          </cell>
          <cell r="AG1679">
            <v>0</v>
          </cell>
          <cell r="AH1679">
            <v>0</v>
          </cell>
          <cell r="AI1679">
            <v>0</v>
          </cell>
          <cell r="AJ1679">
            <v>0</v>
          </cell>
          <cell r="AK1679">
            <v>67283</v>
          </cell>
          <cell r="AL1679">
            <v>147183</v>
          </cell>
          <cell r="AM1679">
            <v>12616</v>
          </cell>
          <cell r="AN1679">
            <v>25231</v>
          </cell>
          <cell r="AO1679">
            <v>8410</v>
          </cell>
          <cell r="AP1679">
            <v>8410</v>
          </cell>
        </row>
        <row r="1680">
          <cell r="D1680" t="str">
            <v>PAKD Dịch vụ HTKT cho các Hệ thống đã kinh doanh tại các thị trường năm 2024  (VTNet_Sản phẩm SMSC)</v>
          </cell>
          <cell r="G1680" t="str">
            <v>SXKD</v>
          </cell>
          <cell r="I1680" t="str">
            <v>DVSBH</v>
          </cell>
          <cell r="AC1680">
            <v>1047000</v>
          </cell>
          <cell r="AD1680">
            <v>24112143</v>
          </cell>
          <cell r="AE1680">
            <v>913639</v>
          </cell>
          <cell r="AF1680">
            <v>873787</v>
          </cell>
          <cell r="AG1680">
            <v>0</v>
          </cell>
          <cell r="AH1680">
            <v>0</v>
          </cell>
          <cell r="AI1680">
            <v>0</v>
          </cell>
          <cell r="AJ1680">
            <v>0</v>
          </cell>
          <cell r="AK1680">
            <v>30364</v>
          </cell>
          <cell r="AL1680">
            <v>66421</v>
          </cell>
          <cell r="AM1680">
            <v>5693</v>
          </cell>
          <cell r="AN1680">
            <v>11386</v>
          </cell>
          <cell r="AO1680">
            <v>3795</v>
          </cell>
          <cell r="AP1680">
            <v>3795</v>
          </cell>
        </row>
        <row r="1681">
          <cell r="D1681" t="str">
            <v>PAKD Dịch vụ HTKT cho các Hệ thống đã kinh doanh tại các thị trường năm 2024  (VTNet_Sản phẩm SMSC)</v>
          </cell>
          <cell r="G1681" t="str">
            <v>SXKD</v>
          </cell>
          <cell r="I1681" t="str">
            <v>DVSBH</v>
          </cell>
          <cell r="AC1681">
            <v>1630000</v>
          </cell>
          <cell r="AD1681">
            <v>31910007</v>
          </cell>
          <cell r="AE1681">
            <v>1217699</v>
          </cell>
          <cell r="AF1681">
            <v>1173544</v>
          </cell>
          <cell r="AG1681">
            <v>0</v>
          </cell>
          <cell r="AH1681">
            <v>0</v>
          </cell>
          <cell r="AI1681">
            <v>0</v>
          </cell>
          <cell r="AJ1681">
            <v>0</v>
          </cell>
          <cell r="AK1681">
            <v>33642</v>
          </cell>
          <cell r="AL1681">
            <v>73591</v>
          </cell>
          <cell r="AM1681">
            <v>6308</v>
          </cell>
          <cell r="AN1681">
            <v>12616</v>
          </cell>
          <cell r="AO1681">
            <v>4205</v>
          </cell>
          <cell r="AP1681">
            <v>4205</v>
          </cell>
        </row>
        <row r="1682">
          <cell r="D1682" t="str">
            <v>PAKD Dịch vụ HTKT cho các Hệ thống đã kinh doanh tại các thị trường năm 2024  (VTNet_Sản phẩm SMSC)</v>
          </cell>
          <cell r="G1682" t="str">
            <v>SXKD</v>
          </cell>
          <cell r="I1682" t="str">
            <v>DVSBH</v>
          </cell>
          <cell r="AC1682">
            <v>1030000</v>
          </cell>
          <cell r="AD1682">
            <v>51950803</v>
          </cell>
          <cell r="AE1682">
            <v>2092827</v>
          </cell>
          <cell r="AF1682">
            <v>2038709</v>
          </cell>
          <cell r="AG1682">
            <v>0</v>
          </cell>
          <cell r="AH1682">
            <v>0</v>
          </cell>
          <cell r="AI1682">
            <v>0</v>
          </cell>
          <cell r="AJ1682">
            <v>0</v>
          </cell>
          <cell r="AK1682">
            <v>41233</v>
          </cell>
          <cell r="AL1682">
            <v>90197</v>
          </cell>
          <cell r="AM1682">
            <v>7731</v>
          </cell>
          <cell r="AN1682">
            <v>15462</v>
          </cell>
          <cell r="AO1682">
            <v>5154</v>
          </cell>
          <cell r="AP1682">
            <v>5154</v>
          </cell>
        </row>
        <row r="1683">
          <cell r="D1683" t="str">
            <v>PAKD Dịch vụ HTKT cho các Hệ thống đã kinh doanh tại các thị trường năm 2024  (VTNet_Sản phẩm SMSC)</v>
          </cell>
          <cell r="G1683" t="str">
            <v>SXKD</v>
          </cell>
          <cell r="I1683" t="str">
            <v>DVSBH</v>
          </cell>
          <cell r="AC1683">
            <v>930000</v>
          </cell>
          <cell r="AD1683">
            <v>24838889</v>
          </cell>
          <cell r="AE1683">
            <v>950323</v>
          </cell>
          <cell r="AF1683">
            <v>910471</v>
          </cell>
          <cell r="AG1683">
            <v>0</v>
          </cell>
          <cell r="AH1683">
            <v>0</v>
          </cell>
          <cell r="AI1683">
            <v>0</v>
          </cell>
          <cell r="AJ1683">
            <v>0</v>
          </cell>
          <cell r="AK1683">
            <v>30364</v>
          </cell>
          <cell r="AL1683">
            <v>66421</v>
          </cell>
          <cell r="AM1683">
            <v>5693</v>
          </cell>
          <cell r="AN1683">
            <v>11386</v>
          </cell>
          <cell r="AO1683">
            <v>3795</v>
          </cell>
          <cell r="AP1683">
            <v>3795</v>
          </cell>
        </row>
        <row r="1684">
          <cell r="D1684" t="str">
            <v>PAKD Dịch vụ Hỗ trợ kỹ thuật cho các Hệ thống đã kinh doanh tại các thị trường năm 2024  (VTNet_Sản phẩm CRBT)</v>
          </cell>
          <cell r="G1684" t="str">
            <v>SXKD</v>
          </cell>
          <cell r="I1684" t="str">
            <v>DVSBH</v>
          </cell>
          <cell r="AC1684">
            <v>1730000</v>
          </cell>
          <cell r="AD1684">
            <v>78158956</v>
          </cell>
          <cell r="AE1684">
            <v>3180057</v>
          </cell>
          <cell r="AF1684">
            <v>3121415</v>
          </cell>
          <cell r="AG1684">
            <v>0</v>
          </cell>
          <cell r="AH1684">
            <v>0</v>
          </cell>
          <cell r="AI1684">
            <v>0</v>
          </cell>
          <cell r="AJ1684">
            <v>0</v>
          </cell>
          <cell r="AK1684">
            <v>58642</v>
          </cell>
          <cell r="AL1684">
            <v>128280</v>
          </cell>
          <cell r="AM1684">
            <v>0</v>
          </cell>
          <cell r="AN1684">
            <v>0</v>
          </cell>
          <cell r="AO1684">
            <v>0</v>
          </cell>
          <cell r="AP1684">
            <v>0</v>
          </cell>
        </row>
        <row r="1685">
          <cell r="D1685" t="str">
            <v>PAKD Dịch vụ Hỗ trợ kỹ thuật cho các Hệ thống đã kinh doanh tại các thị trường năm 2024  (VTNet_Sản phẩm CRBT)</v>
          </cell>
          <cell r="G1685" t="str">
            <v>SXKD</v>
          </cell>
          <cell r="I1685" t="str">
            <v>DVSBH</v>
          </cell>
          <cell r="AC1685">
            <v>1330000</v>
          </cell>
          <cell r="AD1685">
            <v>46123738</v>
          </cell>
          <cell r="AE1685">
            <v>1832514</v>
          </cell>
          <cell r="AF1685">
            <v>1781114</v>
          </cell>
          <cell r="AG1685">
            <v>0</v>
          </cell>
          <cell r="AH1685">
            <v>0</v>
          </cell>
          <cell r="AI1685">
            <v>0</v>
          </cell>
          <cell r="AJ1685">
            <v>0</v>
          </cell>
          <cell r="AK1685">
            <v>39162</v>
          </cell>
          <cell r="AL1685">
            <v>85668</v>
          </cell>
          <cell r="AM1685">
            <v>7343</v>
          </cell>
          <cell r="AN1685">
            <v>14686</v>
          </cell>
          <cell r="AO1685">
            <v>4895</v>
          </cell>
          <cell r="AP1685">
            <v>4895</v>
          </cell>
        </row>
        <row r="1686">
          <cell r="D1686" t="str">
            <v>PAKD Dịch vụ Hỗ trợ kỹ thuật cho các Hệ thống đã kinh doanh tại các thị trường năm 2024  (VTNet_Sản phẩm CRBT)</v>
          </cell>
          <cell r="G1686" t="str">
            <v>SXKD</v>
          </cell>
          <cell r="I1686" t="str">
            <v>DVSBH</v>
          </cell>
          <cell r="AC1686">
            <v>1398000</v>
          </cell>
          <cell r="AD1686">
            <v>24852912</v>
          </cell>
          <cell r="AE1686">
            <v>930585</v>
          </cell>
          <cell r="AF1686">
            <v>890733</v>
          </cell>
          <cell r="AG1686">
            <v>0</v>
          </cell>
          <cell r="AH1686">
            <v>0</v>
          </cell>
          <cell r="AI1686">
            <v>0</v>
          </cell>
          <cell r="AJ1686">
            <v>0</v>
          </cell>
          <cell r="AK1686">
            <v>30364</v>
          </cell>
          <cell r="AL1686">
            <v>66421</v>
          </cell>
          <cell r="AM1686">
            <v>5693</v>
          </cell>
          <cell r="AN1686">
            <v>11386</v>
          </cell>
          <cell r="AO1686">
            <v>3795</v>
          </cell>
          <cell r="AP1686">
            <v>3795</v>
          </cell>
        </row>
        <row r="1687">
          <cell r="D1687" t="str">
            <v>PAKD Dịch vụ Hỗ trợ kỹ thuật cho các Hệ thống đã kinh doanh tại các thị trường năm 2024  (VTNet_Sản phẩm CRBT)</v>
          </cell>
          <cell r="G1687" t="str">
            <v>SXKD</v>
          </cell>
          <cell r="I1687" t="str">
            <v>DVSBH</v>
          </cell>
          <cell r="AC1687">
            <v>1930000</v>
          </cell>
          <cell r="AD1687">
            <v>28992970</v>
          </cell>
          <cell r="AE1687">
            <v>1077828</v>
          </cell>
          <cell r="AF1687">
            <v>1033673</v>
          </cell>
          <cell r="AG1687">
            <v>0</v>
          </cell>
          <cell r="AH1687">
            <v>0</v>
          </cell>
          <cell r="AI1687">
            <v>0</v>
          </cell>
          <cell r="AJ1687">
            <v>0</v>
          </cell>
          <cell r="AK1687">
            <v>33642</v>
          </cell>
          <cell r="AL1687">
            <v>73591</v>
          </cell>
          <cell r="AM1687">
            <v>6308</v>
          </cell>
          <cell r="AN1687">
            <v>12616</v>
          </cell>
          <cell r="AO1687">
            <v>4205</v>
          </cell>
          <cell r="AP1687">
            <v>4205</v>
          </cell>
        </row>
        <row r="1688">
          <cell r="D1688" t="str">
            <v>PAKD Dịch vụ HTKT cho các Hệ thống đã kinh doanh tại các thị trường năm 2024  (VTNet_Sản phẩm EPC)</v>
          </cell>
          <cell r="G1688" t="str">
            <v>SXKD</v>
          </cell>
          <cell r="I1688" t="str">
            <v>DVSBH</v>
          </cell>
          <cell r="AC1688">
            <v>1730000</v>
          </cell>
          <cell r="AD1688">
            <v>78158956</v>
          </cell>
          <cell r="AE1688">
            <v>3180057</v>
          </cell>
          <cell r="AF1688">
            <v>3121415</v>
          </cell>
          <cell r="AG1688">
            <v>0</v>
          </cell>
          <cell r="AH1688">
            <v>0</v>
          </cell>
          <cell r="AI1688">
            <v>0</v>
          </cell>
          <cell r="AJ1688">
            <v>0</v>
          </cell>
          <cell r="AK1688">
            <v>58642</v>
          </cell>
          <cell r="AL1688">
            <v>128280</v>
          </cell>
          <cell r="AM1688">
            <v>0</v>
          </cell>
          <cell r="AN1688">
            <v>0</v>
          </cell>
          <cell r="AO1688">
            <v>0</v>
          </cell>
          <cell r="AP1688">
            <v>0</v>
          </cell>
        </row>
        <row r="1689">
          <cell r="D1689" t="str">
            <v>PAKD Dịch vụ HTKT cho các Hệ thống đã kinh doanh tại các thị trường năm 2024  (VTNet_Sản phẩm EPC)</v>
          </cell>
          <cell r="G1689" t="str">
            <v>SXKD</v>
          </cell>
          <cell r="I1689" t="str">
            <v>DVSBH</v>
          </cell>
          <cell r="AC1689">
            <v>1047000</v>
          </cell>
          <cell r="AD1689">
            <v>24112143</v>
          </cell>
          <cell r="AE1689">
            <v>913639</v>
          </cell>
          <cell r="AF1689">
            <v>873787</v>
          </cell>
          <cell r="AG1689">
            <v>0</v>
          </cell>
          <cell r="AH1689">
            <v>0</v>
          </cell>
          <cell r="AI1689">
            <v>0</v>
          </cell>
          <cell r="AJ1689">
            <v>0</v>
          </cell>
          <cell r="AK1689">
            <v>30364</v>
          </cell>
          <cell r="AL1689">
            <v>66421</v>
          </cell>
          <cell r="AM1689">
            <v>5693</v>
          </cell>
          <cell r="AN1689">
            <v>11386</v>
          </cell>
          <cell r="AO1689">
            <v>3795</v>
          </cell>
          <cell r="AP1689">
            <v>3795</v>
          </cell>
        </row>
        <row r="1690">
          <cell r="D1690" t="str">
            <v>PAKD Dịch vụ HTKT cho các Hệ thống đã kinh doanh tại các thị trường năm 2024  (VTNet_Sản phẩm EPC)</v>
          </cell>
          <cell r="G1690" t="str">
            <v>SXKD</v>
          </cell>
          <cell r="I1690" t="str">
            <v>DVSBH</v>
          </cell>
          <cell r="AC1690">
            <v>1047000</v>
          </cell>
          <cell r="AD1690">
            <v>18225212</v>
          </cell>
          <cell r="AE1690">
            <v>666300</v>
          </cell>
          <cell r="AF1690">
            <v>630297</v>
          </cell>
          <cell r="AG1690">
            <v>0</v>
          </cell>
          <cell r="AH1690">
            <v>0</v>
          </cell>
          <cell r="AI1690">
            <v>0</v>
          </cell>
          <cell r="AJ1690">
            <v>0</v>
          </cell>
          <cell r="AK1690">
            <v>27431</v>
          </cell>
          <cell r="AL1690">
            <v>60005</v>
          </cell>
          <cell r="AM1690">
            <v>5143</v>
          </cell>
          <cell r="AN1690">
            <v>10287</v>
          </cell>
          <cell r="AO1690">
            <v>3429</v>
          </cell>
          <cell r="AP1690">
            <v>3429</v>
          </cell>
        </row>
        <row r="1691">
          <cell r="D1691" t="str">
            <v>PAKD Dịch vụ HTKT cho các Hệ thống đã kinh doanh tại các thị trường năm 2024  (VTNet_Sản phẩm EPC)</v>
          </cell>
          <cell r="G1691" t="str">
            <v>SXKD</v>
          </cell>
          <cell r="I1691" t="str">
            <v>DVSBH</v>
          </cell>
          <cell r="AC1691">
            <v>1030000</v>
          </cell>
          <cell r="AD1691">
            <v>51950803</v>
          </cell>
          <cell r="AE1691">
            <v>4185654</v>
          </cell>
          <cell r="AF1691">
            <v>4077419</v>
          </cell>
          <cell r="AG1691">
            <v>0</v>
          </cell>
          <cell r="AH1691">
            <v>0</v>
          </cell>
          <cell r="AI1691">
            <v>0</v>
          </cell>
          <cell r="AJ1691">
            <v>0</v>
          </cell>
          <cell r="AK1691">
            <v>82465</v>
          </cell>
          <cell r="AL1691">
            <v>180393</v>
          </cell>
          <cell r="AM1691">
            <v>15462</v>
          </cell>
          <cell r="AN1691">
            <v>30925</v>
          </cell>
          <cell r="AO1691">
            <v>10308</v>
          </cell>
          <cell r="AP1691">
            <v>10308</v>
          </cell>
        </row>
        <row r="1692">
          <cell r="D1692" t="str">
            <v>PAKD Dịch vụ HTKT cho các Hệ thống đã kinh doanh tại các thị trường năm 2024  (VTNet_Sản phẩm IMS)</v>
          </cell>
          <cell r="G1692" t="str">
            <v>SXKD</v>
          </cell>
          <cell r="I1692" t="str">
            <v>DVSBH</v>
          </cell>
          <cell r="AC1692">
            <v>1730000</v>
          </cell>
          <cell r="AD1692">
            <v>78158956</v>
          </cell>
          <cell r="AE1692">
            <v>3180057</v>
          </cell>
          <cell r="AF1692">
            <v>3121415</v>
          </cell>
          <cell r="AG1692">
            <v>0</v>
          </cell>
          <cell r="AH1692">
            <v>0</v>
          </cell>
          <cell r="AI1692">
            <v>0</v>
          </cell>
          <cell r="AJ1692">
            <v>0</v>
          </cell>
          <cell r="AK1692">
            <v>58642</v>
          </cell>
          <cell r="AL1692">
            <v>128280</v>
          </cell>
          <cell r="AM1692">
            <v>0</v>
          </cell>
          <cell r="AN1692">
            <v>0</v>
          </cell>
          <cell r="AO1692">
            <v>0</v>
          </cell>
          <cell r="AP1692">
            <v>0</v>
          </cell>
        </row>
        <row r="1693">
          <cell r="D1693" t="str">
            <v>PAKD Dịch vụ HTKT cho các Hệ thống đã kinh doanh tại các thị trường năm 2024  (VTNet_Sản phẩm IMS)</v>
          </cell>
          <cell r="G1693" t="str">
            <v>SXKD</v>
          </cell>
          <cell r="I1693" t="str">
            <v>DVSBH</v>
          </cell>
          <cell r="AC1693">
            <v>1047000</v>
          </cell>
          <cell r="AD1693">
            <v>18225212</v>
          </cell>
          <cell r="AE1693">
            <v>666300</v>
          </cell>
          <cell r="AF1693">
            <v>630297</v>
          </cell>
          <cell r="AG1693">
            <v>0</v>
          </cell>
          <cell r="AH1693">
            <v>0</v>
          </cell>
          <cell r="AI1693">
            <v>0</v>
          </cell>
          <cell r="AJ1693">
            <v>0</v>
          </cell>
          <cell r="AK1693">
            <v>27431</v>
          </cell>
          <cell r="AL1693">
            <v>60005</v>
          </cell>
          <cell r="AM1693">
            <v>5143</v>
          </cell>
          <cell r="AN1693">
            <v>10287</v>
          </cell>
          <cell r="AO1693">
            <v>3429</v>
          </cell>
          <cell r="AP1693">
            <v>3429</v>
          </cell>
        </row>
        <row r="1694">
          <cell r="D1694" t="str">
            <v>PAKD Dịch vụ HTKT cho các Hệ thống đã kinh doanh tại các thị trường năm 2024  (VTNet_Sản phẩm IMS)</v>
          </cell>
          <cell r="G1694" t="str">
            <v>SXKD</v>
          </cell>
          <cell r="I1694" t="str">
            <v>DVSBH</v>
          </cell>
          <cell r="AC1694">
            <v>1030000</v>
          </cell>
          <cell r="AD1694">
            <v>51950803</v>
          </cell>
          <cell r="AE1694">
            <v>4185654</v>
          </cell>
          <cell r="AF1694">
            <v>4077419</v>
          </cell>
          <cell r="AG1694">
            <v>0</v>
          </cell>
          <cell r="AH1694">
            <v>0</v>
          </cell>
          <cell r="AI1694">
            <v>0</v>
          </cell>
          <cell r="AJ1694">
            <v>0</v>
          </cell>
          <cell r="AK1694">
            <v>82465</v>
          </cell>
          <cell r="AL1694">
            <v>180393</v>
          </cell>
          <cell r="AM1694">
            <v>15462</v>
          </cell>
          <cell r="AN1694">
            <v>30925</v>
          </cell>
          <cell r="AO1694">
            <v>10308</v>
          </cell>
          <cell r="AP1694">
            <v>10308</v>
          </cell>
        </row>
        <row r="1695">
          <cell r="D1695" t="str">
            <v>PAKD Dịch vụ HTKT cho các Hệ thống đã kinh doanh tại các thị trường năm 2024  (VTNet_Sản phẩm IMS)</v>
          </cell>
          <cell r="G1695" t="str">
            <v>SXKD</v>
          </cell>
          <cell r="I1695" t="str">
            <v>DVSBH</v>
          </cell>
          <cell r="AC1695">
            <v>1930000</v>
          </cell>
          <cell r="AD1695">
            <v>28992970</v>
          </cell>
          <cell r="AE1695">
            <v>3233485</v>
          </cell>
          <cell r="AF1695">
            <v>3101021</v>
          </cell>
          <cell r="AG1695">
            <v>0</v>
          </cell>
          <cell r="AH1695">
            <v>0</v>
          </cell>
          <cell r="AI1695">
            <v>0</v>
          </cell>
          <cell r="AJ1695">
            <v>0</v>
          </cell>
          <cell r="AK1695">
            <v>100925</v>
          </cell>
          <cell r="AL1695">
            <v>220774</v>
          </cell>
          <cell r="AM1695">
            <v>18923</v>
          </cell>
          <cell r="AN1695">
            <v>37847</v>
          </cell>
          <cell r="AO1695">
            <v>12616</v>
          </cell>
          <cell r="AP1695">
            <v>12616</v>
          </cell>
        </row>
        <row r="1696">
          <cell r="D1696" t="str">
            <v>PAKD Dịch vụ HTKT cho các Hệ thống đã kinh doanh tại các thị trường năm 2024 (Metfone_Sản phẩm OCS)</v>
          </cell>
          <cell r="G1696" t="str">
            <v>SXKD</v>
          </cell>
          <cell r="I1696" t="str">
            <v>DVSBH</v>
          </cell>
          <cell r="AC1696">
            <v>1730000</v>
          </cell>
          <cell r="AD1696">
            <v>78158956</v>
          </cell>
          <cell r="AE1696">
            <v>3180057</v>
          </cell>
          <cell r="AF1696">
            <v>3121415</v>
          </cell>
          <cell r="AG1696">
            <v>0</v>
          </cell>
          <cell r="AH1696">
            <v>0</v>
          </cell>
          <cell r="AI1696">
            <v>0</v>
          </cell>
          <cell r="AJ1696">
            <v>0</v>
          </cell>
          <cell r="AK1696">
            <v>58642</v>
          </cell>
          <cell r="AL1696">
            <v>128280</v>
          </cell>
          <cell r="AM1696">
            <v>0</v>
          </cell>
          <cell r="AN1696">
            <v>0</v>
          </cell>
          <cell r="AO1696">
            <v>0</v>
          </cell>
          <cell r="AP1696">
            <v>0</v>
          </cell>
        </row>
        <row r="1697">
          <cell r="D1697" t="str">
            <v>PAKD Dịch vụ HTKT cho các Hệ thống đã kinh doanh tại các thị trường năm 2024 (Metfone_Sản phẩm OCS)</v>
          </cell>
          <cell r="G1697" t="str">
            <v>SXKD</v>
          </cell>
          <cell r="I1697" t="str">
            <v>DVSBH</v>
          </cell>
          <cell r="AC1697">
            <v>1047000</v>
          </cell>
          <cell r="AD1697">
            <v>24112143</v>
          </cell>
          <cell r="AE1697">
            <v>913639</v>
          </cell>
          <cell r="AF1697">
            <v>873787</v>
          </cell>
          <cell r="AG1697">
            <v>0</v>
          </cell>
          <cell r="AH1697">
            <v>0</v>
          </cell>
          <cell r="AI1697">
            <v>0</v>
          </cell>
          <cell r="AJ1697">
            <v>0</v>
          </cell>
          <cell r="AK1697">
            <v>30364</v>
          </cell>
          <cell r="AL1697">
            <v>66421</v>
          </cell>
          <cell r="AM1697">
            <v>5693</v>
          </cell>
          <cell r="AN1697">
            <v>11386</v>
          </cell>
          <cell r="AO1697">
            <v>3795</v>
          </cell>
          <cell r="AP1697">
            <v>3795</v>
          </cell>
        </row>
        <row r="1698">
          <cell r="D1698" t="str">
            <v>PAKD Dịch vụ HTKT cho các Hệ thống đã kinh doanh tại các thị trường năm 2024 (Metfone_Sản phẩm OCS)</v>
          </cell>
          <cell r="G1698" t="str">
            <v>SXKD</v>
          </cell>
          <cell r="I1698" t="str">
            <v>DVSBH</v>
          </cell>
          <cell r="AC1698">
            <v>1030000</v>
          </cell>
          <cell r="AD1698">
            <v>36335808</v>
          </cell>
          <cell r="AE1698">
            <v>1425267</v>
          </cell>
          <cell r="AF1698">
            <v>1378920</v>
          </cell>
          <cell r="AG1698">
            <v>0</v>
          </cell>
          <cell r="AH1698">
            <v>0</v>
          </cell>
          <cell r="AI1698">
            <v>0</v>
          </cell>
          <cell r="AJ1698">
            <v>0</v>
          </cell>
          <cell r="AK1698">
            <v>39029</v>
          </cell>
          <cell r="AL1698">
            <v>85375</v>
          </cell>
          <cell r="AM1698">
            <v>7318</v>
          </cell>
          <cell r="AN1698">
            <v>14636</v>
          </cell>
          <cell r="AO1698">
            <v>0</v>
          </cell>
          <cell r="AP1698">
            <v>0</v>
          </cell>
        </row>
        <row r="1699">
          <cell r="D1699" t="str">
            <v>PAKD Dịch vụ HTKT cho các Hệ thống đã kinh doanh tại các thị trường năm 2024 (Metfone_Sản phẩm OCS)</v>
          </cell>
          <cell r="G1699" t="str">
            <v>SXKD</v>
          </cell>
          <cell r="I1699" t="str">
            <v>DVSBH</v>
          </cell>
          <cell r="AC1699">
            <v>1330000</v>
          </cell>
          <cell r="AD1699">
            <v>46123738</v>
          </cell>
          <cell r="AE1699">
            <v>1832514</v>
          </cell>
          <cell r="AF1699">
            <v>1781114</v>
          </cell>
          <cell r="AG1699">
            <v>0</v>
          </cell>
          <cell r="AH1699">
            <v>0</v>
          </cell>
          <cell r="AI1699">
            <v>0</v>
          </cell>
          <cell r="AJ1699">
            <v>0</v>
          </cell>
          <cell r="AK1699">
            <v>39162</v>
          </cell>
          <cell r="AL1699">
            <v>85668</v>
          </cell>
          <cell r="AM1699">
            <v>7343</v>
          </cell>
          <cell r="AN1699">
            <v>14686</v>
          </cell>
          <cell r="AO1699">
            <v>4895</v>
          </cell>
          <cell r="AP1699">
            <v>4895</v>
          </cell>
        </row>
        <row r="1700">
          <cell r="D1700" t="str">
            <v>PAKD Dịch vụ HTKT cho các Hệ thống đã kinh doanh tại các thị trường năm 2024 (Metfone_Sản phẩm OCS)</v>
          </cell>
          <cell r="G1700" t="str">
            <v>SXKD</v>
          </cell>
          <cell r="I1700" t="str">
            <v>DVSBH</v>
          </cell>
          <cell r="AC1700">
            <v>1398000</v>
          </cell>
          <cell r="AD1700">
            <v>24852912</v>
          </cell>
          <cell r="AE1700">
            <v>930585</v>
          </cell>
          <cell r="AF1700">
            <v>890733</v>
          </cell>
          <cell r="AG1700">
            <v>0</v>
          </cell>
          <cell r="AH1700">
            <v>0</v>
          </cell>
          <cell r="AI1700">
            <v>0</v>
          </cell>
          <cell r="AJ1700">
            <v>0</v>
          </cell>
          <cell r="AK1700">
            <v>30364</v>
          </cell>
          <cell r="AL1700">
            <v>66421</v>
          </cell>
          <cell r="AM1700">
            <v>5693</v>
          </cell>
          <cell r="AN1700">
            <v>11386</v>
          </cell>
          <cell r="AO1700">
            <v>3795</v>
          </cell>
          <cell r="AP1700">
            <v>3795</v>
          </cell>
        </row>
        <row r="1701">
          <cell r="D1701" t="str">
            <v>PAKD Dịch vụ HTKT cho các Hệ thống đã kinh doanh tại các thị trường năm 2024 (Metfone_Sản phẩm SMSC)</v>
          </cell>
          <cell r="G1701" t="str">
            <v>SXKD</v>
          </cell>
          <cell r="I1701" t="str">
            <v>DVSBH</v>
          </cell>
          <cell r="AC1701">
            <v>930000</v>
          </cell>
          <cell r="AD1701">
            <v>24838889</v>
          </cell>
          <cell r="AE1701">
            <v>950323</v>
          </cell>
          <cell r="AF1701">
            <v>910471</v>
          </cell>
          <cell r="AG1701">
            <v>0</v>
          </cell>
          <cell r="AH1701">
            <v>0</v>
          </cell>
          <cell r="AI1701">
            <v>0</v>
          </cell>
          <cell r="AJ1701">
            <v>0</v>
          </cell>
          <cell r="AK1701">
            <v>30364</v>
          </cell>
          <cell r="AL1701">
            <v>66421</v>
          </cell>
          <cell r="AM1701">
            <v>5693</v>
          </cell>
          <cell r="AN1701">
            <v>11386</v>
          </cell>
          <cell r="AO1701">
            <v>3795</v>
          </cell>
          <cell r="AP1701">
            <v>3795</v>
          </cell>
        </row>
        <row r="1702">
          <cell r="D1702" t="str">
            <v>PAKD Dịch vụ HTKT cho các Hệ thống đã kinh doanh tại các thị trường năm 2024 (Lumitel_Sản phẩm OCS)</v>
          </cell>
          <cell r="G1702" t="str">
            <v>SXKD</v>
          </cell>
          <cell r="I1702" t="str">
            <v>DVSBH</v>
          </cell>
          <cell r="AC1702">
            <v>1130000</v>
          </cell>
          <cell r="AD1702">
            <v>52465939</v>
          </cell>
          <cell r="AE1702">
            <v>2110876</v>
          </cell>
          <cell r="AF1702">
            <v>2056758</v>
          </cell>
          <cell r="AG1702">
            <v>0</v>
          </cell>
          <cell r="AH1702">
            <v>0</v>
          </cell>
          <cell r="AI1702">
            <v>0</v>
          </cell>
          <cell r="AJ1702">
            <v>0</v>
          </cell>
          <cell r="AK1702">
            <v>41233</v>
          </cell>
          <cell r="AL1702">
            <v>90197</v>
          </cell>
          <cell r="AM1702">
            <v>7731</v>
          </cell>
          <cell r="AN1702">
            <v>15462</v>
          </cell>
          <cell r="AO1702">
            <v>5154</v>
          </cell>
          <cell r="AP1702">
            <v>5154</v>
          </cell>
        </row>
        <row r="1703">
          <cell r="D1703" t="str">
            <v>PAKD Dịch vụ HTKT cho các Hệ thống đã kinh doanh tại các thị trường năm 2024 (Lumitel_Sản phẩm OCS)</v>
          </cell>
          <cell r="G1703" t="str">
            <v>SXKD</v>
          </cell>
          <cell r="I1703" t="str">
            <v>DVSBH</v>
          </cell>
          <cell r="AC1703">
            <v>1398000</v>
          </cell>
          <cell r="AD1703">
            <v>24852912</v>
          </cell>
          <cell r="AE1703">
            <v>2791755</v>
          </cell>
          <cell r="AF1703">
            <v>2672198</v>
          </cell>
          <cell r="AG1703">
            <v>0</v>
          </cell>
          <cell r="AH1703">
            <v>0</v>
          </cell>
          <cell r="AI1703">
            <v>0</v>
          </cell>
          <cell r="AJ1703">
            <v>0</v>
          </cell>
          <cell r="AK1703">
            <v>91091</v>
          </cell>
          <cell r="AL1703">
            <v>199263</v>
          </cell>
          <cell r="AM1703">
            <v>17080</v>
          </cell>
          <cell r="AN1703">
            <v>34159</v>
          </cell>
          <cell r="AO1703">
            <v>11386</v>
          </cell>
          <cell r="AP1703">
            <v>11386</v>
          </cell>
        </row>
        <row r="1704">
          <cell r="D1704" t="str">
            <v>PAKD Dịch vụ HTKT cho các Hệ thống đã kinh doanh tại các thị trường năm 2024 (Bitel_Sản phẩm OCS)</v>
          </cell>
          <cell r="G1704" t="str">
            <v>SXKD</v>
          </cell>
          <cell r="I1704" t="str">
            <v>DVSBH</v>
          </cell>
          <cell r="AC1704">
            <v>1130000</v>
          </cell>
          <cell r="AD1704">
            <v>52465939</v>
          </cell>
          <cell r="AE1704">
            <v>2110876</v>
          </cell>
          <cell r="AF1704">
            <v>2056758</v>
          </cell>
          <cell r="AG1704">
            <v>0</v>
          </cell>
          <cell r="AH1704">
            <v>0</v>
          </cell>
          <cell r="AI1704">
            <v>0</v>
          </cell>
          <cell r="AJ1704">
            <v>0</v>
          </cell>
          <cell r="AK1704">
            <v>41233</v>
          </cell>
          <cell r="AL1704">
            <v>90197</v>
          </cell>
          <cell r="AM1704">
            <v>7731</v>
          </cell>
          <cell r="AN1704">
            <v>15462</v>
          </cell>
          <cell r="AO1704">
            <v>5154</v>
          </cell>
          <cell r="AP1704">
            <v>5154</v>
          </cell>
        </row>
        <row r="1705">
          <cell r="D1705" t="str">
            <v>PAKD Dịch vụ HTKT cho các Hệ thống đã kinh doanh tại các thị trường năm 2024 (Bitel_Sản phẩm OCS)</v>
          </cell>
          <cell r="G1705" t="str">
            <v>SXKD</v>
          </cell>
          <cell r="I1705" t="str">
            <v>DVSBH</v>
          </cell>
          <cell r="AC1705">
            <v>1398000</v>
          </cell>
          <cell r="AD1705">
            <v>24852912</v>
          </cell>
          <cell r="AE1705">
            <v>2791755</v>
          </cell>
          <cell r="AF1705">
            <v>2672198</v>
          </cell>
          <cell r="AG1705">
            <v>0</v>
          </cell>
          <cell r="AH1705">
            <v>0</v>
          </cell>
          <cell r="AI1705">
            <v>0</v>
          </cell>
          <cell r="AJ1705">
            <v>0</v>
          </cell>
          <cell r="AK1705">
            <v>91091</v>
          </cell>
          <cell r="AL1705">
            <v>199263</v>
          </cell>
          <cell r="AM1705">
            <v>17080</v>
          </cell>
          <cell r="AN1705">
            <v>34159</v>
          </cell>
          <cell r="AO1705">
            <v>11386</v>
          </cell>
          <cell r="AP1705">
            <v>11386</v>
          </cell>
        </row>
        <row r="1706">
          <cell r="D1706" t="str">
            <v>PAKD Dịch vụ HTKT cho các Hệ thống đã kinh doanh tại các thị trường năm 2024 (Natcom_Sản phẩm vOCS 3.0)</v>
          </cell>
          <cell r="G1706" t="str">
            <v>SXKD</v>
          </cell>
          <cell r="I1706" t="str">
            <v>DVSBH</v>
          </cell>
          <cell r="AC1706">
            <v>1730000</v>
          </cell>
          <cell r="AD1706">
            <v>78158956</v>
          </cell>
          <cell r="AE1706">
            <v>3180057</v>
          </cell>
          <cell r="AF1706">
            <v>3121415</v>
          </cell>
          <cell r="AG1706">
            <v>0</v>
          </cell>
          <cell r="AH1706">
            <v>0</v>
          </cell>
          <cell r="AI1706">
            <v>0</v>
          </cell>
          <cell r="AJ1706">
            <v>0</v>
          </cell>
          <cell r="AK1706">
            <v>58642</v>
          </cell>
          <cell r="AL1706">
            <v>128280</v>
          </cell>
          <cell r="AM1706">
            <v>0</v>
          </cell>
          <cell r="AN1706">
            <v>0</v>
          </cell>
          <cell r="AO1706">
            <v>0</v>
          </cell>
          <cell r="AP1706">
            <v>0</v>
          </cell>
        </row>
        <row r="1707">
          <cell r="D1707" t="str">
            <v>PAKD Dịch vụ HTKT cho các Hệ thống đã kinh doanh tại các thị trường năm 2024 (Natcom_Sản phẩm vOCS 3.0)</v>
          </cell>
          <cell r="G1707" t="str">
            <v>SXKD</v>
          </cell>
          <cell r="I1707" t="str">
            <v>DVSBH</v>
          </cell>
          <cell r="AC1707">
            <v>1047000</v>
          </cell>
          <cell r="AD1707">
            <v>24112143</v>
          </cell>
          <cell r="AE1707">
            <v>913639</v>
          </cell>
          <cell r="AF1707">
            <v>873787</v>
          </cell>
          <cell r="AG1707">
            <v>0</v>
          </cell>
          <cell r="AH1707">
            <v>0</v>
          </cell>
          <cell r="AI1707">
            <v>0</v>
          </cell>
          <cell r="AJ1707">
            <v>0</v>
          </cell>
          <cell r="AK1707">
            <v>30364</v>
          </cell>
          <cell r="AL1707">
            <v>66421</v>
          </cell>
          <cell r="AM1707">
            <v>5693</v>
          </cell>
          <cell r="AN1707">
            <v>11386</v>
          </cell>
          <cell r="AO1707">
            <v>3795</v>
          </cell>
          <cell r="AP1707">
            <v>3795</v>
          </cell>
        </row>
        <row r="1708">
          <cell r="D1708" t="str">
            <v>PAKD Dịch vụ HTKT cho các Hệ thống đã kinh doanh tại các thị trường năm 2024 (Natcom_Sản phẩm vOCS 3.0)</v>
          </cell>
          <cell r="G1708" t="str">
            <v>SXKD</v>
          </cell>
          <cell r="I1708" t="str">
            <v>DVSBH</v>
          </cell>
          <cell r="AC1708">
            <v>1130000</v>
          </cell>
          <cell r="AD1708">
            <v>52465939</v>
          </cell>
          <cell r="AE1708">
            <v>2110876</v>
          </cell>
          <cell r="AF1708">
            <v>2056758</v>
          </cell>
          <cell r="AG1708">
            <v>0</v>
          </cell>
          <cell r="AH1708">
            <v>0</v>
          </cell>
          <cell r="AI1708">
            <v>0</v>
          </cell>
          <cell r="AJ1708">
            <v>0</v>
          </cell>
          <cell r="AK1708">
            <v>41233</v>
          </cell>
          <cell r="AL1708">
            <v>90197</v>
          </cell>
          <cell r="AM1708">
            <v>7731</v>
          </cell>
          <cell r="AN1708">
            <v>15462</v>
          </cell>
          <cell r="AO1708">
            <v>5154</v>
          </cell>
          <cell r="AP1708">
            <v>5154</v>
          </cell>
        </row>
        <row r="1709">
          <cell r="D1709" t="str">
            <v>PAKD Dịch vụ HTKT cho các Hệ thống đã kinh doanh tại các thị trường năm 2024 (Natcom_Sản phẩm vOCS 3.0)</v>
          </cell>
          <cell r="G1709" t="str">
            <v>SXKD</v>
          </cell>
          <cell r="I1709" t="str">
            <v>DVSBH</v>
          </cell>
          <cell r="AC1709">
            <v>1030000</v>
          </cell>
          <cell r="AD1709">
            <v>36335808</v>
          </cell>
          <cell r="AE1709">
            <v>1425267</v>
          </cell>
          <cell r="AF1709">
            <v>1378920</v>
          </cell>
          <cell r="AG1709">
            <v>0</v>
          </cell>
          <cell r="AH1709">
            <v>0</v>
          </cell>
          <cell r="AI1709">
            <v>0</v>
          </cell>
          <cell r="AJ1709">
            <v>0</v>
          </cell>
          <cell r="AK1709">
            <v>39029</v>
          </cell>
          <cell r="AL1709">
            <v>85375</v>
          </cell>
          <cell r="AM1709">
            <v>7318</v>
          </cell>
          <cell r="AN1709">
            <v>14636</v>
          </cell>
          <cell r="AO1709">
            <v>0</v>
          </cell>
          <cell r="AP1709">
            <v>0</v>
          </cell>
        </row>
        <row r="1710">
          <cell r="D1710" t="str">
            <v>PAKD Dịch vụ HTKT cho các Hệ thống đã kinh doanh tại các thị trường năm 2024 (Natcom_Sản phẩm vOCS 3.0)</v>
          </cell>
          <cell r="G1710" t="str">
            <v>SXKD</v>
          </cell>
          <cell r="I1710" t="str">
            <v>DVSBH</v>
          </cell>
          <cell r="AC1710">
            <v>1330000</v>
          </cell>
          <cell r="AD1710">
            <v>46123738</v>
          </cell>
          <cell r="AE1710">
            <v>1832514</v>
          </cell>
          <cell r="AF1710">
            <v>1781114</v>
          </cell>
          <cell r="AG1710">
            <v>0</v>
          </cell>
          <cell r="AH1710">
            <v>0</v>
          </cell>
          <cell r="AI1710">
            <v>0</v>
          </cell>
          <cell r="AJ1710">
            <v>0</v>
          </cell>
          <cell r="AK1710">
            <v>39162</v>
          </cell>
          <cell r="AL1710">
            <v>85668</v>
          </cell>
          <cell r="AM1710">
            <v>7343</v>
          </cell>
          <cell r="AN1710">
            <v>14686</v>
          </cell>
          <cell r="AO1710">
            <v>4895</v>
          </cell>
          <cell r="AP1710">
            <v>4895</v>
          </cell>
        </row>
        <row r="1711">
          <cell r="D1711" t="str">
            <v>Cung cấp dịch vụ giám sát hành trình Stracking</v>
          </cell>
          <cell r="G1711" t="str">
            <v>SXKD</v>
          </cell>
          <cell r="I1711" t="str">
            <v>DVSBH</v>
          </cell>
          <cell r="AC1711">
            <v>930000</v>
          </cell>
          <cell r="AD1711">
            <v>24838889</v>
          </cell>
          <cell r="AE1711">
            <v>1900646</v>
          </cell>
          <cell r="AF1711">
            <v>1820941</v>
          </cell>
          <cell r="AG1711">
            <v>0</v>
          </cell>
          <cell r="AH1711">
            <v>0</v>
          </cell>
          <cell r="AI1711">
            <v>0</v>
          </cell>
          <cell r="AJ1711">
            <v>0</v>
          </cell>
          <cell r="AK1711">
            <v>60728</v>
          </cell>
          <cell r="AL1711">
            <v>132842</v>
          </cell>
          <cell r="AM1711">
            <v>11386</v>
          </cell>
          <cell r="AN1711">
            <v>22773</v>
          </cell>
          <cell r="AO1711">
            <v>7591</v>
          </cell>
          <cell r="AP1711">
            <v>7591</v>
          </cell>
        </row>
        <row r="1712">
          <cell r="D1712" t="str">
            <v>Cung cấp dịch vụ giám sát hành trình Stracking</v>
          </cell>
          <cell r="G1712" t="str">
            <v>SXKD</v>
          </cell>
          <cell r="I1712" t="str">
            <v>DVSBH</v>
          </cell>
          <cell r="AC1712">
            <v>930000</v>
          </cell>
          <cell r="AD1712">
            <v>30741304</v>
          </cell>
          <cell r="AE1712">
            <v>9377590</v>
          </cell>
          <cell r="AF1712">
            <v>8970796</v>
          </cell>
          <cell r="AG1712">
            <v>0</v>
          </cell>
          <cell r="AH1712">
            <v>0</v>
          </cell>
          <cell r="AI1712">
            <v>0</v>
          </cell>
          <cell r="AJ1712">
            <v>0</v>
          </cell>
          <cell r="AK1712">
            <v>406794</v>
          </cell>
          <cell r="AL1712">
            <v>889861</v>
          </cell>
          <cell r="AM1712">
            <v>0</v>
          </cell>
          <cell r="AN1712">
            <v>0</v>
          </cell>
          <cell r="AO1712">
            <v>0</v>
          </cell>
          <cell r="AP1712">
            <v>0</v>
          </cell>
        </row>
        <row r="1713">
          <cell r="D1713" t="str">
            <v>Nghiên cứu, thiết kế, chế tạo khối vô tuyến RRU 5G Macrocell ORAN hỗ trợ lên tới 64 thu phát</v>
          </cell>
          <cell r="G1713" t="str">
            <v>KHCN</v>
          </cell>
          <cell r="I1713" t="str">
            <v>DVSBH</v>
          </cell>
          <cell r="AC1713">
            <v>1030000</v>
          </cell>
          <cell r="AD1713">
            <v>35519651</v>
          </cell>
          <cell r="AE1713">
            <v>6978298</v>
          </cell>
          <cell r="AF1713">
            <v>6746202</v>
          </cell>
          <cell r="AG1713">
            <v>0</v>
          </cell>
          <cell r="AH1713">
            <v>0</v>
          </cell>
          <cell r="AI1713">
            <v>0</v>
          </cell>
          <cell r="AJ1713">
            <v>0</v>
          </cell>
          <cell r="AK1713">
            <v>176835</v>
          </cell>
          <cell r="AL1713">
            <v>386826</v>
          </cell>
          <cell r="AM1713">
            <v>33157</v>
          </cell>
          <cell r="AN1713">
            <v>66313</v>
          </cell>
          <cell r="AO1713">
            <v>22104</v>
          </cell>
          <cell r="AP1713">
            <v>22104</v>
          </cell>
        </row>
        <row r="1714">
          <cell r="D1714" t="str">
            <v>Nghiên cứu, thiết kế, chế tạo khối vô tuyến RRU 5G Macrocell ORAN hỗ trợ lên tới 64 thu phát</v>
          </cell>
          <cell r="G1714" t="str">
            <v>KHCN</v>
          </cell>
          <cell r="I1714" t="str">
            <v>DVSBH</v>
          </cell>
          <cell r="AC1714">
            <v>930000</v>
          </cell>
          <cell r="AD1714">
            <v>14515216</v>
          </cell>
          <cell r="AE1714">
            <v>2608696</v>
          </cell>
          <cell r="AF1714">
            <v>2454720</v>
          </cell>
          <cell r="AG1714">
            <v>0</v>
          </cell>
          <cell r="AH1714">
            <v>0</v>
          </cell>
          <cell r="AI1714">
            <v>0</v>
          </cell>
          <cell r="AJ1714">
            <v>0</v>
          </cell>
          <cell r="AK1714">
            <v>117315</v>
          </cell>
          <cell r="AL1714">
            <v>256626</v>
          </cell>
          <cell r="AM1714">
            <v>21997</v>
          </cell>
          <cell r="AN1714">
            <v>43993</v>
          </cell>
          <cell r="AO1714">
            <v>14664</v>
          </cell>
          <cell r="AP1714">
            <v>14664</v>
          </cell>
        </row>
        <row r="1715">
          <cell r="D1715" t="str">
            <v>Sản xuất và thử nghiệm 500 trạm gNodeB 32T32R</v>
          </cell>
          <cell r="G1715" t="str">
            <v>KHCN</v>
          </cell>
          <cell r="I1715" t="str">
            <v>DVSBH</v>
          </cell>
          <cell r="AC1715">
            <v>1030000</v>
          </cell>
          <cell r="AD1715">
            <v>35519651</v>
          </cell>
          <cell r="AE1715">
            <v>4186979</v>
          </cell>
          <cell r="AF1715">
            <v>4047721</v>
          </cell>
          <cell r="AG1715">
            <v>0</v>
          </cell>
          <cell r="AH1715">
            <v>0</v>
          </cell>
          <cell r="AI1715">
            <v>0</v>
          </cell>
          <cell r="AJ1715">
            <v>0</v>
          </cell>
          <cell r="AK1715">
            <v>106101</v>
          </cell>
          <cell r="AL1715">
            <v>232096</v>
          </cell>
          <cell r="AM1715">
            <v>19894</v>
          </cell>
          <cell r="AN1715">
            <v>39788</v>
          </cell>
          <cell r="AO1715">
            <v>13263</v>
          </cell>
          <cell r="AP1715">
            <v>13263</v>
          </cell>
        </row>
        <row r="1716">
          <cell r="D1716" t="str">
            <v>Sản xuất và thử nghiệm 500 trạm gNodeB 32T32R</v>
          </cell>
          <cell r="G1716" t="str">
            <v>KHCN</v>
          </cell>
          <cell r="I1716" t="str">
            <v>DVSBH</v>
          </cell>
          <cell r="AC1716">
            <v>1030000</v>
          </cell>
          <cell r="AD1716">
            <v>34525095</v>
          </cell>
          <cell r="AE1716">
            <v>13524180</v>
          </cell>
          <cell r="AF1716">
            <v>13059988</v>
          </cell>
          <cell r="AG1716">
            <v>0</v>
          </cell>
          <cell r="AH1716">
            <v>0</v>
          </cell>
          <cell r="AI1716">
            <v>0</v>
          </cell>
          <cell r="AJ1716">
            <v>0</v>
          </cell>
          <cell r="AK1716">
            <v>353670</v>
          </cell>
          <cell r="AL1716">
            <v>773652</v>
          </cell>
          <cell r="AM1716">
            <v>66313</v>
          </cell>
          <cell r="AN1716">
            <v>132626</v>
          </cell>
          <cell r="AO1716">
            <v>44209</v>
          </cell>
          <cell r="AP1716">
            <v>44209</v>
          </cell>
        </row>
        <row r="1717">
          <cell r="D1717" t="str">
            <v>Sản xuất và thử nghiệm 500 trạm gNodeB 32T32R</v>
          </cell>
          <cell r="G1717" t="str">
            <v>KHCN</v>
          </cell>
          <cell r="I1717" t="str">
            <v>DVSBH</v>
          </cell>
          <cell r="AC1717">
            <v>1030000</v>
          </cell>
          <cell r="AD1717">
            <v>30728406</v>
          </cell>
          <cell r="AE1717">
            <v>11924124</v>
          </cell>
          <cell r="AF1717">
            <v>11482577</v>
          </cell>
          <cell r="AG1717">
            <v>0</v>
          </cell>
          <cell r="AH1717">
            <v>0</v>
          </cell>
          <cell r="AI1717">
            <v>0</v>
          </cell>
          <cell r="AJ1717">
            <v>0</v>
          </cell>
          <cell r="AK1717">
            <v>336417</v>
          </cell>
          <cell r="AL1717">
            <v>735913</v>
          </cell>
          <cell r="AM1717">
            <v>63078</v>
          </cell>
          <cell r="AN1717">
            <v>126157</v>
          </cell>
          <cell r="AO1717">
            <v>42052</v>
          </cell>
          <cell r="AP1717">
            <v>42052</v>
          </cell>
        </row>
        <row r="1718">
          <cell r="D1718" t="str">
            <v>Dự án sản xuất 580K thiết bị WIFI AP</v>
          </cell>
          <cell r="G1718" t="str">
            <v>Bán hàng</v>
          </cell>
          <cell r="I1718" t="str">
            <v>DVSBH</v>
          </cell>
          <cell r="AC1718">
            <v>1047000</v>
          </cell>
          <cell r="AD1718">
            <v>18225212</v>
          </cell>
          <cell r="AE1718">
            <v>666300</v>
          </cell>
          <cell r="AF1718">
            <v>630297</v>
          </cell>
          <cell r="AG1718">
            <v>0</v>
          </cell>
          <cell r="AH1718">
            <v>0</v>
          </cell>
          <cell r="AI1718">
            <v>0</v>
          </cell>
          <cell r="AJ1718">
            <v>0</v>
          </cell>
          <cell r="AK1718">
            <v>27431</v>
          </cell>
          <cell r="AL1718">
            <v>60005</v>
          </cell>
          <cell r="AM1718">
            <v>5143</v>
          </cell>
          <cell r="AN1718">
            <v>10287</v>
          </cell>
          <cell r="AO1718">
            <v>3429</v>
          </cell>
          <cell r="AP1718">
            <v>3429</v>
          </cell>
        </row>
        <row r="1719">
          <cell r="D1719" t="str">
            <v>Dự án sản xuất 580K thiết bị WIFI AP</v>
          </cell>
          <cell r="G1719" t="str">
            <v>Bán hàng</v>
          </cell>
          <cell r="I1719" t="str">
            <v>DVSBH</v>
          </cell>
          <cell r="AC1719">
            <v>930000</v>
          </cell>
          <cell r="AD1719">
            <v>30741304</v>
          </cell>
          <cell r="AE1719">
            <v>3516596</v>
          </cell>
          <cell r="AF1719">
            <v>3364048</v>
          </cell>
          <cell r="AG1719">
            <v>0</v>
          </cell>
          <cell r="AH1719">
            <v>0</v>
          </cell>
          <cell r="AI1719">
            <v>0</v>
          </cell>
          <cell r="AJ1719">
            <v>0</v>
          </cell>
          <cell r="AK1719">
            <v>152548</v>
          </cell>
          <cell r="AL1719">
            <v>333698</v>
          </cell>
          <cell r="AM1719">
            <v>0</v>
          </cell>
          <cell r="AN1719">
            <v>0</v>
          </cell>
          <cell r="AO1719">
            <v>0</v>
          </cell>
          <cell r="AP1719">
            <v>0</v>
          </cell>
        </row>
        <row r="1720">
          <cell r="D1720" t="str">
            <v>Dự án sản xuất 580K thiết bị WIFI AP</v>
          </cell>
          <cell r="G1720" t="str">
            <v>Bán hàng</v>
          </cell>
          <cell r="I1720" t="str">
            <v>DVSBH</v>
          </cell>
          <cell r="AC1720">
            <v>930000</v>
          </cell>
          <cell r="AD1720">
            <v>27734076</v>
          </cell>
          <cell r="AE1720">
            <v>2133144</v>
          </cell>
          <cell r="AF1720">
            <v>2044835</v>
          </cell>
          <cell r="AG1720">
            <v>0</v>
          </cell>
          <cell r="AH1720">
            <v>0</v>
          </cell>
          <cell r="AI1720">
            <v>0</v>
          </cell>
          <cell r="AJ1720">
            <v>0</v>
          </cell>
          <cell r="AK1720">
            <v>67283</v>
          </cell>
          <cell r="AL1720">
            <v>147183</v>
          </cell>
          <cell r="AM1720">
            <v>12616</v>
          </cell>
          <cell r="AN1720">
            <v>25231</v>
          </cell>
          <cell r="AO1720">
            <v>8410</v>
          </cell>
          <cell r="AP1720">
            <v>8410</v>
          </cell>
        </row>
        <row r="1721">
          <cell r="D1721" t="str">
            <v>Dự án sản xuất 580K thiết bị WIFI AP</v>
          </cell>
          <cell r="G1721" t="str">
            <v>Bán hàng</v>
          </cell>
          <cell r="I1721" t="str">
            <v>DVSBH</v>
          </cell>
          <cell r="AC1721">
            <v>930000</v>
          </cell>
          <cell r="AD1721">
            <v>30741304</v>
          </cell>
          <cell r="AE1721">
            <v>4688795</v>
          </cell>
          <cell r="AF1721">
            <v>4485398</v>
          </cell>
          <cell r="AG1721">
            <v>0</v>
          </cell>
          <cell r="AH1721">
            <v>0</v>
          </cell>
          <cell r="AI1721">
            <v>0</v>
          </cell>
          <cell r="AJ1721">
            <v>0</v>
          </cell>
          <cell r="AK1721">
            <v>203397</v>
          </cell>
          <cell r="AL1721">
            <v>444931</v>
          </cell>
          <cell r="AM1721">
            <v>0</v>
          </cell>
          <cell r="AN1721">
            <v>0</v>
          </cell>
          <cell r="AO1721">
            <v>0</v>
          </cell>
          <cell r="AP1721">
            <v>0</v>
          </cell>
        </row>
        <row r="1722">
          <cell r="D1722" t="str">
            <v>Sản xuất và triển khai 700K thiết bị ONT dualband</v>
          </cell>
          <cell r="G1722" t="str">
            <v>Bán hàng</v>
          </cell>
          <cell r="I1722" t="str">
            <v>DVSBH</v>
          </cell>
          <cell r="AC1722">
            <v>1047000</v>
          </cell>
          <cell r="AD1722">
            <v>18225212</v>
          </cell>
          <cell r="AE1722">
            <v>666300</v>
          </cell>
          <cell r="AF1722">
            <v>630297</v>
          </cell>
          <cell r="AG1722">
            <v>0</v>
          </cell>
          <cell r="AH1722">
            <v>0</v>
          </cell>
          <cell r="AI1722">
            <v>0</v>
          </cell>
          <cell r="AJ1722">
            <v>0</v>
          </cell>
          <cell r="AK1722">
            <v>27431</v>
          </cell>
          <cell r="AL1722">
            <v>60005</v>
          </cell>
          <cell r="AM1722">
            <v>5143</v>
          </cell>
          <cell r="AN1722">
            <v>10287</v>
          </cell>
          <cell r="AO1722">
            <v>3429</v>
          </cell>
          <cell r="AP1722">
            <v>3429</v>
          </cell>
        </row>
        <row r="1723">
          <cell r="D1723" t="str">
            <v>Sản xuất và triển khai 700K thiết bị ONT dualband</v>
          </cell>
          <cell r="G1723" t="str">
            <v>Bán hàng</v>
          </cell>
          <cell r="I1723" t="str">
            <v>DVSBH</v>
          </cell>
          <cell r="AC1723">
            <v>1498000</v>
          </cell>
          <cell r="AD1723">
            <v>34029534</v>
          </cell>
          <cell r="AE1723">
            <v>10484193</v>
          </cell>
          <cell r="AF1723">
            <v>10112840</v>
          </cell>
          <cell r="AG1723">
            <v>0</v>
          </cell>
          <cell r="AH1723">
            <v>0</v>
          </cell>
          <cell r="AI1723">
            <v>0</v>
          </cell>
          <cell r="AJ1723">
            <v>0</v>
          </cell>
          <cell r="AK1723">
            <v>282936</v>
          </cell>
          <cell r="AL1723">
            <v>618922</v>
          </cell>
          <cell r="AM1723">
            <v>53050</v>
          </cell>
          <cell r="AN1723">
            <v>106101</v>
          </cell>
          <cell r="AO1723">
            <v>35367</v>
          </cell>
          <cell r="AP1723">
            <v>35367</v>
          </cell>
        </row>
        <row r="1724">
          <cell r="D1724" t="str">
            <v>Triển khai sản xuất và cung cấp  134.000 thiết bị ONT 02 băng tần</v>
          </cell>
          <cell r="G1724" t="str">
            <v>Bán hàng</v>
          </cell>
          <cell r="I1724" t="str">
            <v>DVSBH</v>
          </cell>
          <cell r="AC1724">
            <v>930000</v>
          </cell>
          <cell r="AD1724">
            <v>27734076</v>
          </cell>
          <cell r="AE1724">
            <v>2133144</v>
          </cell>
          <cell r="AF1724">
            <v>2044835</v>
          </cell>
          <cell r="AG1724">
            <v>0</v>
          </cell>
          <cell r="AH1724">
            <v>0</v>
          </cell>
          <cell r="AI1724">
            <v>0</v>
          </cell>
          <cell r="AJ1724">
            <v>0</v>
          </cell>
          <cell r="AK1724">
            <v>67283</v>
          </cell>
          <cell r="AL1724">
            <v>147183</v>
          </cell>
          <cell r="AM1724">
            <v>12616</v>
          </cell>
          <cell r="AN1724">
            <v>25231</v>
          </cell>
          <cell r="AO1724">
            <v>8410</v>
          </cell>
          <cell r="AP1724">
            <v>8410</v>
          </cell>
        </row>
        <row r="1725">
          <cell r="D1725" t="str">
            <v>Triển khai sản xuất và cung cấp  134.000 thiết bị ONT 02 băng tần</v>
          </cell>
          <cell r="G1725" t="str">
            <v>Bán hàng</v>
          </cell>
          <cell r="I1725" t="str">
            <v>DVSBH</v>
          </cell>
          <cell r="AC1725">
            <v>1498000</v>
          </cell>
          <cell r="AD1725">
            <v>34029534</v>
          </cell>
          <cell r="AE1725">
            <v>6552620</v>
          </cell>
          <cell r="AF1725">
            <v>6320524</v>
          </cell>
          <cell r="AG1725">
            <v>0</v>
          </cell>
          <cell r="AH1725">
            <v>0</v>
          </cell>
          <cell r="AI1725">
            <v>0</v>
          </cell>
          <cell r="AJ1725">
            <v>0</v>
          </cell>
          <cell r="AK1725">
            <v>176835</v>
          </cell>
          <cell r="AL1725">
            <v>386826</v>
          </cell>
          <cell r="AM1725">
            <v>33157</v>
          </cell>
          <cell r="AN1725">
            <v>66313</v>
          </cell>
          <cell r="AO1725">
            <v>22104</v>
          </cell>
          <cell r="AP1725">
            <v>22104</v>
          </cell>
        </row>
        <row r="1726">
          <cell r="D1726" t="str">
            <v>Phương án kinh doanh 466.000 thiết bị ONT và 600.000 thiết bị Homewifi (466K ONT)</v>
          </cell>
          <cell r="G1726" t="str">
            <v>SXKD</v>
          </cell>
          <cell r="I1726" t="str">
            <v>QLSX</v>
          </cell>
          <cell r="AC1726">
            <v>1030000</v>
          </cell>
          <cell r="AD1726">
            <v>31229808</v>
          </cell>
          <cell r="AE1726">
            <v>13356337</v>
          </cell>
          <cell r="AF1726">
            <v>12870634</v>
          </cell>
          <cell r="AG1726">
            <v>0</v>
          </cell>
          <cell r="AH1726">
            <v>0</v>
          </cell>
          <cell r="AI1726">
            <v>0</v>
          </cell>
          <cell r="AJ1726">
            <v>0</v>
          </cell>
          <cell r="AK1726">
            <v>370059</v>
          </cell>
          <cell r="AL1726">
            <v>809505</v>
          </cell>
          <cell r="AM1726">
            <v>69386</v>
          </cell>
          <cell r="AN1726">
            <v>138772</v>
          </cell>
          <cell r="AO1726">
            <v>46258</v>
          </cell>
          <cell r="AP1726">
            <v>46258</v>
          </cell>
        </row>
        <row r="1727">
          <cell r="D1727" t="str">
            <v>Phương án kinh doanh 466.000 thiết bị ONT và 600.000 thiết bị Homewifi (466K ONT)</v>
          </cell>
          <cell r="G1727" t="str">
            <v>SXKD</v>
          </cell>
          <cell r="I1727" t="str">
            <v>QLSX</v>
          </cell>
          <cell r="AC1727">
            <v>930000</v>
          </cell>
          <cell r="AD1727">
            <v>19029409</v>
          </cell>
          <cell r="AE1727">
            <v>7769876</v>
          </cell>
          <cell r="AF1727">
            <v>7373841</v>
          </cell>
          <cell r="AG1727">
            <v>0</v>
          </cell>
          <cell r="AH1727">
            <v>0</v>
          </cell>
          <cell r="AI1727">
            <v>0</v>
          </cell>
          <cell r="AJ1727">
            <v>0</v>
          </cell>
          <cell r="AK1727">
            <v>301741</v>
          </cell>
          <cell r="AL1727">
            <v>660057</v>
          </cell>
          <cell r="AM1727">
            <v>56576</v>
          </cell>
          <cell r="AN1727">
            <v>113153</v>
          </cell>
          <cell r="AO1727">
            <v>37718</v>
          </cell>
          <cell r="AP1727">
            <v>37718</v>
          </cell>
        </row>
        <row r="1728">
          <cell r="D1728" t="str">
            <v>Phương án kinh doanh 466.000 thiết bị ONT và 600.000 thiết bị Homewifi (466K ONT)</v>
          </cell>
          <cell r="G1728" t="str">
            <v>SXKD</v>
          </cell>
          <cell r="I1728" t="str">
            <v>QLSX</v>
          </cell>
          <cell r="AC1728">
            <v>930000</v>
          </cell>
          <cell r="AD1728">
            <v>17741776</v>
          </cell>
          <cell r="AE1728">
            <v>7198649</v>
          </cell>
          <cell r="AF1728">
            <v>6822540</v>
          </cell>
          <cell r="AG1728">
            <v>0</v>
          </cell>
          <cell r="AH1728">
            <v>0</v>
          </cell>
          <cell r="AI1728">
            <v>0</v>
          </cell>
          <cell r="AJ1728">
            <v>0</v>
          </cell>
          <cell r="AK1728">
            <v>286559</v>
          </cell>
          <cell r="AL1728">
            <v>626847</v>
          </cell>
          <cell r="AM1728">
            <v>53730</v>
          </cell>
          <cell r="AN1728">
            <v>107459</v>
          </cell>
          <cell r="AO1728">
            <v>35820</v>
          </cell>
          <cell r="AP1728">
            <v>35820</v>
          </cell>
        </row>
        <row r="1729">
          <cell r="D1729" t="str">
            <v>Phương án kinh doanh 466.000 thiết bị ONT và 600.000 thiết bị Homewifi (466K ONT)</v>
          </cell>
          <cell r="G1729" t="str">
            <v>SXKD</v>
          </cell>
          <cell r="I1729" t="str">
            <v>QLSX</v>
          </cell>
          <cell r="AC1729">
            <v>1147000</v>
          </cell>
          <cell r="AD1729">
            <v>31641431</v>
          </cell>
          <cell r="AE1729">
            <v>6135111</v>
          </cell>
          <cell r="AF1729">
            <v>5914337</v>
          </cell>
          <cell r="AG1729">
            <v>0</v>
          </cell>
          <cell r="AH1729">
            <v>0</v>
          </cell>
          <cell r="AI1729">
            <v>0</v>
          </cell>
          <cell r="AJ1729">
            <v>0</v>
          </cell>
          <cell r="AK1729">
            <v>168209</v>
          </cell>
          <cell r="AL1729">
            <v>367957</v>
          </cell>
          <cell r="AM1729">
            <v>31539</v>
          </cell>
          <cell r="AN1729">
            <v>63078</v>
          </cell>
          <cell r="AO1729">
            <v>21026</v>
          </cell>
          <cell r="AP1729">
            <v>21026</v>
          </cell>
        </row>
        <row r="1730">
          <cell r="D1730" t="str">
            <v>Phương án kinh doanh 466.000 thiết bị ONT và 600.000 thiết bị Homewifi (466K ONT)</v>
          </cell>
          <cell r="G1730" t="str">
            <v>SXKD</v>
          </cell>
          <cell r="I1730" t="str">
            <v>CNTD</v>
          </cell>
          <cell r="AC1730">
            <v>1030000</v>
          </cell>
          <cell r="AD1730">
            <v>38246120</v>
          </cell>
          <cell r="AE1730">
            <v>4542605</v>
          </cell>
          <cell r="AF1730">
            <v>4403347</v>
          </cell>
          <cell r="AG1730">
            <v>0</v>
          </cell>
          <cell r="AH1730">
            <v>0</v>
          </cell>
          <cell r="AI1730">
            <v>0</v>
          </cell>
          <cell r="AJ1730">
            <v>0</v>
          </cell>
          <cell r="AK1730">
            <v>106101</v>
          </cell>
          <cell r="AL1730">
            <v>232096</v>
          </cell>
          <cell r="AM1730">
            <v>19894</v>
          </cell>
          <cell r="AN1730">
            <v>39788</v>
          </cell>
          <cell r="AO1730">
            <v>13263</v>
          </cell>
          <cell r="AP1730">
            <v>13263</v>
          </cell>
        </row>
        <row r="1731">
          <cell r="D1731" t="str">
            <v>Phương án kinh doanh 466.000 thiết bị ONT và 600.000 thiết bị Homewifi (466K ONT)</v>
          </cell>
          <cell r="G1731" t="str">
            <v>Bán hàng</v>
          </cell>
          <cell r="I1731" t="str">
            <v>DVSBH</v>
          </cell>
          <cell r="AC1731">
            <v>1030000</v>
          </cell>
          <cell r="AD1731">
            <v>35519651</v>
          </cell>
          <cell r="AE1731">
            <v>1395660</v>
          </cell>
          <cell r="AF1731">
            <v>1349241</v>
          </cell>
          <cell r="AG1731">
            <v>0</v>
          </cell>
          <cell r="AH1731">
            <v>0</v>
          </cell>
          <cell r="AI1731">
            <v>0</v>
          </cell>
          <cell r="AJ1731">
            <v>0</v>
          </cell>
          <cell r="AK1731">
            <v>35367</v>
          </cell>
          <cell r="AL1731">
            <v>77365</v>
          </cell>
          <cell r="AM1731">
            <v>6631</v>
          </cell>
          <cell r="AN1731">
            <v>13263</v>
          </cell>
          <cell r="AO1731">
            <v>4421</v>
          </cell>
          <cell r="AP1731">
            <v>4421</v>
          </cell>
        </row>
        <row r="1732">
          <cell r="D1732" t="str">
            <v>Phương án kinh doanh 466.000 thiết bị ONT và 600.000 thiết bị Homewifi (466K ONT)</v>
          </cell>
          <cell r="G1732" t="str">
            <v>Bán hàng</v>
          </cell>
          <cell r="I1732" t="str">
            <v>DVSBH</v>
          </cell>
          <cell r="AC1732">
            <v>930000</v>
          </cell>
          <cell r="AD1732">
            <v>14515216</v>
          </cell>
          <cell r="AE1732">
            <v>2608696</v>
          </cell>
          <cell r="AF1732">
            <v>2454720</v>
          </cell>
          <cell r="AG1732">
            <v>0</v>
          </cell>
          <cell r="AH1732">
            <v>0</v>
          </cell>
          <cell r="AI1732">
            <v>0</v>
          </cell>
          <cell r="AJ1732">
            <v>0</v>
          </cell>
          <cell r="AK1732">
            <v>117315</v>
          </cell>
          <cell r="AL1732">
            <v>256626</v>
          </cell>
          <cell r="AM1732">
            <v>21997</v>
          </cell>
          <cell r="AN1732">
            <v>43993</v>
          </cell>
          <cell r="AO1732">
            <v>14664</v>
          </cell>
          <cell r="AP1732">
            <v>14664</v>
          </cell>
        </row>
        <row r="1733">
          <cell r="D1733" t="str">
            <v>Phương án kinh doanh 466.000 thiết bị ONT và 600.000 thiết bị Homewifi (466K ONT)</v>
          </cell>
          <cell r="G1733" t="str">
            <v>Bán hàng</v>
          </cell>
          <cell r="I1733" t="str">
            <v>DVSBH</v>
          </cell>
          <cell r="AC1733">
            <v>930000</v>
          </cell>
          <cell r="AD1733">
            <v>14515216</v>
          </cell>
          <cell r="AE1733">
            <v>4173912</v>
          </cell>
          <cell r="AF1733">
            <v>3927552</v>
          </cell>
          <cell r="AG1733">
            <v>0</v>
          </cell>
          <cell r="AH1733">
            <v>0</v>
          </cell>
          <cell r="AI1733">
            <v>0</v>
          </cell>
          <cell r="AJ1733">
            <v>0</v>
          </cell>
          <cell r="AK1733">
            <v>187703</v>
          </cell>
          <cell r="AL1733">
            <v>410602</v>
          </cell>
          <cell r="AM1733">
            <v>35193</v>
          </cell>
          <cell r="AN1733">
            <v>70389</v>
          </cell>
          <cell r="AO1733">
            <v>23464</v>
          </cell>
          <cell r="AP1733">
            <v>23464</v>
          </cell>
        </row>
        <row r="1734">
          <cell r="D1734" t="str">
            <v>Dự án sản xuất 580K thiết bị WIFI AP</v>
          </cell>
          <cell r="G1734" t="str">
            <v>Bảo hành</v>
          </cell>
          <cell r="I1734" t="str">
            <v>DVSBH</v>
          </cell>
          <cell r="AC1734">
            <v>930000</v>
          </cell>
          <cell r="AD1734">
            <v>30741304</v>
          </cell>
          <cell r="AE1734">
            <v>4688795</v>
          </cell>
          <cell r="AF1734">
            <v>4485398</v>
          </cell>
          <cell r="AG1734">
            <v>0</v>
          </cell>
          <cell r="AH1734">
            <v>0</v>
          </cell>
          <cell r="AI1734">
            <v>0</v>
          </cell>
          <cell r="AJ1734">
            <v>0</v>
          </cell>
          <cell r="AK1734">
            <v>203397</v>
          </cell>
          <cell r="AL1734">
            <v>444931</v>
          </cell>
          <cell r="AM1734">
            <v>0</v>
          </cell>
          <cell r="AN1734">
            <v>0</v>
          </cell>
          <cell r="AO1734">
            <v>0</v>
          </cell>
          <cell r="AP1734">
            <v>0</v>
          </cell>
        </row>
        <row r="1735">
          <cell r="D1735" t="str">
            <v>Sản xuất và cung cấp 105K thiết bị AP WIFI</v>
          </cell>
          <cell r="G1735" t="str">
            <v>Bảo hành</v>
          </cell>
          <cell r="I1735" t="str">
            <v>DVSBH</v>
          </cell>
          <cell r="AC1735">
            <v>930000</v>
          </cell>
          <cell r="AD1735">
            <v>30741304</v>
          </cell>
          <cell r="AE1735">
            <v>4688794</v>
          </cell>
          <cell r="AF1735">
            <v>4485398</v>
          </cell>
          <cell r="AG1735">
            <v>0</v>
          </cell>
          <cell r="AH1735">
            <v>0</v>
          </cell>
          <cell r="AI1735">
            <v>0</v>
          </cell>
          <cell r="AJ1735">
            <v>0</v>
          </cell>
          <cell r="AK1735">
            <v>203396</v>
          </cell>
          <cell r="AL1735">
            <v>444930</v>
          </cell>
          <cell r="AM1735">
            <v>0</v>
          </cell>
          <cell r="AN1735">
            <v>0</v>
          </cell>
          <cell r="AO1735">
            <v>0</v>
          </cell>
          <cell r="AP1735">
            <v>0</v>
          </cell>
        </row>
        <row r="1736">
          <cell r="D1736" t="str">
            <v>Sản xuất và triển khai 700K thiết bị ONT dualband</v>
          </cell>
          <cell r="G1736" t="str">
            <v>Bảo hành</v>
          </cell>
          <cell r="I1736" t="str">
            <v>DVSBH</v>
          </cell>
          <cell r="AC1736">
            <v>1498000</v>
          </cell>
          <cell r="AD1736">
            <v>34029534</v>
          </cell>
          <cell r="AE1736">
            <v>10484193</v>
          </cell>
          <cell r="AF1736">
            <v>10112840</v>
          </cell>
          <cell r="AG1736">
            <v>0</v>
          </cell>
          <cell r="AH1736">
            <v>0</v>
          </cell>
          <cell r="AI1736">
            <v>0</v>
          </cell>
          <cell r="AJ1736">
            <v>0</v>
          </cell>
          <cell r="AK1736">
            <v>282936</v>
          </cell>
          <cell r="AL1736">
            <v>618922</v>
          </cell>
          <cell r="AM1736">
            <v>53050</v>
          </cell>
          <cell r="AN1736">
            <v>106101</v>
          </cell>
          <cell r="AO1736">
            <v>35367</v>
          </cell>
          <cell r="AP1736">
            <v>35367</v>
          </cell>
        </row>
        <row r="1737">
          <cell r="D1737" t="str">
            <v>NV khác</v>
          </cell>
          <cell r="G1737" t="str">
            <v>Quản lý</v>
          </cell>
          <cell r="I1737" t="str">
            <v>DVSBH</v>
          </cell>
          <cell r="AC1737">
            <v>1866000</v>
          </cell>
          <cell r="AD1737">
            <v>24261633</v>
          </cell>
          <cell r="AE1737">
            <v>3538118</v>
          </cell>
          <cell r="AF1737">
            <v>3378708</v>
          </cell>
          <cell r="AG1737">
            <v>0</v>
          </cell>
          <cell r="AH1737">
            <v>0</v>
          </cell>
          <cell r="AI1737">
            <v>0</v>
          </cell>
          <cell r="AJ1737">
            <v>0</v>
          </cell>
          <cell r="AK1737">
            <v>121455</v>
          </cell>
          <cell r="AL1737">
            <v>265684</v>
          </cell>
          <cell r="AM1737">
            <v>22773</v>
          </cell>
          <cell r="AN1737">
            <v>45546</v>
          </cell>
          <cell r="AO1737">
            <v>15182</v>
          </cell>
          <cell r="AP1737">
            <v>15182</v>
          </cell>
        </row>
        <row r="1738">
          <cell r="D1738" t="str">
            <v>NV khác</v>
          </cell>
          <cell r="G1738" t="str">
            <v>Quản lý</v>
          </cell>
          <cell r="I1738" t="str">
            <v>GPTH</v>
          </cell>
          <cell r="AC1738">
            <v>1730000</v>
          </cell>
          <cell r="AD1738">
            <v>93640689</v>
          </cell>
          <cell r="AE1738">
            <v>53674770</v>
          </cell>
          <cell r="AF1738">
            <v>52743133</v>
          </cell>
          <cell r="AG1738">
            <v>0</v>
          </cell>
          <cell r="AH1738">
            <v>0</v>
          </cell>
          <cell r="AI1738">
            <v>0</v>
          </cell>
          <cell r="AJ1738">
            <v>0</v>
          </cell>
          <cell r="AK1738">
            <v>931637</v>
          </cell>
          <cell r="AL1738">
            <v>2037957</v>
          </cell>
          <cell r="AM1738">
            <v>0</v>
          </cell>
          <cell r="AN1738">
            <v>0</v>
          </cell>
          <cell r="AO1738">
            <v>0</v>
          </cell>
          <cell r="AP1738">
            <v>0</v>
          </cell>
        </row>
        <row r="1739">
          <cell r="D1739" t="str">
            <v>NV khác</v>
          </cell>
          <cell r="G1739" t="str">
            <v>Quản lý</v>
          </cell>
          <cell r="I1739" t="str">
            <v>CHĐK</v>
          </cell>
          <cell r="AC1739">
            <v>1230000</v>
          </cell>
          <cell r="AD1739">
            <v>99744191</v>
          </cell>
          <cell r="AE1739">
            <v>61891497</v>
          </cell>
          <cell r="AF1739">
            <v>60924568</v>
          </cell>
          <cell r="AG1739">
            <v>0</v>
          </cell>
          <cell r="AH1739">
            <v>0</v>
          </cell>
          <cell r="AI1739">
            <v>0</v>
          </cell>
          <cell r="AJ1739">
            <v>0</v>
          </cell>
          <cell r="AK1739">
            <v>966929</v>
          </cell>
          <cell r="AL1739">
            <v>2115157</v>
          </cell>
          <cell r="AM1739">
            <v>0</v>
          </cell>
          <cell r="AN1739">
            <v>0</v>
          </cell>
          <cell r="AO1739">
            <v>0</v>
          </cell>
          <cell r="AP1739">
            <v>0</v>
          </cell>
        </row>
        <row r="1740">
          <cell r="D1740" t="str">
            <v>NV khác</v>
          </cell>
          <cell r="G1740" t="str">
            <v>Quản lý</v>
          </cell>
          <cell r="I1740" t="str">
            <v>RD</v>
          </cell>
          <cell r="AC1740">
            <v>1230000</v>
          </cell>
          <cell r="AD1740">
            <v>83038437</v>
          </cell>
          <cell r="AE1740">
            <v>17080015</v>
          </cell>
          <cell r="AF1740">
            <v>16765271</v>
          </cell>
          <cell r="AG1740">
            <v>0</v>
          </cell>
          <cell r="AH1740">
            <v>0</v>
          </cell>
          <cell r="AI1740">
            <v>0</v>
          </cell>
          <cell r="AJ1740">
            <v>0</v>
          </cell>
          <cell r="AK1740">
            <v>239805</v>
          </cell>
          <cell r="AL1740">
            <v>524574</v>
          </cell>
          <cell r="AM1740">
            <v>44964</v>
          </cell>
          <cell r="AN1740">
            <v>89927</v>
          </cell>
          <cell r="AO1740">
            <v>29975</v>
          </cell>
          <cell r="AP1740">
            <v>29975</v>
          </cell>
        </row>
        <row r="1741">
          <cell r="D1741" t="str">
            <v>NV khác</v>
          </cell>
          <cell r="G1741" t="str">
            <v>Quản lý</v>
          </cell>
          <cell r="I1741" t="str">
            <v>DVSBH</v>
          </cell>
          <cell r="AC1741">
            <v>1030000</v>
          </cell>
          <cell r="AD1741">
            <v>35519651</v>
          </cell>
          <cell r="AE1741">
            <v>8373957</v>
          </cell>
          <cell r="AF1741">
            <v>8095444</v>
          </cell>
          <cell r="AG1741">
            <v>0</v>
          </cell>
          <cell r="AH1741">
            <v>0</v>
          </cell>
          <cell r="AI1741">
            <v>0</v>
          </cell>
          <cell r="AJ1741">
            <v>0</v>
          </cell>
          <cell r="AK1741">
            <v>212201</v>
          </cell>
          <cell r="AL1741">
            <v>464191</v>
          </cell>
          <cell r="AM1741">
            <v>39787</v>
          </cell>
          <cell r="AN1741">
            <v>79575</v>
          </cell>
          <cell r="AO1741">
            <v>26525</v>
          </cell>
          <cell r="AP1741">
            <v>26525</v>
          </cell>
        </row>
        <row r="1742">
          <cell r="D1742" t="str">
            <v>NV khác</v>
          </cell>
          <cell r="G1742" t="str">
            <v>Quản lý</v>
          </cell>
          <cell r="I1742" t="str">
            <v>DVSBH</v>
          </cell>
          <cell r="AC1742">
            <v>1030000</v>
          </cell>
          <cell r="AD1742">
            <v>36335808</v>
          </cell>
          <cell r="AE1742">
            <v>17103201</v>
          </cell>
          <cell r="AF1742">
            <v>16547042</v>
          </cell>
          <cell r="AG1742">
            <v>0</v>
          </cell>
          <cell r="AH1742">
            <v>0</v>
          </cell>
          <cell r="AI1742">
            <v>0</v>
          </cell>
          <cell r="AJ1742">
            <v>0</v>
          </cell>
          <cell r="AK1742">
            <v>468344</v>
          </cell>
          <cell r="AL1742">
            <v>1024505</v>
          </cell>
          <cell r="AM1742">
            <v>87815</v>
          </cell>
          <cell r="AN1742">
            <v>175629</v>
          </cell>
          <cell r="AO1742">
            <v>0</v>
          </cell>
          <cell r="AP1742">
            <v>0</v>
          </cell>
        </row>
        <row r="1743">
          <cell r="D1743" t="str">
            <v>NV khác</v>
          </cell>
          <cell r="G1743" t="str">
            <v>Quản lý</v>
          </cell>
          <cell r="I1743" t="str">
            <v>TH</v>
          </cell>
          <cell r="AC1743">
            <v>1398000</v>
          </cell>
          <cell r="AD1743">
            <v>19743971</v>
          </cell>
          <cell r="AE1743">
            <v>9321942</v>
          </cell>
          <cell r="AF1743">
            <v>8853902</v>
          </cell>
          <cell r="AG1743">
            <v>0</v>
          </cell>
          <cell r="AH1743">
            <v>0</v>
          </cell>
          <cell r="AI1743">
            <v>0</v>
          </cell>
          <cell r="AJ1743">
            <v>0</v>
          </cell>
          <cell r="AK1743">
            <v>356602</v>
          </cell>
          <cell r="AL1743">
            <v>780068</v>
          </cell>
          <cell r="AM1743">
            <v>66863</v>
          </cell>
          <cell r="AN1743">
            <v>133726</v>
          </cell>
          <cell r="AO1743">
            <v>44575</v>
          </cell>
          <cell r="AP1743">
            <v>44575</v>
          </cell>
        </row>
        <row r="1744">
          <cell r="D1744" t="str">
            <v>NV khác</v>
          </cell>
          <cell r="G1744" t="str">
            <v>Quản lý</v>
          </cell>
          <cell r="I1744" t="str">
            <v>DVSBH</v>
          </cell>
          <cell r="AC1744">
            <v>1730000</v>
          </cell>
          <cell r="AD1744">
            <v>90783778</v>
          </cell>
          <cell r="AE1744">
            <v>18627303</v>
          </cell>
          <cell r="AF1744">
            <v>18326908</v>
          </cell>
          <cell r="AG1744">
            <v>0</v>
          </cell>
          <cell r="AH1744">
            <v>0</v>
          </cell>
          <cell r="AI1744">
            <v>0</v>
          </cell>
          <cell r="AJ1744">
            <v>0</v>
          </cell>
          <cell r="AK1744">
            <v>300395</v>
          </cell>
          <cell r="AL1744">
            <v>657112</v>
          </cell>
          <cell r="AM1744">
            <v>0</v>
          </cell>
          <cell r="AN1744">
            <v>0</v>
          </cell>
          <cell r="AO1744">
            <v>0</v>
          </cell>
          <cell r="AP1744">
            <v>0</v>
          </cell>
        </row>
        <row r="1745">
          <cell r="D1745" t="str">
            <v>NV khác</v>
          </cell>
          <cell r="G1745" t="str">
            <v>Quản lý</v>
          </cell>
          <cell r="I1745" t="str">
            <v>ĐBCL</v>
          </cell>
          <cell r="AC1745">
            <v>1247000</v>
          </cell>
          <cell r="AD1745">
            <v>49596890</v>
          </cell>
          <cell r="AE1745">
            <v>13909907</v>
          </cell>
          <cell r="AF1745">
            <v>13550103</v>
          </cell>
          <cell r="AG1745">
            <v>0</v>
          </cell>
          <cell r="AH1745">
            <v>0</v>
          </cell>
          <cell r="AI1745">
            <v>0</v>
          </cell>
          <cell r="AJ1745">
            <v>0</v>
          </cell>
          <cell r="AK1745">
            <v>274137</v>
          </cell>
          <cell r="AL1745">
            <v>599676</v>
          </cell>
          <cell r="AM1745">
            <v>51400</v>
          </cell>
          <cell r="AN1745">
            <v>102801</v>
          </cell>
          <cell r="AO1745">
            <v>34267</v>
          </cell>
          <cell r="AP1745">
            <v>34267</v>
          </cell>
        </row>
        <row r="1746">
          <cell r="D1746" t="str">
            <v>NV khác</v>
          </cell>
          <cell r="G1746" t="str">
            <v>Quản lý</v>
          </cell>
          <cell r="I1746" t="str">
            <v>DVSBH</v>
          </cell>
          <cell r="AC1746">
            <v>1230000</v>
          </cell>
          <cell r="AD1746">
            <v>66918607</v>
          </cell>
          <cell r="AE1746">
            <v>10888943</v>
          </cell>
          <cell r="AF1746">
            <v>10649826</v>
          </cell>
          <cell r="AG1746">
            <v>0</v>
          </cell>
          <cell r="AH1746">
            <v>0</v>
          </cell>
          <cell r="AI1746">
            <v>0</v>
          </cell>
          <cell r="AJ1746">
            <v>0</v>
          </cell>
          <cell r="AK1746">
            <v>182184</v>
          </cell>
          <cell r="AL1746">
            <v>398524</v>
          </cell>
          <cell r="AM1746">
            <v>34160</v>
          </cell>
          <cell r="AN1746">
            <v>68319</v>
          </cell>
          <cell r="AO1746">
            <v>22773</v>
          </cell>
          <cell r="AP1746">
            <v>22773</v>
          </cell>
        </row>
        <row r="1747">
          <cell r="D1747" t="str">
            <v>NV khác</v>
          </cell>
          <cell r="G1747" t="str">
            <v>Quản lý</v>
          </cell>
          <cell r="I1747" t="str">
            <v>TH</v>
          </cell>
          <cell r="AC1747">
            <v>1047000</v>
          </cell>
          <cell r="AD1747">
            <v>24112143</v>
          </cell>
          <cell r="AE1747">
            <v>4568192</v>
          </cell>
          <cell r="AF1747">
            <v>4368927</v>
          </cell>
          <cell r="AG1747">
            <v>0</v>
          </cell>
          <cell r="AH1747">
            <v>0</v>
          </cell>
          <cell r="AI1747">
            <v>0</v>
          </cell>
          <cell r="AJ1747">
            <v>0</v>
          </cell>
          <cell r="AK1747">
            <v>151818</v>
          </cell>
          <cell r="AL1747">
            <v>332103</v>
          </cell>
          <cell r="AM1747">
            <v>28468</v>
          </cell>
          <cell r="AN1747">
            <v>56933</v>
          </cell>
          <cell r="AO1747">
            <v>18979</v>
          </cell>
          <cell r="AP1747">
            <v>18979</v>
          </cell>
        </row>
        <row r="1748">
          <cell r="D1748" t="str">
            <v>NV khác</v>
          </cell>
          <cell r="G1748" t="str">
            <v>Quản lý</v>
          </cell>
          <cell r="I1748" t="str">
            <v>BGĐ Khối</v>
          </cell>
          <cell r="AC1748">
            <v>2730000</v>
          </cell>
          <cell r="AD1748">
            <v>154884122</v>
          </cell>
          <cell r="AE1748">
            <v>45202756</v>
          </cell>
          <cell r="AF1748">
            <v>44749414</v>
          </cell>
          <cell r="AG1748">
            <v>0</v>
          </cell>
          <cell r="AH1748">
            <v>0</v>
          </cell>
          <cell r="AI1748">
            <v>0</v>
          </cell>
          <cell r="AJ1748">
            <v>0</v>
          </cell>
          <cell r="AK1748">
            <v>453342</v>
          </cell>
          <cell r="AL1748">
            <v>991685</v>
          </cell>
          <cell r="AM1748">
            <v>0</v>
          </cell>
          <cell r="AN1748">
            <v>0</v>
          </cell>
          <cell r="AO1748">
            <v>0</v>
          </cell>
          <cell r="AP1748">
            <v>0</v>
          </cell>
        </row>
        <row r="1749">
          <cell r="D1749" t="str">
            <v>NV khác</v>
          </cell>
          <cell r="G1749" t="str">
            <v>Quản lý</v>
          </cell>
          <cell r="I1749" t="str">
            <v>TH</v>
          </cell>
          <cell r="AC1749">
            <v>1047000</v>
          </cell>
          <cell r="AD1749">
            <v>24112143</v>
          </cell>
          <cell r="AE1749">
            <v>15531853</v>
          </cell>
          <cell r="AF1749">
            <v>14854357</v>
          </cell>
          <cell r="AG1749">
            <v>0</v>
          </cell>
          <cell r="AH1749">
            <v>0</v>
          </cell>
          <cell r="AI1749">
            <v>0</v>
          </cell>
          <cell r="AJ1749">
            <v>0</v>
          </cell>
          <cell r="AK1749">
            <v>516184</v>
          </cell>
          <cell r="AL1749">
            <v>1129154</v>
          </cell>
          <cell r="AM1749">
            <v>96786</v>
          </cell>
          <cell r="AN1749">
            <v>193572</v>
          </cell>
          <cell r="AO1749">
            <v>64526</v>
          </cell>
          <cell r="AP1749">
            <v>64526</v>
          </cell>
        </row>
        <row r="1750">
          <cell r="D1750" t="str">
            <v>NV khác</v>
          </cell>
          <cell r="G1750" t="str">
            <v>Quản lý</v>
          </cell>
          <cell r="I1750" t="str">
            <v>MHMP</v>
          </cell>
          <cell r="AC1750">
            <v>930000</v>
          </cell>
          <cell r="AD1750">
            <v>27992970</v>
          </cell>
          <cell r="AE1750">
            <v>15089596</v>
          </cell>
          <cell r="AF1750">
            <v>14471429</v>
          </cell>
          <cell r="AG1750">
            <v>0</v>
          </cell>
          <cell r="AH1750">
            <v>0</v>
          </cell>
          <cell r="AI1750">
            <v>0</v>
          </cell>
          <cell r="AJ1750">
            <v>0</v>
          </cell>
          <cell r="AK1750">
            <v>470984</v>
          </cell>
          <cell r="AL1750">
            <v>1030278</v>
          </cell>
          <cell r="AM1750">
            <v>88310</v>
          </cell>
          <cell r="AN1750">
            <v>176619</v>
          </cell>
          <cell r="AO1750">
            <v>58873</v>
          </cell>
          <cell r="AP1750">
            <v>58873</v>
          </cell>
        </row>
        <row r="1751">
          <cell r="D1751" t="str">
            <v>NV khác</v>
          </cell>
          <cell r="G1751" t="str">
            <v>Quản lý</v>
          </cell>
          <cell r="I1751" t="str">
            <v>CNCM</v>
          </cell>
          <cell r="AC1751">
            <v>1230000</v>
          </cell>
          <cell r="AD1751">
            <v>46301970</v>
          </cell>
          <cell r="AE1751">
            <v>37003717</v>
          </cell>
          <cell r="AF1751">
            <v>36025518</v>
          </cell>
          <cell r="AG1751">
            <v>0</v>
          </cell>
          <cell r="AH1751">
            <v>0</v>
          </cell>
          <cell r="AI1751">
            <v>0</v>
          </cell>
          <cell r="AJ1751">
            <v>0</v>
          </cell>
          <cell r="AK1751">
            <v>745294</v>
          </cell>
          <cell r="AL1751">
            <v>1630330</v>
          </cell>
          <cell r="AM1751">
            <v>139743</v>
          </cell>
          <cell r="AN1751">
            <v>279485</v>
          </cell>
          <cell r="AO1751">
            <v>93162</v>
          </cell>
          <cell r="AP1751">
            <v>93162</v>
          </cell>
        </row>
        <row r="1752">
          <cell r="D1752" t="str">
            <v>NV khác</v>
          </cell>
          <cell r="G1752" t="str">
            <v>Quản lý</v>
          </cell>
          <cell r="I1752" t="str">
            <v>DVSBH</v>
          </cell>
          <cell r="AC1752">
            <v>930000</v>
          </cell>
          <cell r="AD1752">
            <v>28518964</v>
          </cell>
          <cell r="AE1752">
            <v>9906278</v>
          </cell>
          <cell r="AF1752">
            <v>9508884</v>
          </cell>
          <cell r="AG1752">
            <v>0</v>
          </cell>
          <cell r="AH1752">
            <v>0</v>
          </cell>
          <cell r="AI1752">
            <v>0</v>
          </cell>
          <cell r="AJ1752">
            <v>0</v>
          </cell>
          <cell r="AK1752">
            <v>302777</v>
          </cell>
          <cell r="AL1752">
            <v>662321</v>
          </cell>
          <cell r="AM1752">
            <v>56770</v>
          </cell>
          <cell r="AN1752">
            <v>113541</v>
          </cell>
          <cell r="AO1752">
            <v>37847</v>
          </cell>
          <cell r="AP1752">
            <v>37847</v>
          </cell>
        </row>
        <row r="1753">
          <cell r="D1753" t="str">
            <v>NV khác</v>
          </cell>
          <cell r="G1753" t="str">
            <v>Quản lý</v>
          </cell>
          <cell r="I1753" t="str">
            <v>DVSBH</v>
          </cell>
          <cell r="AC1753">
            <v>1730000</v>
          </cell>
          <cell r="AD1753">
            <v>78158956</v>
          </cell>
          <cell r="AE1753">
            <v>47700858</v>
          </cell>
          <cell r="AF1753">
            <v>46821218</v>
          </cell>
          <cell r="AG1753">
            <v>0</v>
          </cell>
          <cell r="AH1753">
            <v>0</v>
          </cell>
          <cell r="AI1753">
            <v>0</v>
          </cell>
          <cell r="AJ1753">
            <v>0</v>
          </cell>
          <cell r="AK1753">
            <v>879640</v>
          </cell>
          <cell r="AL1753">
            <v>1924208</v>
          </cell>
          <cell r="AM1753">
            <v>0</v>
          </cell>
          <cell r="AN1753">
            <v>0</v>
          </cell>
          <cell r="AO1753">
            <v>0</v>
          </cell>
          <cell r="AP1753">
            <v>0</v>
          </cell>
        </row>
        <row r="1754">
          <cell r="D1754" t="str">
            <v>NV khác</v>
          </cell>
          <cell r="G1754" t="str">
            <v>Quản lý</v>
          </cell>
          <cell r="I1754" t="str">
            <v>ĐPT</v>
          </cell>
          <cell r="AC1754">
            <v>1730000</v>
          </cell>
          <cell r="AD1754">
            <v>106332214</v>
          </cell>
          <cell r="AE1754">
            <v>84370680</v>
          </cell>
          <cell r="AF1754">
            <v>83509412</v>
          </cell>
          <cell r="AG1754">
            <v>0</v>
          </cell>
          <cell r="AH1754">
            <v>0</v>
          </cell>
          <cell r="AI1754">
            <v>0</v>
          </cell>
          <cell r="AJ1754">
            <v>0</v>
          </cell>
          <cell r="AK1754">
            <v>725278</v>
          </cell>
          <cell r="AL1754">
            <v>1586545</v>
          </cell>
          <cell r="AM1754">
            <v>135990</v>
          </cell>
          <cell r="AN1754">
            <v>271979</v>
          </cell>
          <cell r="AO1754">
            <v>0</v>
          </cell>
          <cell r="AP1754">
            <v>0</v>
          </cell>
        </row>
        <row r="1755">
          <cell r="D1755" t="str">
            <v>NV khác</v>
          </cell>
          <cell r="G1755" t="str">
            <v>Quản lý</v>
          </cell>
          <cell r="I1755" t="str">
            <v>DVSBH</v>
          </cell>
          <cell r="AC1755">
            <v>1030000</v>
          </cell>
          <cell r="AD1755">
            <v>34525095</v>
          </cell>
          <cell r="AE1755">
            <v>17581435</v>
          </cell>
          <cell r="AF1755">
            <v>16977987</v>
          </cell>
          <cell r="AG1755">
            <v>0</v>
          </cell>
          <cell r="AH1755">
            <v>0</v>
          </cell>
          <cell r="AI1755">
            <v>0</v>
          </cell>
          <cell r="AJ1755">
            <v>0</v>
          </cell>
          <cell r="AK1755">
            <v>459770</v>
          </cell>
          <cell r="AL1755">
            <v>1005748</v>
          </cell>
          <cell r="AM1755">
            <v>86207</v>
          </cell>
          <cell r="AN1755">
            <v>172414</v>
          </cell>
          <cell r="AO1755">
            <v>57471</v>
          </cell>
          <cell r="AP1755">
            <v>57471</v>
          </cell>
        </row>
        <row r="1756">
          <cell r="D1756" t="str">
            <v>NV khác</v>
          </cell>
          <cell r="G1756" t="str">
            <v>Quản lý</v>
          </cell>
          <cell r="I1756" t="str">
            <v>VTBR</v>
          </cell>
          <cell r="AC1756">
            <v>1230000</v>
          </cell>
          <cell r="AD1756">
            <v>91501755</v>
          </cell>
          <cell r="AE1756">
            <v>18969603</v>
          </cell>
          <cell r="AF1756">
            <v>18701012</v>
          </cell>
          <cell r="AG1756">
            <v>0</v>
          </cell>
          <cell r="AH1756">
            <v>0</v>
          </cell>
          <cell r="AI1756">
            <v>0</v>
          </cell>
          <cell r="AJ1756">
            <v>0</v>
          </cell>
          <cell r="AK1756">
            <v>268591</v>
          </cell>
          <cell r="AL1756">
            <v>587543</v>
          </cell>
          <cell r="AM1756">
            <v>0</v>
          </cell>
          <cell r="AN1756">
            <v>0</v>
          </cell>
          <cell r="AO1756">
            <v>0</v>
          </cell>
          <cell r="AP1756">
            <v>0</v>
          </cell>
        </row>
        <row r="1757">
          <cell r="D1757" t="str">
            <v>NV khác</v>
          </cell>
          <cell r="G1757" t="str">
            <v>Quản lý</v>
          </cell>
          <cell r="I1757" t="str">
            <v>MHMP</v>
          </cell>
          <cell r="AC1757">
            <v>2432000</v>
          </cell>
          <cell r="AD1757">
            <v>128972079</v>
          </cell>
          <cell r="AE1757">
            <v>85730986</v>
          </cell>
          <cell r="AF1757">
            <v>84788670</v>
          </cell>
          <cell r="AG1757">
            <v>0</v>
          </cell>
          <cell r="AH1757">
            <v>0</v>
          </cell>
          <cell r="AI1757">
            <v>0</v>
          </cell>
          <cell r="AJ1757">
            <v>0</v>
          </cell>
          <cell r="AK1757">
            <v>942316</v>
          </cell>
          <cell r="AL1757">
            <v>2061316</v>
          </cell>
          <cell r="AM1757">
            <v>0</v>
          </cell>
          <cell r="AN1757">
            <v>0</v>
          </cell>
          <cell r="AO1757">
            <v>0</v>
          </cell>
          <cell r="AP1757">
            <v>0</v>
          </cell>
        </row>
        <row r="1758">
          <cell r="D1758" t="str">
            <v>NV khác</v>
          </cell>
          <cell r="G1758" t="str">
            <v>Quản lý</v>
          </cell>
          <cell r="I1758" t="str">
            <v>RD</v>
          </cell>
          <cell r="AC1758">
            <v>1130000</v>
          </cell>
          <cell r="AD1758">
            <v>74402192</v>
          </cell>
          <cell r="AE1758">
            <v>3082965</v>
          </cell>
          <cell r="AF1758">
            <v>3039567</v>
          </cell>
          <cell r="AG1758">
            <v>0</v>
          </cell>
          <cell r="AH1758">
            <v>0</v>
          </cell>
          <cell r="AI1758">
            <v>0</v>
          </cell>
          <cell r="AJ1758">
            <v>0</v>
          </cell>
          <cell r="AK1758">
            <v>36545</v>
          </cell>
          <cell r="AL1758">
            <v>79941</v>
          </cell>
          <cell r="AM1758">
            <v>6853</v>
          </cell>
          <cell r="AN1758">
            <v>13704</v>
          </cell>
          <cell r="AO1758">
            <v>0</v>
          </cell>
          <cell r="AP1758">
            <v>0</v>
          </cell>
        </row>
        <row r="1759">
          <cell r="D1759" t="str">
            <v>NV khác</v>
          </cell>
          <cell r="G1759" t="str">
            <v>Quản lý</v>
          </cell>
          <cell r="I1759" t="str">
            <v>MHMP</v>
          </cell>
          <cell r="AC1759">
            <v>1230000</v>
          </cell>
          <cell r="AD1759">
            <v>82786834</v>
          </cell>
          <cell r="AE1759">
            <v>54656048</v>
          </cell>
          <cell r="AF1759">
            <v>53803067</v>
          </cell>
          <cell r="AG1759">
            <v>0</v>
          </cell>
          <cell r="AH1759">
            <v>0</v>
          </cell>
          <cell r="AI1759">
            <v>0</v>
          </cell>
          <cell r="AJ1759">
            <v>0</v>
          </cell>
          <cell r="AK1759">
            <v>852981</v>
          </cell>
          <cell r="AL1759">
            <v>1865896</v>
          </cell>
          <cell r="AM1759">
            <v>0</v>
          </cell>
          <cell r="AN1759">
            <v>0</v>
          </cell>
          <cell r="AO1759">
            <v>0</v>
          </cell>
          <cell r="AP1759">
            <v>0</v>
          </cell>
        </row>
        <row r="1760">
          <cell r="D1760" t="str">
            <v>NV khác</v>
          </cell>
          <cell r="G1760" t="str">
            <v>Quản lý</v>
          </cell>
          <cell r="I1760" t="str">
            <v>KDDH</v>
          </cell>
          <cell r="AC1760">
            <v>1347000</v>
          </cell>
          <cell r="AD1760">
            <v>76141940</v>
          </cell>
          <cell r="AE1760">
            <v>37762592</v>
          </cell>
          <cell r="AF1760">
            <v>37230237</v>
          </cell>
          <cell r="AG1760">
            <v>0</v>
          </cell>
          <cell r="AH1760">
            <v>0</v>
          </cell>
          <cell r="AI1760">
            <v>0</v>
          </cell>
          <cell r="AJ1760">
            <v>0</v>
          </cell>
          <cell r="AK1760">
            <v>448300</v>
          </cell>
          <cell r="AL1760">
            <v>980663</v>
          </cell>
          <cell r="AM1760">
            <v>84055</v>
          </cell>
          <cell r="AN1760">
            <v>168118</v>
          </cell>
          <cell r="AO1760">
            <v>0</v>
          </cell>
          <cell r="AP1760">
            <v>0</v>
          </cell>
        </row>
        <row r="1761">
          <cell r="D1761" t="str">
            <v>NV khác</v>
          </cell>
          <cell r="G1761" t="str">
            <v>Quản lý</v>
          </cell>
          <cell r="I1761" t="str">
            <v>CNCM</v>
          </cell>
          <cell r="AC1761">
            <v>1247000</v>
          </cell>
          <cell r="AD1761">
            <v>46485599</v>
          </cell>
          <cell r="AE1761">
            <v>40740831</v>
          </cell>
          <cell r="AF1761">
            <v>39610015</v>
          </cell>
          <cell r="AG1761">
            <v>0</v>
          </cell>
          <cell r="AH1761">
            <v>0</v>
          </cell>
          <cell r="AI1761">
            <v>0</v>
          </cell>
          <cell r="AJ1761">
            <v>0</v>
          </cell>
          <cell r="AK1761">
            <v>861574</v>
          </cell>
          <cell r="AL1761">
            <v>1884692</v>
          </cell>
          <cell r="AM1761">
            <v>161545</v>
          </cell>
          <cell r="AN1761">
            <v>323090</v>
          </cell>
          <cell r="AO1761">
            <v>107697</v>
          </cell>
          <cell r="AP1761">
            <v>107697</v>
          </cell>
        </row>
        <row r="1762">
          <cell r="D1762" t="str">
            <v>NV khác</v>
          </cell>
          <cell r="G1762" t="str">
            <v>Quản lý</v>
          </cell>
          <cell r="I1762" t="str">
            <v>DVSBH</v>
          </cell>
          <cell r="AC1762">
            <v>1130000</v>
          </cell>
          <cell r="AD1762">
            <v>52465939</v>
          </cell>
          <cell r="AE1762">
            <v>37995775</v>
          </cell>
          <cell r="AF1762">
            <v>37021653</v>
          </cell>
          <cell r="AG1762">
            <v>0</v>
          </cell>
          <cell r="AH1762">
            <v>0</v>
          </cell>
          <cell r="AI1762">
            <v>0</v>
          </cell>
          <cell r="AJ1762">
            <v>0</v>
          </cell>
          <cell r="AK1762">
            <v>742187</v>
          </cell>
          <cell r="AL1762">
            <v>1623535</v>
          </cell>
          <cell r="AM1762">
            <v>139161</v>
          </cell>
          <cell r="AN1762">
            <v>278322</v>
          </cell>
          <cell r="AO1762">
            <v>92774</v>
          </cell>
          <cell r="AP1762">
            <v>92774</v>
          </cell>
        </row>
        <row r="1763">
          <cell r="D1763" t="str">
            <v>NV khác</v>
          </cell>
          <cell r="G1763" t="str">
            <v>Quản lý</v>
          </cell>
          <cell r="I1763" t="str">
            <v>DVSBH</v>
          </cell>
          <cell r="AC1763">
            <v>930000</v>
          </cell>
          <cell r="AD1763">
            <v>27734076</v>
          </cell>
          <cell r="AE1763">
            <v>18131724</v>
          </cell>
          <cell r="AF1763">
            <v>17381091</v>
          </cell>
          <cell r="AG1763">
            <v>0</v>
          </cell>
          <cell r="AH1763">
            <v>0</v>
          </cell>
          <cell r="AI1763">
            <v>0</v>
          </cell>
          <cell r="AJ1763">
            <v>0</v>
          </cell>
          <cell r="AK1763">
            <v>571911</v>
          </cell>
          <cell r="AL1763">
            <v>1251051</v>
          </cell>
          <cell r="AM1763">
            <v>107232</v>
          </cell>
          <cell r="AN1763">
            <v>214467</v>
          </cell>
          <cell r="AO1763">
            <v>71490</v>
          </cell>
          <cell r="AP1763">
            <v>71490</v>
          </cell>
        </row>
        <row r="1764">
          <cell r="D1764" t="str">
            <v>NV khác</v>
          </cell>
          <cell r="G1764" t="str">
            <v>Quản lý</v>
          </cell>
          <cell r="I1764" t="str">
            <v>DVSBH</v>
          </cell>
          <cell r="AC1764">
            <v>1615000</v>
          </cell>
          <cell r="AD1764">
            <v>39576662</v>
          </cell>
          <cell r="AE1764">
            <v>7750185</v>
          </cell>
          <cell r="AF1764">
            <v>7538082</v>
          </cell>
          <cell r="AG1764">
            <v>0</v>
          </cell>
          <cell r="AH1764">
            <v>0</v>
          </cell>
          <cell r="AI1764">
            <v>0</v>
          </cell>
          <cell r="AJ1764">
            <v>0</v>
          </cell>
          <cell r="AK1764">
            <v>178613</v>
          </cell>
          <cell r="AL1764">
            <v>390716</v>
          </cell>
          <cell r="AM1764">
            <v>33490</v>
          </cell>
          <cell r="AN1764">
            <v>66980</v>
          </cell>
          <cell r="AO1764">
            <v>0</v>
          </cell>
          <cell r="AP1764">
            <v>0</v>
          </cell>
        </row>
        <row r="1765">
          <cell r="D1765" t="str">
            <v>NV khác</v>
          </cell>
          <cell r="G1765" t="str">
            <v>Quản lý</v>
          </cell>
          <cell r="I1765" t="str">
            <v>DVSBH</v>
          </cell>
          <cell r="AC1765">
            <v>1030000</v>
          </cell>
          <cell r="AD1765">
            <v>32206110</v>
          </cell>
          <cell r="AE1765">
            <v>7539962</v>
          </cell>
          <cell r="AF1765">
            <v>7275032</v>
          </cell>
          <cell r="AG1765">
            <v>0</v>
          </cell>
          <cell r="AH1765">
            <v>0</v>
          </cell>
          <cell r="AI1765">
            <v>0</v>
          </cell>
          <cell r="AJ1765">
            <v>0</v>
          </cell>
          <cell r="AK1765">
            <v>201851</v>
          </cell>
          <cell r="AL1765">
            <v>441547</v>
          </cell>
          <cell r="AM1765">
            <v>37847</v>
          </cell>
          <cell r="AN1765">
            <v>75694</v>
          </cell>
          <cell r="AO1765">
            <v>25232</v>
          </cell>
          <cell r="AP1765">
            <v>25232</v>
          </cell>
        </row>
        <row r="1766">
          <cell r="D1766" t="str">
            <v>NV khác</v>
          </cell>
          <cell r="G1766" t="str">
            <v>Quản lý</v>
          </cell>
          <cell r="I1766" t="str">
            <v>TH</v>
          </cell>
          <cell r="AC1766">
            <v>1047000</v>
          </cell>
          <cell r="AD1766">
            <v>23978241</v>
          </cell>
          <cell r="AE1766">
            <v>4539085</v>
          </cell>
          <cell r="AF1766">
            <v>4339822</v>
          </cell>
          <cell r="AG1766">
            <v>0</v>
          </cell>
          <cell r="AH1766">
            <v>0</v>
          </cell>
          <cell r="AI1766">
            <v>0</v>
          </cell>
          <cell r="AJ1766">
            <v>0</v>
          </cell>
          <cell r="AK1766">
            <v>151819</v>
          </cell>
          <cell r="AL1766">
            <v>332104</v>
          </cell>
          <cell r="AM1766">
            <v>28467</v>
          </cell>
          <cell r="AN1766">
            <v>56932</v>
          </cell>
          <cell r="AO1766">
            <v>18977</v>
          </cell>
          <cell r="AP1766">
            <v>18977</v>
          </cell>
        </row>
        <row r="1767">
          <cell r="D1767" t="str">
            <v>NV khác</v>
          </cell>
          <cell r="G1767" t="str">
            <v>Quản lý</v>
          </cell>
          <cell r="I1767" t="str">
            <v>TTQS</v>
          </cell>
          <cell r="AC1767">
            <v>1730000</v>
          </cell>
          <cell r="AD1767">
            <v>104128427</v>
          </cell>
          <cell r="AE1767">
            <v>17194361</v>
          </cell>
          <cell r="AF1767">
            <v>16942438</v>
          </cell>
          <cell r="AG1767">
            <v>0</v>
          </cell>
          <cell r="AH1767">
            <v>0</v>
          </cell>
          <cell r="AI1767">
            <v>0</v>
          </cell>
          <cell r="AJ1767">
            <v>0</v>
          </cell>
          <cell r="AK1767">
            <v>251923</v>
          </cell>
          <cell r="AL1767">
            <v>551081</v>
          </cell>
          <cell r="AM1767">
            <v>0</v>
          </cell>
          <cell r="AN1767">
            <v>0</v>
          </cell>
          <cell r="AO1767">
            <v>0</v>
          </cell>
          <cell r="AP1767">
            <v>0</v>
          </cell>
        </row>
        <row r="1768">
          <cell r="D1768" t="str">
            <v>NV khác</v>
          </cell>
          <cell r="G1768" t="str">
            <v>Quản lý</v>
          </cell>
          <cell r="I1768" t="str">
            <v>BGĐ</v>
          </cell>
          <cell r="AC1768">
            <v>2730000</v>
          </cell>
          <cell r="AD1768">
            <v>132112699</v>
          </cell>
          <cell r="AE1768">
            <v>71133654</v>
          </cell>
          <cell r="AF1768">
            <v>70314906</v>
          </cell>
          <cell r="AG1768">
            <v>0</v>
          </cell>
          <cell r="AH1768">
            <v>0</v>
          </cell>
          <cell r="AI1768">
            <v>0</v>
          </cell>
          <cell r="AJ1768">
            <v>0</v>
          </cell>
          <cell r="AK1768">
            <v>818748</v>
          </cell>
          <cell r="AL1768">
            <v>1791011</v>
          </cell>
          <cell r="AM1768">
            <v>0</v>
          </cell>
          <cell r="AN1768">
            <v>0</v>
          </cell>
          <cell r="AO1768">
            <v>0</v>
          </cell>
          <cell r="AP1768">
            <v>0</v>
          </cell>
        </row>
        <row r="1769">
          <cell r="D1769" t="str">
            <v>NV khác</v>
          </cell>
          <cell r="G1769" t="str">
            <v>Quản lý</v>
          </cell>
          <cell r="I1769" t="str">
            <v>CNCM</v>
          </cell>
          <cell r="AC1769">
            <v>1930000</v>
          </cell>
          <cell r="AD1769">
            <v>63894966</v>
          </cell>
          <cell r="AE1769">
            <v>49596589</v>
          </cell>
          <cell r="AF1769">
            <v>48924469</v>
          </cell>
          <cell r="AG1769">
            <v>0</v>
          </cell>
          <cell r="AH1769">
            <v>0</v>
          </cell>
          <cell r="AI1769">
            <v>0</v>
          </cell>
          <cell r="AJ1769">
            <v>0</v>
          </cell>
          <cell r="AK1769">
            <v>565995</v>
          </cell>
          <cell r="AL1769">
            <v>1238114</v>
          </cell>
          <cell r="AM1769">
            <v>106125</v>
          </cell>
          <cell r="AN1769">
            <v>212248</v>
          </cell>
          <cell r="AO1769">
            <v>0</v>
          </cell>
          <cell r="AP1769">
            <v>0</v>
          </cell>
        </row>
        <row r="1770">
          <cell r="D1770" t="str">
            <v>NV khác</v>
          </cell>
          <cell r="G1770" t="str">
            <v>Quản lý</v>
          </cell>
          <cell r="I1770" t="str">
            <v>CNCM</v>
          </cell>
          <cell r="AC1770">
            <v>1147000</v>
          </cell>
          <cell r="AD1770">
            <v>25200834</v>
          </cell>
          <cell r="AE1770">
            <v>21045753</v>
          </cell>
          <cell r="AF1770">
            <v>20168997</v>
          </cell>
          <cell r="AG1770">
            <v>0</v>
          </cell>
          <cell r="AH1770">
            <v>0</v>
          </cell>
          <cell r="AI1770">
            <v>0</v>
          </cell>
          <cell r="AJ1770">
            <v>0</v>
          </cell>
          <cell r="AK1770">
            <v>668004</v>
          </cell>
          <cell r="AL1770">
            <v>1461259</v>
          </cell>
          <cell r="AM1770">
            <v>125251</v>
          </cell>
          <cell r="AN1770">
            <v>250502</v>
          </cell>
          <cell r="AO1770">
            <v>83501</v>
          </cell>
          <cell r="AP1770">
            <v>83501</v>
          </cell>
        </row>
        <row r="1771">
          <cell r="D1771" t="str">
            <v>NV khác</v>
          </cell>
          <cell r="G1771" t="str">
            <v>Quản lý</v>
          </cell>
          <cell r="I1771" t="str">
            <v>ĐBCL</v>
          </cell>
          <cell r="AC1771">
            <v>1730000</v>
          </cell>
          <cell r="AD1771">
            <v>77166854</v>
          </cell>
          <cell r="AE1771">
            <v>22260400</v>
          </cell>
          <cell r="AF1771">
            <v>21965418</v>
          </cell>
          <cell r="AG1771">
            <v>0</v>
          </cell>
          <cell r="AH1771">
            <v>0</v>
          </cell>
          <cell r="AI1771">
            <v>0</v>
          </cell>
          <cell r="AJ1771">
            <v>0</v>
          </cell>
          <cell r="AK1771">
            <v>248406</v>
          </cell>
          <cell r="AL1771">
            <v>543388</v>
          </cell>
          <cell r="AM1771">
            <v>46576</v>
          </cell>
          <cell r="AN1771">
            <v>93154</v>
          </cell>
          <cell r="AO1771">
            <v>0</v>
          </cell>
          <cell r="AP1771">
            <v>0</v>
          </cell>
        </row>
        <row r="1772">
          <cell r="D1772" t="str">
            <v>NV khác</v>
          </cell>
          <cell r="G1772" t="str">
            <v>Quản lý</v>
          </cell>
          <cell r="I1772" t="str">
            <v>KDDH</v>
          </cell>
          <cell r="AC1772">
            <v>1147000</v>
          </cell>
          <cell r="AD1772">
            <v>34970271</v>
          </cell>
          <cell r="AE1772">
            <v>8200119</v>
          </cell>
          <cell r="AF1772">
            <v>7921604</v>
          </cell>
          <cell r="AG1772">
            <v>0</v>
          </cell>
          <cell r="AH1772">
            <v>0</v>
          </cell>
          <cell r="AI1772">
            <v>0</v>
          </cell>
          <cell r="AJ1772">
            <v>0</v>
          </cell>
          <cell r="AK1772">
            <v>212202</v>
          </cell>
          <cell r="AL1772">
            <v>464192</v>
          </cell>
          <cell r="AM1772">
            <v>39788</v>
          </cell>
          <cell r="AN1772">
            <v>79575</v>
          </cell>
          <cell r="AO1772">
            <v>26525</v>
          </cell>
          <cell r="AP1772">
            <v>26525</v>
          </cell>
        </row>
        <row r="1773">
          <cell r="D1773" t="str">
            <v>NV khác</v>
          </cell>
          <cell r="G1773" t="str">
            <v>Quản lý</v>
          </cell>
          <cell r="I1773" t="str">
            <v>KDDH</v>
          </cell>
          <cell r="AC1773">
            <v>1030000</v>
          </cell>
          <cell r="AD1773">
            <v>39198549</v>
          </cell>
          <cell r="AE1773">
            <v>12400297</v>
          </cell>
          <cell r="AF1773">
            <v>12009017</v>
          </cell>
          <cell r="AG1773">
            <v>0</v>
          </cell>
          <cell r="AH1773">
            <v>0</v>
          </cell>
          <cell r="AI1773">
            <v>0</v>
          </cell>
          <cell r="AJ1773">
            <v>0</v>
          </cell>
          <cell r="AK1773">
            <v>298118</v>
          </cell>
          <cell r="AL1773">
            <v>652132</v>
          </cell>
          <cell r="AM1773">
            <v>55897</v>
          </cell>
          <cell r="AN1773">
            <v>111793</v>
          </cell>
          <cell r="AO1773">
            <v>37265</v>
          </cell>
          <cell r="AP1773">
            <v>37265</v>
          </cell>
        </row>
        <row r="1774">
          <cell r="D1774" t="str">
            <v>NV khác</v>
          </cell>
          <cell r="G1774" t="str">
            <v>Quản lý</v>
          </cell>
          <cell r="I1774" t="str">
            <v>CHĐK</v>
          </cell>
          <cell r="AC1774">
            <v>1730000</v>
          </cell>
          <cell r="AD1774">
            <v>114019854</v>
          </cell>
          <cell r="AE1774">
            <v>75588921</v>
          </cell>
          <cell r="AF1774">
            <v>74552712</v>
          </cell>
          <cell r="AG1774">
            <v>0</v>
          </cell>
          <cell r="AH1774">
            <v>0</v>
          </cell>
          <cell r="AI1774">
            <v>0</v>
          </cell>
          <cell r="AJ1774">
            <v>0</v>
          </cell>
          <cell r="AK1774">
            <v>1036209</v>
          </cell>
          <cell r="AL1774">
            <v>2266707</v>
          </cell>
          <cell r="AM1774">
            <v>0</v>
          </cell>
          <cell r="AN1774">
            <v>0</v>
          </cell>
          <cell r="AO1774">
            <v>0</v>
          </cell>
          <cell r="AP1774">
            <v>0</v>
          </cell>
        </row>
        <row r="1775">
          <cell r="D1775" t="str">
            <v>NV khác</v>
          </cell>
          <cell r="G1775" t="str">
            <v>Quản lý</v>
          </cell>
          <cell r="I1775" t="str">
            <v>DVSBH</v>
          </cell>
          <cell r="AC1775">
            <v>1030000</v>
          </cell>
          <cell r="AD1775">
            <v>51950803</v>
          </cell>
          <cell r="AE1775">
            <v>35578057</v>
          </cell>
          <cell r="AF1775">
            <v>34658051</v>
          </cell>
          <cell r="AG1775">
            <v>0</v>
          </cell>
          <cell r="AH1775">
            <v>0</v>
          </cell>
          <cell r="AI1775">
            <v>0</v>
          </cell>
          <cell r="AJ1775">
            <v>0</v>
          </cell>
          <cell r="AK1775">
            <v>700956</v>
          </cell>
          <cell r="AL1775">
            <v>1533340</v>
          </cell>
          <cell r="AM1775">
            <v>131430</v>
          </cell>
          <cell r="AN1775">
            <v>262858</v>
          </cell>
          <cell r="AO1775">
            <v>87620</v>
          </cell>
          <cell r="AP1775">
            <v>87620</v>
          </cell>
        </row>
        <row r="1776">
          <cell r="D1776" t="str">
            <v>NV khác</v>
          </cell>
          <cell r="G1776" t="str">
            <v>Quản lý</v>
          </cell>
          <cell r="I1776" t="str">
            <v>CHĐK</v>
          </cell>
          <cell r="AC1776">
            <v>930000</v>
          </cell>
          <cell r="AD1776">
            <v>30873290</v>
          </cell>
          <cell r="AE1776">
            <v>25264251</v>
          </cell>
          <cell r="AF1776">
            <v>24337000</v>
          </cell>
          <cell r="AG1776">
            <v>0</v>
          </cell>
          <cell r="AH1776">
            <v>0</v>
          </cell>
          <cell r="AI1776">
            <v>0</v>
          </cell>
          <cell r="AJ1776">
            <v>0</v>
          </cell>
          <cell r="AK1776">
            <v>706477</v>
          </cell>
          <cell r="AL1776">
            <v>1545417</v>
          </cell>
          <cell r="AM1776">
            <v>132464</v>
          </cell>
          <cell r="AN1776">
            <v>264929</v>
          </cell>
          <cell r="AO1776">
            <v>88310</v>
          </cell>
          <cell r="AP1776">
            <v>88310</v>
          </cell>
        </row>
        <row r="1777">
          <cell r="D1777" t="str">
            <v>NV khác</v>
          </cell>
          <cell r="G1777" t="str">
            <v>Quản lý</v>
          </cell>
          <cell r="I1777" t="str">
            <v>DVSBH</v>
          </cell>
          <cell r="AC1777">
            <v>1498000</v>
          </cell>
          <cell r="AD1777">
            <v>34029534</v>
          </cell>
          <cell r="AE1777">
            <v>2621048</v>
          </cell>
          <cell r="AF1777">
            <v>2528210</v>
          </cell>
          <cell r="AG1777">
            <v>0</v>
          </cell>
          <cell r="AH1777">
            <v>0</v>
          </cell>
          <cell r="AI1777">
            <v>0</v>
          </cell>
          <cell r="AJ1777">
            <v>0</v>
          </cell>
          <cell r="AK1777">
            <v>70733</v>
          </cell>
          <cell r="AL1777">
            <v>154730</v>
          </cell>
          <cell r="AM1777">
            <v>13263</v>
          </cell>
          <cell r="AN1777">
            <v>26525</v>
          </cell>
          <cell r="AO1777">
            <v>8842</v>
          </cell>
          <cell r="AP1777">
            <v>8842</v>
          </cell>
        </row>
        <row r="1778">
          <cell r="D1778" t="str">
            <v>NV khác</v>
          </cell>
          <cell r="G1778" t="str">
            <v>Quản lý</v>
          </cell>
          <cell r="I1778" t="str">
            <v>CNTD</v>
          </cell>
          <cell r="AC1778">
            <v>1030000</v>
          </cell>
          <cell r="AD1778">
            <v>42198549</v>
          </cell>
          <cell r="AE1778">
            <v>30248494</v>
          </cell>
          <cell r="AF1778">
            <v>29368115</v>
          </cell>
          <cell r="AG1778">
            <v>0</v>
          </cell>
          <cell r="AH1778">
            <v>0</v>
          </cell>
          <cell r="AI1778">
            <v>0</v>
          </cell>
          <cell r="AJ1778">
            <v>0</v>
          </cell>
          <cell r="AK1778">
            <v>670765</v>
          </cell>
          <cell r="AL1778">
            <v>1467297</v>
          </cell>
          <cell r="AM1778">
            <v>125768</v>
          </cell>
          <cell r="AN1778">
            <v>251537</v>
          </cell>
          <cell r="AO1778">
            <v>83846</v>
          </cell>
          <cell r="AP1778">
            <v>83846</v>
          </cell>
        </row>
        <row r="1779">
          <cell r="D1779" t="str">
            <v>NV khác</v>
          </cell>
          <cell r="G1779" t="str">
            <v>Quản lý</v>
          </cell>
          <cell r="I1779" t="str">
            <v>MHMP</v>
          </cell>
          <cell r="AC1779">
            <v>1130000</v>
          </cell>
          <cell r="AD1779">
            <v>68879097</v>
          </cell>
          <cell r="AE1779">
            <v>11247289</v>
          </cell>
          <cell r="AF1779">
            <v>11008174</v>
          </cell>
          <cell r="AG1779">
            <v>0</v>
          </cell>
          <cell r="AH1779">
            <v>0</v>
          </cell>
          <cell r="AI1779">
            <v>0</v>
          </cell>
          <cell r="AJ1779">
            <v>0</v>
          </cell>
          <cell r="AK1779">
            <v>182183</v>
          </cell>
          <cell r="AL1779">
            <v>398525</v>
          </cell>
          <cell r="AM1779">
            <v>34159</v>
          </cell>
          <cell r="AN1779">
            <v>68319</v>
          </cell>
          <cell r="AO1779">
            <v>22773</v>
          </cell>
          <cell r="AP1779">
            <v>22773</v>
          </cell>
        </row>
        <row r="1780">
          <cell r="D1780" t="str">
            <v>NV khác</v>
          </cell>
          <cell r="G1780" t="str">
            <v>Quản lý</v>
          </cell>
          <cell r="I1780" t="str">
            <v>RD</v>
          </cell>
          <cell r="AC1780">
            <v>1030000</v>
          </cell>
          <cell r="AD1780">
            <v>47311866</v>
          </cell>
          <cell r="AE1780">
            <v>9455670</v>
          </cell>
          <cell r="AF1780">
            <v>9185081</v>
          </cell>
          <cell r="AG1780">
            <v>0</v>
          </cell>
          <cell r="AH1780">
            <v>0</v>
          </cell>
          <cell r="AI1780">
            <v>0</v>
          </cell>
          <cell r="AJ1780">
            <v>0</v>
          </cell>
          <cell r="AK1780">
            <v>206164</v>
          </cell>
          <cell r="AL1780">
            <v>450983</v>
          </cell>
          <cell r="AM1780">
            <v>38655</v>
          </cell>
          <cell r="AN1780">
            <v>77311</v>
          </cell>
          <cell r="AO1780">
            <v>25770</v>
          </cell>
          <cell r="AP1780">
            <v>25770</v>
          </cell>
        </row>
        <row r="1781">
          <cell r="D1781" t="str">
            <v>NV khác</v>
          </cell>
          <cell r="G1781" t="str">
            <v>Quản lý</v>
          </cell>
          <cell r="I1781" t="str">
            <v>QLSX</v>
          </cell>
          <cell r="AC1781">
            <v>1230000</v>
          </cell>
          <cell r="AD1781">
            <v>55451388</v>
          </cell>
          <cell r="AE1781">
            <v>40144486</v>
          </cell>
          <cell r="AF1781">
            <v>39121454</v>
          </cell>
          <cell r="AG1781">
            <v>0</v>
          </cell>
          <cell r="AH1781">
            <v>0</v>
          </cell>
          <cell r="AI1781">
            <v>0</v>
          </cell>
          <cell r="AJ1781">
            <v>0</v>
          </cell>
          <cell r="AK1781">
            <v>779453</v>
          </cell>
          <cell r="AL1781">
            <v>1705054</v>
          </cell>
          <cell r="AM1781">
            <v>146147</v>
          </cell>
          <cell r="AN1781">
            <v>292295</v>
          </cell>
          <cell r="AO1781">
            <v>97432</v>
          </cell>
          <cell r="AP1781">
            <v>97432</v>
          </cell>
        </row>
        <row r="1782">
          <cell r="D1782" t="str">
            <v>NV khác</v>
          </cell>
          <cell r="G1782" t="str">
            <v>Quản lý</v>
          </cell>
          <cell r="I1782" t="str">
            <v>KDDH</v>
          </cell>
          <cell r="AC1782">
            <v>1030000</v>
          </cell>
          <cell r="AD1782">
            <v>27879781</v>
          </cell>
          <cell r="AE1782">
            <v>13957151</v>
          </cell>
          <cell r="AF1782">
            <v>13412578</v>
          </cell>
          <cell r="AG1782">
            <v>0</v>
          </cell>
          <cell r="AH1782">
            <v>0</v>
          </cell>
          <cell r="AI1782">
            <v>0</v>
          </cell>
          <cell r="AJ1782">
            <v>0</v>
          </cell>
          <cell r="AK1782">
            <v>414913</v>
          </cell>
          <cell r="AL1782">
            <v>907627</v>
          </cell>
          <cell r="AM1782">
            <v>77797</v>
          </cell>
          <cell r="AN1782">
            <v>155593</v>
          </cell>
          <cell r="AO1782">
            <v>51863</v>
          </cell>
          <cell r="AP1782">
            <v>51863</v>
          </cell>
        </row>
        <row r="1783">
          <cell r="D1783" t="str">
            <v>NV khác</v>
          </cell>
          <cell r="G1783" t="str">
            <v>Quản lý</v>
          </cell>
          <cell r="I1783" t="str">
            <v>CHĐK</v>
          </cell>
          <cell r="AC1783">
            <v>1230000</v>
          </cell>
          <cell r="AD1783">
            <v>89045152</v>
          </cell>
          <cell r="AE1783">
            <v>77071461</v>
          </cell>
          <cell r="AF1783">
            <v>75682963</v>
          </cell>
          <cell r="AG1783">
            <v>0</v>
          </cell>
          <cell r="AH1783">
            <v>0</v>
          </cell>
          <cell r="AI1783">
            <v>0</v>
          </cell>
          <cell r="AJ1783">
            <v>0</v>
          </cell>
          <cell r="AK1783">
            <v>1057903</v>
          </cell>
          <cell r="AL1783">
            <v>2314163</v>
          </cell>
          <cell r="AM1783">
            <v>198357</v>
          </cell>
          <cell r="AN1783">
            <v>396714</v>
          </cell>
          <cell r="AO1783">
            <v>132238</v>
          </cell>
          <cell r="AP1783">
            <v>132238</v>
          </cell>
        </row>
        <row r="1784">
          <cell r="D1784" t="str">
            <v>NV khác</v>
          </cell>
          <cell r="G1784" t="str">
            <v>Quản lý</v>
          </cell>
          <cell r="I1784" t="str">
            <v>DVSBH</v>
          </cell>
          <cell r="AC1784">
            <v>1030000</v>
          </cell>
          <cell r="AD1784">
            <v>30728406</v>
          </cell>
          <cell r="AE1784">
            <v>1192413</v>
          </cell>
          <cell r="AF1784">
            <v>1148258</v>
          </cell>
          <cell r="AG1784">
            <v>0</v>
          </cell>
          <cell r="AH1784">
            <v>0</v>
          </cell>
          <cell r="AI1784">
            <v>0</v>
          </cell>
          <cell r="AJ1784">
            <v>0</v>
          </cell>
          <cell r="AK1784">
            <v>33642</v>
          </cell>
          <cell r="AL1784">
            <v>73591</v>
          </cell>
          <cell r="AM1784">
            <v>6308</v>
          </cell>
          <cell r="AN1784">
            <v>12615</v>
          </cell>
          <cell r="AO1784">
            <v>4205</v>
          </cell>
          <cell r="AP1784">
            <v>4205</v>
          </cell>
        </row>
        <row r="1785">
          <cell r="D1785" t="str">
            <v>NV khác</v>
          </cell>
          <cell r="G1785" t="str">
            <v>Quản lý</v>
          </cell>
          <cell r="I1785" t="str">
            <v>ĐPT</v>
          </cell>
          <cell r="AC1785">
            <v>1347000</v>
          </cell>
          <cell r="AD1785">
            <v>54892495</v>
          </cell>
          <cell r="AE1785">
            <v>28690271</v>
          </cell>
          <cell r="AF1785">
            <v>27986738</v>
          </cell>
          <cell r="AG1785">
            <v>0</v>
          </cell>
          <cell r="AH1785">
            <v>0</v>
          </cell>
          <cell r="AI1785">
            <v>0</v>
          </cell>
          <cell r="AJ1785">
            <v>0</v>
          </cell>
          <cell r="AK1785">
            <v>536025</v>
          </cell>
          <cell r="AL1785">
            <v>1172555</v>
          </cell>
          <cell r="AM1785">
            <v>100505</v>
          </cell>
          <cell r="AN1785">
            <v>201009</v>
          </cell>
          <cell r="AO1785">
            <v>67003</v>
          </cell>
          <cell r="AP1785">
            <v>67003</v>
          </cell>
        </row>
        <row r="1786">
          <cell r="D1786" t="str">
            <v>NV khác</v>
          </cell>
          <cell r="G1786" t="str">
            <v>Quản lý</v>
          </cell>
          <cell r="I1786" t="str">
            <v>CKTĐH</v>
          </cell>
          <cell r="AC1786">
            <v>1230000</v>
          </cell>
          <cell r="AD1786">
            <v>84284243</v>
          </cell>
          <cell r="AE1786">
            <v>48929932</v>
          </cell>
          <cell r="AF1786">
            <v>48263337</v>
          </cell>
          <cell r="AG1786">
            <v>0</v>
          </cell>
          <cell r="AH1786">
            <v>0</v>
          </cell>
          <cell r="AI1786">
            <v>0</v>
          </cell>
          <cell r="AJ1786">
            <v>0</v>
          </cell>
          <cell r="AK1786">
            <v>666595</v>
          </cell>
          <cell r="AL1786">
            <v>1458176</v>
          </cell>
          <cell r="AM1786">
            <v>0</v>
          </cell>
          <cell r="AN1786">
            <v>0</v>
          </cell>
          <cell r="AO1786">
            <v>0</v>
          </cell>
          <cell r="AP1786">
            <v>0</v>
          </cell>
        </row>
        <row r="1787">
          <cell r="D1787" t="str">
            <v>NV khác</v>
          </cell>
          <cell r="G1787" t="str">
            <v>Quản lý</v>
          </cell>
          <cell r="I1787" t="str">
            <v>MHMP</v>
          </cell>
          <cell r="AC1787">
            <v>1230000</v>
          </cell>
          <cell r="AD1787">
            <v>76345403</v>
          </cell>
          <cell r="AE1787">
            <v>72525023</v>
          </cell>
          <cell r="AF1787">
            <v>71431307</v>
          </cell>
          <cell r="AG1787">
            <v>0</v>
          </cell>
          <cell r="AH1787">
            <v>0</v>
          </cell>
          <cell r="AI1787">
            <v>0</v>
          </cell>
          <cell r="AJ1787">
            <v>0</v>
          </cell>
          <cell r="AK1787">
            <v>921024</v>
          </cell>
          <cell r="AL1787">
            <v>2014740</v>
          </cell>
          <cell r="AM1787">
            <v>172692</v>
          </cell>
          <cell r="AN1787">
            <v>345384</v>
          </cell>
          <cell r="AO1787">
            <v>0</v>
          </cell>
          <cell r="AP1787">
            <v>0</v>
          </cell>
        </row>
        <row r="1788">
          <cell r="D1788" t="str">
            <v>NV khác</v>
          </cell>
          <cell r="G1788" t="str">
            <v>Quản lý</v>
          </cell>
          <cell r="I1788" t="str">
            <v>TTQS</v>
          </cell>
          <cell r="AC1788">
            <v>1230000</v>
          </cell>
          <cell r="AD1788">
            <v>71046643</v>
          </cell>
          <cell r="AE1788">
            <v>20513046</v>
          </cell>
          <cell r="AF1788">
            <v>20202503</v>
          </cell>
          <cell r="AG1788">
            <v>0</v>
          </cell>
          <cell r="AH1788">
            <v>0</v>
          </cell>
          <cell r="AI1788">
            <v>0</v>
          </cell>
          <cell r="AJ1788">
            <v>0</v>
          </cell>
          <cell r="AK1788">
            <v>261510</v>
          </cell>
          <cell r="AL1788">
            <v>572053</v>
          </cell>
          <cell r="AM1788">
            <v>49033</v>
          </cell>
          <cell r="AN1788">
            <v>98066</v>
          </cell>
          <cell r="AO1788">
            <v>0</v>
          </cell>
          <cell r="AP1788">
            <v>0</v>
          </cell>
        </row>
        <row r="1789">
          <cell r="D1789" t="str">
            <v>NV khác</v>
          </cell>
          <cell r="G1789" t="str">
            <v>Quản lý</v>
          </cell>
          <cell r="I1789" t="str">
            <v>TTQS</v>
          </cell>
          <cell r="AC1789">
            <v>1030000</v>
          </cell>
          <cell r="AD1789">
            <v>33728406</v>
          </cell>
          <cell r="AE1789">
            <v>11905625</v>
          </cell>
          <cell r="AF1789">
            <v>11508232</v>
          </cell>
          <cell r="AG1789">
            <v>0</v>
          </cell>
          <cell r="AH1789">
            <v>0</v>
          </cell>
          <cell r="AI1789">
            <v>0</v>
          </cell>
          <cell r="AJ1789">
            <v>0</v>
          </cell>
          <cell r="AK1789">
            <v>302776</v>
          </cell>
          <cell r="AL1789">
            <v>662322</v>
          </cell>
          <cell r="AM1789">
            <v>56770</v>
          </cell>
          <cell r="AN1789">
            <v>113541</v>
          </cell>
          <cell r="AO1789">
            <v>37847</v>
          </cell>
          <cell r="AP1789">
            <v>37847</v>
          </cell>
        </row>
        <row r="1790">
          <cell r="D1790" t="str">
            <v>NV khác</v>
          </cell>
          <cell r="G1790" t="str">
            <v>Quản lý</v>
          </cell>
          <cell r="I1790" t="str">
            <v>TH</v>
          </cell>
          <cell r="AC1790">
            <v>1047000</v>
          </cell>
          <cell r="AD1790">
            <v>23442633</v>
          </cell>
          <cell r="AE1790">
            <v>884531</v>
          </cell>
          <cell r="AF1790">
            <v>844677</v>
          </cell>
          <cell r="AG1790">
            <v>0</v>
          </cell>
          <cell r="AH1790">
            <v>0</v>
          </cell>
          <cell r="AI1790">
            <v>0</v>
          </cell>
          <cell r="AJ1790">
            <v>0</v>
          </cell>
          <cell r="AK1790">
            <v>30362</v>
          </cell>
          <cell r="AL1790">
            <v>66420</v>
          </cell>
          <cell r="AM1790">
            <v>5695</v>
          </cell>
          <cell r="AN1790">
            <v>11388</v>
          </cell>
          <cell r="AO1790">
            <v>3797</v>
          </cell>
          <cell r="AP1790">
            <v>3797</v>
          </cell>
        </row>
        <row r="1791">
          <cell r="D1791" t="str">
            <v>NV khác</v>
          </cell>
          <cell r="G1791" t="str">
            <v>Quản lý</v>
          </cell>
          <cell r="I1791" t="str">
            <v>CNTD</v>
          </cell>
          <cell r="AC1791">
            <v>1147000</v>
          </cell>
          <cell r="AD1791">
            <v>35301182</v>
          </cell>
          <cell r="AE1791">
            <v>24859332</v>
          </cell>
          <cell r="AF1791">
            <v>24023788</v>
          </cell>
          <cell r="AG1791">
            <v>0</v>
          </cell>
          <cell r="AH1791">
            <v>0</v>
          </cell>
          <cell r="AI1791">
            <v>0</v>
          </cell>
          <cell r="AJ1791">
            <v>0</v>
          </cell>
          <cell r="AK1791">
            <v>636605</v>
          </cell>
          <cell r="AL1791">
            <v>1392574</v>
          </cell>
          <cell r="AM1791">
            <v>119363</v>
          </cell>
          <cell r="AN1791">
            <v>238727</v>
          </cell>
          <cell r="AO1791">
            <v>79576</v>
          </cell>
          <cell r="AP1791">
            <v>79576</v>
          </cell>
        </row>
        <row r="1792">
          <cell r="D1792" t="str">
            <v>NV khác</v>
          </cell>
          <cell r="G1792" t="str">
            <v>Quản lý</v>
          </cell>
          <cell r="I1792" t="str">
            <v>TTQS</v>
          </cell>
          <cell r="AC1792">
            <v>1030000</v>
          </cell>
          <cell r="AD1792">
            <v>49853291</v>
          </cell>
          <cell r="AE1792">
            <v>17840617</v>
          </cell>
          <cell r="AF1792">
            <v>17321991</v>
          </cell>
          <cell r="AG1792">
            <v>0</v>
          </cell>
          <cell r="AH1792">
            <v>0</v>
          </cell>
          <cell r="AI1792">
            <v>0</v>
          </cell>
          <cell r="AJ1792">
            <v>0</v>
          </cell>
          <cell r="AK1792">
            <v>518626</v>
          </cell>
          <cell r="AL1792">
            <v>1134493</v>
          </cell>
          <cell r="AM1792">
            <v>0</v>
          </cell>
          <cell r="AN1792">
            <v>0</v>
          </cell>
          <cell r="AO1792">
            <v>0</v>
          </cell>
          <cell r="AP1792">
            <v>0</v>
          </cell>
        </row>
        <row r="1793">
          <cell r="D1793" t="str">
            <v>NV khác</v>
          </cell>
          <cell r="G1793" t="str">
            <v>Quản lý</v>
          </cell>
          <cell r="I1793" t="str">
            <v>KDDH</v>
          </cell>
          <cell r="AC1793">
            <v>1047000</v>
          </cell>
          <cell r="AD1793">
            <v>30517090</v>
          </cell>
          <cell r="AE1793">
            <v>9459885</v>
          </cell>
          <cell r="AF1793">
            <v>9106646</v>
          </cell>
          <cell r="AG1793">
            <v>0</v>
          </cell>
          <cell r="AH1793">
            <v>0</v>
          </cell>
          <cell r="AI1793">
            <v>0</v>
          </cell>
          <cell r="AJ1793">
            <v>0</v>
          </cell>
          <cell r="AK1793">
            <v>269134</v>
          </cell>
          <cell r="AL1793">
            <v>588731</v>
          </cell>
          <cell r="AM1793">
            <v>50463</v>
          </cell>
          <cell r="AN1793">
            <v>100925</v>
          </cell>
          <cell r="AO1793">
            <v>33642</v>
          </cell>
          <cell r="AP1793">
            <v>33642</v>
          </cell>
        </row>
        <row r="1794">
          <cell r="D1794" t="str">
            <v>NV khác</v>
          </cell>
          <cell r="G1794" t="str">
            <v>Quản lý</v>
          </cell>
          <cell r="I1794" t="str">
            <v>RD</v>
          </cell>
          <cell r="AC1794">
            <v>1230000</v>
          </cell>
          <cell r="AD1794">
            <v>89506974</v>
          </cell>
          <cell r="AE1794">
            <v>3715127</v>
          </cell>
          <cell r="AF1794">
            <v>3664665</v>
          </cell>
          <cell r="AG1794">
            <v>0</v>
          </cell>
          <cell r="AH1794">
            <v>0</v>
          </cell>
          <cell r="AI1794">
            <v>0</v>
          </cell>
          <cell r="AJ1794">
            <v>0</v>
          </cell>
          <cell r="AK1794">
            <v>50462</v>
          </cell>
          <cell r="AL1794">
            <v>110386</v>
          </cell>
          <cell r="AM1794">
            <v>0</v>
          </cell>
          <cell r="AN1794">
            <v>0</v>
          </cell>
          <cell r="AO1794">
            <v>0</v>
          </cell>
          <cell r="AP1794">
            <v>0</v>
          </cell>
        </row>
        <row r="1795">
          <cell r="D1795" t="str">
            <v>NV khác</v>
          </cell>
          <cell r="G1795" t="str">
            <v>Quản lý</v>
          </cell>
          <cell r="I1795" t="str">
            <v>GPTH</v>
          </cell>
          <cell r="AC1795">
            <v>1230000</v>
          </cell>
          <cell r="AD1795">
            <v>70918607</v>
          </cell>
          <cell r="AE1795">
            <v>43442232</v>
          </cell>
          <cell r="AF1795">
            <v>42545551</v>
          </cell>
          <cell r="AG1795">
            <v>0</v>
          </cell>
          <cell r="AH1795">
            <v>0</v>
          </cell>
          <cell r="AI1795">
            <v>0</v>
          </cell>
          <cell r="AJ1795">
            <v>0</v>
          </cell>
          <cell r="AK1795">
            <v>683186</v>
          </cell>
          <cell r="AL1795">
            <v>1494470</v>
          </cell>
          <cell r="AM1795">
            <v>128097</v>
          </cell>
          <cell r="AN1795">
            <v>256195</v>
          </cell>
          <cell r="AO1795">
            <v>85398</v>
          </cell>
          <cell r="AP1795">
            <v>85398</v>
          </cell>
        </row>
        <row r="1796">
          <cell r="D1796" t="str">
            <v>NV khác</v>
          </cell>
          <cell r="G1796" t="str">
            <v>Quản lý</v>
          </cell>
          <cell r="I1796" t="str">
            <v>CNTD</v>
          </cell>
          <cell r="AC1796">
            <v>1715000</v>
          </cell>
          <cell r="AD1796">
            <v>44786970</v>
          </cell>
          <cell r="AE1796">
            <v>35264586</v>
          </cell>
          <cell r="AF1796">
            <v>34286387</v>
          </cell>
          <cell r="AG1796">
            <v>0</v>
          </cell>
          <cell r="AH1796">
            <v>0</v>
          </cell>
          <cell r="AI1796">
            <v>0</v>
          </cell>
          <cell r="AJ1796">
            <v>0</v>
          </cell>
          <cell r="AK1796">
            <v>745294</v>
          </cell>
          <cell r="AL1796">
            <v>1630330</v>
          </cell>
          <cell r="AM1796">
            <v>139743</v>
          </cell>
          <cell r="AN1796">
            <v>279485</v>
          </cell>
          <cell r="AO1796">
            <v>93162</v>
          </cell>
          <cell r="AP1796">
            <v>93162</v>
          </cell>
        </row>
        <row r="1797">
          <cell r="D1797" t="str">
            <v>NV khác</v>
          </cell>
          <cell r="G1797" t="str">
            <v>Quản lý</v>
          </cell>
          <cell r="I1797" t="str">
            <v>RD</v>
          </cell>
          <cell r="AC1797">
            <v>1030000</v>
          </cell>
          <cell r="AD1797">
            <v>41094601</v>
          </cell>
          <cell r="AE1797">
            <v>8162370</v>
          </cell>
          <cell r="AF1797">
            <v>7917821</v>
          </cell>
          <cell r="AG1797">
            <v>0</v>
          </cell>
          <cell r="AH1797">
            <v>0</v>
          </cell>
          <cell r="AI1797">
            <v>0</v>
          </cell>
          <cell r="AJ1797">
            <v>0</v>
          </cell>
          <cell r="AK1797">
            <v>186324</v>
          </cell>
          <cell r="AL1797">
            <v>407583</v>
          </cell>
          <cell r="AM1797">
            <v>34935</v>
          </cell>
          <cell r="AN1797">
            <v>69871</v>
          </cell>
          <cell r="AO1797">
            <v>23290</v>
          </cell>
          <cell r="AP1797">
            <v>23290</v>
          </cell>
        </row>
        <row r="1798">
          <cell r="D1798" t="str">
            <v>NV khác</v>
          </cell>
          <cell r="G1798" t="str">
            <v>Quản lý</v>
          </cell>
          <cell r="I1798" t="str">
            <v>VTBR</v>
          </cell>
          <cell r="AC1798">
            <v>1130000</v>
          </cell>
          <cell r="AD1798">
            <v>66279153</v>
          </cell>
          <cell r="AE1798">
            <v>8166707</v>
          </cell>
          <cell r="AF1798">
            <v>8026948</v>
          </cell>
          <cell r="AG1798">
            <v>0</v>
          </cell>
          <cell r="AH1798">
            <v>0</v>
          </cell>
          <cell r="AI1798">
            <v>0</v>
          </cell>
          <cell r="AJ1798">
            <v>0</v>
          </cell>
          <cell r="AK1798">
            <v>117692</v>
          </cell>
          <cell r="AL1798">
            <v>257451</v>
          </cell>
          <cell r="AM1798">
            <v>22067</v>
          </cell>
          <cell r="AN1798">
            <v>44134</v>
          </cell>
          <cell r="AO1798">
            <v>0</v>
          </cell>
          <cell r="AP1798">
            <v>0</v>
          </cell>
        </row>
        <row r="1799">
          <cell r="D1799" t="str">
            <v>NV khác</v>
          </cell>
          <cell r="G1799" t="str">
            <v>Quản lý</v>
          </cell>
          <cell r="I1799" t="str">
            <v>ĐPT</v>
          </cell>
          <cell r="AC1799">
            <v>1047000</v>
          </cell>
          <cell r="AD1799">
            <v>28635964</v>
          </cell>
          <cell r="AE1799">
            <v>20913254</v>
          </cell>
          <cell r="AF1799">
            <v>20074313</v>
          </cell>
          <cell r="AG1799">
            <v>0</v>
          </cell>
          <cell r="AH1799">
            <v>0</v>
          </cell>
          <cell r="AI1799">
            <v>0</v>
          </cell>
          <cell r="AJ1799">
            <v>0</v>
          </cell>
          <cell r="AK1799">
            <v>639193</v>
          </cell>
          <cell r="AL1799">
            <v>1398235</v>
          </cell>
          <cell r="AM1799">
            <v>119849</v>
          </cell>
          <cell r="AN1799">
            <v>239697</v>
          </cell>
          <cell r="AO1799">
            <v>79899</v>
          </cell>
          <cell r="AP1799">
            <v>79899</v>
          </cell>
        </row>
        <row r="1800">
          <cell r="D1800" t="str">
            <v>NV khác</v>
          </cell>
          <cell r="G1800" t="str">
            <v>Quản lý</v>
          </cell>
          <cell r="I1800" t="str">
            <v>CNCM</v>
          </cell>
          <cell r="AC1800">
            <v>1230000</v>
          </cell>
          <cell r="AD1800">
            <v>60451388</v>
          </cell>
          <cell r="AE1800">
            <v>48952810</v>
          </cell>
          <cell r="AF1800">
            <v>47816108</v>
          </cell>
          <cell r="AG1800">
            <v>0</v>
          </cell>
          <cell r="AH1800">
            <v>0</v>
          </cell>
          <cell r="AI1800">
            <v>0</v>
          </cell>
          <cell r="AJ1800">
            <v>0</v>
          </cell>
          <cell r="AK1800">
            <v>866059</v>
          </cell>
          <cell r="AL1800">
            <v>1894504</v>
          </cell>
          <cell r="AM1800">
            <v>162386</v>
          </cell>
          <cell r="AN1800">
            <v>324772</v>
          </cell>
          <cell r="AO1800">
            <v>108257</v>
          </cell>
          <cell r="AP1800">
            <v>108257</v>
          </cell>
        </row>
        <row r="1801">
          <cell r="D1801" t="str">
            <v>NV khác</v>
          </cell>
          <cell r="G1801" t="str">
            <v>Quản lý</v>
          </cell>
          <cell r="I1801" t="str">
            <v>ĐPT</v>
          </cell>
          <cell r="AC1801">
            <v>1030000</v>
          </cell>
          <cell r="AD1801">
            <v>44198549</v>
          </cell>
          <cell r="AE1801">
            <v>33581139</v>
          </cell>
          <cell r="AF1801">
            <v>32651851</v>
          </cell>
          <cell r="AG1801">
            <v>0</v>
          </cell>
          <cell r="AH1801">
            <v>0</v>
          </cell>
          <cell r="AI1801">
            <v>0</v>
          </cell>
          <cell r="AJ1801">
            <v>0</v>
          </cell>
          <cell r="AK1801">
            <v>708029</v>
          </cell>
          <cell r="AL1801">
            <v>1548814</v>
          </cell>
          <cell r="AM1801">
            <v>132755</v>
          </cell>
          <cell r="AN1801">
            <v>265511</v>
          </cell>
          <cell r="AO1801">
            <v>88504</v>
          </cell>
          <cell r="AP1801">
            <v>88504</v>
          </cell>
        </row>
        <row r="1802">
          <cell r="D1802" t="str">
            <v>NV khác</v>
          </cell>
          <cell r="G1802" t="str">
            <v>Quản lý</v>
          </cell>
          <cell r="I1802" t="str">
            <v>VTBR</v>
          </cell>
          <cell r="AC1802">
            <v>1030000</v>
          </cell>
          <cell r="AD1802">
            <v>60120531</v>
          </cell>
          <cell r="AE1802">
            <v>7344097</v>
          </cell>
          <cell r="AF1802">
            <v>7181744</v>
          </cell>
          <cell r="AG1802">
            <v>0</v>
          </cell>
          <cell r="AH1802">
            <v>0</v>
          </cell>
          <cell r="AI1802">
            <v>0</v>
          </cell>
          <cell r="AJ1802">
            <v>0</v>
          </cell>
          <cell r="AK1802">
            <v>123698</v>
          </cell>
          <cell r="AL1802">
            <v>270590</v>
          </cell>
          <cell r="AM1802">
            <v>23193</v>
          </cell>
          <cell r="AN1802">
            <v>46387</v>
          </cell>
          <cell r="AO1802">
            <v>15462</v>
          </cell>
          <cell r="AP1802">
            <v>15462</v>
          </cell>
        </row>
        <row r="1803">
          <cell r="D1803" t="str">
            <v>NV khác</v>
          </cell>
          <cell r="G1803" t="str">
            <v>Quản lý</v>
          </cell>
          <cell r="I1803" t="str">
            <v>KDDH</v>
          </cell>
          <cell r="AC1803">
            <v>1030000</v>
          </cell>
          <cell r="AD1803">
            <v>47311866</v>
          </cell>
          <cell r="AE1803">
            <v>18911340</v>
          </cell>
          <cell r="AF1803">
            <v>18370159</v>
          </cell>
          <cell r="AG1803">
            <v>0</v>
          </cell>
          <cell r="AH1803">
            <v>0</v>
          </cell>
          <cell r="AI1803">
            <v>0</v>
          </cell>
          <cell r="AJ1803">
            <v>0</v>
          </cell>
          <cell r="AK1803">
            <v>412327</v>
          </cell>
          <cell r="AL1803">
            <v>901964</v>
          </cell>
          <cell r="AM1803">
            <v>77312</v>
          </cell>
          <cell r="AN1803">
            <v>154622</v>
          </cell>
          <cell r="AO1803">
            <v>51542</v>
          </cell>
          <cell r="AP1803">
            <v>51542</v>
          </cell>
        </row>
        <row r="1804">
          <cell r="D1804" t="str">
            <v>NV khác</v>
          </cell>
          <cell r="G1804" t="str">
            <v>Quản lý</v>
          </cell>
          <cell r="I1804" t="str">
            <v>KDDH</v>
          </cell>
          <cell r="AC1804">
            <v>1047000</v>
          </cell>
          <cell r="AD1804">
            <v>30280490</v>
          </cell>
          <cell r="AE1804">
            <v>14066384</v>
          </cell>
          <cell r="AF1804">
            <v>13536526</v>
          </cell>
          <cell r="AG1804">
            <v>0</v>
          </cell>
          <cell r="AH1804">
            <v>0</v>
          </cell>
          <cell r="AI1804">
            <v>0</v>
          </cell>
          <cell r="AJ1804">
            <v>0</v>
          </cell>
          <cell r="AK1804">
            <v>403701</v>
          </cell>
          <cell r="AL1804">
            <v>883096</v>
          </cell>
          <cell r="AM1804">
            <v>75694</v>
          </cell>
          <cell r="AN1804">
            <v>151388</v>
          </cell>
          <cell r="AO1804">
            <v>50463</v>
          </cell>
          <cell r="AP1804">
            <v>50463</v>
          </cell>
        </row>
        <row r="1805">
          <cell r="D1805" t="str">
            <v>NV khác</v>
          </cell>
          <cell r="G1805" t="str">
            <v>Quản lý</v>
          </cell>
          <cell r="I1805" t="str">
            <v>TTQS</v>
          </cell>
          <cell r="AC1805">
            <v>1030000</v>
          </cell>
          <cell r="AD1805">
            <v>53234406</v>
          </cell>
          <cell r="AE1805">
            <v>49418622</v>
          </cell>
          <cell r="AF1805">
            <v>48173910</v>
          </cell>
          <cell r="AG1805">
            <v>0</v>
          </cell>
          <cell r="AH1805">
            <v>0</v>
          </cell>
          <cell r="AI1805">
            <v>0</v>
          </cell>
          <cell r="AJ1805">
            <v>0</v>
          </cell>
          <cell r="AK1805">
            <v>948352</v>
          </cell>
          <cell r="AL1805">
            <v>2074520</v>
          </cell>
          <cell r="AM1805">
            <v>177816</v>
          </cell>
          <cell r="AN1805">
            <v>355632</v>
          </cell>
          <cell r="AO1805">
            <v>118544</v>
          </cell>
          <cell r="AP1805">
            <v>118544</v>
          </cell>
        </row>
        <row r="1806">
          <cell r="D1806" t="str">
            <v>NV khác</v>
          </cell>
          <cell r="G1806" t="str">
            <v>Quản lý</v>
          </cell>
          <cell r="I1806" t="str">
            <v>ĐPT</v>
          </cell>
          <cell r="AC1806">
            <v>1047000</v>
          </cell>
          <cell r="AD1806">
            <v>29171984</v>
          </cell>
          <cell r="AE1806">
            <v>21356053</v>
          </cell>
          <cell r="AF1806">
            <v>20517112</v>
          </cell>
          <cell r="AG1806">
            <v>0</v>
          </cell>
          <cell r="AH1806">
            <v>0</v>
          </cell>
          <cell r="AI1806">
            <v>0</v>
          </cell>
          <cell r="AJ1806">
            <v>0</v>
          </cell>
          <cell r="AK1806">
            <v>639193</v>
          </cell>
          <cell r="AL1806">
            <v>1398235</v>
          </cell>
          <cell r="AM1806">
            <v>119849</v>
          </cell>
          <cell r="AN1806">
            <v>239697</v>
          </cell>
          <cell r="AO1806">
            <v>79899</v>
          </cell>
          <cell r="AP1806">
            <v>79899</v>
          </cell>
        </row>
        <row r="1807">
          <cell r="D1807" t="str">
            <v>NV khác</v>
          </cell>
          <cell r="G1807" t="str">
            <v>Quản lý</v>
          </cell>
          <cell r="I1807" t="str">
            <v>GPTH</v>
          </cell>
          <cell r="AC1807">
            <v>930000</v>
          </cell>
          <cell r="AD1807">
            <v>24018970</v>
          </cell>
          <cell r="AE1807">
            <v>13720118</v>
          </cell>
          <cell r="AF1807">
            <v>13122331</v>
          </cell>
          <cell r="AG1807">
            <v>0</v>
          </cell>
          <cell r="AH1807">
            <v>0</v>
          </cell>
          <cell r="AI1807">
            <v>0</v>
          </cell>
          <cell r="AJ1807">
            <v>0</v>
          </cell>
          <cell r="AK1807">
            <v>455457</v>
          </cell>
          <cell r="AL1807">
            <v>996313</v>
          </cell>
          <cell r="AM1807">
            <v>85398</v>
          </cell>
          <cell r="AN1807">
            <v>170797</v>
          </cell>
          <cell r="AO1807">
            <v>56932</v>
          </cell>
          <cell r="AP1807">
            <v>56932</v>
          </cell>
        </row>
        <row r="1808">
          <cell r="D1808" t="str">
            <v>NV khác</v>
          </cell>
          <cell r="G1808" t="str">
            <v>Quản lý</v>
          </cell>
          <cell r="I1808" t="str">
            <v>CNTD</v>
          </cell>
          <cell r="AC1808">
            <v>1230000</v>
          </cell>
          <cell r="AD1808">
            <v>70450713</v>
          </cell>
          <cell r="AE1808">
            <v>37615985</v>
          </cell>
          <cell r="AF1808">
            <v>36997004</v>
          </cell>
          <cell r="AG1808">
            <v>0</v>
          </cell>
          <cell r="AH1808">
            <v>0</v>
          </cell>
          <cell r="AI1808">
            <v>0</v>
          </cell>
          <cell r="AJ1808">
            <v>0</v>
          </cell>
          <cell r="AK1808">
            <v>618981</v>
          </cell>
          <cell r="AL1808">
            <v>1354021</v>
          </cell>
          <cell r="AM1808">
            <v>0</v>
          </cell>
          <cell r="AN1808">
            <v>0</v>
          </cell>
          <cell r="AO1808">
            <v>0</v>
          </cell>
          <cell r="AP1808">
            <v>0</v>
          </cell>
        </row>
        <row r="1809">
          <cell r="D1809" t="str">
            <v>NV khác</v>
          </cell>
          <cell r="G1809" t="str">
            <v>Quản lý</v>
          </cell>
          <cell r="I1809" t="str">
            <v>ĐBCL</v>
          </cell>
          <cell r="AC1809">
            <v>1515000</v>
          </cell>
          <cell r="AD1809">
            <v>27194286</v>
          </cell>
          <cell r="AE1809">
            <v>14318303</v>
          </cell>
          <cell r="AF1809">
            <v>13731837</v>
          </cell>
          <cell r="AG1809">
            <v>0</v>
          </cell>
          <cell r="AH1809">
            <v>0</v>
          </cell>
          <cell r="AI1809">
            <v>0</v>
          </cell>
          <cell r="AJ1809">
            <v>0</v>
          </cell>
          <cell r="AK1809">
            <v>446831</v>
          </cell>
          <cell r="AL1809">
            <v>977443</v>
          </cell>
          <cell r="AM1809">
            <v>83781</v>
          </cell>
          <cell r="AN1809">
            <v>167562</v>
          </cell>
          <cell r="AO1809">
            <v>55854</v>
          </cell>
          <cell r="AP1809">
            <v>55854</v>
          </cell>
        </row>
        <row r="1810">
          <cell r="D1810" t="str">
            <v>NV khác</v>
          </cell>
          <cell r="G1810" t="str">
            <v>Quản lý</v>
          </cell>
          <cell r="I1810" t="str">
            <v>KDDH</v>
          </cell>
          <cell r="AC1810">
            <v>1030000</v>
          </cell>
          <cell r="AD1810">
            <v>39198549</v>
          </cell>
          <cell r="AE1810">
            <v>12400298</v>
          </cell>
          <cell r="AF1810">
            <v>12009018</v>
          </cell>
          <cell r="AG1810">
            <v>0</v>
          </cell>
          <cell r="AH1810">
            <v>0</v>
          </cell>
          <cell r="AI1810">
            <v>0</v>
          </cell>
          <cell r="AJ1810">
            <v>0</v>
          </cell>
          <cell r="AK1810">
            <v>298118</v>
          </cell>
          <cell r="AL1810">
            <v>652132</v>
          </cell>
          <cell r="AM1810">
            <v>55896</v>
          </cell>
          <cell r="AN1810">
            <v>111794</v>
          </cell>
          <cell r="AO1810">
            <v>37266</v>
          </cell>
          <cell r="AP1810">
            <v>37266</v>
          </cell>
        </row>
        <row r="1811">
          <cell r="D1811" t="str">
            <v>NV khác</v>
          </cell>
          <cell r="G1811" t="str">
            <v>Quản lý</v>
          </cell>
          <cell r="I1811" t="str">
            <v>QLCL</v>
          </cell>
          <cell r="AC1811">
            <v>1615000</v>
          </cell>
          <cell r="AD1811">
            <v>34463771</v>
          </cell>
          <cell r="AE1811">
            <v>10594536</v>
          </cell>
          <cell r="AF1811">
            <v>10223184</v>
          </cell>
          <cell r="AG1811">
            <v>0</v>
          </cell>
          <cell r="AH1811">
            <v>0</v>
          </cell>
          <cell r="AI1811">
            <v>0</v>
          </cell>
          <cell r="AJ1811">
            <v>0</v>
          </cell>
          <cell r="AK1811">
            <v>282935</v>
          </cell>
          <cell r="AL1811">
            <v>618922</v>
          </cell>
          <cell r="AM1811">
            <v>53050</v>
          </cell>
          <cell r="AN1811">
            <v>106101</v>
          </cell>
          <cell r="AO1811">
            <v>35367</v>
          </cell>
          <cell r="AP1811">
            <v>35367</v>
          </cell>
        </row>
        <row r="1812">
          <cell r="D1812" t="str">
            <v>NV khác</v>
          </cell>
          <cell r="G1812" t="str">
            <v>Quản lý</v>
          </cell>
          <cell r="I1812" t="str">
            <v>MHMP</v>
          </cell>
          <cell r="AC1812">
            <v>1130000</v>
          </cell>
          <cell r="AD1812">
            <v>61113536</v>
          </cell>
          <cell r="AE1812">
            <v>44653993</v>
          </cell>
          <cell r="AF1812">
            <v>43630961</v>
          </cell>
          <cell r="AG1812">
            <v>0</v>
          </cell>
          <cell r="AH1812">
            <v>0</v>
          </cell>
          <cell r="AI1812">
            <v>0</v>
          </cell>
          <cell r="AJ1812">
            <v>0</v>
          </cell>
          <cell r="AK1812">
            <v>779453</v>
          </cell>
          <cell r="AL1812">
            <v>1705054</v>
          </cell>
          <cell r="AM1812">
            <v>146147</v>
          </cell>
          <cell r="AN1812">
            <v>292295</v>
          </cell>
          <cell r="AO1812">
            <v>97432</v>
          </cell>
          <cell r="AP1812">
            <v>97432</v>
          </cell>
        </row>
        <row r="1813">
          <cell r="D1813" t="str">
            <v>NV khác</v>
          </cell>
          <cell r="G1813" t="str">
            <v>Quản lý</v>
          </cell>
          <cell r="I1813" t="str">
            <v>DVSBH</v>
          </cell>
          <cell r="AC1813">
            <v>1047000</v>
          </cell>
          <cell r="AD1813">
            <v>18225212</v>
          </cell>
          <cell r="AE1813">
            <v>12659708</v>
          </cell>
          <cell r="AF1813">
            <v>11975648</v>
          </cell>
          <cell r="AG1813">
            <v>0</v>
          </cell>
          <cell r="AH1813">
            <v>0</v>
          </cell>
          <cell r="AI1813">
            <v>0</v>
          </cell>
          <cell r="AJ1813">
            <v>0</v>
          </cell>
          <cell r="AK1813">
            <v>521188</v>
          </cell>
          <cell r="AL1813">
            <v>1140100</v>
          </cell>
          <cell r="AM1813">
            <v>97724</v>
          </cell>
          <cell r="AN1813">
            <v>195444</v>
          </cell>
          <cell r="AO1813">
            <v>65148</v>
          </cell>
          <cell r="AP1813">
            <v>65148</v>
          </cell>
        </row>
        <row r="1814">
          <cell r="D1814" t="str">
            <v>NV khác</v>
          </cell>
          <cell r="G1814" t="str">
            <v>Quản lý</v>
          </cell>
          <cell r="I1814" t="str">
            <v>DVSBH</v>
          </cell>
          <cell r="AC1814">
            <v>1630000</v>
          </cell>
          <cell r="AD1814">
            <v>31910007</v>
          </cell>
          <cell r="AE1814">
            <v>7306198</v>
          </cell>
          <cell r="AF1814">
            <v>7041271</v>
          </cell>
          <cell r="AG1814">
            <v>0</v>
          </cell>
          <cell r="AH1814">
            <v>0</v>
          </cell>
          <cell r="AI1814">
            <v>0</v>
          </cell>
          <cell r="AJ1814">
            <v>0</v>
          </cell>
          <cell r="AK1814">
            <v>201850</v>
          </cell>
          <cell r="AL1814">
            <v>441549</v>
          </cell>
          <cell r="AM1814">
            <v>37846</v>
          </cell>
          <cell r="AN1814">
            <v>75693</v>
          </cell>
          <cell r="AO1814">
            <v>25231</v>
          </cell>
          <cell r="AP1814">
            <v>25231</v>
          </cell>
        </row>
        <row r="1815">
          <cell r="D1815" t="str">
            <v>NV khác</v>
          </cell>
          <cell r="G1815" t="str">
            <v>Quản lý</v>
          </cell>
          <cell r="I1815" t="str">
            <v>CNCM</v>
          </cell>
          <cell r="AC1815">
            <v>1230000</v>
          </cell>
          <cell r="AD1815">
            <v>52057890</v>
          </cell>
          <cell r="AE1815">
            <v>41775744</v>
          </cell>
          <cell r="AF1815">
            <v>40693385</v>
          </cell>
          <cell r="AG1815">
            <v>0</v>
          </cell>
          <cell r="AH1815">
            <v>0</v>
          </cell>
          <cell r="AI1815">
            <v>0</v>
          </cell>
          <cell r="AJ1815">
            <v>0</v>
          </cell>
          <cell r="AK1815">
            <v>824654</v>
          </cell>
          <cell r="AL1815">
            <v>1803930</v>
          </cell>
          <cell r="AM1815">
            <v>154623</v>
          </cell>
          <cell r="AN1815">
            <v>309245</v>
          </cell>
          <cell r="AO1815">
            <v>103082</v>
          </cell>
          <cell r="AP1815">
            <v>103082</v>
          </cell>
        </row>
        <row r="1816">
          <cell r="D1816" t="str">
            <v>NV khác</v>
          </cell>
          <cell r="G1816" t="str">
            <v>Quản lý</v>
          </cell>
          <cell r="I1816" t="str">
            <v>TTKD</v>
          </cell>
          <cell r="AC1816">
            <v>1030000</v>
          </cell>
          <cell r="AD1816">
            <v>39198549</v>
          </cell>
          <cell r="AE1816">
            <v>32550779</v>
          </cell>
          <cell r="AF1816">
            <v>31523670</v>
          </cell>
          <cell r="AG1816">
            <v>0</v>
          </cell>
          <cell r="AH1816">
            <v>0</v>
          </cell>
          <cell r="AI1816">
            <v>0</v>
          </cell>
          <cell r="AJ1816">
            <v>0</v>
          </cell>
          <cell r="AK1816">
            <v>782559</v>
          </cell>
          <cell r="AL1816">
            <v>1711847</v>
          </cell>
          <cell r="AM1816">
            <v>146730</v>
          </cell>
          <cell r="AN1816">
            <v>293459</v>
          </cell>
          <cell r="AO1816">
            <v>97820</v>
          </cell>
          <cell r="AP1816">
            <v>97820</v>
          </cell>
        </row>
        <row r="1817">
          <cell r="D1817" t="str">
            <v>NV khác</v>
          </cell>
          <cell r="G1817" t="str">
            <v>Quản lý</v>
          </cell>
          <cell r="I1817" t="str">
            <v>MHMP</v>
          </cell>
          <cell r="AC1817">
            <v>1030000</v>
          </cell>
          <cell r="AD1817">
            <v>41826616</v>
          </cell>
          <cell r="AE1817">
            <v>14978708</v>
          </cell>
          <cell r="AF1817">
            <v>14538519</v>
          </cell>
          <cell r="AG1817">
            <v>0</v>
          </cell>
          <cell r="AH1817">
            <v>0</v>
          </cell>
          <cell r="AI1817">
            <v>0</v>
          </cell>
          <cell r="AJ1817">
            <v>0</v>
          </cell>
          <cell r="AK1817">
            <v>335382</v>
          </cell>
          <cell r="AL1817">
            <v>733649</v>
          </cell>
          <cell r="AM1817">
            <v>62884</v>
          </cell>
          <cell r="AN1817">
            <v>125768</v>
          </cell>
          <cell r="AO1817">
            <v>41923</v>
          </cell>
          <cell r="AP1817">
            <v>41923</v>
          </cell>
        </row>
        <row r="1818">
          <cell r="D1818" t="str">
            <v>NV khác</v>
          </cell>
          <cell r="G1818" t="str">
            <v>Quản lý</v>
          </cell>
          <cell r="I1818" t="str">
            <v>CNCM</v>
          </cell>
          <cell r="AC1818">
            <v>1230000</v>
          </cell>
          <cell r="AD1818">
            <v>41874328</v>
          </cell>
          <cell r="AE1818">
            <v>36468952</v>
          </cell>
          <cell r="AF1818">
            <v>35392934</v>
          </cell>
          <cell r="AG1818">
            <v>0</v>
          </cell>
          <cell r="AH1818">
            <v>0</v>
          </cell>
          <cell r="AI1818">
            <v>0</v>
          </cell>
          <cell r="AJ1818">
            <v>0</v>
          </cell>
          <cell r="AK1818">
            <v>819823</v>
          </cell>
          <cell r="AL1818">
            <v>1793363</v>
          </cell>
          <cell r="AM1818">
            <v>153717</v>
          </cell>
          <cell r="AN1818">
            <v>307434</v>
          </cell>
          <cell r="AO1818">
            <v>102478</v>
          </cell>
          <cell r="AP1818">
            <v>102478</v>
          </cell>
        </row>
        <row r="1819">
          <cell r="D1819" t="str">
            <v>NV khác</v>
          </cell>
          <cell r="G1819" t="str">
            <v>Quản lý</v>
          </cell>
          <cell r="I1819" t="str">
            <v>TTQS</v>
          </cell>
          <cell r="AC1819">
            <v>1230000</v>
          </cell>
          <cell r="AD1819">
            <v>57181082</v>
          </cell>
          <cell r="AE1819">
            <v>9246139</v>
          </cell>
          <cell r="AF1819">
            <v>9029667</v>
          </cell>
          <cell r="AG1819">
            <v>0</v>
          </cell>
          <cell r="AH1819">
            <v>0</v>
          </cell>
          <cell r="AI1819">
            <v>0</v>
          </cell>
          <cell r="AJ1819">
            <v>0</v>
          </cell>
          <cell r="AK1819">
            <v>164931</v>
          </cell>
          <cell r="AL1819">
            <v>360786</v>
          </cell>
          <cell r="AM1819">
            <v>30924</v>
          </cell>
          <cell r="AN1819">
            <v>61849</v>
          </cell>
          <cell r="AO1819">
            <v>20617</v>
          </cell>
          <cell r="AP1819">
            <v>20617</v>
          </cell>
        </row>
        <row r="1820">
          <cell r="D1820" t="str">
            <v>NV khác</v>
          </cell>
          <cell r="G1820" t="str">
            <v>Quản lý</v>
          </cell>
          <cell r="I1820" t="str">
            <v>RD</v>
          </cell>
          <cell r="AC1820">
            <v>1030000</v>
          </cell>
          <cell r="AD1820">
            <v>41391760</v>
          </cell>
          <cell r="AE1820">
            <v>8083894</v>
          </cell>
          <cell r="AF1820">
            <v>7800652</v>
          </cell>
          <cell r="AG1820">
            <v>0</v>
          </cell>
          <cell r="AH1820">
            <v>0</v>
          </cell>
          <cell r="AI1820">
            <v>0</v>
          </cell>
          <cell r="AJ1820">
            <v>0</v>
          </cell>
          <cell r="AK1820">
            <v>283242</v>
          </cell>
          <cell r="AL1820">
            <v>619591</v>
          </cell>
          <cell r="AM1820">
            <v>0</v>
          </cell>
          <cell r="AN1820">
            <v>0</v>
          </cell>
          <cell r="AO1820">
            <v>0</v>
          </cell>
          <cell r="AP1820">
            <v>0</v>
          </cell>
        </row>
        <row r="1821">
          <cell r="D1821" t="str">
            <v>NV khác</v>
          </cell>
          <cell r="G1821" t="str">
            <v>Quản lý</v>
          </cell>
          <cell r="I1821" t="str">
            <v>RD</v>
          </cell>
          <cell r="AC1821">
            <v>1030000</v>
          </cell>
          <cell r="AD1821">
            <v>39884079</v>
          </cell>
          <cell r="AE1821">
            <v>1550037</v>
          </cell>
          <cell r="AF1821">
            <v>1492900</v>
          </cell>
          <cell r="AG1821">
            <v>0</v>
          </cell>
          <cell r="AH1821">
            <v>0</v>
          </cell>
          <cell r="AI1821">
            <v>0</v>
          </cell>
          <cell r="AJ1821">
            <v>0</v>
          </cell>
          <cell r="AK1821">
            <v>57137</v>
          </cell>
          <cell r="AL1821">
            <v>124986</v>
          </cell>
          <cell r="AM1821">
            <v>0</v>
          </cell>
          <cell r="AN1821">
            <v>0</v>
          </cell>
          <cell r="AO1821">
            <v>0</v>
          </cell>
          <cell r="AP1821">
            <v>0</v>
          </cell>
        </row>
        <row r="1822">
          <cell r="D1822" t="str">
            <v>NV khác</v>
          </cell>
          <cell r="G1822" t="str">
            <v>Quản lý</v>
          </cell>
          <cell r="I1822" t="str">
            <v>TH</v>
          </cell>
          <cell r="AC1822">
            <v>1047000</v>
          </cell>
          <cell r="AD1822">
            <v>23442633</v>
          </cell>
          <cell r="AE1822">
            <v>10614353</v>
          </cell>
          <cell r="AF1822">
            <v>10136122</v>
          </cell>
          <cell r="AG1822">
            <v>0</v>
          </cell>
          <cell r="AH1822">
            <v>0</v>
          </cell>
          <cell r="AI1822">
            <v>0</v>
          </cell>
          <cell r="AJ1822">
            <v>0</v>
          </cell>
          <cell r="AK1822">
            <v>364366</v>
          </cell>
          <cell r="AL1822">
            <v>797050</v>
          </cell>
          <cell r="AM1822">
            <v>68319</v>
          </cell>
          <cell r="AN1822">
            <v>136637</v>
          </cell>
          <cell r="AO1822">
            <v>45546</v>
          </cell>
          <cell r="AP1822">
            <v>45546</v>
          </cell>
        </row>
        <row r="1823">
          <cell r="D1823" t="str">
            <v>NV khác</v>
          </cell>
          <cell r="G1823" t="str">
            <v>Quản lý</v>
          </cell>
          <cell r="I1823" t="str">
            <v>DVSBH</v>
          </cell>
          <cell r="AC1823">
            <v>1030000</v>
          </cell>
          <cell r="AD1823">
            <v>30728406</v>
          </cell>
          <cell r="AE1823">
            <v>7154475</v>
          </cell>
          <cell r="AF1823">
            <v>6889546</v>
          </cell>
          <cell r="AG1823">
            <v>0</v>
          </cell>
          <cell r="AH1823">
            <v>0</v>
          </cell>
          <cell r="AI1823">
            <v>0</v>
          </cell>
          <cell r="AJ1823">
            <v>0</v>
          </cell>
          <cell r="AK1823">
            <v>201851</v>
          </cell>
          <cell r="AL1823">
            <v>441547</v>
          </cell>
          <cell r="AM1823">
            <v>37847</v>
          </cell>
          <cell r="AN1823">
            <v>75694</v>
          </cell>
          <cell r="AO1823">
            <v>25231</v>
          </cell>
          <cell r="AP1823">
            <v>25231</v>
          </cell>
        </row>
        <row r="1824">
          <cell r="D1824" t="str">
            <v>NV khác</v>
          </cell>
          <cell r="G1824" t="str">
            <v>Quản lý</v>
          </cell>
          <cell r="I1824" t="str">
            <v>CKTĐH</v>
          </cell>
          <cell r="AC1824">
            <v>1381000</v>
          </cell>
          <cell r="AD1824">
            <v>33912534</v>
          </cell>
          <cell r="AE1824">
            <v>15726289</v>
          </cell>
          <cell r="AF1824">
            <v>15169260</v>
          </cell>
          <cell r="AG1824">
            <v>0</v>
          </cell>
          <cell r="AH1824">
            <v>0</v>
          </cell>
          <cell r="AI1824">
            <v>0</v>
          </cell>
          <cell r="AJ1824">
            <v>0</v>
          </cell>
          <cell r="AK1824">
            <v>424403</v>
          </cell>
          <cell r="AL1824">
            <v>928383</v>
          </cell>
          <cell r="AM1824">
            <v>79576</v>
          </cell>
          <cell r="AN1824">
            <v>159151</v>
          </cell>
          <cell r="AO1824">
            <v>53050</v>
          </cell>
          <cell r="AP1824">
            <v>53050</v>
          </cell>
        </row>
        <row r="1825">
          <cell r="D1825" t="str">
            <v>NV khác</v>
          </cell>
          <cell r="G1825" t="str">
            <v>Quản lý</v>
          </cell>
          <cell r="I1825" t="str">
            <v>DVSBH</v>
          </cell>
          <cell r="AC1825">
            <v>930000</v>
          </cell>
          <cell r="AD1825">
            <v>28254600</v>
          </cell>
          <cell r="AE1825">
            <v>6535221</v>
          </cell>
          <cell r="AF1825">
            <v>6270293</v>
          </cell>
          <cell r="AG1825">
            <v>0</v>
          </cell>
          <cell r="AH1825">
            <v>0</v>
          </cell>
          <cell r="AI1825">
            <v>0</v>
          </cell>
          <cell r="AJ1825">
            <v>0</v>
          </cell>
          <cell r="AK1825">
            <v>201850</v>
          </cell>
          <cell r="AL1825">
            <v>441547</v>
          </cell>
          <cell r="AM1825">
            <v>37847</v>
          </cell>
          <cell r="AN1825">
            <v>75694</v>
          </cell>
          <cell r="AO1825">
            <v>25231</v>
          </cell>
          <cell r="AP1825">
            <v>25231</v>
          </cell>
        </row>
        <row r="1826">
          <cell r="D1826" t="str">
            <v>NV khác</v>
          </cell>
          <cell r="G1826" t="str">
            <v>Quản lý</v>
          </cell>
          <cell r="I1826" t="str">
            <v>CNCM</v>
          </cell>
          <cell r="AC1826">
            <v>1230000</v>
          </cell>
          <cell r="AD1826">
            <v>62091356</v>
          </cell>
          <cell r="AE1826">
            <v>55416757</v>
          </cell>
          <cell r="AF1826">
            <v>54166384</v>
          </cell>
          <cell r="AG1826">
            <v>0</v>
          </cell>
          <cell r="AH1826">
            <v>0</v>
          </cell>
          <cell r="AI1826">
            <v>0</v>
          </cell>
          <cell r="AJ1826">
            <v>0</v>
          </cell>
          <cell r="AK1826">
            <v>952665</v>
          </cell>
          <cell r="AL1826">
            <v>2083955</v>
          </cell>
          <cell r="AM1826">
            <v>178625</v>
          </cell>
          <cell r="AN1826">
            <v>357249</v>
          </cell>
          <cell r="AO1826">
            <v>119083</v>
          </cell>
          <cell r="AP1826">
            <v>119083</v>
          </cell>
        </row>
        <row r="1827">
          <cell r="D1827" t="str">
            <v>NV khác</v>
          </cell>
          <cell r="G1827" t="str">
            <v>Quản lý</v>
          </cell>
          <cell r="I1827" t="str">
            <v>Camera</v>
          </cell>
          <cell r="AC1827">
            <v>1030000</v>
          </cell>
          <cell r="AD1827">
            <v>56120531</v>
          </cell>
          <cell r="AE1827">
            <v>31837672</v>
          </cell>
          <cell r="AF1827">
            <v>31080021</v>
          </cell>
          <cell r="AG1827">
            <v>0</v>
          </cell>
          <cell r="AH1827">
            <v>0</v>
          </cell>
          <cell r="AI1827">
            <v>0</v>
          </cell>
          <cell r="AJ1827">
            <v>0</v>
          </cell>
          <cell r="AK1827">
            <v>577258</v>
          </cell>
          <cell r="AL1827">
            <v>1262751</v>
          </cell>
          <cell r="AM1827">
            <v>108236</v>
          </cell>
          <cell r="AN1827">
            <v>216472</v>
          </cell>
          <cell r="AO1827">
            <v>72157</v>
          </cell>
          <cell r="AP1827">
            <v>72157</v>
          </cell>
        </row>
        <row r="1828">
          <cell r="D1828" t="str">
            <v>NV khác</v>
          </cell>
          <cell r="G1828" t="str">
            <v>Quản lý</v>
          </cell>
          <cell r="I1828" t="str">
            <v>CHĐK</v>
          </cell>
          <cell r="AC1828">
            <v>1030000</v>
          </cell>
          <cell r="AD1828">
            <v>51120531</v>
          </cell>
          <cell r="AE1828">
            <v>39077834</v>
          </cell>
          <cell r="AF1828">
            <v>38049594</v>
          </cell>
          <cell r="AG1828">
            <v>0</v>
          </cell>
          <cell r="AH1828">
            <v>0</v>
          </cell>
          <cell r="AI1828">
            <v>0</v>
          </cell>
          <cell r="AJ1828">
            <v>0</v>
          </cell>
          <cell r="AK1828">
            <v>783421</v>
          </cell>
          <cell r="AL1828">
            <v>1713734</v>
          </cell>
          <cell r="AM1828">
            <v>146891</v>
          </cell>
          <cell r="AN1828">
            <v>293783</v>
          </cell>
          <cell r="AO1828">
            <v>97928</v>
          </cell>
          <cell r="AP1828">
            <v>97928</v>
          </cell>
        </row>
        <row r="1829">
          <cell r="D1829" t="str">
            <v>NV khác</v>
          </cell>
          <cell r="G1829" t="str">
            <v>Quản lý</v>
          </cell>
          <cell r="I1829" t="str">
            <v>DVSBH</v>
          </cell>
          <cell r="AC1829">
            <v>930000</v>
          </cell>
          <cell r="AD1829">
            <v>24838889</v>
          </cell>
          <cell r="AE1829">
            <v>18056141</v>
          </cell>
          <cell r="AF1829">
            <v>17298942</v>
          </cell>
          <cell r="AG1829">
            <v>0</v>
          </cell>
          <cell r="AH1829">
            <v>0</v>
          </cell>
          <cell r="AI1829">
            <v>0</v>
          </cell>
          <cell r="AJ1829">
            <v>0</v>
          </cell>
          <cell r="AK1829">
            <v>576912</v>
          </cell>
          <cell r="AL1829">
            <v>1261996</v>
          </cell>
          <cell r="AM1829">
            <v>108172</v>
          </cell>
          <cell r="AN1829">
            <v>216343</v>
          </cell>
          <cell r="AO1829">
            <v>72115</v>
          </cell>
          <cell r="AP1829">
            <v>72115</v>
          </cell>
        </row>
        <row r="1830">
          <cell r="D1830" t="str">
            <v>NV khác</v>
          </cell>
          <cell r="G1830" t="str">
            <v>Quản lý</v>
          </cell>
          <cell r="I1830" t="str">
            <v>MHMP</v>
          </cell>
          <cell r="AC1830">
            <v>1030000</v>
          </cell>
          <cell r="AD1830">
            <v>35206110</v>
          </cell>
          <cell r="AE1830">
            <v>19419333</v>
          </cell>
          <cell r="AF1830">
            <v>18801166</v>
          </cell>
          <cell r="AG1830">
            <v>0</v>
          </cell>
          <cell r="AH1830">
            <v>0</v>
          </cell>
          <cell r="AI1830">
            <v>0</v>
          </cell>
          <cell r="AJ1830">
            <v>0</v>
          </cell>
          <cell r="AK1830">
            <v>470984</v>
          </cell>
          <cell r="AL1830">
            <v>1030278</v>
          </cell>
          <cell r="AM1830">
            <v>88310</v>
          </cell>
          <cell r="AN1830">
            <v>176619</v>
          </cell>
          <cell r="AO1830">
            <v>58873</v>
          </cell>
          <cell r="AP1830">
            <v>58873</v>
          </cell>
        </row>
        <row r="1831">
          <cell r="D1831" t="str">
            <v>NV khác</v>
          </cell>
          <cell r="G1831" t="str">
            <v>Quản lý</v>
          </cell>
          <cell r="I1831" t="str">
            <v>MHMP</v>
          </cell>
          <cell r="AC1831">
            <v>1030000</v>
          </cell>
          <cell r="AD1831">
            <v>35627144</v>
          </cell>
          <cell r="AE1831">
            <v>12602999</v>
          </cell>
          <cell r="AF1831">
            <v>12185226</v>
          </cell>
          <cell r="AG1831">
            <v>0</v>
          </cell>
          <cell r="AH1831">
            <v>0</v>
          </cell>
          <cell r="AI1831">
            <v>0</v>
          </cell>
          <cell r="AJ1831">
            <v>0</v>
          </cell>
          <cell r="AK1831">
            <v>318303</v>
          </cell>
          <cell r="AL1831">
            <v>696287</v>
          </cell>
          <cell r="AM1831">
            <v>59682</v>
          </cell>
          <cell r="AN1831">
            <v>119363</v>
          </cell>
          <cell r="AO1831">
            <v>39788</v>
          </cell>
          <cell r="AP1831">
            <v>39788</v>
          </cell>
        </row>
        <row r="1832">
          <cell r="D1832" t="str">
            <v>NV khác</v>
          </cell>
          <cell r="G1832" t="str">
            <v>Quản lý</v>
          </cell>
          <cell r="I1832" t="str">
            <v>IOT</v>
          </cell>
          <cell r="AC1832">
            <v>1730000</v>
          </cell>
          <cell r="AD1832">
            <v>82741288</v>
          </cell>
          <cell r="AE1832">
            <v>6844847</v>
          </cell>
          <cell r="AF1832">
            <v>6760567</v>
          </cell>
          <cell r="AG1832">
            <v>0</v>
          </cell>
          <cell r="AH1832">
            <v>0</v>
          </cell>
          <cell r="AI1832">
            <v>0</v>
          </cell>
          <cell r="AJ1832">
            <v>0</v>
          </cell>
          <cell r="AK1832">
            <v>70972</v>
          </cell>
          <cell r="AL1832">
            <v>155254</v>
          </cell>
          <cell r="AM1832">
            <v>13308</v>
          </cell>
          <cell r="AN1832">
            <v>26615</v>
          </cell>
          <cell r="AO1832">
            <v>0</v>
          </cell>
          <cell r="AP1832">
            <v>0</v>
          </cell>
        </row>
        <row r="1833">
          <cell r="D1833" t="str">
            <v>NV khác</v>
          </cell>
          <cell r="G1833" t="str">
            <v>Quản lý</v>
          </cell>
          <cell r="I1833" t="str">
            <v>DVSBH</v>
          </cell>
          <cell r="AC1833">
            <v>1398000</v>
          </cell>
          <cell r="AD1833">
            <v>24852912</v>
          </cell>
          <cell r="AE1833">
            <v>12097606</v>
          </cell>
          <cell r="AF1833">
            <v>11579521</v>
          </cell>
          <cell r="AG1833">
            <v>0</v>
          </cell>
          <cell r="AH1833">
            <v>0</v>
          </cell>
          <cell r="AI1833">
            <v>0</v>
          </cell>
          <cell r="AJ1833">
            <v>0</v>
          </cell>
          <cell r="AK1833">
            <v>394730</v>
          </cell>
          <cell r="AL1833">
            <v>863470</v>
          </cell>
          <cell r="AM1833">
            <v>74012</v>
          </cell>
          <cell r="AN1833">
            <v>148025</v>
          </cell>
          <cell r="AO1833">
            <v>49343</v>
          </cell>
          <cell r="AP1833">
            <v>49343</v>
          </cell>
        </row>
        <row r="1834">
          <cell r="D1834" t="str">
            <v>NV khác</v>
          </cell>
          <cell r="G1834" t="str">
            <v>Quản lý</v>
          </cell>
          <cell r="I1834" t="str">
            <v>CNCM</v>
          </cell>
          <cell r="AC1834">
            <v>1030000</v>
          </cell>
          <cell r="AD1834">
            <v>30263490</v>
          </cell>
          <cell r="AE1834">
            <v>15238583</v>
          </cell>
          <cell r="AF1834">
            <v>14664571</v>
          </cell>
          <cell r="AG1834">
            <v>0</v>
          </cell>
          <cell r="AH1834">
            <v>0</v>
          </cell>
          <cell r="AI1834">
            <v>0</v>
          </cell>
          <cell r="AJ1834">
            <v>0</v>
          </cell>
          <cell r="AK1834">
            <v>437342</v>
          </cell>
          <cell r="AL1834">
            <v>956687</v>
          </cell>
          <cell r="AM1834">
            <v>82002</v>
          </cell>
          <cell r="AN1834">
            <v>164003</v>
          </cell>
          <cell r="AO1834">
            <v>54668</v>
          </cell>
          <cell r="AP1834">
            <v>54668</v>
          </cell>
        </row>
        <row r="1835">
          <cell r="D1835" t="str">
            <v>NV khác</v>
          </cell>
          <cell r="G1835" t="str">
            <v>Quản lý</v>
          </cell>
          <cell r="I1835" t="str">
            <v>VTBR</v>
          </cell>
          <cell r="AC1835">
            <v>1030000</v>
          </cell>
          <cell r="AD1835">
            <v>54948602</v>
          </cell>
          <cell r="AE1835">
            <v>42355700</v>
          </cell>
          <cell r="AF1835">
            <v>41379087</v>
          </cell>
          <cell r="AG1835">
            <v>0</v>
          </cell>
          <cell r="AH1835">
            <v>0</v>
          </cell>
          <cell r="AI1835">
            <v>0</v>
          </cell>
          <cell r="AJ1835">
            <v>0</v>
          </cell>
          <cell r="AK1835">
            <v>744086</v>
          </cell>
          <cell r="AL1835">
            <v>1627689</v>
          </cell>
          <cell r="AM1835">
            <v>139516</v>
          </cell>
          <cell r="AN1835">
            <v>279032</v>
          </cell>
          <cell r="AO1835">
            <v>93011</v>
          </cell>
          <cell r="AP1835">
            <v>93011</v>
          </cell>
        </row>
        <row r="1836">
          <cell r="D1836" t="str">
            <v>NV khác</v>
          </cell>
          <cell r="G1836" t="str">
            <v>Quản lý</v>
          </cell>
          <cell r="I1836" t="str">
            <v>ĐPT</v>
          </cell>
          <cell r="AC1836">
            <v>1615000</v>
          </cell>
          <cell r="AD1836">
            <v>30186668</v>
          </cell>
          <cell r="AE1836">
            <v>21725053</v>
          </cell>
          <cell r="AF1836">
            <v>20886112</v>
          </cell>
          <cell r="AG1836">
            <v>0</v>
          </cell>
          <cell r="AH1836">
            <v>0</v>
          </cell>
          <cell r="AI1836">
            <v>0</v>
          </cell>
          <cell r="AJ1836">
            <v>0</v>
          </cell>
          <cell r="AK1836">
            <v>639193</v>
          </cell>
          <cell r="AL1836">
            <v>1398235</v>
          </cell>
          <cell r="AM1836">
            <v>119849</v>
          </cell>
          <cell r="AN1836">
            <v>239697</v>
          </cell>
          <cell r="AO1836">
            <v>79899</v>
          </cell>
          <cell r="AP1836">
            <v>79899</v>
          </cell>
        </row>
        <row r="1837">
          <cell r="D1837" t="str">
            <v>NV khác</v>
          </cell>
          <cell r="G1837" t="str">
            <v>Quản lý</v>
          </cell>
          <cell r="I1837" t="str">
            <v>CNCM</v>
          </cell>
          <cell r="AC1837">
            <v>1398000</v>
          </cell>
          <cell r="AD1837">
            <v>35071768</v>
          </cell>
          <cell r="AE1837">
            <v>30035594</v>
          </cell>
          <cell r="AF1837">
            <v>29064189</v>
          </cell>
          <cell r="AG1837">
            <v>0</v>
          </cell>
          <cell r="AH1837">
            <v>0</v>
          </cell>
          <cell r="AI1837">
            <v>0</v>
          </cell>
          <cell r="AJ1837">
            <v>0</v>
          </cell>
          <cell r="AK1837">
            <v>740118</v>
          </cell>
          <cell r="AL1837">
            <v>1619009</v>
          </cell>
          <cell r="AM1837">
            <v>138772</v>
          </cell>
          <cell r="AN1837">
            <v>277544</v>
          </cell>
          <cell r="AO1837">
            <v>92515</v>
          </cell>
          <cell r="AP1837">
            <v>92515</v>
          </cell>
        </row>
        <row r="1838">
          <cell r="D1838" t="str">
            <v>NV khác</v>
          </cell>
          <cell r="G1838" t="str">
            <v>Quản lý</v>
          </cell>
          <cell r="I1838" t="str">
            <v>TCĐT</v>
          </cell>
          <cell r="AC1838">
            <v>1030000</v>
          </cell>
          <cell r="AD1838">
            <v>56120531</v>
          </cell>
          <cell r="AE1838">
            <v>11370597</v>
          </cell>
          <cell r="AF1838">
            <v>11100007</v>
          </cell>
          <cell r="AG1838">
            <v>0</v>
          </cell>
          <cell r="AH1838">
            <v>0</v>
          </cell>
          <cell r="AI1838">
            <v>0</v>
          </cell>
          <cell r="AJ1838">
            <v>0</v>
          </cell>
          <cell r="AK1838">
            <v>206164</v>
          </cell>
          <cell r="AL1838">
            <v>450982</v>
          </cell>
          <cell r="AM1838">
            <v>38656</v>
          </cell>
          <cell r="AN1838">
            <v>77312</v>
          </cell>
          <cell r="AO1838">
            <v>25770</v>
          </cell>
          <cell r="AP1838">
            <v>25770</v>
          </cell>
        </row>
        <row r="1839">
          <cell r="D1839" t="str">
            <v>NV khác</v>
          </cell>
          <cell r="G1839" t="str">
            <v>Quản lý</v>
          </cell>
          <cell r="I1839" t="str">
            <v>VTBR</v>
          </cell>
          <cell r="AC1839">
            <v>1130000</v>
          </cell>
          <cell r="AD1839">
            <v>60588792</v>
          </cell>
          <cell r="AE1839">
            <v>46816833</v>
          </cell>
          <cell r="AF1839">
            <v>45788593</v>
          </cell>
          <cell r="AG1839">
            <v>0</v>
          </cell>
          <cell r="AH1839">
            <v>0</v>
          </cell>
          <cell r="AI1839">
            <v>0</v>
          </cell>
          <cell r="AJ1839">
            <v>0</v>
          </cell>
          <cell r="AK1839">
            <v>783421</v>
          </cell>
          <cell r="AL1839">
            <v>1713734</v>
          </cell>
          <cell r="AM1839">
            <v>146891</v>
          </cell>
          <cell r="AN1839">
            <v>293783</v>
          </cell>
          <cell r="AO1839">
            <v>97928</v>
          </cell>
          <cell r="AP1839">
            <v>97928</v>
          </cell>
        </row>
        <row r="1840">
          <cell r="D1840" t="str">
            <v>NV khác</v>
          </cell>
          <cell r="G1840" t="str">
            <v>Quản lý</v>
          </cell>
          <cell r="I1840" t="str">
            <v>ĐPT</v>
          </cell>
          <cell r="AC1840">
            <v>1030000</v>
          </cell>
          <cell r="AD1840">
            <v>40709982</v>
          </cell>
          <cell r="AE1840">
            <v>30699280</v>
          </cell>
          <cell r="AF1840">
            <v>29769992</v>
          </cell>
          <cell r="AG1840">
            <v>0</v>
          </cell>
          <cell r="AH1840">
            <v>0</v>
          </cell>
          <cell r="AI1840">
            <v>0</v>
          </cell>
          <cell r="AJ1840">
            <v>0</v>
          </cell>
          <cell r="AK1840">
            <v>708029</v>
          </cell>
          <cell r="AL1840">
            <v>1548814</v>
          </cell>
          <cell r="AM1840">
            <v>132755</v>
          </cell>
          <cell r="AN1840">
            <v>265511</v>
          </cell>
          <cell r="AO1840">
            <v>88504</v>
          </cell>
          <cell r="AP1840">
            <v>88504</v>
          </cell>
        </row>
        <row r="1841">
          <cell r="D1841" t="str">
            <v>NV khác</v>
          </cell>
          <cell r="G1841" t="str">
            <v>Quản lý</v>
          </cell>
          <cell r="I1841" t="str">
            <v>CNCM</v>
          </cell>
          <cell r="AC1841">
            <v>1130000</v>
          </cell>
          <cell r="AD1841">
            <v>47939160</v>
          </cell>
          <cell r="AE1841">
            <v>42243107</v>
          </cell>
          <cell r="AF1841">
            <v>41112291</v>
          </cell>
          <cell r="AG1841">
            <v>0</v>
          </cell>
          <cell r="AH1841">
            <v>0</v>
          </cell>
          <cell r="AI1841">
            <v>0</v>
          </cell>
          <cell r="AJ1841">
            <v>0</v>
          </cell>
          <cell r="AK1841">
            <v>861574</v>
          </cell>
          <cell r="AL1841">
            <v>1884692</v>
          </cell>
          <cell r="AM1841">
            <v>161545</v>
          </cell>
          <cell r="AN1841">
            <v>323090</v>
          </cell>
          <cell r="AO1841">
            <v>107697</v>
          </cell>
          <cell r="AP1841">
            <v>107697</v>
          </cell>
        </row>
        <row r="1842">
          <cell r="D1842" t="str">
            <v>NV khác</v>
          </cell>
          <cell r="G1842" t="str">
            <v>Quản lý</v>
          </cell>
          <cell r="I1842" t="str">
            <v>ĐPT</v>
          </cell>
          <cell r="AC1842">
            <v>1030000</v>
          </cell>
          <cell r="AD1842">
            <v>54176088</v>
          </cell>
          <cell r="AE1842">
            <v>41601990</v>
          </cell>
          <cell r="AF1842">
            <v>40573750</v>
          </cell>
          <cell r="AG1842">
            <v>0</v>
          </cell>
          <cell r="AH1842">
            <v>0</v>
          </cell>
          <cell r="AI1842">
            <v>0</v>
          </cell>
          <cell r="AJ1842">
            <v>0</v>
          </cell>
          <cell r="AK1842">
            <v>783421</v>
          </cell>
          <cell r="AL1842">
            <v>1713734</v>
          </cell>
          <cell r="AM1842">
            <v>146891</v>
          </cell>
          <cell r="AN1842">
            <v>293783</v>
          </cell>
          <cell r="AO1842">
            <v>97928</v>
          </cell>
          <cell r="AP1842">
            <v>97928</v>
          </cell>
        </row>
        <row r="1843">
          <cell r="D1843" t="str">
            <v>NV khác</v>
          </cell>
          <cell r="G1843" t="str">
            <v>Quản lý</v>
          </cell>
          <cell r="I1843" t="str">
            <v>KTCN</v>
          </cell>
          <cell r="AC1843">
            <v>1130000</v>
          </cell>
          <cell r="AD1843">
            <v>58684198</v>
          </cell>
          <cell r="AE1843">
            <v>33252156</v>
          </cell>
          <cell r="AF1843">
            <v>32456465</v>
          </cell>
          <cell r="AG1843">
            <v>0</v>
          </cell>
          <cell r="AH1843">
            <v>0</v>
          </cell>
          <cell r="AI1843">
            <v>0</v>
          </cell>
          <cell r="AJ1843">
            <v>0</v>
          </cell>
          <cell r="AK1843">
            <v>606241</v>
          </cell>
          <cell r="AL1843">
            <v>1326153</v>
          </cell>
          <cell r="AM1843">
            <v>113670</v>
          </cell>
          <cell r="AN1843">
            <v>227341</v>
          </cell>
          <cell r="AO1843">
            <v>75780</v>
          </cell>
          <cell r="AP1843">
            <v>75780</v>
          </cell>
        </row>
        <row r="1844">
          <cell r="D1844" t="str">
            <v>NV khác</v>
          </cell>
          <cell r="G1844" t="str">
            <v>Quản lý</v>
          </cell>
          <cell r="I1844" t="str">
            <v>DVSBH</v>
          </cell>
          <cell r="AC1844">
            <v>1930000</v>
          </cell>
          <cell r="AD1844">
            <v>28992970</v>
          </cell>
          <cell r="AE1844">
            <v>20478737</v>
          </cell>
          <cell r="AF1844">
            <v>19639796</v>
          </cell>
          <cell r="AG1844">
            <v>0</v>
          </cell>
          <cell r="AH1844">
            <v>0</v>
          </cell>
          <cell r="AI1844">
            <v>0</v>
          </cell>
          <cell r="AJ1844">
            <v>0</v>
          </cell>
          <cell r="AK1844">
            <v>639193</v>
          </cell>
          <cell r="AL1844">
            <v>1398235</v>
          </cell>
          <cell r="AM1844">
            <v>119849</v>
          </cell>
          <cell r="AN1844">
            <v>239697</v>
          </cell>
          <cell r="AO1844">
            <v>79899</v>
          </cell>
          <cell r="AP1844">
            <v>79899</v>
          </cell>
        </row>
        <row r="1845">
          <cell r="D1845" t="str">
            <v>NV khác</v>
          </cell>
          <cell r="G1845" t="str">
            <v>Quản lý</v>
          </cell>
          <cell r="I1845" t="str">
            <v>VTBR</v>
          </cell>
          <cell r="AC1845">
            <v>1030000</v>
          </cell>
          <cell r="AD1845">
            <v>29601668</v>
          </cell>
          <cell r="AE1845">
            <v>16007934</v>
          </cell>
          <cell r="AF1845">
            <v>15389767</v>
          </cell>
          <cell r="AG1845">
            <v>0</v>
          </cell>
          <cell r="AH1845">
            <v>0</v>
          </cell>
          <cell r="AI1845">
            <v>0</v>
          </cell>
          <cell r="AJ1845">
            <v>0</v>
          </cell>
          <cell r="AK1845">
            <v>470984</v>
          </cell>
          <cell r="AL1845">
            <v>1030278</v>
          </cell>
          <cell r="AM1845">
            <v>88310</v>
          </cell>
          <cell r="AN1845">
            <v>176619</v>
          </cell>
          <cell r="AO1845">
            <v>58873</v>
          </cell>
          <cell r="AP1845">
            <v>58873</v>
          </cell>
        </row>
        <row r="1846">
          <cell r="D1846" t="str">
            <v>NV khác</v>
          </cell>
          <cell r="G1846" t="str">
            <v>Quản lý</v>
          </cell>
          <cell r="I1846" t="str">
            <v>TH</v>
          </cell>
          <cell r="AC1846">
            <v>1047000</v>
          </cell>
          <cell r="AD1846">
            <v>17348899</v>
          </cell>
          <cell r="AE1846">
            <v>12645081</v>
          </cell>
          <cell r="AF1846">
            <v>11961248</v>
          </cell>
          <cell r="AG1846">
            <v>0</v>
          </cell>
          <cell r="AH1846">
            <v>0</v>
          </cell>
          <cell r="AI1846">
            <v>0</v>
          </cell>
          <cell r="AJ1846">
            <v>0</v>
          </cell>
          <cell r="AK1846">
            <v>521016</v>
          </cell>
          <cell r="AL1846">
            <v>1139722</v>
          </cell>
          <cell r="AM1846">
            <v>97690</v>
          </cell>
          <cell r="AN1846">
            <v>195381</v>
          </cell>
          <cell r="AO1846">
            <v>65127</v>
          </cell>
          <cell r="AP1846">
            <v>65127</v>
          </cell>
        </row>
        <row r="1847">
          <cell r="D1847" t="str">
            <v>NV khác</v>
          </cell>
          <cell r="G1847" t="str">
            <v>Quản lý</v>
          </cell>
          <cell r="I1847" t="str">
            <v>CHĐK</v>
          </cell>
          <cell r="AC1847">
            <v>1130000</v>
          </cell>
          <cell r="AD1847">
            <v>68931663</v>
          </cell>
          <cell r="AE1847">
            <v>62758752</v>
          </cell>
          <cell r="AF1847">
            <v>61874192</v>
          </cell>
          <cell r="AG1847">
            <v>0</v>
          </cell>
          <cell r="AH1847">
            <v>0</v>
          </cell>
          <cell r="AI1847">
            <v>0</v>
          </cell>
          <cell r="AJ1847">
            <v>0</v>
          </cell>
          <cell r="AK1847">
            <v>744893</v>
          </cell>
          <cell r="AL1847">
            <v>1629454</v>
          </cell>
          <cell r="AM1847">
            <v>139667</v>
          </cell>
          <cell r="AN1847">
            <v>279335</v>
          </cell>
          <cell r="AO1847">
            <v>0</v>
          </cell>
          <cell r="AP1847">
            <v>0</v>
          </cell>
        </row>
        <row r="1848">
          <cell r="D1848" t="str">
            <v>NV khác</v>
          </cell>
          <cell r="G1848" t="str">
            <v>Quản lý</v>
          </cell>
          <cell r="I1848" t="str">
            <v>RD</v>
          </cell>
          <cell r="AC1848">
            <v>1030000</v>
          </cell>
          <cell r="AD1848">
            <v>43321640</v>
          </cell>
          <cell r="AE1848">
            <v>1729302</v>
          </cell>
          <cell r="AF1848">
            <v>1680391</v>
          </cell>
          <cell r="AG1848">
            <v>0</v>
          </cell>
          <cell r="AH1848">
            <v>0</v>
          </cell>
          <cell r="AI1848">
            <v>0</v>
          </cell>
          <cell r="AJ1848">
            <v>0</v>
          </cell>
          <cell r="AK1848">
            <v>37265</v>
          </cell>
          <cell r="AL1848">
            <v>81516</v>
          </cell>
          <cell r="AM1848">
            <v>6988</v>
          </cell>
          <cell r="AN1848">
            <v>13974</v>
          </cell>
          <cell r="AO1848">
            <v>4658</v>
          </cell>
          <cell r="AP1848">
            <v>4658</v>
          </cell>
        </row>
        <row r="1849">
          <cell r="D1849" t="str">
            <v>NV khác</v>
          </cell>
          <cell r="G1849" t="str">
            <v>Quản lý</v>
          </cell>
          <cell r="I1849" t="str">
            <v>TH</v>
          </cell>
          <cell r="AC1849">
            <v>1047000</v>
          </cell>
          <cell r="AD1849">
            <v>25759079</v>
          </cell>
          <cell r="AE1849">
            <v>8826151</v>
          </cell>
          <cell r="AF1849">
            <v>8449137</v>
          </cell>
          <cell r="AG1849">
            <v>0</v>
          </cell>
          <cell r="AH1849">
            <v>0</v>
          </cell>
          <cell r="AI1849">
            <v>0</v>
          </cell>
          <cell r="AJ1849">
            <v>0</v>
          </cell>
          <cell r="AK1849">
            <v>287249</v>
          </cell>
          <cell r="AL1849">
            <v>628357</v>
          </cell>
          <cell r="AM1849">
            <v>53859</v>
          </cell>
          <cell r="AN1849">
            <v>107718</v>
          </cell>
          <cell r="AO1849">
            <v>35906</v>
          </cell>
          <cell r="AP1849">
            <v>35906</v>
          </cell>
        </row>
        <row r="1850">
          <cell r="D1850" t="str">
            <v>NV khác</v>
          </cell>
          <cell r="G1850" t="str">
            <v>Quản lý</v>
          </cell>
          <cell r="I1850" t="str">
            <v>CNCM</v>
          </cell>
          <cell r="AC1850">
            <v>1147000</v>
          </cell>
          <cell r="AD1850">
            <v>23542633</v>
          </cell>
          <cell r="AE1850">
            <v>19459648</v>
          </cell>
          <cell r="AF1850">
            <v>18582892</v>
          </cell>
          <cell r="AG1850">
            <v>0</v>
          </cell>
          <cell r="AH1850">
            <v>0</v>
          </cell>
          <cell r="AI1850">
            <v>0</v>
          </cell>
          <cell r="AJ1850">
            <v>0</v>
          </cell>
          <cell r="AK1850">
            <v>668004</v>
          </cell>
          <cell r="AL1850">
            <v>1461259</v>
          </cell>
          <cell r="AM1850">
            <v>125251</v>
          </cell>
          <cell r="AN1850">
            <v>250502</v>
          </cell>
          <cell r="AO1850">
            <v>83501</v>
          </cell>
          <cell r="AP1850">
            <v>83501</v>
          </cell>
        </row>
        <row r="1851">
          <cell r="D1851" t="str">
            <v>NV khác</v>
          </cell>
          <cell r="G1851" t="str">
            <v>Quản lý</v>
          </cell>
          <cell r="I1851" t="str">
            <v>KDDH</v>
          </cell>
          <cell r="AC1851">
            <v>1147000</v>
          </cell>
          <cell r="AD1851">
            <v>29718668</v>
          </cell>
          <cell r="AE1851">
            <v>3430271</v>
          </cell>
          <cell r="AF1851">
            <v>3297805</v>
          </cell>
          <cell r="AG1851">
            <v>0</v>
          </cell>
          <cell r="AH1851">
            <v>0</v>
          </cell>
          <cell r="AI1851">
            <v>0</v>
          </cell>
          <cell r="AJ1851">
            <v>0</v>
          </cell>
          <cell r="AK1851">
            <v>100926</v>
          </cell>
          <cell r="AL1851">
            <v>220774</v>
          </cell>
          <cell r="AM1851">
            <v>18923</v>
          </cell>
          <cell r="AN1851">
            <v>37847</v>
          </cell>
          <cell r="AO1851">
            <v>12617</v>
          </cell>
          <cell r="AP1851">
            <v>12617</v>
          </cell>
        </row>
        <row r="1852">
          <cell r="D1852" t="str">
            <v>NV khác</v>
          </cell>
          <cell r="G1852" t="str">
            <v>Quản lý</v>
          </cell>
          <cell r="I1852" t="str">
            <v>CHĐK</v>
          </cell>
          <cell r="AC1852">
            <v>1030000</v>
          </cell>
          <cell r="AD1852">
            <v>50823738</v>
          </cell>
          <cell r="AE1852">
            <v>40998110</v>
          </cell>
          <cell r="AF1852">
            <v>39970096</v>
          </cell>
          <cell r="AG1852">
            <v>0</v>
          </cell>
          <cell r="AH1852">
            <v>0</v>
          </cell>
          <cell r="AI1852">
            <v>0</v>
          </cell>
          <cell r="AJ1852">
            <v>0</v>
          </cell>
          <cell r="AK1852">
            <v>783249</v>
          </cell>
          <cell r="AL1852">
            <v>1713357</v>
          </cell>
          <cell r="AM1852">
            <v>146859</v>
          </cell>
          <cell r="AN1852">
            <v>293718</v>
          </cell>
          <cell r="AO1852">
            <v>97906</v>
          </cell>
          <cell r="AP1852">
            <v>97906</v>
          </cell>
        </row>
        <row r="1853">
          <cell r="D1853" t="str">
            <v>NV khác</v>
          </cell>
          <cell r="G1853" t="str">
            <v>Quản lý</v>
          </cell>
          <cell r="I1853" t="str">
            <v>CNCM</v>
          </cell>
          <cell r="AC1853">
            <v>1530000</v>
          </cell>
          <cell r="AD1853">
            <v>56620531</v>
          </cell>
          <cell r="AE1853">
            <v>50030628</v>
          </cell>
          <cell r="AF1853">
            <v>48840034</v>
          </cell>
          <cell r="AG1853">
            <v>0</v>
          </cell>
          <cell r="AH1853">
            <v>0</v>
          </cell>
          <cell r="AI1853">
            <v>0</v>
          </cell>
          <cell r="AJ1853">
            <v>0</v>
          </cell>
          <cell r="AK1853">
            <v>907119</v>
          </cell>
          <cell r="AL1853">
            <v>1984323</v>
          </cell>
          <cell r="AM1853">
            <v>170085</v>
          </cell>
          <cell r="AN1853">
            <v>340170</v>
          </cell>
          <cell r="AO1853">
            <v>113390</v>
          </cell>
          <cell r="AP1853">
            <v>113390</v>
          </cell>
        </row>
        <row r="1854">
          <cell r="D1854" t="str">
            <v>NV khác</v>
          </cell>
          <cell r="G1854" t="str">
            <v>Quản lý</v>
          </cell>
          <cell r="I1854" t="str">
            <v>IOT</v>
          </cell>
          <cell r="AC1854">
            <v>1230000</v>
          </cell>
          <cell r="AD1854">
            <v>74606137</v>
          </cell>
          <cell r="AE1854">
            <v>30493813</v>
          </cell>
          <cell r="AF1854">
            <v>29864325</v>
          </cell>
          <cell r="AG1854">
            <v>0</v>
          </cell>
          <cell r="AH1854">
            <v>0</v>
          </cell>
          <cell r="AI1854">
            <v>0</v>
          </cell>
          <cell r="AJ1854">
            <v>0</v>
          </cell>
          <cell r="AK1854">
            <v>479610</v>
          </cell>
          <cell r="AL1854">
            <v>1049148</v>
          </cell>
          <cell r="AM1854">
            <v>89927</v>
          </cell>
          <cell r="AN1854">
            <v>179854</v>
          </cell>
          <cell r="AO1854">
            <v>59951</v>
          </cell>
          <cell r="AP1854">
            <v>59951</v>
          </cell>
        </row>
        <row r="1855">
          <cell r="D1855" t="str">
            <v>NV khác</v>
          </cell>
          <cell r="G1855" t="str">
            <v>Quản lý</v>
          </cell>
          <cell r="I1855" t="str">
            <v>ĐPT</v>
          </cell>
          <cell r="AC1855">
            <v>1130000</v>
          </cell>
          <cell r="AD1855">
            <v>61621686</v>
          </cell>
          <cell r="AE1855">
            <v>47670093</v>
          </cell>
          <cell r="AF1855">
            <v>46641853</v>
          </cell>
          <cell r="AG1855">
            <v>0</v>
          </cell>
          <cell r="AH1855">
            <v>0</v>
          </cell>
          <cell r="AI1855">
            <v>0</v>
          </cell>
          <cell r="AJ1855">
            <v>0</v>
          </cell>
          <cell r="AK1855">
            <v>783421</v>
          </cell>
          <cell r="AL1855">
            <v>1713734</v>
          </cell>
          <cell r="AM1855">
            <v>146891</v>
          </cell>
          <cell r="AN1855">
            <v>293783</v>
          </cell>
          <cell r="AO1855">
            <v>97928</v>
          </cell>
          <cell r="AP1855">
            <v>97928</v>
          </cell>
        </row>
        <row r="1856">
          <cell r="D1856" t="str">
            <v>NV khác</v>
          </cell>
          <cell r="G1856" t="str">
            <v>Quản lý</v>
          </cell>
          <cell r="I1856" t="str">
            <v>ĐPT</v>
          </cell>
          <cell r="AC1856">
            <v>1430000</v>
          </cell>
          <cell r="AD1856">
            <v>43858330</v>
          </cell>
          <cell r="AE1856">
            <v>20822939</v>
          </cell>
          <cell r="AF1856">
            <v>20236020</v>
          </cell>
          <cell r="AG1856">
            <v>0</v>
          </cell>
          <cell r="AH1856">
            <v>0</v>
          </cell>
          <cell r="AI1856">
            <v>0</v>
          </cell>
          <cell r="AJ1856">
            <v>0</v>
          </cell>
          <cell r="AK1856">
            <v>447176</v>
          </cell>
          <cell r="AL1856">
            <v>978197</v>
          </cell>
          <cell r="AM1856">
            <v>83846</v>
          </cell>
          <cell r="AN1856">
            <v>167691</v>
          </cell>
          <cell r="AO1856">
            <v>55897</v>
          </cell>
          <cell r="AP1856">
            <v>55897</v>
          </cell>
        </row>
        <row r="1857">
          <cell r="D1857" t="str">
            <v>NV khác</v>
          </cell>
          <cell r="G1857" t="str">
            <v>Quản lý</v>
          </cell>
          <cell r="I1857" t="str">
            <v>CKTĐH</v>
          </cell>
          <cell r="AC1857">
            <v>1030000</v>
          </cell>
          <cell r="AD1857">
            <v>42232547</v>
          </cell>
          <cell r="AE1857">
            <v>16875247</v>
          </cell>
          <cell r="AF1857">
            <v>16411057</v>
          </cell>
          <cell r="AG1857">
            <v>0</v>
          </cell>
          <cell r="AH1857">
            <v>0</v>
          </cell>
          <cell r="AI1857">
            <v>0</v>
          </cell>
          <cell r="AJ1857">
            <v>0</v>
          </cell>
          <cell r="AK1857">
            <v>353669</v>
          </cell>
          <cell r="AL1857">
            <v>773652</v>
          </cell>
          <cell r="AM1857">
            <v>66313</v>
          </cell>
          <cell r="AN1857">
            <v>132626</v>
          </cell>
          <cell r="AO1857">
            <v>44208</v>
          </cell>
          <cell r="AP1857">
            <v>44208</v>
          </cell>
        </row>
        <row r="1858">
          <cell r="D1858" t="str">
            <v>NV khác</v>
          </cell>
          <cell r="G1858" t="str">
            <v>Quản lý</v>
          </cell>
          <cell r="I1858" t="str">
            <v>RD</v>
          </cell>
          <cell r="AC1858">
            <v>1047000</v>
          </cell>
          <cell r="AD1858">
            <v>28997006</v>
          </cell>
          <cell r="AE1858">
            <v>1121464</v>
          </cell>
          <cell r="AF1858">
            <v>1079572</v>
          </cell>
          <cell r="AG1858">
            <v>0</v>
          </cell>
          <cell r="AH1858">
            <v>0</v>
          </cell>
          <cell r="AI1858">
            <v>0</v>
          </cell>
          <cell r="AJ1858">
            <v>0</v>
          </cell>
          <cell r="AK1858">
            <v>31917</v>
          </cell>
          <cell r="AL1858">
            <v>69817</v>
          </cell>
          <cell r="AM1858">
            <v>5985</v>
          </cell>
          <cell r="AN1858">
            <v>11969</v>
          </cell>
          <cell r="AO1858">
            <v>3990</v>
          </cell>
          <cell r="AP1858">
            <v>3990</v>
          </cell>
        </row>
        <row r="1859">
          <cell r="D1859" t="str">
            <v>NV khác</v>
          </cell>
          <cell r="G1859" t="str">
            <v>Quản lý</v>
          </cell>
          <cell r="I1859" t="str">
            <v>RD</v>
          </cell>
          <cell r="AC1859">
            <v>1030000</v>
          </cell>
          <cell r="AD1859">
            <v>42198549</v>
          </cell>
          <cell r="AE1859">
            <v>1680472</v>
          </cell>
          <cell r="AF1859">
            <v>1631562</v>
          </cell>
          <cell r="AG1859">
            <v>0</v>
          </cell>
          <cell r="AH1859">
            <v>0</v>
          </cell>
          <cell r="AI1859">
            <v>0</v>
          </cell>
          <cell r="AJ1859">
            <v>0</v>
          </cell>
          <cell r="AK1859">
            <v>37264</v>
          </cell>
          <cell r="AL1859">
            <v>81516</v>
          </cell>
          <cell r="AM1859">
            <v>6987</v>
          </cell>
          <cell r="AN1859">
            <v>13975</v>
          </cell>
          <cell r="AO1859">
            <v>4659</v>
          </cell>
          <cell r="AP1859">
            <v>4659</v>
          </cell>
        </row>
        <row r="1860">
          <cell r="D1860" t="str">
            <v>NV khác</v>
          </cell>
          <cell r="G1860" t="str">
            <v>Quản lý</v>
          </cell>
          <cell r="I1860" t="str">
            <v>CHĐK</v>
          </cell>
          <cell r="AC1860">
            <v>1130000</v>
          </cell>
          <cell r="AD1860">
            <v>60891967</v>
          </cell>
          <cell r="AE1860">
            <v>46951735</v>
          </cell>
          <cell r="AF1860">
            <v>45871867</v>
          </cell>
          <cell r="AG1860">
            <v>0</v>
          </cell>
          <cell r="AH1860">
            <v>0</v>
          </cell>
          <cell r="AI1860">
            <v>0</v>
          </cell>
          <cell r="AJ1860">
            <v>0</v>
          </cell>
          <cell r="AK1860">
            <v>822756</v>
          </cell>
          <cell r="AL1860">
            <v>1799779</v>
          </cell>
          <cell r="AM1860">
            <v>154267</v>
          </cell>
          <cell r="AN1860">
            <v>308534</v>
          </cell>
          <cell r="AO1860">
            <v>102845</v>
          </cell>
          <cell r="AP1860">
            <v>102845</v>
          </cell>
        </row>
        <row r="1861">
          <cell r="D1861" t="str">
            <v>NV khác</v>
          </cell>
          <cell r="G1861" t="str">
            <v>Quản lý</v>
          </cell>
          <cell r="I1861" t="str">
            <v>ĐPT</v>
          </cell>
          <cell r="AC1861">
            <v>1130000</v>
          </cell>
          <cell r="AD1861">
            <v>36978771</v>
          </cell>
          <cell r="AE1861">
            <v>27640284</v>
          </cell>
          <cell r="AF1861">
            <v>26758320</v>
          </cell>
          <cell r="AG1861">
            <v>0</v>
          </cell>
          <cell r="AH1861">
            <v>0</v>
          </cell>
          <cell r="AI1861">
            <v>0</v>
          </cell>
          <cell r="AJ1861">
            <v>0</v>
          </cell>
          <cell r="AK1861">
            <v>671972</v>
          </cell>
          <cell r="AL1861">
            <v>1469939</v>
          </cell>
          <cell r="AM1861">
            <v>125995</v>
          </cell>
          <cell r="AN1861">
            <v>251990</v>
          </cell>
          <cell r="AO1861">
            <v>83997</v>
          </cell>
          <cell r="AP1861">
            <v>83997</v>
          </cell>
        </row>
        <row r="1862">
          <cell r="D1862" t="str">
            <v>NV khác</v>
          </cell>
          <cell r="G1862" t="str">
            <v>Quản lý</v>
          </cell>
          <cell r="I1862" t="str">
            <v>MHMP</v>
          </cell>
          <cell r="AC1862">
            <v>1030000</v>
          </cell>
          <cell r="AD1862">
            <v>42023471</v>
          </cell>
          <cell r="AE1862">
            <v>28438616</v>
          </cell>
          <cell r="AF1862">
            <v>27607147</v>
          </cell>
          <cell r="AG1862">
            <v>0</v>
          </cell>
          <cell r="AH1862">
            <v>0</v>
          </cell>
          <cell r="AI1862">
            <v>0</v>
          </cell>
          <cell r="AJ1862">
            <v>0</v>
          </cell>
          <cell r="AK1862">
            <v>633500</v>
          </cell>
          <cell r="AL1862">
            <v>1385780</v>
          </cell>
          <cell r="AM1862">
            <v>118781</v>
          </cell>
          <cell r="AN1862">
            <v>237563</v>
          </cell>
          <cell r="AO1862">
            <v>79188</v>
          </cell>
          <cell r="AP1862">
            <v>79188</v>
          </cell>
        </row>
        <row r="1863">
          <cell r="D1863" t="str">
            <v>NV khác</v>
          </cell>
          <cell r="G1863" t="str">
            <v>Quản lý</v>
          </cell>
          <cell r="I1863" t="str">
            <v>ĐPT</v>
          </cell>
          <cell r="AC1863">
            <v>1130000</v>
          </cell>
          <cell r="AD1863">
            <v>51368599</v>
          </cell>
          <cell r="AE1863">
            <v>39315698</v>
          </cell>
          <cell r="AF1863">
            <v>38339085</v>
          </cell>
          <cell r="AG1863">
            <v>0</v>
          </cell>
          <cell r="AH1863">
            <v>0</v>
          </cell>
          <cell r="AI1863">
            <v>0</v>
          </cell>
          <cell r="AJ1863">
            <v>0</v>
          </cell>
          <cell r="AK1863">
            <v>744086</v>
          </cell>
          <cell r="AL1863">
            <v>1627689</v>
          </cell>
          <cell r="AM1863">
            <v>139516</v>
          </cell>
          <cell r="AN1863">
            <v>279032</v>
          </cell>
          <cell r="AO1863">
            <v>93011</v>
          </cell>
          <cell r="AP1863">
            <v>93011</v>
          </cell>
        </row>
        <row r="1864">
          <cell r="D1864" t="str">
            <v>NV khác</v>
          </cell>
          <cell r="G1864" t="str">
            <v>Quản lý</v>
          </cell>
          <cell r="I1864" t="str">
            <v>CNCM</v>
          </cell>
          <cell r="AC1864">
            <v>1030000</v>
          </cell>
          <cell r="AD1864">
            <v>29878795</v>
          </cell>
          <cell r="AE1864">
            <v>25420402</v>
          </cell>
          <cell r="AF1864">
            <v>24448997</v>
          </cell>
          <cell r="AG1864">
            <v>0</v>
          </cell>
          <cell r="AH1864">
            <v>0</v>
          </cell>
          <cell r="AI1864">
            <v>0</v>
          </cell>
          <cell r="AJ1864">
            <v>0</v>
          </cell>
          <cell r="AK1864">
            <v>740118</v>
          </cell>
          <cell r="AL1864">
            <v>1619009</v>
          </cell>
          <cell r="AM1864">
            <v>138772</v>
          </cell>
          <cell r="AN1864">
            <v>277544</v>
          </cell>
          <cell r="AO1864">
            <v>92515</v>
          </cell>
          <cell r="AP1864">
            <v>92515</v>
          </cell>
        </row>
        <row r="1865">
          <cell r="D1865" t="str">
            <v>NV khác</v>
          </cell>
          <cell r="G1865" t="str">
            <v>Quản lý</v>
          </cell>
          <cell r="I1865" t="str">
            <v>MHMP</v>
          </cell>
          <cell r="AC1865">
            <v>1030000</v>
          </cell>
          <cell r="AD1865">
            <v>36246120</v>
          </cell>
          <cell r="AE1865">
            <v>31399395</v>
          </cell>
          <cell r="AF1865">
            <v>30378174</v>
          </cell>
          <cell r="AG1865">
            <v>0</v>
          </cell>
          <cell r="AH1865">
            <v>0</v>
          </cell>
          <cell r="AI1865">
            <v>0</v>
          </cell>
          <cell r="AJ1865">
            <v>0</v>
          </cell>
          <cell r="AK1865">
            <v>778073</v>
          </cell>
          <cell r="AL1865">
            <v>1702035</v>
          </cell>
          <cell r="AM1865">
            <v>145889</v>
          </cell>
          <cell r="AN1865">
            <v>291777</v>
          </cell>
          <cell r="AO1865">
            <v>97259</v>
          </cell>
          <cell r="AP1865">
            <v>97259</v>
          </cell>
        </row>
        <row r="1866">
          <cell r="D1866" t="str">
            <v>NV khác</v>
          </cell>
          <cell r="G1866" t="str">
            <v>Quản lý</v>
          </cell>
          <cell r="I1866" t="str">
            <v>DVSBH</v>
          </cell>
          <cell r="AC1866">
            <v>1330000</v>
          </cell>
          <cell r="AD1866">
            <v>46123738</v>
          </cell>
          <cell r="AE1866">
            <v>32985256</v>
          </cell>
          <cell r="AF1866">
            <v>32060042</v>
          </cell>
          <cell r="AG1866">
            <v>0</v>
          </cell>
          <cell r="AH1866">
            <v>0</v>
          </cell>
          <cell r="AI1866">
            <v>0</v>
          </cell>
          <cell r="AJ1866">
            <v>0</v>
          </cell>
          <cell r="AK1866">
            <v>704925</v>
          </cell>
          <cell r="AL1866">
            <v>1542020</v>
          </cell>
          <cell r="AM1866">
            <v>132173</v>
          </cell>
          <cell r="AN1866">
            <v>264346</v>
          </cell>
          <cell r="AO1866">
            <v>88116</v>
          </cell>
          <cell r="AP1866">
            <v>88116</v>
          </cell>
        </row>
        <row r="1867">
          <cell r="D1867" t="str">
            <v>NV khác</v>
          </cell>
          <cell r="G1867" t="str">
            <v>Quản lý</v>
          </cell>
          <cell r="I1867" t="str">
            <v>KDDH</v>
          </cell>
          <cell r="AC1867">
            <v>1047000</v>
          </cell>
          <cell r="AD1867">
            <v>21667678</v>
          </cell>
          <cell r="AE1867">
            <v>16238370</v>
          </cell>
          <cell r="AF1867">
            <v>15482077</v>
          </cell>
          <cell r="AG1867">
            <v>0</v>
          </cell>
          <cell r="AH1867">
            <v>0</v>
          </cell>
          <cell r="AI1867">
            <v>0</v>
          </cell>
          <cell r="AJ1867">
            <v>0</v>
          </cell>
          <cell r="AK1867">
            <v>576223</v>
          </cell>
          <cell r="AL1867">
            <v>1260487</v>
          </cell>
          <cell r="AM1867">
            <v>108042</v>
          </cell>
          <cell r="AN1867">
            <v>216083</v>
          </cell>
          <cell r="AO1867">
            <v>72028</v>
          </cell>
          <cell r="AP1867">
            <v>72028</v>
          </cell>
        </row>
        <row r="1868">
          <cell r="D1868" t="str">
            <v>NV khác</v>
          </cell>
          <cell r="G1868" t="str">
            <v>Quản lý</v>
          </cell>
          <cell r="I1868" t="str">
            <v>VTBR</v>
          </cell>
          <cell r="AC1868">
            <v>1030000</v>
          </cell>
          <cell r="AD1868">
            <v>54176088</v>
          </cell>
          <cell r="AE1868">
            <v>6568735</v>
          </cell>
          <cell r="AF1868">
            <v>6406382</v>
          </cell>
          <cell r="AG1868">
            <v>0</v>
          </cell>
          <cell r="AH1868">
            <v>0</v>
          </cell>
          <cell r="AI1868">
            <v>0</v>
          </cell>
          <cell r="AJ1868">
            <v>0</v>
          </cell>
          <cell r="AK1868">
            <v>123698</v>
          </cell>
          <cell r="AL1868">
            <v>270590</v>
          </cell>
          <cell r="AM1868">
            <v>23193</v>
          </cell>
          <cell r="AN1868">
            <v>46387</v>
          </cell>
          <cell r="AO1868">
            <v>15462</v>
          </cell>
          <cell r="AP1868">
            <v>15462</v>
          </cell>
        </row>
        <row r="1869">
          <cell r="D1869" t="str">
            <v>NV khác</v>
          </cell>
          <cell r="G1869" t="str">
            <v>Quản lý</v>
          </cell>
          <cell r="I1869" t="str">
            <v>KTCN</v>
          </cell>
          <cell r="AC1869">
            <v>930000</v>
          </cell>
          <cell r="AD1869">
            <v>29328464</v>
          </cell>
          <cell r="AE1869">
            <v>9087146</v>
          </cell>
          <cell r="AF1869">
            <v>8733906</v>
          </cell>
          <cell r="AG1869">
            <v>0</v>
          </cell>
          <cell r="AH1869">
            <v>0</v>
          </cell>
          <cell r="AI1869">
            <v>0</v>
          </cell>
          <cell r="AJ1869">
            <v>0</v>
          </cell>
          <cell r="AK1869">
            <v>269135</v>
          </cell>
          <cell r="AL1869">
            <v>588730</v>
          </cell>
          <cell r="AM1869">
            <v>50463</v>
          </cell>
          <cell r="AN1869">
            <v>100925</v>
          </cell>
          <cell r="AO1869">
            <v>33642</v>
          </cell>
          <cell r="AP1869">
            <v>33642</v>
          </cell>
        </row>
        <row r="1870">
          <cell r="D1870" t="str">
            <v>NV khác</v>
          </cell>
          <cell r="G1870" t="str">
            <v>Quản lý</v>
          </cell>
          <cell r="I1870" t="str">
            <v>VTBR</v>
          </cell>
          <cell r="AC1870">
            <v>1030000</v>
          </cell>
          <cell r="AD1870">
            <v>51101970</v>
          </cell>
          <cell r="AE1870">
            <v>4135154</v>
          </cell>
          <cell r="AF1870">
            <v>4037335</v>
          </cell>
          <cell r="AG1870">
            <v>0</v>
          </cell>
          <cell r="AH1870">
            <v>0</v>
          </cell>
          <cell r="AI1870">
            <v>0</v>
          </cell>
          <cell r="AJ1870">
            <v>0</v>
          </cell>
          <cell r="AK1870">
            <v>74529</v>
          </cell>
          <cell r="AL1870">
            <v>163033</v>
          </cell>
          <cell r="AM1870">
            <v>13974</v>
          </cell>
          <cell r="AN1870">
            <v>27948</v>
          </cell>
          <cell r="AO1870">
            <v>9316</v>
          </cell>
          <cell r="AP1870">
            <v>9316</v>
          </cell>
        </row>
        <row r="1871">
          <cell r="D1871" t="str">
            <v>NV khác</v>
          </cell>
          <cell r="G1871" t="str">
            <v>Quản lý</v>
          </cell>
          <cell r="I1871" t="str">
            <v>CNCM</v>
          </cell>
          <cell r="AC1871">
            <v>1030000</v>
          </cell>
          <cell r="AD1871">
            <v>49948602</v>
          </cell>
          <cell r="AE1871">
            <v>40237122</v>
          </cell>
          <cell r="AF1871">
            <v>39209108</v>
          </cell>
          <cell r="AG1871">
            <v>0</v>
          </cell>
          <cell r="AH1871">
            <v>0</v>
          </cell>
          <cell r="AI1871">
            <v>0</v>
          </cell>
          <cell r="AJ1871">
            <v>0</v>
          </cell>
          <cell r="AK1871">
            <v>783249</v>
          </cell>
          <cell r="AL1871">
            <v>1713357</v>
          </cell>
          <cell r="AM1871">
            <v>146859</v>
          </cell>
          <cell r="AN1871">
            <v>293718</v>
          </cell>
          <cell r="AO1871">
            <v>97906</v>
          </cell>
          <cell r="AP1871">
            <v>97906</v>
          </cell>
        </row>
        <row r="1872">
          <cell r="D1872" t="str">
            <v>NV khác</v>
          </cell>
          <cell r="G1872" t="str">
            <v>Quản lý</v>
          </cell>
          <cell r="I1872" t="str">
            <v>MHMP</v>
          </cell>
          <cell r="AC1872">
            <v>1030000</v>
          </cell>
          <cell r="AD1872">
            <v>36561534</v>
          </cell>
          <cell r="AE1872">
            <v>24496301</v>
          </cell>
          <cell r="AF1872">
            <v>23707176</v>
          </cell>
          <cell r="AG1872">
            <v>0</v>
          </cell>
          <cell r="AH1872">
            <v>0</v>
          </cell>
          <cell r="AI1872">
            <v>0</v>
          </cell>
          <cell r="AJ1872">
            <v>0</v>
          </cell>
          <cell r="AK1872">
            <v>601238</v>
          </cell>
          <cell r="AL1872">
            <v>1315209</v>
          </cell>
          <cell r="AM1872">
            <v>112732</v>
          </cell>
          <cell r="AN1872">
            <v>225464</v>
          </cell>
          <cell r="AO1872">
            <v>75155</v>
          </cell>
          <cell r="AP1872">
            <v>75155</v>
          </cell>
        </row>
        <row r="1873">
          <cell r="D1873" t="str">
            <v>NV khác</v>
          </cell>
          <cell r="G1873" t="str">
            <v>Quản lý</v>
          </cell>
          <cell r="I1873" t="str">
            <v>MHMP</v>
          </cell>
          <cell r="AC1873">
            <v>1030000</v>
          </cell>
          <cell r="AD1873">
            <v>39198549</v>
          </cell>
          <cell r="AE1873">
            <v>35650853</v>
          </cell>
          <cell r="AF1873">
            <v>34525925</v>
          </cell>
          <cell r="AG1873">
            <v>0</v>
          </cell>
          <cell r="AH1873">
            <v>0</v>
          </cell>
          <cell r="AI1873">
            <v>0</v>
          </cell>
          <cell r="AJ1873">
            <v>0</v>
          </cell>
          <cell r="AK1873">
            <v>857088</v>
          </cell>
          <cell r="AL1873">
            <v>1874880</v>
          </cell>
          <cell r="AM1873">
            <v>160704</v>
          </cell>
          <cell r="AN1873">
            <v>321408</v>
          </cell>
          <cell r="AO1873">
            <v>107136</v>
          </cell>
          <cell r="AP1873">
            <v>107136</v>
          </cell>
        </row>
        <row r="1874">
          <cell r="D1874" t="str">
            <v>NV khác</v>
          </cell>
          <cell r="G1874" t="str">
            <v>Quản lý</v>
          </cell>
          <cell r="I1874" t="str">
            <v>MHMP</v>
          </cell>
          <cell r="AC1874">
            <v>930000</v>
          </cell>
          <cell r="AD1874">
            <v>28254600</v>
          </cell>
          <cell r="AE1874">
            <v>13070442</v>
          </cell>
          <cell r="AF1874">
            <v>12540584</v>
          </cell>
          <cell r="AG1874">
            <v>0</v>
          </cell>
          <cell r="AH1874">
            <v>0</v>
          </cell>
          <cell r="AI1874">
            <v>0</v>
          </cell>
          <cell r="AJ1874">
            <v>0</v>
          </cell>
          <cell r="AK1874">
            <v>403701</v>
          </cell>
          <cell r="AL1874">
            <v>883096</v>
          </cell>
          <cell r="AM1874">
            <v>75694</v>
          </cell>
          <cell r="AN1874">
            <v>151388</v>
          </cell>
          <cell r="AO1874">
            <v>50463</v>
          </cell>
          <cell r="AP1874">
            <v>50463</v>
          </cell>
        </row>
        <row r="1875">
          <cell r="D1875" t="str">
            <v>NV khác</v>
          </cell>
          <cell r="G1875" t="str">
            <v>Quản lý</v>
          </cell>
          <cell r="I1875" t="str">
            <v>RD</v>
          </cell>
          <cell r="AC1875">
            <v>1030000</v>
          </cell>
          <cell r="AD1875">
            <v>37853271</v>
          </cell>
          <cell r="AE1875">
            <v>2994243</v>
          </cell>
          <cell r="AF1875">
            <v>2901405</v>
          </cell>
          <cell r="AG1875">
            <v>0</v>
          </cell>
          <cell r="AH1875">
            <v>0</v>
          </cell>
          <cell r="AI1875">
            <v>0</v>
          </cell>
          <cell r="AJ1875">
            <v>0</v>
          </cell>
          <cell r="AK1875">
            <v>70734</v>
          </cell>
          <cell r="AL1875">
            <v>154730</v>
          </cell>
          <cell r="AM1875">
            <v>13262</v>
          </cell>
          <cell r="AN1875">
            <v>26525</v>
          </cell>
          <cell r="AO1875">
            <v>8842</v>
          </cell>
          <cell r="AP1875">
            <v>8842</v>
          </cell>
        </row>
        <row r="1876">
          <cell r="D1876" t="str">
            <v>NV khác</v>
          </cell>
          <cell r="G1876" t="str">
            <v>Quản lý</v>
          </cell>
          <cell r="I1876" t="str">
            <v>RD</v>
          </cell>
          <cell r="AC1876">
            <v>1030000</v>
          </cell>
          <cell r="AD1876">
            <v>39328832</v>
          </cell>
          <cell r="AE1876">
            <v>1555700</v>
          </cell>
          <cell r="AF1876">
            <v>1506788</v>
          </cell>
          <cell r="AG1876">
            <v>0</v>
          </cell>
          <cell r="AH1876">
            <v>0</v>
          </cell>
          <cell r="AI1876">
            <v>0</v>
          </cell>
          <cell r="AJ1876">
            <v>0</v>
          </cell>
          <cell r="AK1876">
            <v>37265</v>
          </cell>
          <cell r="AL1876">
            <v>81515</v>
          </cell>
          <cell r="AM1876">
            <v>6988</v>
          </cell>
          <cell r="AN1876">
            <v>13974</v>
          </cell>
          <cell r="AO1876">
            <v>4659</v>
          </cell>
          <cell r="AP1876">
            <v>4659</v>
          </cell>
        </row>
        <row r="1877">
          <cell r="D1877" t="str">
            <v>NV khác</v>
          </cell>
          <cell r="G1877" t="str">
            <v>Quản lý</v>
          </cell>
          <cell r="I1877" t="str">
            <v>VTBR</v>
          </cell>
          <cell r="AC1877">
            <v>1030000</v>
          </cell>
          <cell r="AD1877">
            <v>44198549</v>
          </cell>
          <cell r="AE1877">
            <v>33581139</v>
          </cell>
          <cell r="AF1877">
            <v>32651851</v>
          </cell>
          <cell r="AG1877">
            <v>0</v>
          </cell>
          <cell r="AH1877">
            <v>0</v>
          </cell>
          <cell r="AI1877">
            <v>0</v>
          </cell>
          <cell r="AJ1877">
            <v>0</v>
          </cell>
          <cell r="AK1877">
            <v>708029</v>
          </cell>
          <cell r="AL1877">
            <v>1548814</v>
          </cell>
          <cell r="AM1877">
            <v>132755</v>
          </cell>
          <cell r="AN1877">
            <v>265511</v>
          </cell>
          <cell r="AO1877">
            <v>88504</v>
          </cell>
          <cell r="AP1877">
            <v>88504</v>
          </cell>
        </row>
        <row r="1878">
          <cell r="D1878" t="str">
            <v>NV khác</v>
          </cell>
          <cell r="G1878" t="str">
            <v>Quản lý</v>
          </cell>
          <cell r="I1878" t="str">
            <v>CNTD</v>
          </cell>
          <cell r="AC1878">
            <v>1030000</v>
          </cell>
          <cell r="AD1878">
            <v>38246120</v>
          </cell>
          <cell r="AE1878">
            <v>12113615</v>
          </cell>
          <cell r="AF1878">
            <v>11742264</v>
          </cell>
          <cell r="AG1878">
            <v>0</v>
          </cell>
          <cell r="AH1878">
            <v>0</v>
          </cell>
          <cell r="AI1878">
            <v>0</v>
          </cell>
          <cell r="AJ1878">
            <v>0</v>
          </cell>
          <cell r="AK1878">
            <v>282935</v>
          </cell>
          <cell r="AL1878">
            <v>618922</v>
          </cell>
          <cell r="AM1878">
            <v>53050</v>
          </cell>
          <cell r="AN1878">
            <v>106101</v>
          </cell>
          <cell r="AO1878">
            <v>35366</v>
          </cell>
          <cell r="AP1878">
            <v>35366</v>
          </cell>
        </row>
        <row r="1879">
          <cell r="D1879" t="str">
            <v>NV khác</v>
          </cell>
          <cell r="G1879" t="str">
            <v>Quản lý</v>
          </cell>
          <cell r="I1879" t="str">
            <v>MHMP</v>
          </cell>
          <cell r="AC1879">
            <v>1030000</v>
          </cell>
          <cell r="AD1879">
            <v>44198549</v>
          </cell>
          <cell r="AE1879">
            <v>15906856</v>
          </cell>
          <cell r="AF1879">
            <v>15466667</v>
          </cell>
          <cell r="AG1879">
            <v>0</v>
          </cell>
          <cell r="AH1879">
            <v>0</v>
          </cell>
          <cell r="AI1879">
            <v>0</v>
          </cell>
          <cell r="AJ1879">
            <v>0</v>
          </cell>
          <cell r="AK1879">
            <v>335382</v>
          </cell>
          <cell r="AL1879">
            <v>733649</v>
          </cell>
          <cell r="AM1879">
            <v>62884</v>
          </cell>
          <cell r="AN1879">
            <v>125768</v>
          </cell>
          <cell r="AO1879">
            <v>41923</v>
          </cell>
          <cell r="AP1879">
            <v>41923</v>
          </cell>
        </row>
        <row r="1880">
          <cell r="D1880" t="str">
            <v>NV khác</v>
          </cell>
          <cell r="G1880" t="str">
            <v>Quản lý</v>
          </cell>
          <cell r="I1880" t="str">
            <v>MHMP</v>
          </cell>
          <cell r="AC1880">
            <v>1030000</v>
          </cell>
          <cell r="AD1880">
            <v>43458330</v>
          </cell>
          <cell r="AE1880">
            <v>24293429</v>
          </cell>
          <cell r="AF1880">
            <v>23608690</v>
          </cell>
          <cell r="AG1880">
            <v>0</v>
          </cell>
          <cell r="AH1880">
            <v>0</v>
          </cell>
          <cell r="AI1880">
            <v>0</v>
          </cell>
          <cell r="AJ1880">
            <v>0</v>
          </cell>
          <cell r="AK1880">
            <v>521706</v>
          </cell>
          <cell r="AL1880">
            <v>1141231</v>
          </cell>
          <cell r="AM1880">
            <v>97820</v>
          </cell>
          <cell r="AN1880">
            <v>195640</v>
          </cell>
          <cell r="AO1880">
            <v>65213</v>
          </cell>
          <cell r="AP1880">
            <v>65213</v>
          </cell>
        </row>
        <row r="1881">
          <cell r="D1881" t="str">
            <v>NV khác</v>
          </cell>
          <cell r="G1881" t="str">
            <v>Quản lý</v>
          </cell>
          <cell r="I1881" t="str">
            <v>MHMP</v>
          </cell>
          <cell r="AC1881">
            <v>1030000</v>
          </cell>
          <cell r="AD1881">
            <v>28140498</v>
          </cell>
          <cell r="AE1881">
            <v>24954138</v>
          </cell>
          <cell r="AF1881">
            <v>23990658</v>
          </cell>
          <cell r="AG1881">
            <v>0</v>
          </cell>
          <cell r="AH1881">
            <v>0</v>
          </cell>
          <cell r="AI1881">
            <v>0</v>
          </cell>
          <cell r="AJ1881">
            <v>0</v>
          </cell>
          <cell r="AK1881">
            <v>734080</v>
          </cell>
          <cell r="AL1881">
            <v>1605800</v>
          </cell>
          <cell r="AM1881">
            <v>137640</v>
          </cell>
          <cell r="AN1881">
            <v>275280</v>
          </cell>
          <cell r="AO1881">
            <v>91760</v>
          </cell>
          <cell r="AP1881">
            <v>91760</v>
          </cell>
        </row>
        <row r="1882">
          <cell r="D1882" t="str">
            <v>NV khác</v>
          </cell>
          <cell r="G1882" t="str">
            <v>Quản lý</v>
          </cell>
          <cell r="I1882" t="str">
            <v>CNCM</v>
          </cell>
          <cell r="AC1882">
            <v>1030000</v>
          </cell>
          <cell r="AD1882">
            <v>39198549</v>
          </cell>
          <cell r="AE1882">
            <v>34100816</v>
          </cell>
          <cell r="AF1882">
            <v>33024798</v>
          </cell>
          <cell r="AG1882">
            <v>0</v>
          </cell>
          <cell r="AH1882">
            <v>0</v>
          </cell>
          <cell r="AI1882">
            <v>0</v>
          </cell>
          <cell r="AJ1882">
            <v>0</v>
          </cell>
          <cell r="AK1882">
            <v>819823</v>
          </cell>
          <cell r="AL1882">
            <v>1793363</v>
          </cell>
          <cell r="AM1882">
            <v>153717</v>
          </cell>
          <cell r="AN1882">
            <v>307434</v>
          </cell>
          <cell r="AO1882">
            <v>102478</v>
          </cell>
          <cell r="AP1882">
            <v>102478</v>
          </cell>
        </row>
        <row r="1883">
          <cell r="D1883" t="str">
            <v>NV khác</v>
          </cell>
          <cell r="G1883" t="str">
            <v>Quản lý</v>
          </cell>
          <cell r="I1883" t="str">
            <v>MHMP</v>
          </cell>
          <cell r="AC1883">
            <v>1030000</v>
          </cell>
          <cell r="AD1883">
            <v>44198549</v>
          </cell>
          <cell r="AE1883">
            <v>15906856</v>
          </cell>
          <cell r="AF1883">
            <v>15466667</v>
          </cell>
          <cell r="AG1883">
            <v>0</v>
          </cell>
          <cell r="AH1883">
            <v>0</v>
          </cell>
          <cell r="AI1883">
            <v>0</v>
          </cell>
          <cell r="AJ1883">
            <v>0</v>
          </cell>
          <cell r="AK1883">
            <v>335382</v>
          </cell>
          <cell r="AL1883">
            <v>733649</v>
          </cell>
          <cell r="AM1883">
            <v>62884</v>
          </cell>
          <cell r="AN1883">
            <v>125768</v>
          </cell>
          <cell r="AO1883">
            <v>41923</v>
          </cell>
          <cell r="AP1883">
            <v>41923</v>
          </cell>
        </row>
        <row r="1884">
          <cell r="D1884" t="str">
            <v>NV khác</v>
          </cell>
          <cell r="G1884" t="str">
            <v>Quản lý</v>
          </cell>
          <cell r="I1884" t="str">
            <v>ĐBCL</v>
          </cell>
          <cell r="AC1884">
            <v>930000</v>
          </cell>
          <cell r="AD1884">
            <v>30163490</v>
          </cell>
          <cell r="AE1884">
            <v>16410782</v>
          </cell>
          <cell r="AF1884">
            <v>15792615</v>
          </cell>
          <cell r="AG1884">
            <v>0</v>
          </cell>
          <cell r="AH1884">
            <v>0</v>
          </cell>
          <cell r="AI1884">
            <v>0</v>
          </cell>
          <cell r="AJ1884">
            <v>0</v>
          </cell>
          <cell r="AK1884">
            <v>470984</v>
          </cell>
          <cell r="AL1884">
            <v>1030278</v>
          </cell>
          <cell r="AM1884">
            <v>88310</v>
          </cell>
          <cell r="AN1884">
            <v>176619</v>
          </cell>
          <cell r="AO1884">
            <v>58873</v>
          </cell>
          <cell r="AP1884">
            <v>58873</v>
          </cell>
        </row>
        <row r="1885">
          <cell r="D1885" t="str">
            <v>NV khác</v>
          </cell>
          <cell r="G1885" t="str">
            <v>Quản lý</v>
          </cell>
          <cell r="I1885" t="str">
            <v>MHMP</v>
          </cell>
          <cell r="AC1885">
            <v>1030000</v>
          </cell>
          <cell r="AD1885">
            <v>42198549</v>
          </cell>
          <cell r="AE1885">
            <v>31928965</v>
          </cell>
          <cell r="AF1885">
            <v>30999676</v>
          </cell>
          <cell r="AG1885">
            <v>0</v>
          </cell>
          <cell r="AH1885">
            <v>0</v>
          </cell>
          <cell r="AI1885">
            <v>0</v>
          </cell>
          <cell r="AJ1885">
            <v>0</v>
          </cell>
          <cell r="AK1885">
            <v>708029</v>
          </cell>
          <cell r="AL1885">
            <v>1548813</v>
          </cell>
          <cell r="AM1885">
            <v>132756</v>
          </cell>
          <cell r="AN1885">
            <v>265511</v>
          </cell>
          <cell r="AO1885">
            <v>88504</v>
          </cell>
          <cell r="AP1885">
            <v>88504</v>
          </cell>
        </row>
        <row r="1886">
          <cell r="D1886" t="str">
            <v>NV khác</v>
          </cell>
          <cell r="G1886" t="str">
            <v>Quản lý</v>
          </cell>
          <cell r="I1886" t="str">
            <v>RD</v>
          </cell>
          <cell r="AC1886">
            <v>1230000</v>
          </cell>
          <cell r="AD1886">
            <v>69918607</v>
          </cell>
          <cell r="AE1886">
            <v>14263353</v>
          </cell>
          <cell r="AF1886">
            <v>13964458</v>
          </cell>
          <cell r="AG1886">
            <v>0</v>
          </cell>
          <cell r="AH1886">
            <v>0</v>
          </cell>
          <cell r="AI1886">
            <v>0</v>
          </cell>
          <cell r="AJ1886">
            <v>0</v>
          </cell>
          <cell r="AK1886">
            <v>227729</v>
          </cell>
          <cell r="AL1886">
            <v>498156</v>
          </cell>
          <cell r="AM1886">
            <v>42700</v>
          </cell>
          <cell r="AN1886">
            <v>85398</v>
          </cell>
          <cell r="AO1886">
            <v>28466</v>
          </cell>
          <cell r="AP1886">
            <v>28466</v>
          </cell>
        </row>
        <row r="1887">
          <cell r="D1887" t="str">
            <v>NV khác</v>
          </cell>
          <cell r="G1887" t="str">
            <v>Quản lý</v>
          </cell>
          <cell r="I1887" t="str">
            <v>MHMP</v>
          </cell>
          <cell r="AC1887">
            <v>1030000</v>
          </cell>
          <cell r="AD1887">
            <v>44198549</v>
          </cell>
          <cell r="AE1887">
            <v>30046283</v>
          </cell>
          <cell r="AF1887">
            <v>29214815</v>
          </cell>
          <cell r="AG1887">
            <v>0</v>
          </cell>
          <cell r="AH1887">
            <v>0</v>
          </cell>
          <cell r="AI1887">
            <v>0</v>
          </cell>
          <cell r="AJ1887">
            <v>0</v>
          </cell>
          <cell r="AK1887">
            <v>633500</v>
          </cell>
          <cell r="AL1887">
            <v>1385781</v>
          </cell>
          <cell r="AM1887">
            <v>118781</v>
          </cell>
          <cell r="AN1887">
            <v>237562</v>
          </cell>
          <cell r="AO1887">
            <v>79187</v>
          </cell>
          <cell r="AP1887">
            <v>79187</v>
          </cell>
        </row>
        <row r="1888">
          <cell r="D1888" t="str">
            <v>NV khác</v>
          </cell>
          <cell r="G1888" t="str">
            <v>Quản lý</v>
          </cell>
          <cell r="I1888" t="str">
            <v>MHMP</v>
          </cell>
          <cell r="AC1888">
            <v>1030000</v>
          </cell>
          <cell r="AD1888">
            <v>34904370</v>
          </cell>
          <cell r="AE1888">
            <v>19235665</v>
          </cell>
          <cell r="AF1888">
            <v>18617498</v>
          </cell>
          <cell r="AG1888">
            <v>0</v>
          </cell>
          <cell r="AH1888">
            <v>0</v>
          </cell>
          <cell r="AI1888">
            <v>0</v>
          </cell>
          <cell r="AJ1888">
            <v>0</v>
          </cell>
          <cell r="AK1888">
            <v>470984</v>
          </cell>
          <cell r="AL1888">
            <v>1030278</v>
          </cell>
          <cell r="AM1888">
            <v>88310</v>
          </cell>
          <cell r="AN1888">
            <v>176619</v>
          </cell>
          <cell r="AO1888">
            <v>58873</v>
          </cell>
          <cell r="AP1888">
            <v>58873</v>
          </cell>
        </row>
        <row r="1889">
          <cell r="D1889" t="str">
            <v>NV khác</v>
          </cell>
          <cell r="G1889" t="str">
            <v>Quản lý</v>
          </cell>
          <cell r="I1889" t="str">
            <v>CHĐK</v>
          </cell>
          <cell r="AC1889">
            <v>1147000</v>
          </cell>
          <cell r="AD1889">
            <v>45103070</v>
          </cell>
          <cell r="AE1889">
            <v>30628363</v>
          </cell>
          <cell r="AF1889">
            <v>29796895</v>
          </cell>
          <cell r="AG1889">
            <v>0</v>
          </cell>
          <cell r="AH1889">
            <v>0</v>
          </cell>
          <cell r="AI1889">
            <v>0</v>
          </cell>
          <cell r="AJ1889">
            <v>0</v>
          </cell>
          <cell r="AK1889">
            <v>633500</v>
          </cell>
          <cell r="AL1889">
            <v>1385781</v>
          </cell>
          <cell r="AM1889">
            <v>118781</v>
          </cell>
          <cell r="AN1889">
            <v>237562</v>
          </cell>
          <cell r="AO1889">
            <v>79187</v>
          </cell>
          <cell r="AP1889">
            <v>79187</v>
          </cell>
        </row>
        <row r="1890">
          <cell r="D1890" t="str">
            <v>NV khác</v>
          </cell>
          <cell r="G1890" t="str">
            <v>Quản lý</v>
          </cell>
          <cell r="I1890" t="str">
            <v>KDDH</v>
          </cell>
          <cell r="AC1890">
            <v>1030000</v>
          </cell>
          <cell r="AD1890">
            <v>25315380</v>
          </cell>
          <cell r="AE1890">
            <v>5800154</v>
          </cell>
          <cell r="AF1890">
            <v>5561039</v>
          </cell>
          <cell r="AG1890">
            <v>0</v>
          </cell>
          <cell r="AH1890">
            <v>0</v>
          </cell>
          <cell r="AI1890">
            <v>0</v>
          </cell>
          <cell r="AJ1890">
            <v>0</v>
          </cell>
          <cell r="AK1890">
            <v>182183</v>
          </cell>
          <cell r="AL1890">
            <v>398526</v>
          </cell>
          <cell r="AM1890">
            <v>34159</v>
          </cell>
          <cell r="AN1890">
            <v>68319</v>
          </cell>
          <cell r="AO1890">
            <v>22773</v>
          </cell>
          <cell r="AP1890">
            <v>22773</v>
          </cell>
        </row>
        <row r="1891">
          <cell r="D1891" t="str">
            <v>NV khác</v>
          </cell>
          <cell r="G1891" t="str">
            <v>Quản lý</v>
          </cell>
          <cell r="I1891" t="str">
            <v>CHĐK</v>
          </cell>
          <cell r="AC1891">
            <v>1030000</v>
          </cell>
          <cell r="AD1891">
            <v>41328832</v>
          </cell>
          <cell r="AE1891">
            <v>21354555</v>
          </cell>
          <cell r="AF1891">
            <v>20718726</v>
          </cell>
          <cell r="AG1891">
            <v>0</v>
          </cell>
          <cell r="AH1891">
            <v>0</v>
          </cell>
          <cell r="AI1891">
            <v>0</v>
          </cell>
          <cell r="AJ1891">
            <v>0</v>
          </cell>
          <cell r="AK1891">
            <v>484441</v>
          </cell>
          <cell r="AL1891">
            <v>1059715</v>
          </cell>
          <cell r="AM1891">
            <v>90833</v>
          </cell>
          <cell r="AN1891">
            <v>181665</v>
          </cell>
          <cell r="AO1891">
            <v>60555</v>
          </cell>
          <cell r="AP1891">
            <v>60555</v>
          </cell>
        </row>
        <row r="1892">
          <cell r="D1892" t="str">
            <v>NV khác</v>
          </cell>
          <cell r="G1892" t="str">
            <v>Quản lý</v>
          </cell>
          <cell r="I1892" t="str">
            <v>VTBR</v>
          </cell>
          <cell r="AC1892">
            <v>1030000</v>
          </cell>
          <cell r="AD1892">
            <v>39198549</v>
          </cell>
          <cell r="AE1892">
            <v>13950334</v>
          </cell>
          <cell r="AF1892">
            <v>13510145</v>
          </cell>
          <cell r="AG1892">
            <v>0</v>
          </cell>
          <cell r="AH1892">
            <v>0</v>
          </cell>
          <cell r="AI1892">
            <v>0</v>
          </cell>
          <cell r="AJ1892">
            <v>0</v>
          </cell>
          <cell r="AK1892">
            <v>335382</v>
          </cell>
          <cell r="AL1892">
            <v>733649</v>
          </cell>
          <cell r="AM1892">
            <v>62884</v>
          </cell>
          <cell r="AN1892">
            <v>125768</v>
          </cell>
          <cell r="AO1892">
            <v>41923</v>
          </cell>
          <cell r="AP1892">
            <v>41923</v>
          </cell>
        </row>
        <row r="1893">
          <cell r="D1893" t="str">
            <v>NV khác</v>
          </cell>
          <cell r="G1893" t="str">
            <v>Quản lý</v>
          </cell>
          <cell r="I1893" t="str">
            <v>IOT</v>
          </cell>
          <cell r="AC1893">
            <v>1030000</v>
          </cell>
          <cell r="AD1893">
            <v>42023471</v>
          </cell>
          <cell r="AE1893">
            <v>1672860</v>
          </cell>
          <cell r="AF1893">
            <v>1623949</v>
          </cell>
          <cell r="AG1893">
            <v>0</v>
          </cell>
          <cell r="AH1893">
            <v>0</v>
          </cell>
          <cell r="AI1893">
            <v>0</v>
          </cell>
          <cell r="AJ1893">
            <v>0</v>
          </cell>
          <cell r="AK1893">
            <v>37265</v>
          </cell>
          <cell r="AL1893">
            <v>81516</v>
          </cell>
          <cell r="AM1893">
            <v>6987</v>
          </cell>
          <cell r="AN1893">
            <v>13975</v>
          </cell>
          <cell r="AO1893">
            <v>4659</v>
          </cell>
          <cell r="AP1893">
            <v>4659</v>
          </cell>
        </row>
        <row r="1894">
          <cell r="D1894" t="str">
            <v>NV khác</v>
          </cell>
          <cell r="G1894" t="str">
            <v>Quản lý</v>
          </cell>
          <cell r="I1894" t="str">
            <v>CNTD</v>
          </cell>
          <cell r="AC1894">
            <v>1130000</v>
          </cell>
          <cell r="AD1894">
            <v>58351388</v>
          </cell>
          <cell r="AE1894">
            <v>30688892</v>
          </cell>
          <cell r="AF1894">
            <v>29950036</v>
          </cell>
          <cell r="AG1894">
            <v>0</v>
          </cell>
          <cell r="AH1894">
            <v>0</v>
          </cell>
          <cell r="AI1894">
            <v>0</v>
          </cell>
          <cell r="AJ1894">
            <v>0</v>
          </cell>
          <cell r="AK1894">
            <v>562938</v>
          </cell>
          <cell r="AL1894">
            <v>1231428</v>
          </cell>
          <cell r="AM1894">
            <v>105551</v>
          </cell>
          <cell r="AN1894">
            <v>211102</v>
          </cell>
          <cell r="AO1894">
            <v>70367</v>
          </cell>
          <cell r="AP1894">
            <v>70367</v>
          </cell>
        </row>
        <row r="1895">
          <cell r="D1895" t="str">
            <v>NV khác</v>
          </cell>
          <cell r="G1895" t="str">
            <v>Quản lý</v>
          </cell>
          <cell r="I1895" t="str">
            <v>ĐBCL</v>
          </cell>
          <cell r="AC1895">
            <v>1047000</v>
          </cell>
          <cell r="AD1895">
            <v>17047160</v>
          </cell>
          <cell r="AE1895">
            <v>4953079</v>
          </cell>
          <cell r="AF1895">
            <v>4679546</v>
          </cell>
          <cell r="AG1895">
            <v>0</v>
          </cell>
          <cell r="AH1895">
            <v>0</v>
          </cell>
          <cell r="AI1895">
            <v>0</v>
          </cell>
          <cell r="AJ1895">
            <v>0</v>
          </cell>
          <cell r="AK1895">
            <v>208406</v>
          </cell>
          <cell r="AL1895">
            <v>455889</v>
          </cell>
          <cell r="AM1895">
            <v>39076</v>
          </cell>
          <cell r="AN1895">
            <v>78153</v>
          </cell>
          <cell r="AO1895">
            <v>26051</v>
          </cell>
          <cell r="AP1895">
            <v>26051</v>
          </cell>
        </row>
        <row r="1896">
          <cell r="D1896" t="str">
            <v>NV khác</v>
          </cell>
          <cell r="G1896" t="str">
            <v>Quản lý</v>
          </cell>
          <cell r="I1896" t="str">
            <v>CKTĐH</v>
          </cell>
          <cell r="AC1896">
            <v>1030000</v>
          </cell>
          <cell r="AD1896">
            <v>35390489</v>
          </cell>
          <cell r="AE1896">
            <v>20926675</v>
          </cell>
          <cell r="AF1896">
            <v>20264354</v>
          </cell>
          <cell r="AG1896">
            <v>0</v>
          </cell>
          <cell r="AH1896">
            <v>0</v>
          </cell>
          <cell r="AI1896">
            <v>0</v>
          </cell>
          <cell r="AJ1896">
            <v>0</v>
          </cell>
          <cell r="AK1896">
            <v>504626</v>
          </cell>
          <cell r="AL1896">
            <v>1103870</v>
          </cell>
          <cell r="AM1896">
            <v>94617</v>
          </cell>
          <cell r="AN1896">
            <v>189235</v>
          </cell>
          <cell r="AO1896">
            <v>63078</v>
          </cell>
          <cell r="AP1896">
            <v>63078</v>
          </cell>
        </row>
        <row r="1897">
          <cell r="D1897" t="str">
            <v>NV khác</v>
          </cell>
          <cell r="G1897" t="str">
            <v>Quản lý</v>
          </cell>
          <cell r="I1897" t="str">
            <v>CHĐK</v>
          </cell>
          <cell r="AC1897">
            <v>1047000</v>
          </cell>
          <cell r="AD1897">
            <v>35280490</v>
          </cell>
          <cell r="AE1897">
            <v>23623030</v>
          </cell>
          <cell r="AF1897">
            <v>22872398</v>
          </cell>
          <cell r="AG1897">
            <v>0</v>
          </cell>
          <cell r="AH1897">
            <v>0</v>
          </cell>
          <cell r="AI1897">
            <v>0</v>
          </cell>
          <cell r="AJ1897">
            <v>0</v>
          </cell>
          <cell r="AK1897">
            <v>571910</v>
          </cell>
          <cell r="AL1897">
            <v>1251052</v>
          </cell>
          <cell r="AM1897">
            <v>107233</v>
          </cell>
          <cell r="AN1897">
            <v>214466</v>
          </cell>
          <cell r="AO1897">
            <v>71489</v>
          </cell>
          <cell r="AP1897">
            <v>71489</v>
          </cell>
        </row>
        <row r="1898">
          <cell r="D1898" t="str">
            <v>NV khác</v>
          </cell>
          <cell r="G1898" t="str">
            <v>Quản lý</v>
          </cell>
          <cell r="I1898" t="str">
            <v>MHMP</v>
          </cell>
          <cell r="AC1898">
            <v>1030000</v>
          </cell>
          <cell r="AD1898">
            <v>39674328</v>
          </cell>
          <cell r="AE1898">
            <v>31414463</v>
          </cell>
          <cell r="AF1898">
            <v>30436264</v>
          </cell>
          <cell r="AG1898">
            <v>0</v>
          </cell>
          <cell r="AH1898">
            <v>0</v>
          </cell>
          <cell r="AI1898">
            <v>0</v>
          </cell>
          <cell r="AJ1898">
            <v>0</v>
          </cell>
          <cell r="AK1898">
            <v>745294</v>
          </cell>
          <cell r="AL1898">
            <v>1630330</v>
          </cell>
          <cell r="AM1898">
            <v>139743</v>
          </cell>
          <cell r="AN1898">
            <v>279485</v>
          </cell>
          <cell r="AO1898">
            <v>93162</v>
          </cell>
          <cell r="AP1898">
            <v>93162</v>
          </cell>
        </row>
        <row r="1899">
          <cell r="D1899" t="str">
            <v>NV khác</v>
          </cell>
          <cell r="G1899" t="str">
            <v>Quản lý</v>
          </cell>
          <cell r="I1899" t="str">
            <v>RD</v>
          </cell>
          <cell r="AC1899">
            <v>1030000</v>
          </cell>
          <cell r="AD1899">
            <v>28939060</v>
          </cell>
          <cell r="AE1899">
            <v>5598413</v>
          </cell>
          <cell r="AF1899">
            <v>5388960</v>
          </cell>
          <cell r="AG1899">
            <v>0</v>
          </cell>
          <cell r="AH1899">
            <v>0</v>
          </cell>
          <cell r="AI1899">
            <v>0</v>
          </cell>
          <cell r="AJ1899">
            <v>0</v>
          </cell>
          <cell r="AK1899">
            <v>159583</v>
          </cell>
          <cell r="AL1899">
            <v>349087</v>
          </cell>
          <cell r="AM1899">
            <v>29922</v>
          </cell>
          <cell r="AN1899">
            <v>59844</v>
          </cell>
          <cell r="AO1899">
            <v>19948</v>
          </cell>
          <cell r="AP1899">
            <v>19948</v>
          </cell>
        </row>
        <row r="1900">
          <cell r="D1900" t="str">
            <v>NV khác</v>
          </cell>
          <cell r="G1900" t="str">
            <v>Quản lý</v>
          </cell>
          <cell r="I1900" t="str">
            <v>MHMP</v>
          </cell>
          <cell r="AC1900">
            <v>1030000</v>
          </cell>
          <cell r="AD1900">
            <v>33728406</v>
          </cell>
          <cell r="AE1900">
            <v>22488403</v>
          </cell>
          <cell r="AF1900">
            <v>21737771</v>
          </cell>
          <cell r="AG1900">
            <v>0</v>
          </cell>
          <cell r="AH1900">
            <v>0</v>
          </cell>
          <cell r="AI1900">
            <v>0</v>
          </cell>
          <cell r="AJ1900">
            <v>0</v>
          </cell>
          <cell r="AK1900">
            <v>571910</v>
          </cell>
          <cell r="AL1900">
            <v>1251052</v>
          </cell>
          <cell r="AM1900">
            <v>107233</v>
          </cell>
          <cell r="AN1900">
            <v>214466</v>
          </cell>
          <cell r="AO1900">
            <v>71489</v>
          </cell>
          <cell r="AP1900">
            <v>71489</v>
          </cell>
        </row>
        <row r="1901">
          <cell r="D1901" t="str">
            <v>NV khác</v>
          </cell>
          <cell r="G1901" t="str">
            <v>Quản lý</v>
          </cell>
          <cell r="I1901" t="str">
            <v>TTQS</v>
          </cell>
          <cell r="AC1901">
            <v>930000</v>
          </cell>
          <cell r="AD1901">
            <v>21355596</v>
          </cell>
          <cell r="AE1901">
            <v>18479044</v>
          </cell>
          <cell r="AF1901">
            <v>17609308</v>
          </cell>
          <cell r="AG1901">
            <v>0</v>
          </cell>
          <cell r="AH1901">
            <v>0</v>
          </cell>
          <cell r="AI1901">
            <v>0</v>
          </cell>
          <cell r="AJ1901">
            <v>0</v>
          </cell>
          <cell r="AK1901">
            <v>662656</v>
          </cell>
          <cell r="AL1901">
            <v>1449560</v>
          </cell>
          <cell r="AM1901">
            <v>124248</v>
          </cell>
          <cell r="AN1901">
            <v>248496</v>
          </cell>
          <cell r="AO1901">
            <v>82832</v>
          </cell>
          <cell r="AP1901">
            <v>82832</v>
          </cell>
        </row>
        <row r="1902">
          <cell r="D1902" t="str">
            <v>NV khác</v>
          </cell>
          <cell r="G1902" t="str">
            <v>Quản lý</v>
          </cell>
          <cell r="I1902" t="str">
            <v>QLCL</v>
          </cell>
          <cell r="AC1902">
            <v>1047000</v>
          </cell>
          <cell r="AD1902">
            <v>24501912</v>
          </cell>
          <cell r="AE1902">
            <v>10236436</v>
          </cell>
          <cell r="AF1902">
            <v>9798058</v>
          </cell>
          <cell r="AG1902">
            <v>0</v>
          </cell>
          <cell r="AH1902">
            <v>0</v>
          </cell>
          <cell r="AI1902">
            <v>0</v>
          </cell>
          <cell r="AJ1902">
            <v>0</v>
          </cell>
          <cell r="AK1902">
            <v>334002</v>
          </cell>
          <cell r="AL1902">
            <v>730629</v>
          </cell>
          <cell r="AM1902">
            <v>62626</v>
          </cell>
          <cell r="AN1902">
            <v>125251</v>
          </cell>
          <cell r="AO1902">
            <v>41750</v>
          </cell>
          <cell r="AP1902">
            <v>41750</v>
          </cell>
        </row>
        <row r="1903">
          <cell r="D1903" t="str">
            <v>NV khác</v>
          </cell>
          <cell r="G1903" t="str">
            <v>Quản lý</v>
          </cell>
          <cell r="I1903" t="str">
            <v>MHMP</v>
          </cell>
          <cell r="AC1903">
            <v>1030000</v>
          </cell>
          <cell r="AD1903">
            <v>42557719</v>
          </cell>
          <cell r="AE1903">
            <v>30529583</v>
          </cell>
          <cell r="AF1903">
            <v>29649204</v>
          </cell>
          <cell r="AG1903">
            <v>0</v>
          </cell>
          <cell r="AH1903">
            <v>0</v>
          </cell>
          <cell r="AI1903">
            <v>0</v>
          </cell>
          <cell r="AJ1903">
            <v>0</v>
          </cell>
          <cell r="AK1903">
            <v>670765</v>
          </cell>
          <cell r="AL1903">
            <v>1467297</v>
          </cell>
          <cell r="AM1903">
            <v>125768</v>
          </cell>
          <cell r="AN1903">
            <v>251537</v>
          </cell>
          <cell r="AO1903">
            <v>83846</v>
          </cell>
          <cell r="AP1903">
            <v>83846</v>
          </cell>
        </row>
        <row r="1904">
          <cell r="D1904" t="str">
            <v>NV khác</v>
          </cell>
          <cell r="G1904" t="str">
            <v>Quản lý</v>
          </cell>
          <cell r="I1904" t="str">
            <v>TTQS</v>
          </cell>
          <cell r="AC1904">
            <v>1030000</v>
          </cell>
          <cell r="AD1904">
            <v>64627568</v>
          </cell>
          <cell r="AE1904">
            <v>60520384</v>
          </cell>
          <cell r="AF1904">
            <v>59145472</v>
          </cell>
          <cell r="AG1904">
            <v>0</v>
          </cell>
          <cell r="AH1904">
            <v>0</v>
          </cell>
          <cell r="AI1904">
            <v>0</v>
          </cell>
          <cell r="AJ1904">
            <v>0</v>
          </cell>
          <cell r="AK1904">
            <v>1047552</v>
          </cell>
          <cell r="AL1904">
            <v>2291520</v>
          </cell>
          <cell r="AM1904">
            <v>196416</v>
          </cell>
          <cell r="AN1904">
            <v>392832</v>
          </cell>
          <cell r="AO1904">
            <v>130944</v>
          </cell>
          <cell r="AP1904">
            <v>130944</v>
          </cell>
        </row>
        <row r="1905">
          <cell r="D1905" t="str">
            <v>NV khác</v>
          </cell>
          <cell r="G1905" t="str">
            <v>Quản lý</v>
          </cell>
          <cell r="I1905" t="str">
            <v>ĐBCL</v>
          </cell>
          <cell r="AC1905">
            <v>1047000</v>
          </cell>
          <cell r="AD1905">
            <v>23195590</v>
          </cell>
          <cell r="AE1905">
            <v>6116519</v>
          </cell>
          <cell r="AF1905">
            <v>5837551</v>
          </cell>
          <cell r="AG1905">
            <v>0</v>
          </cell>
          <cell r="AH1905">
            <v>0</v>
          </cell>
          <cell r="AI1905">
            <v>0</v>
          </cell>
          <cell r="AJ1905">
            <v>0</v>
          </cell>
          <cell r="AK1905">
            <v>212547</v>
          </cell>
          <cell r="AL1905">
            <v>464946</v>
          </cell>
          <cell r="AM1905">
            <v>39853</v>
          </cell>
          <cell r="AN1905">
            <v>79705</v>
          </cell>
          <cell r="AO1905">
            <v>26568</v>
          </cell>
          <cell r="AP1905">
            <v>26568</v>
          </cell>
        </row>
        <row r="1906">
          <cell r="D1906" t="str">
            <v>NV khác</v>
          </cell>
          <cell r="G1906" t="str">
            <v>Quản lý</v>
          </cell>
          <cell r="I1906" t="str">
            <v>ĐBCL</v>
          </cell>
          <cell r="AC1906">
            <v>930000</v>
          </cell>
          <cell r="AD1906">
            <v>30163490</v>
          </cell>
          <cell r="AE1906">
            <v>7033193</v>
          </cell>
          <cell r="AF1906">
            <v>6768263</v>
          </cell>
          <cell r="AG1906">
            <v>0</v>
          </cell>
          <cell r="AH1906">
            <v>0</v>
          </cell>
          <cell r="AI1906">
            <v>0</v>
          </cell>
          <cell r="AJ1906">
            <v>0</v>
          </cell>
          <cell r="AK1906">
            <v>201851</v>
          </cell>
          <cell r="AL1906">
            <v>441547</v>
          </cell>
          <cell r="AM1906">
            <v>37847</v>
          </cell>
          <cell r="AN1906">
            <v>75694</v>
          </cell>
          <cell r="AO1906">
            <v>25232</v>
          </cell>
          <cell r="AP1906">
            <v>25232</v>
          </cell>
        </row>
        <row r="1907">
          <cell r="D1907" t="str">
            <v>NV khác</v>
          </cell>
          <cell r="G1907" t="str">
            <v>Quản lý</v>
          </cell>
          <cell r="I1907" t="str">
            <v>TTQS</v>
          </cell>
          <cell r="AC1907">
            <v>930000</v>
          </cell>
          <cell r="AD1907">
            <v>22868922</v>
          </cell>
          <cell r="AE1907">
            <v>19887466</v>
          </cell>
          <cell r="AF1907">
            <v>18970858</v>
          </cell>
          <cell r="AG1907">
            <v>0</v>
          </cell>
          <cell r="AH1907">
            <v>0</v>
          </cell>
          <cell r="AI1907">
            <v>0</v>
          </cell>
          <cell r="AJ1907">
            <v>0</v>
          </cell>
          <cell r="AK1907">
            <v>698368</v>
          </cell>
          <cell r="AL1907">
            <v>1527680</v>
          </cell>
          <cell r="AM1907">
            <v>130944</v>
          </cell>
          <cell r="AN1907">
            <v>261888</v>
          </cell>
          <cell r="AO1907">
            <v>87296</v>
          </cell>
          <cell r="AP1907">
            <v>87296</v>
          </cell>
        </row>
        <row r="1908">
          <cell r="D1908" t="str">
            <v>NV khác</v>
          </cell>
          <cell r="G1908" t="str">
            <v>Quản lý</v>
          </cell>
          <cell r="I1908" t="str">
            <v>ĐPT</v>
          </cell>
          <cell r="AC1908">
            <v>1030000</v>
          </cell>
          <cell r="AD1908">
            <v>26464066</v>
          </cell>
          <cell r="AE1908">
            <v>16193187</v>
          </cell>
          <cell r="AF1908">
            <v>15522940</v>
          </cell>
          <cell r="AG1908">
            <v>0</v>
          </cell>
          <cell r="AH1908">
            <v>0</v>
          </cell>
          <cell r="AI1908">
            <v>0</v>
          </cell>
          <cell r="AJ1908">
            <v>0</v>
          </cell>
          <cell r="AK1908">
            <v>510664</v>
          </cell>
          <cell r="AL1908">
            <v>1117078</v>
          </cell>
          <cell r="AM1908">
            <v>95750</v>
          </cell>
          <cell r="AN1908">
            <v>191499</v>
          </cell>
          <cell r="AO1908">
            <v>63833</v>
          </cell>
          <cell r="AP1908">
            <v>63833</v>
          </cell>
        </row>
        <row r="1909">
          <cell r="D1909" t="str">
            <v>NV khác</v>
          </cell>
          <cell r="G1909" t="str">
            <v>Quản lý</v>
          </cell>
          <cell r="I1909" t="str">
            <v>CHĐK</v>
          </cell>
          <cell r="AC1909">
            <v>1030000</v>
          </cell>
          <cell r="AD1909">
            <v>50916586</v>
          </cell>
          <cell r="AE1909">
            <v>34201553</v>
          </cell>
          <cell r="AF1909">
            <v>33105700</v>
          </cell>
          <cell r="AG1909">
            <v>0</v>
          </cell>
          <cell r="AH1909">
            <v>0</v>
          </cell>
          <cell r="AI1909">
            <v>0</v>
          </cell>
          <cell r="AJ1909">
            <v>0</v>
          </cell>
          <cell r="AK1909">
            <v>1095853</v>
          </cell>
          <cell r="AL1909">
            <v>2397177</v>
          </cell>
          <cell r="AM1909">
            <v>0</v>
          </cell>
          <cell r="AN1909">
            <v>0</v>
          </cell>
          <cell r="AO1909">
            <v>0</v>
          </cell>
          <cell r="AP1909">
            <v>0</v>
          </cell>
        </row>
        <row r="1910">
          <cell r="D1910" t="str">
            <v>NV khác</v>
          </cell>
          <cell r="G1910" t="str">
            <v>Quản lý</v>
          </cell>
          <cell r="I1910" t="str">
            <v>TTQS</v>
          </cell>
          <cell r="AC1910">
            <v>930000</v>
          </cell>
          <cell r="AD1910">
            <v>26609286</v>
          </cell>
          <cell r="AE1910">
            <v>23522926</v>
          </cell>
          <cell r="AF1910">
            <v>22559446</v>
          </cell>
          <cell r="AG1910">
            <v>0</v>
          </cell>
          <cell r="AH1910">
            <v>0</v>
          </cell>
          <cell r="AI1910">
            <v>0</v>
          </cell>
          <cell r="AJ1910">
            <v>0</v>
          </cell>
          <cell r="AK1910">
            <v>734080</v>
          </cell>
          <cell r="AL1910">
            <v>1605800</v>
          </cell>
          <cell r="AM1910">
            <v>137640</v>
          </cell>
          <cell r="AN1910">
            <v>275280</v>
          </cell>
          <cell r="AO1910">
            <v>91760</v>
          </cell>
          <cell r="AP1910">
            <v>91760</v>
          </cell>
        </row>
        <row r="1911">
          <cell r="D1911" t="str">
            <v>NV khác</v>
          </cell>
          <cell r="G1911" t="str">
            <v>Quản lý</v>
          </cell>
          <cell r="I1911" t="str">
            <v>RD</v>
          </cell>
          <cell r="AC1911">
            <v>1030000</v>
          </cell>
          <cell r="AD1911">
            <v>37200566</v>
          </cell>
          <cell r="AE1911">
            <v>7343715</v>
          </cell>
          <cell r="AF1911">
            <v>7111619</v>
          </cell>
          <cell r="AG1911">
            <v>0</v>
          </cell>
          <cell r="AH1911">
            <v>0</v>
          </cell>
          <cell r="AI1911">
            <v>0</v>
          </cell>
          <cell r="AJ1911">
            <v>0</v>
          </cell>
          <cell r="AK1911">
            <v>176835</v>
          </cell>
          <cell r="AL1911">
            <v>386826</v>
          </cell>
          <cell r="AM1911">
            <v>33156</v>
          </cell>
          <cell r="AN1911">
            <v>66314</v>
          </cell>
          <cell r="AO1911">
            <v>22105</v>
          </cell>
          <cell r="AP1911">
            <v>22105</v>
          </cell>
        </row>
        <row r="1912">
          <cell r="D1912" t="str">
            <v>NV khác</v>
          </cell>
          <cell r="G1912" t="str">
            <v>Quản lý</v>
          </cell>
          <cell r="I1912" t="str">
            <v>RD</v>
          </cell>
          <cell r="AC1912">
            <v>930000</v>
          </cell>
          <cell r="AD1912">
            <v>28254600</v>
          </cell>
          <cell r="AE1912">
            <v>1089204</v>
          </cell>
          <cell r="AF1912">
            <v>1045048</v>
          </cell>
          <cell r="AG1912">
            <v>0</v>
          </cell>
          <cell r="AH1912">
            <v>0</v>
          </cell>
          <cell r="AI1912">
            <v>0</v>
          </cell>
          <cell r="AJ1912">
            <v>0</v>
          </cell>
          <cell r="AK1912">
            <v>33642</v>
          </cell>
          <cell r="AL1912">
            <v>73591</v>
          </cell>
          <cell r="AM1912">
            <v>6309</v>
          </cell>
          <cell r="AN1912">
            <v>12615</v>
          </cell>
          <cell r="AO1912">
            <v>4205</v>
          </cell>
          <cell r="AP1912">
            <v>4205</v>
          </cell>
        </row>
        <row r="1913">
          <cell r="D1913" t="str">
            <v>NV khác</v>
          </cell>
          <cell r="G1913" t="str">
            <v>Quản lý</v>
          </cell>
          <cell r="I1913" t="str">
            <v>MHMP</v>
          </cell>
          <cell r="AC1913">
            <v>1030000</v>
          </cell>
          <cell r="AD1913">
            <v>39525095</v>
          </cell>
          <cell r="AE1913">
            <v>29826378</v>
          </cell>
          <cell r="AF1913">
            <v>28944414</v>
          </cell>
          <cell r="AG1913">
            <v>0</v>
          </cell>
          <cell r="AH1913">
            <v>0</v>
          </cell>
          <cell r="AI1913">
            <v>0</v>
          </cell>
          <cell r="AJ1913">
            <v>0</v>
          </cell>
          <cell r="AK1913">
            <v>671972</v>
          </cell>
          <cell r="AL1913">
            <v>1469939</v>
          </cell>
          <cell r="AM1913">
            <v>125995</v>
          </cell>
          <cell r="AN1913">
            <v>251990</v>
          </cell>
          <cell r="AO1913">
            <v>83997</v>
          </cell>
          <cell r="AP1913">
            <v>83997</v>
          </cell>
        </row>
        <row r="1914">
          <cell r="D1914" t="str">
            <v>NV khác</v>
          </cell>
          <cell r="G1914" t="str">
            <v>Quản lý</v>
          </cell>
          <cell r="I1914" t="str">
            <v>RD</v>
          </cell>
          <cell r="AC1914">
            <v>930000</v>
          </cell>
          <cell r="AD1914">
            <v>30734076</v>
          </cell>
          <cell r="AE1914">
            <v>5985034</v>
          </cell>
          <cell r="AF1914">
            <v>5764260</v>
          </cell>
          <cell r="AG1914">
            <v>0</v>
          </cell>
          <cell r="AH1914">
            <v>0</v>
          </cell>
          <cell r="AI1914">
            <v>0</v>
          </cell>
          <cell r="AJ1914">
            <v>0</v>
          </cell>
          <cell r="AK1914">
            <v>168209</v>
          </cell>
          <cell r="AL1914">
            <v>367956</v>
          </cell>
          <cell r="AM1914">
            <v>31539</v>
          </cell>
          <cell r="AN1914">
            <v>63078</v>
          </cell>
          <cell r="AO1914">
            <v>21026</v>
          </cell>
          <cell r="AP1914">
            <v>21026</v>
          </cell>
        </row>
        <row r="1915">
          <cell r="D1915" t="str">
            <v>NV khác</v>
          </cell>
          <cell r="G1915" t="str">
            <v>Quản lý</v>
          </cell>
          <cell r="I1915" t="str">
            <v>CKTĐH</v>
          </cell>
          <cell r="AC1915">
            <v>1030000</v>
          </cell>
          <cell r="AD1915">
            <v>40184182</v>
          </cell>
          <cell r="AE1915">
            <v>19181584</v>
          </cell>
          <cell r="AF1915">
            <v>18624555</v>
          </cell>
          <cell r="AG1915">
            <v>0</v>
          </cell>
          <cell r="AH1915">
            <v>0</v>
          </cell>
          <cell r="AI1915">
            <v>0</v>
          </cell>
          <cell r="AJ1915">
            <v>0</v>
          </cell>
          <cell r="AK1915">
            <v>424403</v>
          </cell>
          <cell r="AL1915">
            <v>928383</v>
          </cell>
          <cell r="AM1915">
            <v>79576</v>
          </cell>
          <cell r="AN1915">
            <v>159151</v>
          </cell>
          <cell r="AO1915">
            <v>53050</v>
          </cell>
          <cell r="AP1915">
            <v>53050</v>
          </cell>
        </row>
        <row r="1916">
          <cell r="D1916" t="str">
            <v>NV khác</v>
          </cell>
          <cell r="G1916" t="str">
            <v>Quản lý</v>
          </cell>
          <cell r="I1916" t="str">
            <v>CKTĐH</v>
          </cell>
          <cell r="AC1916">
            <v>1398000</v>
          </cell>
          <cell r="AD1916">
            <v>35631490</v>
          </cell>
          <cell r="AE1916">
            <v>15285490</v>
          </cell>
          <cell r="AF1916">
            <v>14799787</v>
          </cell>
          <cell r="AG1916">
            <v>0</v>
          </cell>
          <cell r="AH1916">
            <v>0</v>
          </cell>
          <cell r="AI1916">
            <v>0</v>
          </cell>
          <cell r="AJ1916">
            <v>0</v>
          </cell>
          <cell r="AK1916">
            <v>370060</v>
          </cell>
          <cell r="AL1916">
            <v>809504</v>
          </cell>
          <cell r="AM1916">
            <v>69385</v>
          </cell>
          <cell r="AN1916">
            <v>138773</v>
          </cell>
          <cell r="AO1916">
            <v>46258</v>
          </cell>
          <cell r="AP1916">
            <v>46258</v>
          </cell>
        </row>
        <row r="1917">
          <cell r="D1917" t="str">
            <v>NV khác</v>
          </cell>
          <cell r="G1917" t="str">
            <v>Quản lý</v>
          </cell>
          <cell r="I1917" t="str">
            <v>RD</v>
          </cell>
          <cell r="AC1917">
            <v>930000</v>
          </cell>
          <cell r="AD1917">
            <v>21492406</v>
          </cell>
          <cell r="AE1917">
            <v>1609648</v>
          </cell>
          <cell r="AF1917">
            <v>1529943</v>
          </cell>
          <cell r="AG1917">
            <v>0</v>
          </cell>
          <cell r="AH1917">
            <v>0</v>
          </cell>
          <cell r="AI1917">
            <v>0</v>
          </cell>
          <cell r="AJ1917">
            <v>0</v>
          </cell>
          <cell r="AK1917">
            <v>60728</v>
          </cell>
          <cell r="AL1917">
            <v>132842</v>
          </cell>
          <cell r="AM1917">
            <v>11386</v>
          </cell>
          <cell r="AN1917">
            <v>22773</v>
          </cell>
          <cell r="AO1917">
            <v>7591</v>
          </cell>
          <cell r="AP1917">
            <v>7591</v>
          </cell>
        </row>
        <row r="1918">
          <cell r="D1918" t="str">
            <v>NV khác</v>
          </cell>
          <cell r="G1918" t="str">
            <v>Quản lý</v>
          </cell>
          <cell r="I1918" t="str">
            <v>RD</v>
          </cell>
          <cell r="AC1918">
            <v>1047000</v>
          </cell>
          <cell r="AD1918">
            <v>24727989</v>
          </cell>
          <cell r="AE1918">
            <v>2821244</v>
          </cell>
          <cell r="AF1918">
            <v>2701686</v>
          </cell>
          <cell r="AG1918">
            <v>0</v>
          </cell>
          <cell r="AH1918">
            <v>0</v>
          </cell>
          <cell r="AI1918">
            <v>0</v>
          </cell>
          <cell r="AJ1918">
            <v>0</v>
          </cell>
          <cell r="AK1918">
            <v>91092</v>
          </cell>
          <cell r="AL1918">
            <v>199263</v>
          </cell>
          <cell r="AM1918">
            <v>17079</v>
          </cell>
          <cell r="AN1918">
            <v>34160</v>
          </cell>
          <cell r="AO1918">
            <v>11387</v>
          </cell>
          <cell r="AP1918">
            <v>11387</v>
          </cell>
        </row>
        <row r="1919">
          <cell r="D1919" t="str">
            <v>NV khác</v>
          </cell>
          <cell r="G1919" t="str">
            <v>Quản lý</v>
          </cell>
          <cell r="I1919" t="str">
            <v>Camera</v>
          </cell>
          <cell r="AC1919">
            <v>1230000</v>
          </cell>
          <cell r="AD1919">
            <v>63252423</v>
          </cell>
          <cell r="AE1919">
            <v>48567155</v>
          </cell>
          <cell r="AF1919">
            <v>47472279</v>
          </cell>
          <cell r="AG1919">
            <v>0</v>
          </cell>
          <cell r="AH1919">
            <v>0</v>
          </cell>
          <cell r="AI1919">
            <v>0</v>
          </cell>
          <cell r="AJ1919">
            <v>0</v>
          </cell>
          <cell r="AK1919">
            <v>1094876</v>
          </cell>
          <cell r="AL1919">
            <v>2395041</v>
          </cell>
          <cell r="AM1919">
            <v>0</v>
          </cell>
          <cell r="AN1919">
            <v>0</v>
          </cell>
          <cell r="AO1919">
            <v>0</v>
          </cell>
          <cell r="AP1919">
            <v>0</v>
          </cell>
        </row>
        <row r="1920">
          <cell r="D1920" t="str">
            <v>NV khác</v>
          </cell>
          <cell r="G1920" t="str">
            <v>Quản lý</v>
          </cell>
          <cell r="I1920" t="str">
            <v>VTBR</v>
          </cell>
          <cell r="AC1920">
            <v>930000</v>
          </cell>
          <cell r="AD1920">
            <v>27868922</v>
          </cell>
          <cell r="AE1920">
            <v>9738574</v>
          </cell>
          <cell r="AF1920">
            <v>9379902</v>
          </cell>
          <cell r="AG1920">
            <v>0</v>
          </cell>
          <cell r="AH1920">
            <v>0</v>
          </cell>
          <cell r="AI1920">
            <v>0</v>
          </cell>
          <cell r="AJ1920">
            <v>0</v>
          </cell>
          <cell r="AK1920">
            <v>273274</v>
          </cell>
          <cell r="AL1920">
            <v>597788</v>
          </cell>
          <cell r="AM1920">
            <v>51239</v>
          </cell>
          <cell r="AN1920">
            <v>102478</v>
          </cell>
          <cell r="AO1920">
            <v>34159</v>
          </cell>
          <cell r="AP1920">
            <v>34159</v>
          </cell>
        </row>
        <row r="1921">
          <cell r="D1921" t="str">
            <v>NV khác</v>
          </cell>
          <cell r="G1921" t="str">
            <v>Quản lý</v>
          </cell>
          <cell r="I1921" t="str">
            <v>MHMP</v>
          </cell>
          <cell r="AC1921">
            <v>1147000</v>
          </cell>
          <cell r="AD1921">
            <v>31427007</v>
          </cell>
          <cell r="AE1921">
            <v>10959295</v>
          </cell>
          <cell r="AF1921">
            <v>10561902</v>
          </cell>
          <cell r="AG1921">
            <v>0</v>
          </cell>
          <cell r="AH1921">
            <v>0</v>
          </cell>
          <cell r="AI1921">
            <v>0</v>
          </cell>
          <cell r="AJ1921">
            <v>0</v>
          </cell>
          <cell r="AK1921">
            <v>302776</v>
          </cell>
          <cell r="AL1921">
            <v>662322</v>
          </cell>
          <cell r="AM1921">
            <v>56770</v>
          </cell>
          <cell r="AN1921">
            <v>113541</v>
          </cell>
          <cell r="AO1921">
            <v>37847</v>
          </cell>
          <cell r="AP1921">
            <v>37847</v>
          </cell>
        </row>
        <row r="1922">
          <cell r="D1922" t="str">
            <v>NV khác</v>
          </cell>
          <cell r="G1922" t="str">
            <v>Quản lý</v>
          </cell>
          <cell r="I1922" t="str">
            <v>DVSBH</v>
          </cell>
          <cell r="AC1922">
            <v>1030000</v>
          </cell>
          <cell r="AD1922">
            <v>33878771</v>
          </cell>
          <cell r="AE1922">
            <v>7945902</v>
          </cell>
          <cell r="AF1922">
            <v>7667390</v>
          </cell>
          <cell r="AG1922">
            <v>0</v>
          </cell>
          <cell r="AH1922">
            <v>0</v>
          </cell>
          <cell r="AI1922">
            <v>0</v>
          </cell>
          <cell r="AJ1922">
            <v>0</v>
          </cell>
          <cell r="AK1922">
            <v>212201</v>
          </cell>
          <cell r="AL1922">
            <v>464192</v>
          </cell>
          <cell r="AM1922">
            <v>39787</v>
          </cell>
          <cell r="AN1922">
            <v>79576</v>
          </cell>
          <cell r="AO1922">
            <v>26524</v>
          </cell>
          <cell r="AP1922">
            <v>26524</v>
          </cell>
        </row>
        <row r="1923">
          <cell r="D1923" t="str">
            <v>NV khác</v>
          </cell>
          <cell r="G1923" t="str">
            <v>Quản lý</v>
          </cell>
          <cell r="I1923" t="str">
            <v>QLCL</v>
          </cell>
          <cell r="AC1923">
            <v>1047000</v>
          </cell>
          <cell r="AD1923">
            <v>17348899</v>
          </cell>
          <cell r="AE1923">
            <v>3793524</v>
          </cell>
          <cell r="AF1923">
            <v>3588374</v>
          </cell>
          <cell r="AG1923">
            <v>0</v>
          </cell>
          <cell r="AH1923">
            <v>0</v>
          </cell>
          <cell r="AI1923">
            <v>0</v>
          </cell>
          <cell r="AJ1923">
            <v>0</v>
          </cell>
          <cell r="AK1923">
            <v>156305</v>
          </cell>
          <cell r="AL1923">
            <v>341917</v>
          </cell>
          <cell r="AM1923">
            <v>29307</v>
          </cell>
          <cell r="AN1923">
            <v>58614</v>
          </cell>
          <cell r="AO1923">
            <v>19538</v>
          </cell>
          <cell r="AP1923">
            <v>19538</v>
          </cell>
        </row>
        <row r="1924">
          <cell r="D1924" t="str">
            <v>NV khác</v>
          </cell>
          <cell r="G1924" t="str">
            <v>Quản lý</v>
          </cell>
          <cell r="I1924" t="str">
            <v>MHMP</v>
          </cell>
          <cell r="AC1924">
            <v>930000</v>
          </cell>
          <cell r="AD1924">
            <v>29609286</v>
          </cell>
          <cell r="AE1924">
            <v>26522926</v>
          </cell>
          <cell r="AF1924">
            <v>25559446</v>
          </cell>
          <cell r="AG1924">
            <v>0</v>
          </cell>
          <cell r="AH1924">
            <v>0</v>
          </cell>
          <cell r="AI1924">
            <v>0</v>
          </cell>
          <cell r="AJ1924">
            <v>0</v>
          </cell>
          <cell r="AK1924">
            <v>734080</v>
          </cell>
          <cell r="AL1924">
            <v>1605800</v>
          </cell>
          <cell r="AM1924">
            <v>137640</v>
          </cell>
          <cell r="AN1924">
            <v>275280</v>
          </cell>
          <cell r="AO1924">
            <v>91760</v>
          </cell>
          <cell r="AP1924">
            <v>91760</v>
          </cell>
        </row>
        <row r="1925">
          <cell r="D1925" t="str">
            <v>NV khác</v>
          </cell>
          <cell r="G1925" t="str">
            <v>Quản lý</v>
          </cell>
          <cell r="I1925" t="str">
            <v>CKTĐH</v>
          </cell>
          <cell r="AC1925">
            <v>1030000</v>
          </cell>
          <cell r="AD1925">
            <v>32878795</v>
          </cell>
          <cell r="AE1925">
            <v>29575875</v>
          </cell>
          <cell r="AF1925">
            <v>28560315</v>
          </cell>
          <cell r="AG1925">
            <v>0</v>
          </cell>
          <cell r="AH1925">
            <v>0</v>
          </cell>
          <cell r="AI1925">
            <v>0</v>
          </cell>
          <cell r="AJ1925">
            <v>0</v>
          </cell>
          <cell r="AK1925">
            <v>773760</v>
          </cell>
          <cell r="AL1925">
            <v>1692600</v>
          </cell>
          <cell r="AM1925">
            <v>145080</v>
          </cell>
          <cell r="AN1925">
            <v>290160</v>
          </cell>
          <cell r="AO1925">
            <v>96720</v>
          </cell>
          <cell r="AP1925">
            <v>96720</v>
          </cell>
        </row>
        <row r="1926">
          <cell r="D1926" t="str">
            <v>NV khác</v>
          </cell>
          <cell r="G1926" t="str">
            <v>Quản lý</v>
          </cell>
          <cell r="I1926" t="str">
            <v>IOT</v>
          </cell>
          <cell r="AC1926">
            <v>1398000</v>
          </cell>
          <cell r="AD1926">
            <v>24629570</v>
          </cell>
          <cell r="AE1926">
            <v>920874</v>
          </cell>
          <cell r="AF1926">
            <v>881021</v>
          </cell>
          <cell r="AG1926">
            <v>0</v>
          </cell>
          <cell r="AH1926">
            <v>0</v>
          </cell>
          <cell r="AI1926">
            <v>0</v>
          </cell>
          <cell r="AJ1926">
            <v>0</v>
          </cell>
          <cell r="AK1926">
            <v>30364</v>
          </cell>
          <cell r="AL1926">
            <v>66421</v>
          </cell>
          <cell r="AM1926">
            <v>5693</v>
          </cell>
          <cell r="AN1926">
            <v>11387</v>
          </cell>
          <cell r="AO1926">
            <v>3796</v>
          </cell>
          <cell r="AP1926">
            <v>3796</v>
          </cell>
        </row>
        <row r="1927">
          <cell r="D1927" t="str">
            <v>NV khác</v>
          </cell>
          <cell r="G1927" t="str">
            <v>Quản lý</v>
          </cell>
          <cell r="I1927" t="str">
            <v>RD</v>
          </cell>
          <cell r="AC1927">
            <v>930000</v>
          </cell>
          <cell r="AD1927">
            <v>33163490</v>
          </cell>
          <cell r="AE1927">
            <v>2605268</v>
          </cell>
          <cell r="AF1927">
            <v>2516959</v>
          </cell>
          <cell r="AG1927">
            <v>0</v>
          </cell>
          <cell r="AH1927">
            <v>0</v>
          </cell>
          <cell r="AI1927">
            <v>0</v>
          </cell>
          <cell r="AJ1927">
            <v>0</v>
          </cell>
          <cell r="AK1927">
            <v>67284</v>
          </cell>
          <cell r="AL1927">
            <v>147183</v>
          </cell>
          <cell r="AM1927">
            <v>12616</v>
          </cell>
          <cell r="AN1927">
            <v>25231</v>
          </cell>
          <cell r="AO1927">
            <v>8409</v>
          </cell>
          <cell r="AP1927">
            <v>8409</v>
          </cell>
        </row>
        <row r="1928">
          <cell r="D1928" t="str">
            <v>NV khác</v>
          </cell>
          <cell r="G1928" t="str">
            <v>Quản lý</v>
          </cell>
          <cell r="I1928" t="str">
            <v>MHMP</v>
          </cell>
          <cell r="AC1928">
            <v>930000</v>
          </cell>
          <cell r="AD1928">
            <v>24610989</v>
          </cell>
          <cell r="AE1928">
            <v>15987046</v>
          </cell>
          <cell r="AF1928">
            <v>15309553</v>
          </cell>
          <cell r="AG1928">
            <v>0</v>
          </cell>
          <cell r="AH1928">
            <v>0</v>
          </cell>
          <cell r="AI1928">
            <v>0</v>
          </cell>
          <cell r="AJ1928">
            <v>0</v>
          </cell>
          <cell r="AK1928">
            <v>516185</v>
          </cell>
          <cell r="AL1928">
            <v>1129155</v>
          </cell>
          <cell r="AM1928">
            <v>96785</v>
          </cell>
          <cell r="AN1928">
            <v>193569</v>
          </cell>
          <cell r="AO1928">
            <v>64523</v>
          </cell>
          <cell r="AP1928">
            <v>64523</v>
          </cell>
        </row>
        <row r="1929">
          <cell r="D1929" t="str">
            <v>NV khác</v>
          </cell>
          <cell r="G1929" t="str">
            <v>Quản lý</v>
          </cell>
          <cell r="I1929" t="str">
            <v>CHĐK</v>
          </cell>
          <cell r="AC1929">
            <v>930000</v>
          </cell>
          <cell r="AD1929">
            <v>34252587</v>
          </cell>
          <cell r="AE1929">
            <v>28349696</v>
          </cell>
          <cell r="AF1929">
            <v>27422445</v>
          </cell>
          <cell r="AG1929">
            <v>0</v>
          </cell>
          <cell r="AH1929">
            <v>0</v>
          </cell>
          <cell r="AI1929">
            <v>0</v>
          </cell>
          <cell r="AJ1929">
            <v>0</v>
          </cell>
          <cell r="AK1929">
            <v>706477</v>
          </cell>
          <cell r="AL1929">
            <v>1545417</v>
          </cell>
          <cell r="AM1929">
            <v>132464</v>
          </cell>
          <cell r="AN1929">
            <v>264929</v>
          </cell>
          <cell r="AO1929">
            <v>88310</v>
          </cell>
          <cell r="AP1929">
            <v>88310</v>
          </cell>
        </row>
        <row r="1930">
          <cell r="D1930" t="str">
            <v>NV khác</v>
          </cell>
          <cell r="G1930" t="str">
            <v>Quản lý</v>
          </cell>
          <cell r="I1930" t="str">
            <v>CKTĐH</v>
          </cell>
          <cell r="AC1930">
            <v>930000</v>
          </cell>
          <cell r="AD1930">
            <v>22399878</v>
          </cell>
          <cell r="AE1930">
            <v>12664188</v>
          </cell>
          <cell r="AF1930">
            <v>12066401</v>
          </cell>
          <cell r="AG1930">
            <v>0</v>
          </cell>
          <cell r="AH1930">
            <v>0</v>
          </cell>
          <cell r="AI1930">
            <v>0</v>
          </cell>
          <cell r="AJ1930">
            <v>0</v>
          </cell>
          <cell r="AK1930">
            <v>455457</v>
          </cell>
          <cell r="AL1930">
            <v>996313</v>
          </cell>
          <cell r="AM1930">
            <v>85398</v>
          </cell>
          <cell r="AN1930">
            <v>170797</v>
          </cell>
          <cell r="AO1930">
            <v>56932</v>
          </cell>
          <cell r="AP1930">
            <v>56932</v>
          </cell>
        </row>
        <row r="1931">
          <cell r="D1931" t="str">
            <v>NV khác</v>
          </cell>
          <cell r="G1931" t="str">
            <v>Quản lý</v>
          </cell>
          <cell r="I1931" t="str">
            <v>IOT</v>
          </cell>
          <cell r="AC1931">
            <v>930000</v>
          </cell>
          <cell r="AD1931">
            <v>21163248</v>
          </cell>
          <cell r="AE1931">
            <v>4770442</v>
          </cell>
          <cell r="AF1931">
            <v>4543554</v>
          </cell>
          <cell r="AG1931">
            <v>0</v>
          </cell>
          <cell r="AH1931">
            <v>0</v>
          </cell>
          <cell r="AI1931">
            <v>0</v>
          </cell>
          <cell r="AJ1931">
            <v>0</v>
          </cell>
          <cell r="AK1931">
            <v>172867</v>
          </cell>
          <cell r="AL1931">
            <v>378146</v>
          </cell>
          <cell r="AM1931">
            <v>32413</v>
          </cell>
          <cell r="AN1931">
            <v>64825</v>
          </cell>
          <cell r="AO1931">
            <v>21608</v>
          </cell>
          <cell r="AP1931">
            <v>21608</v>
          </cell>
        </row>
        <row r="1932">
          <cell r="D1932" t="str">
            <v>NV khác</v>
          </cell>
          <cell r="G1932" t="str">
            <v>Quản lý</v>
          </cell>
          <cell r="I1932" t="str">
            <v>CNCM</v>
          </cell>
          <cell r="AC1932">
            <v>1230000</v>
          </cell>
          <cell r="AD1932">
            <v>25642420</v>
          </cell>
          <cell r="AE1932">
            <v>21288405</v>
          </cell>
          <cell r="AF1932">
            <v>20366816</v>
          </cell>
          <cell r="AG1932">
            <v>0</v>
          </cell>
          <cell r="AH1932">
            <v>0</v>
          </cell>
          <cell r="AI1932">
            <v>0</v>
          </cell>
          <cell r="AJ1932">
            <v>0</v>
          </cell>
          <cell r="AK1932">
            <v>702163</v>
          </cell>
          <cell r="AL1932">
            <v>1535983</v>
          </cell>
          <cell r="AM1932">
            <v>131656</v>
          </cell>
          <cell r="AN1932">
            <v>263311</v>
          </cell>
          <cell r="AO1932">
            <v>87770</v>
          </cell>
          <cell r="AP1932">
            <v>87770</v>
          </cell>
        </row>
        <row r="1933">
          <cell r="D1933" t="str">
            <v>NV khác</v>
          </cell>
          <cell r="G1933" t="str">
            <v>Quản lý</v>
          </cell>
          <cell r="I1933" t="str">
            <v>KTCN</v>
          </cell>
          <cell r="AC1933">
            <v>930000</v>
          </cell>
          <cell r="AD1933">
            <v>23940052</v>
          </cell>
          <cell r="AE1933">
            <v>8201190</v>
          </cell>
          <cell r="AF1933">
            <v>7842518</v>
          </cell>
          <cell r="AG1933">
            <v>0</v>
          </cell>
          <cell r="AH1933">
            <v>0</v>
          </cell>
          <cell r="AI1933">
            <v>0</v>
          </cell>
          <cell r="AJ1933">
            <v>0</v>
          </cell>
          <cell r="AK1933">
            <v>273274</v>
          </cell>
          <cell r="AL1933">
            <v>597788</v>
          </cell>
          <cell r="AM1933">
            <v>51239</v>
          </cell>
          <cell r="AN1933">
            <v>102478</v>
          </cell>
          <cell r="AO1933">
            <v>34159</v>
          </cell>
          <cell r="AP1933">
            <v>34159</v>
          </cell>
        </row>
        <row r="1934">
          <cell r="D1934" t="str">
            <v>NV khác</v>
          </cell>
          <cell r="G1934" t="str">
            <v>Quản lý</v>
          </cell>
          <cell r="I1934" t="str">
            <v>MHMP</v>
          </cell>
          <cell r="AC1934">
            <v>930000</v>
          </cell>
          <cell r="AD1934">
            <v>23940052</v>
          </cell>
          <cell r="AE1934">
            <v>10934920</v>
          </cell>
          <cell r="AF1934">
            <v>10456689</v>
          </cell>
          <cell r="AG1934">
            <v>0</v>
          </cell>
          <cell r="AH1934">
            <v>0</v>
          </cell>
          <cell r="AI1934">
            <v>0</v>
          </cell>
          <cell r="AJ1934">
            <v>0</v>
          </cell>
          <cell r="AK1934">
            <v>364366</v>
          </cell>
          <cell r="AL1934">
            <v>797050</v>
          </cell>
          <cell r="AM1934">
            <v>68319</v>
          </cell>
          <cell r="AN1934">
            <v>136637</v>
          </cell>
          <cell r="AO1934">
            <v>45546</v>
          </cell>
          <cell r="AP1934">
            <v>45546</v>
          </cell>
        </row>
        <row r="1935">
          <cell r="D1935" t="str">
            <v>NV khác</v>
          </cell>
          <cell r="G1935" t="str">
            <v>Quản lý</v>
          </cell>
          <cell r="I1935" t="str">
            <v>CHĐK</v>
          </cell>
          <cell r="AC1935">
            <v>1047000</v>
          </cell>
          <cell r="AD1935">
            <v>19891616</v>
          </cell>
          <cell r="AE1935">
            <v>12558796</v>
          </cell>
          <cell r="AF1935">
            <v>11946743</v>
          </cell>
          <cell r="AG1935">
            <v>0</v>
          </cell>
          <cell r="AH1935">
            <v>0</v>
          </cell>
          <cell r="AI1935">
            <v>0</v>
          </cell>
          <cell r="AJ1935">
            <v>0</v>
          </cell>
          <cell r="AK1935">
            <v>466326</v>
          </cell>
          <cell r="AL1935">
            <v>1020089</v>
          </cell>
          <cell r="AM1935">
            <v>87436</v>
          </cell>
          <cell r="AN1935">
            <v>174872</v>
          </cell>
          <cell r="AO1935">
            <v>58291</v>
          </cell>
          <cell r="AP1935">
            <v>58291</v>
          </cell>
        </row>
        <row r="1936">
          <cell r="D1936" t="str">
            <v>NV khác</v>
          </cell>
          <cell r="G1936" t="str">
            <v>Quản lý</v>
          </cell>
          <cell r="I1936" t="str">
            <v>TTKD</v>
          </cell>
          <cell r="AC1936">
            <v>1047000</v>
          </cell>
          <cell r="AD1936">
            <v>16857285</v>
          </cell>
          <cell r="AE1936">
            <v>11606711</v>
          </cell>
          <cell r="AF1936">
            <v>10957069</v>
          </cell>
          <cell r="AG1936">
            <v>0</v>
          </cell>
          <cell r="AH1936">
            <v>0</v>
          </cell>
          <cell r="AI1936">
            <v>0</v>
          </cell>
          <cell r="AJ1936">
            <v>0</v>
          </cell>
          <cell r="AK1936">
            <v>494965</v>
          </cell>
          <cell r="AL1936">
            <v>1082736</v>
          </cell>
          <cell r="AM1936">
            <v>92806</v>
          </cell>
          <cell r="AN1936">
            <v>185612</v>
          </cell>
          <cell r="AO1936">
            <v>61871</v>
          </cell>
          <cell r="AP1936">
            <v>61871</v>
          </cell>
        </row>
        <row r="1937">
          <cell r="D1937" t="str">
            <v>NV khác</v>
          </cell>
          <cell r="G1937" t="str">
            <v>Quản lý</v>
          </cell>
          <cell r="I1937" t="str">
            <v>TTQS</v>
          </cell>
          <cell r="AC1937">
            <v>1030000</v>
          </cell>
          <cell r="AD1937">
            <v>50004853</v>
          </cell>
          <cell r="AE1937">
            <v>46189069</v>
          </cell>
          <cell r="AF1937">
            <v>44944357</v>
          </cell>
          <cell r="AG1937">
            <v>0</v>
          </cell>
          <cell r="AH1937">
            <v>0</v>
          </cell>
          <cell r="AI1937">
            <v>0</v>
          </cell>
          <cell r="AJ1937">
            <v>0</v>
          </cell>
          <cell r="AK1937">
            <v>948352</v>
          </cell>
          <cell r="AL1937">
            <v>2074520</v>
          </cell>
          <cell r="AM1937">
            <v>177816</v>
          </cell>
          <cell r="AN1937">
            <v>355632</v>
          </cell>
          <cell r="AO1937">
            <v>118544</v>
          </cell>
          <cell r="AP1937">
            <v>118544</v>
          </cell>
        </row>
        <row r="1938">
          <cell r="D1938" t="str">
            <v>NV khác</v>
          </cell>
          <cell r="G1938" t="str">
            <v>Quản lý</v>
          </cell>
          <cell r="I1938" t="str">
            <v>MHMP</v>
          </cell>
          <cell r="AC1938">
            <v>1030000</v>
          </cell>
          <cell r="AD1938">
            <v>38357727</v>
          </cell>
          <cell r="AE1938">
            <v>13621316</v>
          </cell>
          <cell r="AF1938">
            <v>13181127</v>
          </cell>
          <cell r="AG1938">
            <v>0</v>
          </cell>
          <cell r="AH1938">
            <v>0</v>
          </cell>
          <cell r="AI1938">
            <v>0</v>
          </cell>
          <cell r="AJ1938">
            <v>0</v>
          </cell>
          <cell r="AK1938">
            <v>335382</v>
          </cell>
          <cell r="AL1938">
            <v>733649</v>
          </cell>
          <cell r="AM1938">
            <v>62884</v>
          </cell>
          <cell r="AN1938">
            <v>125768</v>
          </cell>
          <cell r="AO1938">
            <v>41923</v>
          </cell>
          <cell r="AP1938">
            <v>41923</v>
          </cell>
        </row>
        <row r="1939">
          <cell r="D1939" t="str">
            <v>NV khác</v>
          </cell>
          <cell r="G1939" t="str">
            <v>Quản lý</v>
          </cell>
          <cell r="I1939" t="str">
            <v>ĐBCL</v>
          </cell>
          <cell r="AC1939">
            <v>930000</v>
          </cell>
          <cell r="AD1939">
            <v>19150250</v>
          </cell>
          <cell r="AE1939">
            <v>9905729</v>
          </cell>
          <cell r="AF1939">
            <v>9376325</v>
          </cell>
          <cell r="AG1939">
            <v>0</v>
          </cell>
          <cell r="AH1939">
            <v>0</v>
          </cell>
          <cell r="AI1939">
            <v>0</v>
          </cell>
          <cell r="AJ1939">
            <v>0</v>
          </cell>
          <cell r="AK1939">
            <v>403356</v>
          </cell>
          <cell r="AL1939">
            <v>882341</v>
          </cell>
          <cell r="AM1939">
            <v>75629</v>
          </cell>
          <cell r="AN1939">
            <v>151258</v>
          </cell>
          <cell r="AO1939">
            <v>50419</v>
          </cell>
          <cell r="AP1939">
            <v>50419</v>
          </cell>
        </row>
        <row r="1940">
          <cell r="D1940" t="str">
            <v>NV khác</v>
          </cell>
          <cell r="G1940" t="str">
            <v>Quản lý</v>
          </cell>
          <cell r="I1940" t="str">
            <v>VTBR</v>
          </cell>
          <cell r="AC1940">
            <v>930000</v>
          </cell>
          <cell r="AD1940">
            <v>29527628</v>
          </cell>
          <cell r="AE1940">
            <v>20601945</v>
          </cell>
          <cell r="AF1940">
            <v>19807159</v>
          </cell>
          <cell r="AG1940">
            <v>0</v>
          </cell>
          <cell r="AH1940">
            <v>0</v>
          </cell>
          <cell r="AI1940">
            <v>0</v>
          </cell>
          <cell r="AJ1940">
            <v>0</v>
          </cell>
          <cell r="AK1940">
            <v>605551</v>
          </cell>
          <cell r="AL1940">
            <v>1324643</v>
          </cell>
          <cell r="AM1940">
            <v>113541</v>
          </cell>
          <cell r="AN1940">
            <v>227082</v>
          </cell>
          <cell r="AO1940">
            <v>75694</v>
          </cell>
          <cell r="AP1940">
            <v>75694</v>
          </cell>
        </row>
        <row r="1941">
          <cell r="D1941" t="str">
            <v>NV khác</v>
          </cell>
          <cell r="G1941" t="str">
            <v>Quản lý</v>
          </cell>
          <cell r="I1941" t="str">
            <v>KDDH</v>
          </cell>
          <cell r="AC1941">
            <v>1047000</v>
          </cell>
          <cell r="AD1941">
            <v>25459420</v>
          </cell>
          <cell r="AE1941">
            <v>14514821</v>
          </cell>
          <cell r="AF1941">
            <v>13886464</v>
          </cell>
          <cell r="AG1941">
            <v>0</v>
          </cell>
          <cell r="AH1941">
            <v>0</v>
          </cell>
          <cell r="AI1941">
            <v>0</v>
          </cell>
          <cell r="AJ1941">
            <v>0</v>
          </cell>
          <cell r="AK1941">
            <v>478748</v>
          </cell>
          <cell r="AL1941">
            <v>1047260</v>
          </cell>
          <cell r="AM1941">
            <v>89765</v>
          </cell>
          <cell r="AN1941">
            <v>179531</v>
          </cell>
          <cell r="AO1941">
            <v>59844</v>
          </cell>
          <cell r="AP1941">
            <v>59844</v>
          </cell>
        </row>
        <row r="1942">
          <cell r="D1942" t="str">
            <v>NV khác</v>
          </cell>
          <cell r="G1942" t="str">
            <v>Quản lý</v>
          </cell>
          <cell r="I1942" t="str">
            <v>KTCN</v>
          </cell>
          <cell r="AC1942">
            <v>1030000</v>
          </cell>
          <cell r="AD1942">
            <v>33791472</v>
          </cell>
          <cell r="AE1942">
            <v>11884693</v>
          </cell>
          <cell r="AF1942">
            <v>11466920</v>
          </cell>
          <cell r="AG1942">
            <v>0</v>
          </cell>
          <cell r="AH1942">
            <v>0</v>
          </cell>
          <cell r="AI1942">
            <v>0</v>
          </cell>
          <cell r="AJ1942">
            <v>0</v>
          </cell>
          <cell r="AK1942">
            <v>318303</v>
          </cell>
          <cell r="AL1942">
            <v>696287</v>
          </cell>
          <cell r="AM1942">
            <v>59682</v>
          </cell>
          <cell r="AN1942">
            <v>119363</v>
          </cell>
          <cell r="AO1942">
            <v>39788</v>
          </cell>
          <cell r="AP1942">
            <v>39788</v>
          </cell>
        </row>
        <row r="1943">
          <cell r="D1943" t="str">
            <v>NV khác</v>
          </cell>
          <cell r="G1943" t="str">
            <v>Quản lý</v>
          </cell>
          <cell r="I1943" t="str">
            <v>KTCN</v>
          </cell>
          <cell r="AC1943">
            <v>1398000</v>
          </cell>
          <cell r="AD1943">
            <v>25810420</v>
          </cell>
          <cell r="AE1943">
            <v>967654</v>
          </cell>
          <cell r="AF1943">
            <v>925764</v>
          </cell>
          <cell r="AG1943">
            <v>0</v>
          </cell>
          <cell r="AH1943">
            <v>0</v>
          </cell>
          <cell r="AI1943">
            <v>0</v>
          </cell>
          <cell r="AJ1943">
            <v>0</v>
          </cell>
          <cell r="AK1943">
            <v>31916</v>
          </cell>
          <cell r="AL1943">
            <v>69818</v>
          </cell>
          <cell r="AM1943">
            <v>5984</v>
          </cell>
          <cell r="AN1943">
            <v>11968</v>
          </cell>
          <cell r="AO1943">
            <v>3990</v>
          </cell>
          <cell r="AP1943">
            <v>3990</v>
          </cell>
        </row>
        <row r="1944">
          <cell r="D1944" t="str">
            <v>NV khác</v>
          </cell>
          <cell r="G1944" t="str">
            <v>Quản lý</v>
          </cell>
          <cell r="I1944" t="str">
            <v>ĐPT</v>
          </cell>
          <cell r="AC1944">
            <v>930000</v>
          </cell>
          <cell r="AD1944">
            <v>29527628</v>
          </cell>
          <cell r="AE1944">
            <v>21746498</v>
          </cell>
          <cell r="AF1944">
            <v>20907557</v>
          </cell>
          <cell r="AG1944">
            <v>0</v>
          </cell>
          <cell r="AH1944">
            <v>0</v>
          </cell>
          <cell r="AI1944">
            <v>0</v>
          </cell>
          <cell r="AJ1944">
            <v>0</v>
          </cell>
          <cell r="AK1944">
            <v>639193</v>
          </cell>
          <cell r="AL1944">
            <v>1398235</v>
          </cell>
          <cell r="AM1944">
            <v>119849</v>
          </cell>
          <cell r="AN1944">
            <v>239697</v>
          </cell>
          <cell r="AO1944">
            <v>79899</v>
          </cell>
          <cell r="AP1944">
            <v>79899</v>
          </cell>
        </row>
        <row r="1945">
          <cell r="D1945" t="str">
            <v>NV khác</v>
          </cell>
          <cell r="G1945" t="str">
            <v>Quản lý</v>
          </cell>
          <cell r="I1945" t="str">
            <v>ĐPT</v>
          </cell>
          <cell r="AC1945">
            <v>930000</v>
          </cell>
          <cell r="AD1945">
            <v>32408299</v>
          </cell>
          <cell r="AE1945">
            <v>17777187</v>
          </cell>
          <cell r="AF1945">
            <v>17159021</v>
          </cell>
          <cell r="AG1945">
            <v>0</v>
          </cell>
          <cell r="AH1945">
            <v>0</v>
          </cell>
          <cell r="AI1945">
            <v>0</v>
          </cell>
          <cell r="AJ1945">
            <v>0</v>
          </cell>
          <cell r="AK1945">
            <v>470984</v>
          </cell>
          <cell r="AL1945">
            <v>1030279</v>
          </cell>
          <cell r="AM1945">
            <v>88309</v>
          </cell>
          <cell r="AN1945">
            <v>176619</v>
          </cell>
          <cell r="AO1945">
            <v>58873</v>
          </cell>
          <cell r="AP1945">
            <v>58873</v>
          </cell>
        </row>
        <row r="1946">
          <cell r="D1946" t="str">
            <v>NV khác</v>
          </cell>
          <cell r="G1946" t="str">
            <v>Quản lý</v>
          </cell>
          <cell r="I1946" t="str">
            <v>KTCN</v>
          </cell>
          <cell r="AC1946">
            <v>930000</v>
          </cell>
          <cell r="AD1946">
            <v>23021167</v>
          </cell>
          <cell r="AE1946">
            <v>12198085</v>
          </cell>
          <cell r="AF1946">
            <v>11640149</v>
          </cell>
          <cell r="AG1946">
            <v>0</v>
          </cell>
          <cell r="AH1946">
            <v>0</v>
          </cell>
          <cell r="AI1946">
            <v>0</v>
          </cell>
          <cell r="AJ1946">
            <v>0</v>
          </cell>
          <cell r="AK1946">
            <v>425094</v>
          </cell>
          <cell r="AL1946">
            <v>929892</v>
          </cell>
          <cell r="AM1946">
            <v>79705</v>
          </cell>
          <cell r="AN1946">
            <v>159410</v>
          </cell>
          <cell r="AO1946">
            <v>53137</v>
          </cell>
          <cell r="AP1946">
            <v>53137</v>
          </cell>
        </row>
        <row r="1947">
          <cell r="D1947" t="str">
            <v>NV khác</v>
          </cell>
          <cell r="G1947" t="str">
            <v>Quản lý</v>
          </cell>
          <cell r="I1947" t="str">
            <v>ĐBCL</v>
          </cell>
          <cell r="AC1947">
            <v>930000</v>
          </cell>
          <cell r="AD1947">
            <v>20085068</v>
          </cell>
          <cell r="AE1947">
            <v>10531509</v>
          </cell>
          <cell r="AF1947">
            <v>10027466</v>
          </cell>
          <cell r="AG1947">
            <v>0</v>
          </cell>
          <cell r="AH1947">
            <v>0</v>
          </cell>
          <cell r="AI1947">
            <v>0</v>
          </cell>
          <cell r="AJ1947">
            <v>0</v>
          </cell>
          <cell r="AK1947">
            <v>384033</v>
          </cell>
          <cell r="AL1947">
            <v>840073</v>
          </cell>
          <cell r="AM1947">
            <v>72006</v>
          </cell>
          <cell r="AN1947">
            <v>144013</v>
          </cell>
          <cell r="AO1947">
            <v>48004</v>
          </cell>
          <cell r="AP1947">
            <v>48004</v>
          </cell>
        </row>
        <row r="1948">
          <cell r="D1948" t="str">
            <v>NV khác</v>
          </cell>
          <cell r="G1948" t="str">
            <v>Quản lý</v>
          </cell>
          <cell r="I1948" t="str">
            <v>RD</v>
          </cell>
          <cell r="AC1948">
            <v>1030000</v>
          </cell>
          <cell r="AD1948">
            <v>28981415</v>
          </cell>
          <cell r="AE1948">
            <v>1116456</v>
          </cell>
          <cell r="AF1948">
            <v>1072300</v>
          </cell>
          <cell r="AG1948">
            <v>0</v>
          </cell>
          <cell r="AH1948">
            <v>0</v>
          </cell>
          <cell r="AI1948">
            <v>0</v>
          </cell>
          <cell r="AJ1948">
            <v>0</v>
          </cell>
          <cell r="AK1948">
            <v>33642</v>
          </cell>
          <cell r="AL1948">
            <v>73591</v>
          </cell>
          <cell r="AM1948">
            <v>6308</v>
          </cell>
          <cell r="AN1948">
            <v>12616</v>
          </cell>
          <cell r="AO1948">
            <v>4206</v>
          </cell>
          <cell r="AP1948">
            <v>4206</v>
          </cell>
        </row>
        <row r="1949">
          <cell r="D1949" t="str">
            <v>NV khác</v>
          </cell>
          <cell r="G1949" t="str">
            <v>Quản lý</v>
          </cell>
          <cell r="I1949" t="str">
            <v>ĐPT</v>
          </cell>
          <cell r="AC1949">
            <v>1481000</v>
          </cell>
          <cell r="AD1949">
            <v>24431114</v>
          </cell>
          <cell r="AE1949">
            <v>17264109</v>
          </cell>
          <cell r="AF1949">
            <v>16506911</v>
          </cell>
          <cell r="AG1949">
            <v>0</v>
          </cell>
          <cell r="AH1949">
            <v>0</v>
          </cell>
          <cell r="AI1949">
            <v>0</v>
          </cell>
          <cell r="AJ1949">
            <v>0</v>
          </cell>
          <cell r="AK1949">
            <v>576913</v>
          </cell>
          <cell r="AL1949">
            <v>1261997</v>
          </cell>
          <cell r="AM1949">
            <v>108171</v>
          </cell>
          <cell r="AN1949">
            <v>216342</v>
          </cell>
          <cell r="AO1949">
            <v>72114</v>
          </cell>
          <cell r="AP1949">
            <v>72114</v>
          </cell>
        </row>
        <row r="1950">
          <cell r="D1950" t="str">
            <v>NV khác</v>
          </cell>
          <cell r="G1950" t="str">
            <v>Quản lý</v>
          </cell>
          <cell r="I1950" t="str">
            <v>KTCN</v>
          </cell>
          <cell r="AC1950">
            <v>930000</v>
          </cell>
          <cell r="AD1950">
            <v>18692061</v>
          </cell>
          <cell r="AE1950">
            <v>6225166</v>
          </cell>
          <cell r="AF1950">
            <v>5901137</v>
          </cell>
          <cell r="AG1950">
            <v>0</v>
          </cell>
          <cell r="AH1950">
            <v>0</v>
          </cell>
          <cell r="AI1950">
            <v>0</v>
          </cell>
          <cell r="AJ1950">
            <v>0</v>
          </cell>
          <cell r="AK1950">
            <v>246879</v>
          </cell>
          <cell r="AL1950">
            <v>540047</v>
          </cell>
          <cell r="AM1950">
            <v>46290</v>
          </cell>
          <cell r="AN1950">
            <v>92579</v>
          </cell>
          <cell r="AO1950">
            <v>30860</v>
          </cell>
          <cell r="AP1950">
            <v>30860</v>
          </cell>
        </row>
        <row r="1951">
          <cell r="D1951" t="str">
            <v>NV khác</v>
          </cell>
          <cell r="G1951" t="str">
            <v>Quản lý</v>
          </cell>
          <cell r="I1951" t="str">
            <v>CNCM</v>
          </cell>
          <cell r="AC1951">
            <v>1147000</v>
          </cell>
          <cell r="AD1951">
            <v>23028994</v>
          </cell>
          <cell r="AE1951">
            <v>18968341</v>
          </cell>
          <cell r="AF1951">
            <v>18091585</v>
          </cell>
          <cell r="AG1951">
            <v>0</v>
          </cell>
          <cell r="AH1951">
            <v>0</v>
          </cell>
          <cell r="AI1951">
            <v>0</v>
          </cell>
          <cell r="AJ1951">
            <v>0</v>
          </cell>
          <cell r="AK1951">
            <v>668004</v>
          </cell>
          <cell r="AL1951">
            <v>1461259</v>
          </cell>
          <cell r="AM1951">
            <v>125251</v>
          </cell>
          <cell r="AN1951">
            <v>250502</v>
          </cell>
          <cell r="AO1951">
            <v>83501</v>
          </cell>
          <cell r="AP1951">
            <v>83501</v>
          </cell>
        </row>
        <row r="1952">
          <cell r="D1952" t="str">
            <v>NV khác</v>
          </cell>
          <cell r="G1952" t="str">
            <v>Quản lý</v>
          </cell>
          <cell r="I1952" t="str">
            <v>TTQS</v>
          </cell>
          <cell r="AC1952">
            <v>930000</v>
          </cell>
          <cell r="AD1952">
            <v>19726358</v>
          </cell>
          <cell r="AE1952">
            <v>16943054</v>
          </cell>
          <cell r="AF1952">
            <v>16114982</v>
          </cell>
          <cell r="AG1952">
            <v>0</v>
          </cell>
          <cell r="AH1952">
            <v>0</v>
          </cell>
          <cell r="AI1952">
            <v>0</v>
          </cell>
          <cell r="AJ1952">
            <v>0</v>
          </cell>
          <cell r="AK1952">
            <v>630912</v>
          </cell>
          <cell r="AL1952">
            <v>1380120</v>
          </cell>
          <cell r="AM1952">
            <v>118296</v>
          </cell>
          <cell r="AN1952">
            <v>236592</v>
          </cell>
          <cell r="AO1952">
            <v>78864</v>
          </cell>
          <cell r="AP1952">
            <v>78864</v>
          </cell>
        </row>
        <row r="1953">
          <cell r="D1953" t="str">
            <v>NV khác</v>
          </cell>
          <cell r="G1953" t="str">
            <v>Quản lý</v>
          </cell>
          <cell r="I1953" t="str">
            <v>ĐBCL</v>
          </cell>
          <cell r="AC1953">
            <v>930000</v>
          </cell>
          <cell r="AD1953">
            <v>22547316</v>
          </cell>
          <cell r="AE1953">
            <v>11909654</v>
          </cell>
          <cell r="AF1953">
            <v>11351718</v>
          </cell>
          <cell r="AG1953">
            <v>0</v>
          </cell>
          <cell r="AH1953">
            <v>0</v>
          </cell>
          <cell r="AI1953">
            <v>0</v>
          </cell>
          <cell r="AJ1953">
            <v>0</v>
          </cell>
          <cell r="AK1953">
            <v>425094</v>
          </cell>
          <cell r="AL1953">
            <v>929892</v>
          </cell>
          <cell r="AM1953">
            <v>79705</v>
          </cell>
          <cell r="AN1953">
            <v>159410</v>
          </cell>
          <cell r="AO1953">
            <v>53137</v>
          </cell>
          <cell r="AP1953">
            <v>53137</v>
          </cell>
        </row>
        <row r="1954">
          <cell r="D1954" t="str">
            <v>NV khác</v>
          </cell>
          <cell r="G1954" t="str">
            <v>Quản lý</v>
          </cell>
          <cell r="I1954" t="str">
            <v>KTCN</v>
          </cell>
          <cell r="AC1954">
            <v>930000</v>
          </cell>
          <cell r="AD1954">
            <v>21693266</v>
          </cell>
          <cell r="AE1954">
            <v>6544944</v>
          </cell>
          <cell r="AF1954">
            <v>6242427</v>
          </cell>
          <cell r="AG1954">
            <v>0</v>
          </cell>
          <cell r="AH1954">
            <v>0</v>
          </cell>
          <cell r="AI1954">
            <v>0</v>
          </cell>
          <cell r="AJ1954">
            <v>0</v>
          </cell>
          <cell r="AK1954">
            <v>230489</v>
          </cell>
          <cell r="AL1954">
            <v>504195</v>
          </cell>
          <cell r="AM1954">
            <v>43217</v>
          </cell>
          <cell r="AN1954">
            <v>86433</v>
          </cell>
          <cell r="AO1954">
            <v>28811</v>
          </cell>
          <cell r="AP1954">
            <v>28811</v>
          </cell>
        </row>
        <row r="1955">
          <cell r="D1955" t="str">
            <v>NV khác</v>
          </cell>
          <cell r="G1955" t="str">
            <v>Quản lý</v>
          </cell>
          <cell r="I1955" t="str">
            <v>CHĐK</v>
          </cell>
          <cell r="AC1955">
            <v>930000</v>
          </cell>
          <cell r="AD1955">
            <v>32921887</v>
          </cell>
          <cell r="AE1955">
            <v>27134709</v>
          </cell>
          <cell r="AF1955">
            <v>26207458</v>
          </cell>
          <cell r="AG1955">
            <v>0</v>
          </cell>
          <cell r="AH1955">
            <v>0</v>
          </cell>
          <cell r="AI1955">
            <v>0</v>
          </cell>
          <cell r="AJ1955">
            <v>0</v>
          </cell>
          <cell r="AK1955">
            <v>706477</v>
          </cell>
          <cell r="AL1955">
            <v>1545417</v>
          </cell>
          <cell r="AM1955">
            <v>132464</v>
          </cell>
          <cell r="AN1955">
            <v>264929</v>
          </cell>
          <cell r="AO1955">
            <v>88310</v>
          </cell>
          <cell r="AP1955">
            <v>88310</v>
          </cell>
        </row>
        <row r="1956">
          <cell r="D1956" t="str">
            <v>NV khác</v>
          </cell>
          <cell r="G1956" t="str">
            <v>Quản lý</v>
          </cell>
          <cell r="I1956" t="str">
            <v>GPTH</v>
          </cell>
          <cell r="AC1956">
            <v>930000</v>
          </cell>
          <cell r="AD1956">
            <v>21110251</v>
          </cell>
          <cell r="AE1956">
            <v>11891543</v>
          </cell>
          <cell r="AF1956">
            <v>11324324</v>
          </cell>
          <cell r="AG1956">
            <v>0</v>
          </cell>
          <cell r="AH1956">
            <v>0</v>
          </cell>
          <cell r="AI1956">
            <v>0</v>
          </cell>
          <cell r="AJ1956">
            <v>0</v>
          </cell>
          <cell r="AK1956">
            <v>432167</v>
          </cell>
          <cell r="AL1956">
            <v>945365</v>
          </cell>
          <cell r="AM1956">
            <v>81031</v>
          </cell>
          <cell r="AN1956">
            <v>162063</v>
          </cell>
          <cell r="AO1956">
            <v>54021</v>
          </cell>
          <cell r="AP1956">
            <v>54021</v>
          </cell>
        </row>
        <row r="1957">
          <cell r="D1957" t="str">
            <v>NV khác</v>
          </cell>
          <cell r="G1957" t="str">
            <v>Quản lý</v>
          </cell>
          <cell r="I1957" t="str">
            <v>RD</v>
          </cell>
          <cell r="AC1957">
            <v>930000</v>
          </cell>
          <cell r="AD1957">
            <v>21302512</v>
          </cell>
          <cell r="AE1957">
            <v>801129</v>
          </cell>
          <cell r="AF1957">
            <v>763314</v>
          </cell>
          <cell r="AG1957">
            <v>0</v>
          </cell>
          <cell r="AH1957">
            <v>0</v>
          </cell>
          <cell r="AI1957">
            <v>0</v>
          </cell>
          <cell r="AJ1957">
            <v>0</v>
          </cell>
          <cell r="AK1957">
            <v>28812</v>
          </cell>
          <cell r="AL1957">
            <v>63025</v>
          </cell>
          <cell r="AM1957">
            <v>5402</v>
          </cell>
          <cell r="AN1957">
            <v>10804</v>
          </cell>
          <cell r="AO1957">
            <v>3601</v>
          </cell>
          <cell r="AP1957">
            <v>3601</v>
          </cell>
        </row>
        <row r="1958">
          <cell r="D1958" t="str">
            <v>NV khác</v>
          </cell>
          <cell r="G1958" t="str">
            <v>Quản lý</v>
          </cell>
          <cell r="I1958" t="str">
            <v>CHĐK</v>
          </cell>
          <cell r="AC1958">
            <v>930000</v>
          </cell>
          <cell r="AD1958">
            <v>18480024</v>
          </cell>
          <cell r="AE1958">
            <v>11601923</v>
          </cell>
          <cell r="AF1958">
            <v>10989870</v>
          </cell>
          <cell r="AG1958">
            <v>0</v>
          </cell>
          <cell r="AH1958">
            <v>0</v>
          </cell>
          <cell r="AI1958">
            <v>0</v>
          </cell>
          <cell r="AJ1958">
            <v>0</v>
          </cell>
          <cell r="AK1958">
            <v>466326</v>
          </cell>
          <cell r="AL1958">
            <v>1020089</v>
          </cell>
          <cell r="AM1958">
            <v>87436</v>
          </cell>
          <cell r="AN1958">
            <v>174872</v>
          </cell>
          <cell r="AO1958">
            <v>58291</v>
          </cell>
          <cell r="AP1958">
            <v>58291</v>
          </cell>
        </row>
        <row r="1959">
          <cell r="D1959" t="str">
            <v>NV khác</v>
          </cell>
          <cell r="G1959" t="str">
            <v>Quản lý</v>
          </cell>
          <cell r="I1959" t="str">
            <v>CKTĐH</v>
          </cell>
          <cell r="AC1959">
            <v>930000</v>
          </cell>
          <cell r="AD1959">
            <v>23085068</v>
          </cell>
          <cell r="AE1959">
            <v>19419079</v>
          </cell>
          <cell r="AF1959">
            <v>18627010</v>
          </cell>
          <cell r="AG1959">
            <v>0</v>
          </cell>
          <cell r="AH1959">
            <v>0</v>
          </cell>
          <cell r="AI1959">
            <v>0</v>
          </cell>
          <cell r="AJ1959">
            <v>0</v>
          </cell>
          <cell r="AK1959">
            <v>603481</v>
          </cell>
          <cell r="AL1959">
            <v>1320115</v>
          </cell>
          <cell r="AM1959">
            <v>113153</v>
          </cell>
          <cell r="AN1959">
            <v>226305</v>
          </cell>
          <cell r="AO1959">
            <v>75435</v>
          </cell>
          <cell r="AP1959">
            <v>75435</v>
          </cell>
        </row>
        <row r="1960">
          <cell r="D1960" t="str">
            <v>NV khác</v>
          </cell>
          <cell r="G1960" t="str">
            <v>Quản lý</v>
          </cell>
          <cell r="I1960" t="str">
            <v>RD</v>
          </cell>
          <cell r="AC1960">
            <v>930000</v>
          </cell>
          <cell r="AD1960">
            <v>19373878</v>
          </cell>
          <cell r="AE1960">
            <v>721329</v>
          </cell>
          <cell r="AF1960">
            <v>685328</v>
          </cell>
          <cell r="AG1960">
            <v>0</v>
          </cell>
          <cell r="AH1960">
            <v>0</v>
          </cell>
          <cell r="AI1960">
            <v>0</v>
          </cell>
          <cell r="AJ1960">
            <v>0</v>
          </cell>
          <cell r="AK1960">
            <v>27430</v>
          </cell>
          <cell r="AL1960">
            <v>60006</v>
          </cell>
          <cell r="AM1960">
            <v>5143</v>
          </cell>
          <cell r="AN1960">
            <v>10286</v>
          </cell>
          <cell r="AO1960">
            <v>3428</v>
          </cell>
          <cell r="AP1960">
            <v>3428</v>
          </cell>
        </row>
        <row r="1961">
          <cell r="D1961" t="str">
            <v>NV khác</v>
          </cell>
          <cell r="G1961" t="str">
            <v>Quản lý</v>
          </cell>
          <cell r="I1961" t="str">
            <v>RD</v>
          </cell>
          <cell r="AC1961">
            <v>1281000</v>
          </cell>
          <cell r="AD1961">
            <v>27674384</v>
          </cell>
          <cell r="AE1961">
            <v>1058345</v>
          </cell>
          <cell r="AF1961">
            <v>1018490</v>
          </cell>
          <cell r="AG1961">
            <v>0</v>
          </cell>
          <cell r="AH1961">
            <v>0</v>
          </cell>
          <cell r="AI1961">
            <v>0</v>
          </cell>
          <cell r="AJ1961">
            <v>0</v>
          </cell>
          <cell r="AK1961">
            <v>30364</v>
          </cell>
          <cell r="AL1961">
            <v>66420</v>
          </cell>
          <cell r="AM1961">
            <v>5694</v>
          </cell>
          <cell r="AN1961">
            <v>11388</v>
          </cell>
          <cell r="AO1961">
            <v>3797</v>
          </cell>
          <cell r="AP1961">
            <v>3797</v>
          </cell>
        </row>
        <row r="1962">
          <cell r="D1962" t="str">
            <v>NV khác</v>
          </cell>
          <cell r="G1962" t="str">
            <v>Quản lý</v>
          </cell>
          <cell r="I1962" t="str">
            <v>VTBR</v>
          </cell>
          <cell r="AC1962">
            <v>1030000</v>
          </cell>
          <cell r="AD1962">
            <v>35555692</v>
          </cell>
          <cell r="AE1962">
            <v>12524868</v>
          </cell>
          <cell r="AF1962">
            <v>12084679</v>
          </cell>
          <cell r="AG1962">
            <v>0</v>
          </cell>
          <cell r="AH1962">
            <v>0</v>
          </cell>
          <cell r="AI1962">
            <v>0</v>
          </cell>
          <cell r="AJ1962">
            <v>0</v>
          </cell>
          <cell r="AK1962">
            <v>335382</v>
          </cell>
          <cell r="AL1962">
            <v>733649</v>
          </cell>
          <cell r="AM1962">
            <v>62884</v>
          </cell>
          <cell r="AN1962">
            <v>125768</v>
          </cell>
          <cell r="AO1962">
            <v>41923</v>
          </cell>
          <cell r="AP1962">
            <v>41923</v>
          </cell>
        </row>
        <row r="1963">
          <cell r="D1963" t="str">
            <v>NV khác</v>
          </cell>
          <cell r="G1963" t="str">
            <v>Quản lý</v>
          </cell>
          <cell r="I1963" t="str">
            <v>IOT</v>
          </cell>
          <cell r="AC1963">
            <v>1030000</v>
          </cell>
          <cell r="AD1963">
            <v>35081579</v>
          </cell>
          <cell r="AE1963">
            <v>8290085</v>
          </cell>
          <cell r="AF1963">
            <v>8025157</v>
          </cell>
          <cell r="AG1963">
            <v>0</v>
          </cell>
          <cell r="AH1963">
            <v>0</v>
          </cell>
          <cell r="AI1963">
            <v>0</v>
          </cell>
          <cell r="AJ1963">
            <v>0</v>
          </cell>
          <cell r="AK1963">
            <v>201850</v>
          </cell>
          <cell r="AL1963">
            <v>441548</v>
          </cell>
          <cell r="AM1963">
            <v>37847</v>
          </cell>
          <cell r="AN1963">
            <v>75694</v>
          </cell>
          <cell r="AO1963">
            <v>25231</v>
          </cell>
          <cell r="AP1963">
            <v>25231</v>
          </cell>
        </row>
        <row r="1964">
          <cell r="D1964" t="str">
            <v>NV khác</v>
          </cell>
          <cell r="G1964" t="str">
            <v>Quản lý</v>
          </cell>
          <cell r="I1964" t="str">
            <v>CNCM</v>
          </cell>
          <cell r="AC1964">
            <v>1030000</v>
          </cell>
          <cell r="AD1964">
            <v>30363740</v>
          </cell>
          <cell r="AE1964">
            <v>25884263</v>
          </cell>
          <cell r="AF1964">
            <v>24912858</v>
          </cell>
          <cell r="AG1964">
            <v>0</v>
          </cell>
          <cell r="AH1964">
            <v>0</v>
          </cell>
          <cell r="AI1964">
            <v>0</v>
          </cell>
          <cell r="AJ1964">
            <v>0</v>
          </cell>
          <cell r="AK1964">
            <v>740118</v>
          </cell>
          <cell r="AL1964">
            <v>1619009</v>
          </cell>
          <cell r="AM1964">
            <v>138772</v>
          </cell>
          <cell r="AN1964">
            <v>277544</v>
          </cell>
          <cell r="AO1964">
            <v>92515</v>
          </cell>
          <cell r="AP1964">
            <v>92515</v>
          </cell>
        </row>
        <row r="1965">
          <cell r="D1965" t="str">
            <v>NV khác</v>
          </cell>
          <cell r="G1965" t="str">
            <v>Quản lý</v>
          </cell>
          <cell r="I1965" t="str">
            <v>CKTĐH</v>
          </cell>
          <cell r="AC1965">
            <v>930000</v>
          </cell>
          <cell r="AD1965">
            <v>18480024</v>
          </cell>
          <cell r="AE1965">
            <v>8189593</v>
          </cell>
          <cell r="AF1965">
            <v>7757556</v>
          </cell>
          <cell r="AG1965">
            <v>0</v>
          </cell>
          <cell r="AH1965">
            <v>0</v>
          </cell>
          <cell r="AI1965">
            <v>0</v>
          </cell>
          <cell r="AJ1965">
            <v>0</v>
          </cell>
          <cell r="AK1965">
            <v>329171</v>
          </cell>
          <cell r="AL1965">
            <v>720063</v>
          </cell>
          <cell r="AM1965">
            <v>61720</v>
          </cell>
          <cell r="AN1965">
            <v>123439</v>
          </cell>
          <cell r="AO1965">
            <v>41146</v>
          </cell>
          <cell r="AP1965">
            <v>41146</v>
          </cell>
        </row>
        <row r="1966">
          <cell r="D1966" t="str">
            <v>NV khác</v>
          </cell>
          <cell r="G1966" t="str">
            <v>Quản lý</v>
          </cell>
          <cell r="I1966" t="str">
            <v>CNTD</v>
          </cell>
          <cell r="AC1966">
            <v>930000</v>
          </cell>
          <cell r="AD1966">
            <v>23445745</v>
          </cell>
          <cell r="AE1966">
            <v>10677020</v>
          </cell>
          <cell r="AF1966">
            <v>10198789</v>
          </cell>
          <cell r="AG1966">
            <v>0</v>
          </cell>
          <cell r="AH1966">
            <v>0</v>
          </cell>
          <cell r="AI1966">
            <v>0</v>
          </cell>
          <cell r="AJ1966">
            <v>0</v>
          </cell>
          <cell r="AK1966">
            <v>364366</v>
          </cell>
          <cell r="AL1966">
            <v>797050</v>
          </cell>
          <cell r="AM1966">
            <v>68319</v>
          </cell>
          <cell r="AN1966">
            <v>136637</v>
          </cell>
          <cell r="AO1966">
            <v>45546</v>
          </cell>
          <cell r="AP1966">
            <v>45546</v>
          </cell>
        </row>
        <row r="1967">
          <cell r="D1967" t="str">
            <v>NV khác</v>
          </cell>
          <cell r="G1967" t="str">
            <v>Quản lý</v>
          </cell>
          <cell r="I1967" t="str">
            <v>CNTD</v>
          </cell>
          <cell r="AC1967">
            <v>930000</v>
          </cell>
          <cell r="AD1967">
            <v>19201199</v>
          </cell>
          <cell r="AE1967">
            <v>7852037</v>
          </cell>
          <cell r="AF1967">
            <v>7456002</v>
          </cell>
          <cell r="AG1967">
            <v>0</v>
          </cell>
          <cell r="AH1967">
            <v>0</v>
          </cell>
          <cell r="AI1967">
            <v>0</v>
          </cell>
          <cell r="AJ1967">
            <v>0</v>
          </cell>
          <cell r="AK1967">
            <v>301741</v>
          </cell>
          <cell r="AL1967">
            <v>660057</v>
          </cell>
          <cell r="AM1967">
            <v>56576</v>
          </cell>
          <cell r="AN1967">
            <v>113153</v>
          </cell>
          <cell r="AO1967">
            <v>37718</v>
          </cell>
          <cell r="AP1967">
            <v>37718</v>
          </cell>
        </row>
        <row r="1968">
          <cell r="D1968" t="str">
            <v>NV khác</v>
          </cell>
          <cell r="G1968" t="str">
            <v>Quản lý</v>
          </cell>
          <cell r="I1968" t="str">
            <v>RD</v>
          </cell>
          <cell r="AC1968">
            <v>930000</v>
          </cell>
          <cell r="AD1968">
            <v>21693266</v>
          </cell>
          <cell r="AE1968">
            <v>818118</v>
          </cell>
          <cell r="AF1968">
            <v>780303</v>
          </cell>
          <cell r="AG1968">
            <v>0</v>
          </cell>
          <cell r="AH1968">
            <v>0</v>
          </cell>
          <cell r="AI1968">
            <v>0</v>
          </cell>
          <cell r="AJ1968">
            <v>0</v>
          </cell>
          <cell r="AK1968">
            <v>28812</v>
          </cell>
          <cell r="AL1968">
            <v>63025</v>
          </cell>
          <cell r="AM1968">
            <v>5402</v>
          </cell>
          <cell r="AN1968">
            <v>10803</v>
          </cell>
          <cell r="AO1968">
            <v>3601</v>
          </cell>
          <cell r="AP1968">
            <v>3601</v>
          </cell>
        </row>
        <row r="1969">
          <cell r="D1969" t="str">
            <v>NV khác</v>
          </cell>
          <cell r="G1969" t="str">
            <v>Quản lý</v>
          </cell>
          <cell r="I1969" t="str">
            <v>RD</v>
          </cell>
          <cell r="AC1969">
            <v>930000</v>
          </cell>
          <cell r="AD1969">
            <v>27589800</v>
          </cell>
          <cell r="AE1969">
            <v>1065366</v>
          </cell>
          <cell r="AF1969">
            <v>1023476</v>
          </cell>
          <cell r="AG1969">
            <v>0</v>
          </cell>
          <cell r="AH1969">
            <v>0</v>
          </cell>
          <cell r="AI1969">
            <v>0</v>
          </cell>
          <cell r="AJ1969">
            <v>0</v>
          </cell>
          <cell r="AK1969">
            <v>31916</v>
          </cell>
          <cell r="AL1969">
            <v>69817</v>
          </cell>
          <cell r="AM1969">
            <v>5985</v>
          </cell>
          <cell r="AN1969">
            <v>11969</v>
          </cell>
          <cell r="AO1969">
            <v>3989</v>
          </cell>
          <cell r="AP1969">
            <v>3989</v>
          </cell>
        </row>
        <row r="1970">
          <cell r="D1970" t="str">
            <v>NV khác</v>
          </cell>
          <cell r="G1970" t="str">
            <v>Quản lý</v>
          </cell>
          <cell r="I1970" t="str">
            <v>RD</v>
          </cell>
          <cell r="AC1970">
            <v>930000</v>
          </cell>
          <cell r="AD1970">
            <v>21248732</v>
          </cell>
          <cell r="AE1970">
            <v>3993952</v>
          </cell>
          <cell r="AF1970">
            <v>3804880</v>
          </cell>
          <cell r="AG1970">
            <v>0</v>
          </cell>
          <cell r="AH1970">
            <v>0</v>
          </cell>
          <cell r="AI1970">
            <v>0</v>
          </cell>
          <cell r="AJ1970">
            <v>0</v>
          </cell>
          <cell r="AK1970">
            <v>144055</v>
          </cell>
          <cell r="AL1970">
            <v>315122</v>
          </cell>
          <cell r="AM1970">
            <v>27010</v>
          </cell>
          <cell r="AN1970">
            <v>54021</v>
          </cell>
          <cell r="AO1970">
            <v>18007</v>
          </cell>
          <cell r="AP1970">
            <v>18007</v>
          </cell>
        </row>
        <row r="1971">
          <cell r="D1971" t="str">
            <v>NV khác</v>
          </cell>
          <cell r="G1971" t="str">
            <v>Quản lý</v>
          </cell>
          <cell r="I1971" t="str">
            <v>CKTĐH</v>
          </cell>
          <cell r="AC1971">
            <v>930000</v>
          </cell>
          <cell r="AD1971">
            <v>18480024</v>
          </cell>
          <cell r="AE1971">
            <v>8189593</v>
          </cell>
          <cell r="AF1971">
            <v>7757557</v>
          </cell>
          <cell r="AG1971">
            <v>0</v>
          </cell>
          <cell r="AH1971">
            <v>0</v>
          </cell>
          <cell r="AI1971">
            <v>0</v>
          </cell>
          <cell r="AJ1971">
            <v>0</v>
          </cell>
          <cell r="AK1971">
            <v>329171</v>
          </cell>
          <cell r="AL1971">
            <v>720063</v>
          </cell>
          <cell r="AM1971">
            <v>61719</v>
          </cell>
          <cell r="AN1971">
            <v>123440</v>
          </cell>
          <cell r="AO1971">
            <v>41146</v>
          </cell>
          <cell r="AP1971">
            <v>41146</v>
          </cell>
        </row>
        <row r="1972">
          <cell r="D1972" t="str">
            <v>NV khác</v>
          </cell>
          <cell r="G1972" t="str">
            <v>Quản lý</v>
          </cell>
          <cell r="I1972" t="str">
            <v>CKTĐH</v>
          </cell>
          <cell r="AC1972">
            <v>930000</v>
          </cell>
          <cell r="AD1972">
            <v>24141396</v>
          </cell>
          <cell r="AE1972">
            <v>9199974</v>
          </cell>
          <cell r="AF1972">
            <v>8801447</v>
          </cell>
          <cell r="AG1972">
            <v>0</v>
          </cell>
          <cell r="AH1972">
            <v>0</v>
          </cell>
          <cell r="AI1972">
            <v>0</v>
          </cell>
          <cell r="AJ1972">
            <v>0</v>
          </cell>
          <cell r="AK1972">
            <v>303638</v>
          </cell>
          <cell r="AL1972">
            <v>664208</v>
          </cell>
          <cell r="AM1972">
            <v>56933</v>
          </cell>
          <cell r="AN1972">
            <v>113865</v>
          </cell>
          <cell r="AO1972">
            <v>37956</v>
          </cell>
          <cell r="AP1972">
            <v>37956</v>
          </cell>
        </row>
        <row r="1973">
          <cell r="D1973" t="str">
            <v>NV khác</v>
          </cell>
          <cell r="G1973" t="str">
            <v>Quản lý</v>
          </cell>
          <cell r="I1973" t="str">
            <v>IOT</v>
          </cell>
          <cell r="AC1973">
            <v>930000</v>
          </cell>
          <cell r="AD1973">
            <v>27141396</v>
          </cell>
          <cell r="AE1973">
            <v>3151297</v>
          </cell>
          <cell r="AF1973">
            <v>3031740</v>
          </cell>
          <cell r="AG1973">
            <v>0</v>
          </cell>
          <cell r="AH1973">
            <v>0</v>
          </cell>
          <cell r="AI1973">
            <v>0</v>
          </cell>
          <cell r="AJ1973">
            <v>0</v>
          </cell>
          <cell r="AK1973">
            <v>91091</v>
          </cell>
          <cell r="AL1973">
            <v>199263</v>
          </cell>
          <cell r="AM1973">
            <v>17080</v>
          </cell>
          <cell r="AN1973">
            <v>34159</v>
          </cell>
          <cell r="AO1973">
            <v>11386</v>
          </cell>
          <cell r="AP1973">
            <v>11386</v>
          </cell>
        </row>
        <row r="1974">
          <cell r="D1974" t="str">
            <v>NV khác</v>
          </cell>
          <cell r="G1974" t="str">
            <v>Quản lý</v>
          </cell>
          <cell r="I1974" t="str">
            <v>RD</v>
          </cell>
          <cell r="AC1974">
            <v>1047000</v>
          </cell>
          <cell r="AD1974">
            <v>14191368</v>
          </cell>
          <cell r="AE1974">
            <v>2495122</v>
          </cell>
          <cell r="AF1974">
            <v>2333221</v>
          </cell>
          <cell r="AG1974">
            <v>0</v>
          </cell>
          <cell r="AH1974">
            <v>0</v>
          </cell>
          <cell r="AI1974">
            <v>0</v>
          </cell>
          <cell r="AJ1974">
            <v>0</v>
          </cell>
          <cell r="AK1974">
            <v>123353</v>
          </cell>
          <cell r="AL1974">
            <v>269835</v>
          </cell>
          <cell r="AM1974">
            <v>23129</v>
          </cell>
          <cell r="AN1974">
            <v>46257</v>
          </cell>
          <cell r="AO1974">
            <v>15419</v>
          </cell>
          <cell r="AP1974">
            <v>15419</v>
          </cell>
        </row>
        <row r="1975">
          <cell r="D1975" t="str">
            <v>NV khác</v>
          </cell>
          <cell r="G1975" t="str">
            <v>Quản lý</v>
          </cell>
          <cell r="I1975" t="str">
            <v>CKTĐH</v>
          </cell>
          <cell r="AC1975">
            <v>930000</v>
          </cell>
          <cell r="AD1975">
            <v>23386676</v>
          </cell>
          <cell r="AE1975">
            <v>13307752</v>
          </cell>
          <cell r="AF1975">
            <v>12709965</v>
          </cell>
          <cell r="AG1975">
            <v>0</v>
          </cell>
          <cell r="AH1975">
            <v>0</v>
          </cell>
          <cell r="AI1975">
            <v>0</v>
          </cell>
          <cell r="AJ1975">
            <v>0</v>
          </cell>
          <cell r="AK1975">
            <v>455457</v>
          </cell>
          <cell r="AL1975">
            <v>996313</v>
          </cell>
          <cell r="AM1975">
            <v>85398</v>
          </cell>
          <cell r="AN1975">
            <v>170797</v>
          </cell>
          <cell r="AO1975">
            <v>56932</v>
          </cell>
          <cell r="AP1975">
            <v>56932</v>
          </cell>
        </row>
        <row r="1976">
          <cell r="D1976" t="str">
            <v>NV khác</v>
          </cell>
          <cell r="G1976" t="str">
            <v>Quản lý</v>
          </cell>
          <cell r="I1976" t="str">
            <v>RD</v>
          </cell>
          <cell r="AC1976">
            <v>930000</v>
          </cell>
          <cell r="AD1976">
            <v>21248732</v>
          </cell>
          <cell r="AE1976">
            <v>798791</v>
          </cell>
          <cell r="AF1976">
            <v>760975</v>
          </cell>
          <cell r="AG1976">
            <v>0</v>
          </cell>
          <cell r="AH1976">
            <v>0</v>
          </cell>
          <cell r="AI1976">
            <v>0</v>
          </cell>
          <cell r="AJ1976">
            <v>0</v>
          </cell>
          <cell r="AK1976">
            <v>28811</v>
          </cell>
          <cell r="AL1976">
            <v>63025</v>
          </cell>
          <cell r="AM1976">
            <v>5403</v>
          </cell>
          <cell r="AN1976">
            <v>10804</v>
          </cell>
          <cell r="AO1976">
            <v>3602</v>
          </cell>
          <cell r="AP1976">
            <v>3602</v>
          </cell>
        </row>
        <row r="1977">
          <cell r="D1977" t="str">
            <v>NV khác</v>
          </cell>
          <cell r="G1977" t="str">
            <v>Quản lý</v>
          </cell>
          <cell r="I1977" t="str">
            <v>MHMP</v>
          </cell>
          <cell r="AC1977">
            <v>930000</v>
          </cell>
          <cell r="AD1977">
            <v>24816840</v>
          </cell>
          <cell r="AE1977">
            <v>11337642</v>
          </cell>
          <cell r="AF1977">
            <v>10834957</v>
          </cell>
          <cell r="AG1977">
            <v>0</v>
          </cell>
          <cell r="AH1977">
            <v>0</v>
          </cell>
          <cell r="AI1977">
            <v>0</v>
          </cell>
          <cell r="AJ1977">
            <v>0</v>
          </cell>
          <cell r="AK1977">
            <v>382998</v>
          </cell>
          <cell r="AL1977">
            <v>837809</v>
          </cell>
          <cell r="AM1977">
            <v>71812</v>
          </cell>
          <cell r="AN1977">
            <v>143624</v>
          </cell>
          <cell r="AO1977">
            <v>47875</v>
          </cell>
          <cell r="AP1977">
            <v>47875</v>
          </cell>
        </row>
        <row r="1978">
          <cell r="D1978" t="str">
            <v>NV khác</v>
          </cell>
          <cell r="G1978" t="str">
            <v>Quản lý</v>
          </cell>
          <cell r="I1978" t="str">
            <v>RD</v>
          </cell>
          <cell r="AC1978">
            <v>930000</v>
          </cell>
          <cell r="AD1978">
            <v>26836580</v>
          </cell>
          <cell r="AE1978">
            <v>5137752</v>
          </cell>
          <cell r="AF1978">
            <v>4916978</v>
          </cell>
          <cell r="AG1978">
            <v>0</v>
          </cell>
          <cell r="AH1978">
            <v>0</v>
          </cell>
          <cell r="AI1978">
            <v>0</v>
          </cell>
          <cell r="AJ1978">
            <v>0</v>
          </cell>
          <cell r="AK1978">
            <v>168209</v>
          </cell>
          <cell r="AL1978">
            <v>367956</v>
          </cell>
          <cell r="AM1978">
            <v>31539</v>
          </cell>
          <cell r="AN1978">
            <v>63078</v>
          </cell>
          <cell r="AO1978">
            <v>21026</v>
          </cell>
          <cell r="AP1978">
            <v>21026</v>
          </cell>
        </row>
        <row r="1979">
          <cell r="D1979" t="str">
            <v>NV khác</v>
          </cell>
          <cell r="G1979" t="str">
            <v>Quản lý</v>
          </cell>
          <cell r="I1979" t="str">
            <v>KDDH</v>
          </cell>
          <cell r="AC1979">
            <v>1047000</v>
          </cell>
          <cell r="AD1979">
            <v>21860216</v>
          </cell>
          <cell r="AE1979">
            <v>13051660</v>
          </cell>
          <cell r="AF1979">
            <v>12414019</v>
          </cell>
          <cell r="AG1979">
            <v>0</v>
          </cell>
          <cell r="AH1979">
            <v>0</v>
          </cell>
          <cell r="AI1979">
            <v>0</v>
          </cell>
          <cell r="AJ1979">
            <v>0</v>
          </cell>
          <cell r="AK1979">
            <v>485821</v>
          </cell>
          <cell r="AL1979">
            <v>1062734</v>
          </cell>
          <cell r="AM1979">
            <v>91092</v>
          </cell>
          <cell r="AN1979">
            <v>182183</v>
          </cell>
          <cell r="AO1979">
            <v>60728</v>
          </cell>
          <cell r="AP1979">
            <v>60728</v>
          </cell>
        </row>
        <row r="1980">
          <cell r="D1980" t="str">
            <v>NV khác</v>
          </cell>
          <cell r="G1980" t="str">
            <v>Quản lý</v>
          </cell>
          <cell r="I1980" t="str">
            <v>KDDH</v>
          </cell>
          <cell r="AC1980">
            <v>1047000</v>
          </cell>
          <cell r="AD1980">
            <v>24041160</v>
          </cell>
          <cell r="AE1980">
            <v>9965903</v>
          </cell>
          <cell r="AF1980">
            <v>9505110</v>
          </cell>
          <cell r="AG1980">
            <v>0</v>
          </cell>
          <cell r="AH1980">
            <v>0</v>
          </cell>
          <cell r="AI1980">
            <v>0</v>
          </cell>
          <cell r="AJ1980">
            <v>0</v>
          </cell>
          <cell r="AK1980">
            <v>351081</v>
          </cell>
          <cell r="AL1980">
            <v>767991</v>
          </cell>
          <cell r="AM1980">
            <v>65827</v>
          </cell>
          <cell r="AN1980">
            <v>131657</v>
          </cell>
          <cell r="AO1980">
            <v>43885</v>
          </cell>
          <cell r="AP1980">
            <v>43885</v>
          </cell>
        </row>
        <row r="1981">
          <cell r="D1981" t="str">
            <v>NV khác</v>
          </cell>
          <cell r="G1981" t="str">
            <v>Quản lý</v>
          </cell>
          <cell r="I1981" t="str">
            <v>CKTĐH</v>
          </cell>
          <cell r="AC1981">
            <v>930000</v>
          </cell>
          <cell r="AD1981">
            <v>29748220</v>
          </cell>
          <cell r="AE1981">
            <v>13910536</v>
          </cell>
          <cell r="AF1981">
            <v>13407851</v>
          </cell>
          <cell r="AG1981">
            <v>0</v>
          </cell>
          <cell r="AH1981">
            <v>0</v>
          </cell>
          <cell r="AI1981">
            <v>0</v>
          </cell>
          <cell r="AJ1981">
            <v>0</v>
          </cell>
          <cell r="AK1981">
            <v>382998</v>
          </cell>
          <cell r="AL1981">
            <v>837809</v>
          </cell>
          <cell r="AM1981">
            <v>71813</v>
          </cell>
          <cell r="AN1981">
            <v>143624</v>
          </cell>
          <cell r="AO1981">
            <v>47874</v>
          </cell>
          <cell r="AP1981">
            <v>47874</v>
          </cell>
        </row>
        <row r="1982">
          <cell r="D1982" t="str">
            <v>NV khác</v>
          </cell>
          <cell r="G1982" t="str">
            <v>Quản lý</v>
          </cell>
          <cell r="I1982" t="str">
            <v>CKTĐH</v>
          </cell>
          <cell r="AC1982">
            <v>930000</v>
          </cell>
          <cell r="AD1982">
            <v>18480024</v>
          </cell>
          <cell r="AE1982">
            <v>7507127</v>
          </cell>
          <cell r="AF1982">
            <v>7111093</v>
          </cell>
          <cell r="AG1982">
            <v>0</v>
          </cell>
          <cell r="AH1982">
            <v>0</v>
          </cell>
          <cell r="AI1982">
            <v>0</v>
          </cell>
          <cell r="AJ1982">
            <v>0</v>
          </cell>
          <cell r="AK1982">
            <v>301740</v>
          </cell>
          <cell r="AL1982">
            <v>660058</v>
          </cell>
          <cell r="AM1982">
            <v>56577</v>
          </cell>
          <cell r="AN1982">
            <v>113152</v>
          </cell>
          <cell r="AO1982">
            <v>37717</v>
          </cell>
          <cell r="AP1982">
            <v>37717</v>
          </cell>
        </row>
        <row r="1983">
          <cell r="D1983" t="str">
            <v>NV khác</v>
          </cell>
          <cell r="G1983" t="str">
            <v>Quản lý</v>
          </cell>
          <cell r="I1983" t="str">
            <v>CKTĐH</v>
          </cell>
          <cell r="AC1983">
            <v>930000</v>
          </cell>
          <cell r="AD1983">
            <v>24962696</v>
          </cell>
          <cell r="AE1983">
            <v>10512767</v>
          </cell>
          <cell r="AF1983">
            <v>10074389</v>
          </cell>
          <cell r="AG1983">
            <v>0</v>
          </cell>
          <cell r="AH1983">
            <v>0</v>
          </cell>
          <cell r="AI1983">
            <v>0</v>
          </cell>
          <cell r="AJ1983">
            <v>0</v>
          </cell>
          <cell r="AK1983">
            <v>334002</v>
          </cell>
          <cell r="AL1983">
            <v>730629</v>
          </cell>
          <cell r="AM1983">
            <v>62626</v>
          </cell>
          <cell r="AN1983">
            <v>125251</v>
          </cell>
          <cell r="AO1983">
            <v>41750</v>
          </cell>
          <cell r="AP1983">
            <v>41750</v>
          </cell>
        </row>
        <row r="1984">
          <cell r="D1984" t="str">
            <v>NV khác</v>
          </cell>
          <cell r="G1984" t="str">
            <v>Quản lý</v>
          </cell>
          <cell r="I1984" t="str">
            <v>RD</v>
          </cell>
          <cell r="AC1984">
            <v>930000</v>
          </cell>
          <cell r="AD1984">
            <v>32603768</v>
          </cell>
          <cell r="AE1984">
            <v>2556596</v>
          </cell>
          <cell r="AF1984">
            <v>2468286</v>
          </cell>
          <cell r="AG1984">
            <v>0</v>
          </cell>
          <cell r="AH1984">
            <v>0</v>
          </cell>
          <cell r="AI1984">
            <v>0</v>
          </cell>
          <cell r="AJ1984">
            <v>0</v>
          </cell>
          <cell r="AK1984">
            <v>67284</v>
          </cell>
          <cell r="AL1984">
            <v>147182</v>
          </cell>
          <cell r="AM1984">
            <v>12616</v>
          </cell>
          <cell r="AN1984">
            <v>25231</v>
          </cell>
          <cell r="AO1984">
            <v>8410</v>
          </cell>
          <cell r="AP1984">
            <v>8410</v>
          </cell>
        </row>
        <row r="1985">
          <cell r="D1985" t="str">
            <v>NV khác</v>
          </cell>
          <cell r="G1985" t="str">
            <v>Quản lý</v>
          </cell>
          <cell r="I1985" t="str">
            <v>KD</v>
          </cell>
          <cell r="AC1985">
            <v>1047000</v>
          </cell>
          <cell r="AD1985">
            <v>17240436</v>
          </cell>
          <cell r="AE1985">
            <v>13805842</v>
          </cell>
          <cell r="AF1985">
            <v>13053626</v>
          </cell>
          <cell r="AG1985">
            <v>0</v>
          </cell>
          <cell r="AH1985">
            <v>0</v>
          </cell>
          <cell r="AI1985">
            <v>0</v>
          </cell>
          <cell r="AJ1985">
            <v>0</v>
          </cell>
          <cell r="AK1985">
            <v>573117</v>
          </cell>
          <cell r="AL1985">
            <v>1253694</v>
          </cell>
          <cell r="AM1985">
            <v>107459</v>
          </cell>
          <cell r="AN1985">
            <v>214919</v>
          </cell>
          <cell r="AO1985">
            <v>71640</v>
          </cell>
          <cell r="AP1985">
            <v>71640</v>
          </cell>
        </row>
        <row r="1986">
          <cell r="D1986" t="str">
            <v>NV khác</v>
          </cell>
          <cell r="G1986" t="str">
            <v>Quản lý</v>
          </cell>
          <cell r="I1986" t="str">
            <v>CKTĐH</v>
          </cell>
          <cell r="AC1986">
            <v>930000</v>
          </cell>
          <cell r="AD1986">
            <v>20275656</v>
          </cell>
          <cell r="AE1986">
            <v>9175096</v>
          </cell>
          <cell r="AF1986">
            <v>8764796</v>
          </cell>
          <cell r="AG1986">
            <v>0</v>
          </cell>
          <cell r="AH1986">
            <v>0</v>
          </cell>
          <cell r="AI1986">
            <v>0</v>
          </cell>
          <cell r="AJ1986">
            <v>0</v>
          </cell>
          <cell r="AK1986">
            <v>312609</v>
          </cell>
          <cell r="AL1986">
            <v>683833</v>
          </cell>
          <cell r="AM1986">
            <v>58614</v>
          </cell>
          <cell r="AN1986">
            <v>117229</v>
          </cell>
          <cell r="AO1986">
            <v>39077</v>
          </cell>
          <cell r="AP1986">
            <v>39077</v>
          </cell>
        </row>
        <row r="1987">
          <cell r="D1987" t="str">
            <v>NV khác</v>
          </cell>
          <cell r="G1987" t="str">
            <v>Quản lý</v>
          </cell>
          <cell r="I1987" t="str">
            <v>CKTĐH</v>
          </cell>
          <cell r="AC1987">
            <v>930000</v>
          </cell>
          <cell r="AD1987">
            <v>17275656</v>
          </cell>
          <cell r="AE1987">
            <v>6975722</v>
          </cell>
          <cell r="AF1987">
            <v>6599614</v>
          </cell>
          <cell r="AG1987">
            <v>0</v>
          </cell>
          <cell r="AH1987">
            <v>0</v>
          </cell>
          <cell r="AI1987">
            <v>0</v>
          </cell>
          <cell r="AJ1987">
            <v>0</v>
          </cell>
          <cell r="AK1987">
            <v>286558</v>
          </cell>
          <cell r="AL1987">
            <v>626847</v>
          </cell>
          <cell r="AM1987">
            <v>53730</v>
          </cell>
          <cell r="AN1987">
            <v>107460</v>
          </cell>
          <cell r="AO1987">
            <v>35820</v>
          </cell>
          <cell r="AP1987">
            <v>35820</v>
          </cell>
        </row>
        <row r="1988">
          <cell r="D1988" t="str">
            <v>NV khác</v>
          </cell>
          <cell r="G1988" t="str">
            <v>Quản lý</v>
          </cell>
          <cell r="I1988" t="str">
            <v>CKTĐH</v>
          </cell>
          <cell r="AC1988">
            <v>930000</v>
          </cell>
          <cell r="AD1988">
            <v>22141396</v>
          </cell>
          <cell r="AE1988">
            <v>9996491</v>
          </cell>
          <cell r="AF1988">
            <v>9518260</v>
          </cell>
          <cell r="AG1988">
            <v>0</v>
          </cell>
          <cell r="AH1988">
            <v>0</v>
          </cell>
          <cell r="AI1988">
            <v>0</v>
          </cell>
          <cell r="AJ1988">
            <v>0</v>
          </cell>
          <cell r="AK1988">
            <v>364366</v>
          </cell>
          <cell r="AL1988">
            <v>797051</v>
          </cell>
          <cell r="AM1988">
            <v>68319</v>
          </cell>
          <cell r="AN1988">
            <v>136637</v>
          </cell>
          <cell r="AO1988">
            <v>45546</v>
          </cell>
          <cell r="AP1988">
            <v>45546</v>
          </cell>
        </row>
        <row r="1989">
          <cell r="D1989" t="str">
            <v>NV khác</v>
          </cell>
          <cell r="G1989" t="str">
            <v>Quản lý</v>
          </cell>
          <cell r="I1989" t="str">
            <v>CKTĐH</v>
          </cell>
          <cell r="AC1989">
            <v>930000</v>
          </cell>
          <cell r="AD1989">
            <v>22309612</v>
          </cell>
          <cell r="AE1989">
            <v>10983903</v>
          </cell>
          <cell r="AF1989">
            <v>10492313</v>
          </cell>
          <cell r="AG1989">
            <v>0</v>
          </cell>
          <cell r="AH1989">
            <v>0</v>
          </cell>
          <cell r="AI1989">
            <v>0</v>
          </cell>
          <cell r="AJ1989">
            <v>0</v>
          </cell>
          <cell r="AK1989">
            <v>374545</v>
          </cell>
          <cell r="AL1989">
            <v>819317</v>
          </cell>
          <cell r="AM1989">
            <v>70227</v>
          </cell>
          <cell r="AN1989">
            <v>140454</v>
          </cell>
          <cell r="AO1989">
            <v>46818</v>
          </cell>
          <cell r="AP1989">
            <v>46818</v>
          </cell>
        </row>
        <row r="1990">
          <cell r="D1990" t="str">
            <v>NV khác</v>
          </cell>
          <cell r="G1990" t="str">
            <v>Quản lý</v>
          </cell>
          <cell r="I1990" t="str">
            <v>RD</v>
          </cell>
          <cell r="AC1990">
            <v>930000</v>
          </cell>
          <cell r="AD1990">
            <v>23867752</v>
          </cell>
          <cell r="AE1990">
            <v>912660</v>
          </cell>
          <cell r="AF1990">
            <v>874845</v>
          </cell>
          <cell r="AG1990">
            <v>0</v>
          </cell>
          <cell r="AH1990">
            <v>0</v>
          </cell>
          <cell r="AI1990">
            <v>0</v>
          </cell>
          <cell r="AJ1990">
            <v>0</v>
          </cell>
          <cell r="AK1990">
            <v>28812</v>
          </cell>
          <cell r="AL1990">
            <v>63025</v>
          </cell>
          <cell r="AM1990">
            <v>5402</v>
          </cell>
          <cell r="AN1990">
            <v>10803</v>
          </cell>
          <cell r="AO1990">
            <v>3601</v>
          </cell>
          <cell r="AP1990">
            <v>3601</v>
          </cell>
        </row>
        <row r="1991">
          <cell r="D1991" t="str">
            <v>NV khác</v>
          </cell>
          <cell r="G1991" t="str">
            <v>Quản lý</v>
          </cell>
          <cell r="I1991" t="str">
            <v>IOT</v>
          </cell>
          <cell r="AC1991">
            <v>1047000</v>
          </cell>
          <cell r="AD1991">
            <v>21173952</v>
          </cell>
          <cell r="AE1991">
            <v>4742713</v>
          </cell>
          <cell r="AF1991">
            <v>4515825</v>
          </cell>
          <cell r="AG1991">
            <v>0</v>
          </cell>
          <cell r="AH1991">
            <v>0</v>
          </cell>
          <cell r="AI1991">
            <v>0</v>
          </cell>
          <cell r="AJ1991">
            <v>0</v>
          </cell>
          <cell r="AK1991">
            <v>172867</v>
          </cell>
          <cell r="AL1991">
            <v>378146</v>
          </cell>
          <cell r="AM1991">
            <v>32413</v>
          </cell>
          <cell r="AN1991">
            <v>64825</v>
          </cell>
          <cell r="AO1991">
            <v>21608</v>
          </cell>
          <cell r="AP1991">
            <v>21608</v>
          </cell>
        </row>
        <row r="1992">
          <cell r="D1992" t="str">
            <v>NV khác</v>
          </cell>
          <cell r="G1992" t="str">
            <v>Quản lý</v>
          </cell>
          <cell r="I1992" t="str">
            <v>CKTĐH</v>
          </cell>
          <cell r="AC1992">
            <v>930000</v>
          </cell>
          <cell r="AD1992">
            <v>16385556</v>
          </cell>
          <cell r="AE1992">
            <v>7145478</v>
          </cell>
          <cell r="AF1992">
            <v>6735179</v>
          </cell>
          <cell r="AG1992">
            <v>0</v>
          </cell>
          <cell r="AH1992">
            <v>0</v>
          </cell>
          <cell r="AI1992">
            <v>0</v>
          </cell>
          <cell r="AJ1992">
            <v>0</v>
          </cell>
          <cell r="AK1992">
            <v>312609</v>
          </cell>
          <cell r="AL1992">
            <v>683833</v>
          </cell>
          <cell r="AM1992">
            <v>58614</v>
          </cell>
          <cell r="AN1992">
            <v>117229</v>
          </cell>
          <cell r="AO1992">
            <v>39076</v>
          </cell>
          <cell r="AP1992">
            <v>39076</v>
          </cell>
        </row>
        <row r="1993">
          <cell r="D1993" t="str">
            <v>NV khác</v>
          </cell>
          <cell r="G1993" t="str">
            <v>Quản lý</v>
          </cell>
          <cell r="I1993" t="str">
            <v>CKTĐH</v>
          </cell>
          <cell r="AC1993">
            <v>1047000</v>
          </cell>
          <cell r="AD1993">
            <v>18111124</v>
          </cell>
          <cell r="AE1993">
            <v>7936080</v>
          </cell>
          <cell r="AF1993">
            <v>7504044</v>
          </cell>
          <cell r="AG1993">
            <v>0</v>
          </cell>
          <cell r="AH1993">
            <v>0</v>
          </cell>
          <cell r="AI1993">
            <v>0</v>
          </cell>
          <cell r="AJ1993">
            <v>0</v>
          </cell>
          <cell r="AK1993">
            <v>329171</v>
          </cell>
          <cell r="AL1993">
            <v>720063</v>
          </cell>
          <cell r="AM1993">
            <v>61719</v>
          </cell>
          <cell r="AN1993">
            <v>123440</v>
          </cell>
          <cell r="AO1993">
            <v>41146</v>
          </cell>
          <cell r="AP1993">
            <v>41146</v>
          </cell>
        </row>
        <row r="1994">
          <cell r="D1994" t="str">
            <v>NV khác</v>
          </cell>
          <cell r="G1994" t="str">
            <v>Quản lý</v>
          </cell>
          <cell r="I1994" t="str">
            <v>GPTH</v>
          </cell>
          <cell r="AC1994">
            <v>930000</v>
          </cell>
          <cell r="AD1994">
            <v>17275656</v>
          </cell>
          <cell r="AE1994">
            <v>9512348</v>
          </cell>
          <cell r="AF1994">
            <v>8999473</v>
          </cell>
          <cell r="AG1994">
            <v>0</v>
          </cell>
          <cell r="AH1994">
            <v>0</v>
          </cell>
          <cell r="AI1994">
            <v>0</v>
          </cell>
          <cell r="AJ1994">
            <v>0</v>
          </cell>
          <cell r="AK1994">
            <v>390762</v>
          </cell>
          <cell r="AL1994">
            <v>854791</v>
          </cell>
          <cell r="AM1994">
            <v>73268</v>
          </cell>
          <cell r="AN1994">
            <v>146536</v>
          </cell>
          <cell r="AO1994">
            <v>48845</v>
          </cell>
          <cell r="AP1994">
            <v>48845</v>
          </cell>
        </row>
        <row r="1995">
          <cell r="D1995" t="str">
            <v>NV khác</v>
          </cell>
          <cell r="G1995" t="str">
            <v>Quản lý</v>
          </cell>
          <cell r="I1995" t="str">
            <v>IOT</v>
          </cell>
          <cell r="AC1995">
            <v>930000</v>
          </cell>
          <cell r="AD1995">
            <v>20309612</v>
          </cell>
          <cell r="AE1995">
            <v>4547755</v>
          </cell>
          <cell r="AF1995">
            <v>4320867</v>
          </cell>
          <cell r="AG1995">
            <v>0</v>
          </cell>
          <cell r="AH1995">
            <v>0</v>
          </cell>
          <cell r="AI1995">
            <v>0</v>
          </cell>
          <cell r="AJ1995">
            <v>0</v>
          </cell>
          <cell r="AK1995">
            <v>172867</v>
          </cell>
          <cell r="AL1995">
            <v>378146</v>
          </cell>
          <cell r="AM1995">
            <v>32413</v>
          </cell>
          <cell r="AN1995">
            <v>64825</v>
          </cell>
          <cell r="AO1995">
            <v>21608</v>
          </cell>
          <cell r="AP1995">
            <v>21608</v>
          </cell>
        </row>
        <row r="1996">
          <cell r="D1996" t="str">
            <v>NV khác</v>
          </cell>
          <cell r="G1996" t="str">
            <v>Quản lý</v>
          </cell>
          <cell r="I1996" t="str">
            <v>GPTH</v>
          </cell>
          <cell r="AC1996">
            <v>1398000</v>
          </cell>
          <cell r="AD1996">
            <v>22622084</v>
          </cell>
          <cell r="AE1996">
            <v>12633117</v>
          </cell>
          <cell r="AF1996">
            <v>12093070</v>
          </cell>
          <cell r="AG1996">
            <v>0</v>
          </cell>
          <cell r="AH1996">
            <v>0</v>
          </cell>
          <cell r="AI1996">
            <v>0</v>
          </cell>
          <cell r="AJ1996">
            <v>0</v>
          </cell>
          <cell r="AK1996">
            <v>411464</v>
          </cell>
          <cell r="AL1996">
            <v>900078</v>
          </cell>
          <cell r="AM1996">
            <v>77150</v>
          </cell>
          <cell r="AN1996">
            <v>154299</v>
          </cell>
          <cell r="AO1996">
            <v>51433</v>
          </cell>
          <cell r="AP1996">
            <v>51433</v>
          </cell>
        </row>
        <row r="1997">
          <cell r="D1997" t="str">
            <v>NV khác</v>
          </cell>
          <cell r="G1997" t="str">
            <v>Quản lý</v>
          </cell>
          <cell r="I1997" t="str">
            <v>RD</v>
          </cell>
          <cell r="AC1997">
            <v>930000</v>
          </cell>
          <cell r="AD1997">
            <v>19947552</v>
          </cell>
          <cell r="AE1997">
            <v>3711087</v>
          </cell>
          <cell r="AF1997">
            <v>3522014</v>
          </cell>
          <cell r="AG1997">
            <v>0</v>
          </cell>
          <cell r="AH1997">
            <v>0</v>
          </cell>
          <cell r="AI1997">
            <v>0</v>
          </cell>
          <cell r="AJ1997">
            <v>0</v>
          </cell>
          <cell r="AK1997">
            <v>144055</v>
          </cell>
          <cell r="AL1997">
            <v>315122</v>
          </cell>
          <cell r="AM1997">
            <v>27011</v>
          </cell>
          <cell r="AN1997">
            <v>54021</v>
          </cell>
          <cell r="AO1997">
            <v>18007</v>
          </cell>
          <cell r="AP1997">
            <v>18007</v>
          </cell>
        </row>
        <row r="1998">
          <cell r="D1998" t="str">
            <v>NV khác</v>
          </cell>
          <cell r="G1998" t="str">
            <v>Quản lý</v>
          </cell>
          <cell r="I1998" t="str">
            <v>CNTD</v>
          </cell>
          <cell r="AC1998">
            <v>930000</v>
          </cell>
          <cell r="AD1998">
            <v>17275656</v>
          </cell>
          <cell r="AE1998">
            <v>12048974</v>
          </cell>
          <cell r="AF1998">
            <v>11399332</v>
          </cell>
          <cell r="AG1998">
            <v>0</v>
          </cell>
          <cell r="AH1998">
            <v>0</v>
          </cell>
          <cell r="AI1998">
            <v>0</v>
          </cell>
          <cell r="AJ1998">
            <v>0</v>
          </cell>
          <cell r="AK1998">
            <v>494965</v>
          </cell>
          <cell r="AL1998">
            <v>1082736</v>
          </cell>
          <cell r="AM1998">
            <v>92806</v>
          </cell>
          <cell r="AN1998">
            <v>185612</v>
          </cell>
          <cell r="AO1998">
            <v>61871</v>
          </cell>
          <cell r="AP1998">
            <v>61871</v>
          </cell>
        </row>
        <row r="1999">
          <cell r="D1999" t="str">
            <v>NV khác</v>
          </cell>
          <cell r="G1999" t="str">
            <v>Quản lý</v>
          </cell>
          <cell r="I1999" t="str">
            <v>CKTĐH</v>
          </cell>
          <cell r="AC1999">
            <v>930000</v>
          </cell>
          <cell r="AD1999">
            <v>16385556</v>
          </cell>
          <cell r="AE1999">
            <v>6550022</v>
          </cell>
          <cell r="AF1999">
            <v>6173914</v>
          </cell>
          <cell r="AG1999">
            <v>0</v>
          </cell>
          <cell r="AH1999">
            <v>0</v>
          </cell>
          <cell r="AI1999">
            <v>0</v>
          </cell>
          <cell r="AJ1999">
            <v>0</v>
          </cell>
          <cell r="AK1999">
            <v>286558</v>
          </cell>
          <cell r="AL1999">
            <v>626847</v>
          </cell>
          <cell r="AM1999">
            <v>53730</v>
          </cell>
          <cell r="AN1999">
            <v>107460</v>
          </cell>
          <cell r="AO1999">
            <v>35820</v>
          </cell>
          <cell r="AP1999">
            <v>35820</v>
          </cell>
        </row>
        <row r="2000">
          <cell r="D2000" t="str">
            <v>NV khác</v>
          </cell>
          <cell r="G2000" t="str">
            <v>Quản lý</v>
          </cell>
          <cell r="I2000" t="str">
            <v>IOT</v>
          </cell>
          <cell r="AC2000">
            <v>930000</v>
          </cell>
          <cell r="AD2000">
            <v>14692708</v>
          </cell>
          <cell r="AE2000">
            <v>2103635</v>
          </cell>
          <cell r="AF2000">
            <v>1974114</v>
          </cell>
          <cell r="AG2000">
            <v>0</v>
          </cell>
          <cell r="AH2000">
            <v>0</v>
          </cell>
          <cell r="AI2000">
            <v>0</v>
          </cell>
          <cell r="AJ2000">
            <v>0</v>
          </cell>
          <cell r="AK2000">
            <v>98683</v>
          </cell>
          <cell r="AL2000">
            <v>215868</v>
          </cell>
          <cell r="AM2000">
            <v>18503</v>
          </cell>
          <cell r="AN2000">
            <v>37006</v>
          </cell>
          <cell r="AO2000">
            <v>12335</v>
          </cell>
          <cell r="AP2000">
            <v>12335</v>
          </cell>
        </row>
        <row r="2001">
          <cell r="D2001" t="str">
            <v>NV khác</v>
          </cell>
          <cell r="G2001" t="str">
            <v>Quản lý</v>
          </cell>
          <cell r="I2001" t="str">
            <v>IOT</v>
          </cell>
          <cell r="AC2001">
            <v>930000</v>
          </cell>
          <cell r="AD2001">
            <v>16124116</v>
          </cell>
          <cell r="AE2001">
            <v>3504537</v>
          </cell>
          <cell r="AF2001">
            <v>3299387</v>
          </cell>
          <cell r="AG2001">
            <v>0</v>
          </cell>
          <cell r="AH2001">
            <v>0</v>
          </cell>
          <cell r="AI2001">
            <v>0</v>
          </cell>
          <cell r="AJ2001">
            <v>0</v>
          </cell>
          <cell r="AK2001">
            <v>156305</v>
          </cell>
          <cell r="AL2001">
            <v>341917</v>
          </cell>
          <cell r="AM2001">
            <v>29307</v>
          </cell>
          <cell r="AN2001">
            <v>58614</v>
          </cell>
          <cell r="AO2001">
            <v>19538</v>
          </cell>
          <cell r="AP2001">
            <v>19538</v>
          </cell>
        </row>
        <row r="2002">
          <cell r="D2002" t="str">
            <v>NV khác</v>
          </cell>
          <cell r="G2002" t="str">
            <v>Quản lý</v>
          </cell>
          <cell r="I2002" t="str">
            <v>CKTĐH</v>
          </cell>
          <cell r="AC2002">
            <v>930000</v>
          </cell>
          <cell r="AD2002">
            <v>14515216</v>
          </cell>
          <cell r="AE2002">
            <v>6260870</v>
          </cell>
          <cell r="AF2002">
            <v>5891329</v>
          </cell>
          <cell r="AG2002">
            <v>0</v>
          </cell>
          <cell r="AH2002">
            <v>0</v>
          </cell>
          <cell r="AI2002">
            <v>0</v>
          </cell>
          <cell r="AJ2002">
            <v>0</v>
          </cell>
          <cell r="AK2002">
            <v>281555</v>
          </cell>
          <cell r="AL2002">
            <v>615903</v>
          </cell>
          <cell r="AM2002">
            <v>52792</v>
          </cell>
          <cell r="AN2002">
            <v>105583</v>
          </cell>
          <cell r="AO2002">
            <v>35194</v>
          </cell>
          <cell r="AP2002">
            <v>35194</v>
          </cell>
        </row>
        <row r="2003">
          <cell r="D2003" t="str">
            <v>NV khác</v>
          </cell>
          <cell r="G2003" t="str">
            <v>Quản lý</v>
          </cell>
          <cell r="I2003" t="str">
            <v>CKTĐH</v>
          </cell>
          <cell r="AC2003">
            <v>930000</v>
          </cell>
          <cell r="AD2003">
            <v>19275656</v>
          </cell>
          <cell r="AE2003">
            <v>7932244</v>
          </cell>
          <cell r="AF2003">
            <v>7556137</v>
          </cell>
          <cell r="AG2003">
            <v>0</v>
          </cell>
          <cell r="AH2003">
            <v>0</v>
          </cell>
          <cell r="AI2003">
            <v>0</v>
          </cell>
          <cell r="AJ2003">
            <v>0</v>
          </cell>
          <cell r="AK2003">
            <v>286558</v>
          </cell>
          <cell r="AL2003">
            <v>626847</v>
          </cell>
          <cell r="AM2003">
            <v>53729</v>
          </cell>
          <cell r="AN2003">
            <v>107460</v>
          </cell>
          <cell r="AO2003">
            <v>35820</v>
          </cell>
          <cell r="AP2003">
            <v>35820</v>
          </cell>
        </row>
        <row r="2004">
          <cell r="D2004" t="str">
            <v>NV khác</v>
          </cell>
          <cell r="G2004" t="str">
            <v>Quản lý</v>
          </cell>
          <cell r="I2004" t="str">
            <v>CNTD</v>
          </cell>
          <cell r="AC2004">
            <v>930000</v>
          </cell>
          <cell r="AD2004">
            <v>17994124</v>
          </cell>
          <cell r="AE2004">
            <v>11904120</v>
          </cell>
          <cell r="AF2004">
            <v>11256064</v>
          </cell>
          <cell r="AG2004">
            <v>0</v>
          </cell>
          <cell r="AH2004">
            <v>0</v>
          </cell>
          <cell r="AI2004">
            <v>0</v>
          </cell>
          <cell r="AJ2004">
            <v>0</v>
          </cell>
          <cell r="AK2004">
            <v>493757</v>
          </cell>
          <cell r="AL2004">
            <v>1080094</v>
          </cell>
          <cell r="AM2004">
            <v>92579</v>
          </cell>
          <cell r="AN2004">
            <v>185159</v>
          </cell>
          <cell r="AO2004">
            <v>61720</v>
          </cell>
          <cell r="AP2004">
            <v>61720</v>
          </cell>
        </row>
        <row r="2005">
          <cell r="D2005" t="str">
            <v>NV khác</v>
          </cell>
          <cell r="G2005" t="str">
            <v>Quản lý</v>
          </cell>
          <cell r="I2005" t="str">
            <v>CKTĐH</v>
          </cell>
          <cell r="AC2005">
            <v>930000</v>
          </cell>
          <cell r="AD2005">
            <v>16385556</v>
          </cell>
          <cell r="AE2005">
            <v>6550022</v>
          </cell>
          <cell r="AF2005">
            <v>6173914</v>
          </cell>
          <cell r="AG2005">
            <v>0</v>
          </cell>
          <cell r="AH2005">
            <v>0</v>
          </cell>
          <cell r="AI2005">
            <v>0</v>
          </cell>
          <cell r="AJ2005">
            <v>0</v>
          </cell>
          <cell r="AK2005">
            <v>286558</v>
          </cell>
          <cell r="AL2005">
            <v>626847</v>
          </cell>
          <cell r="AM2005">
            <v>53730</v>
          </cell>
          <cell r="AN2005">
            <v>107460</v>
          </cell>
          <cell r="AO2005">
            <v>35820</v>
          </cell>
          <cell r="AP2005">
            <v>35820</v>
          </cell>
        </row>
        <row r="2006">
          <cell r="D2006" t="str">
            <v>NV khác</v>
          </cell>
          <cell r="G2006" t="str">
            <v>Quản lý</v>
          </cell>
          <cell r="I2006" t="str">
            <v>CKTĐH</v>
          </cell>
          <cell r="AC2006">
            <v>930000</v>
          </cell>
          <cell r="AD2006">
            <v>17275656</v>
          </cell>
          <cell r="AE2006">
            <v>7609878</v>
          </cell>
          <cell r="AF2006">
            <v>7199579</v>
          </cell>
          <cell r="AG2006">
            <v>0</v>
          </cell>
          <cell r="AH2006">
            <v>0</v>
          </cell>
          <cell r="AI2006">
            <v>0</v>
          </cell>
          <cell r="AJ2006">
            <v>0</v>
          </cell>
          <cell r="AK2006">
            <v>312609</v>
          </cell>
          <cell r="AL2006">
            <v>683833</v>
          </cell>
          <cell r="AM2006">
            <v>58614</v>
          </cell>
          <cell r="AN2006">
            <v>117229</v>
          </cell>
          <cell r="AO2006">
            <v>39076</v>
          </cell>
          <cell r="AP2006">
            <v>39076</v>
          </cell>
        </row>
        <row r="2007">
          <cell r="D2007" t="str">
            <v>NV khác</v>
          </cell>
          <cell r="G2007" t="str">
            <v>Quản lý</v>
          </cell>
          <cell r="I2007" t="str">
            <v>CNTD</v>
          </cell>
          <cell r="AC2007">
            <v>930000</v>
          </cell>
          <cell r="AD2007">
            <v>17994124</v>
          </cell>
          <cell r="AE2007">
            <v>5290720</v>
          </cell>
          <cell r="AF2007">
            <v>5002695</v>
          </cell>
          <cell r="AG2007">
            <v>0</v>
          </cell>
          <cell r="AH2007">
            <v>0</v>
          </cell>
          <cell r="AI2007">
            <v>0</v>
          </cell>
          <cell r="AJ2007">
            <v>0</v>
          </cell>
          <cell r="AK2007">
            <v>219448</v>
          </cell>
          <cell r="AL2007">
            <v>480042</v>
          </cell>
          <cell r="AM2007">
            <v>41146</v>
          </cell>
          <cell r="AN2007">
            <v>82293</v>
          </cell>
          <cell r="AO2007">
            <v>27431</v>
          </cell>
          <cell r="AP2007">
            <v>27431</v>
          </cell>
        </row>
        <row r="2008">
          <cell r="D2008" t="str">
            <v>NV khác</v>
          </cell>
          <cell r="G2008" t="str">
            <v>Quản lý</v>
          </cell>
          <cell r="I2008" t="str">
            <v>CKTĐH</v>
          </cell>
          <cell r="AC2008">
            <v>930000</v>
          </cell>
          <cell r="AD2008">
            <v>17275656</v>
          </cell>
          <cell r="AE2008">
            <v>6975722</v>
          </cell>
          <cell r="AF2008">
            <v>6599614</v>
          </cell>
          <cell r="AG2008">
            <v>0</v>
          </cell>
          <cell r="AH2008">
            <v>0</v>
          </cell>
          <cell r="AI2008">
            <v>0</v>
          </cell>
          <cell r="AJ2008">
            <v>0</v>
          </cell>
          <cell r="AK2008">
            <v>286558</v>
          </cell>
          <cell r="AL2008">
            <v>626847</v>
          </cell>
          <cell r="AM2008">
            <v>53730</v>
          </cell>
          <cell r="AN2008">
            <v>107460</v>
          </cell>
          <cell r="AO2008">
            <v>35820</v>
          </cell>
          <cell r="AP2008">
            <v>35820</v>
          </cell>
        </row>
        <row r="2009">
          <cell r="D2009" t="str">
            <v>NV khác</v>
          </cell>
          <cell r="G2009" t="str">
            <v>Quản lý</v>
          </cell>
          <cell r="I2009" t="str">
            <v>RD</v>
          </cell>
          <cell r="AC2009">
            <v>930000</v>
          </cell>
          <cell r="AD2009">
            <v>16385556</v>
          </cell>
          <cell r="AE2009">
            <v>2977283</v>
          </cell>
          <cell r="AF2009">
            <v>2806324</v>
          </cell>
          <cell r="AG2009">
            <v>0</v>
          </cell>
          <cell r="AH2009">
            <v>0</v>
          </cell>
          <cell r="AI2009">
            <v>0</v>
          </cell>
          <cell r="AJ2009">
            <v>0</v>
          </cell>
          <cell r="AK2009">
            <v>130254</v>
          </cell>
          <cell r="AL2009">
            <v>284930</v>
          </cell>
          <cell r="AM2009">
            <v>24423</v>
          </cell>
          <cell r="AN2009">
            <v>48845</v>
          </cell>
          <cell r="AO2009">
            <v>16282</v>
          </cell>
          <cell r="AP2009">
            <v>16282</v>
          </cell>
        </row>
        <row r="2010">
          <cell r="D2010" t="str">
            <v>NV khác</v>
          </cell>
          <cell r="G2010" t="str">
            <v>Quản lý</v>
          </cell>
          <cell r="I2010" t="str">
            <v>TTQS</v>
          </cell>
          <cell r="AC2010">
            <v>930000</v>
          </cell>
          <cell r="AD2010">
            <v>17994124</v>
          </cell>
          <cell r="AE2010">
            <v>15210820</v>
          </cell>
          <cell r="AF2010">
            <v>14382748</v>
          </cell>
          <cell r="AG2010">
            <v>0</v>
          </cell>
          <cell r="AH2010">
            <v>0</v>
          </cell>
          <cell r="AI2010">
            <v>0</v>
          </cell>
          <cell r="AJ2010">
            <v>0</v>
          </cell>
          <cell r="AK2010">
            <v>630912</v>
          </cell>
          <cell r="AL2010">
            <v>1380120</v>
          </cell>
          <cell r="AM2010">
            <v>118296</v>
          </cell>
          <cell r="AN2010">
            <v>236592</v>
          </cell>
          <cell r="AO2010">
            <v>78864</v>
          </cell>
          <cell r="AP2010">
            <v>78864</v>
          </cell>
        </row>
        <row r="2011">
          <cell r="D2011" t="str">
            <v>NV khác</v>
          </cell>
          <cell r="G2011" t="str">
            <v>Quản lý</v>
          </cell>
          <cell r="I2011" t="str">
            <v>TTQS</v>
          </cell>
          <cell r="AC2011">
            <v>1047000</v>
          </cell>
          <cell r="AD2011">
            <v>18597024</v>
          </cell>
          <cell r="AE2011">
            <v>15696720</v>
          </cell>
          <cell r="AF2011">
            <v>14868648</v>
          </cell>
          <cell r="AG2011">
            <v>0</v>
          </cell>
          <cell r="AH2011">
            <v>0</v>
          </cell>
          <cell r="AI2011">
            <v>0</v>
          </cell>
          <cell r="AJ2011">
            <v>0</v>
          </cell>
          <cell r="AK2011">
            <v>630912</v>
          </cell>
          <cell r="AL2011">
            <v>1380120</v>
          </cell>
          <cell r="AM2011">
            <v>118296</v>
          </cell>
          <cell r="AN2011">
            <v>236592</v>
          </cell>
          <cell r="AO2011">
            <v>78864</v>
          </cell>
          <cell r="AP2011">
            <v>78864</v>
          </cell>
        </row>
        <row r="2012">
          <cell r="D2012" t="str">
            <v>NV khác</v>
          </cell>
          <cell r="G2012" t="str">
            <v>Quản lý</v>
          </cell>
          <cell r="I2012" t="str">
            <v>RD</v>
          </cell>
          <cell r="AC2012">
            <v>930000</v>
          </cell>
          <cell r="AD2012">
            <v>18316624</v>
          </cell>
          <cell r="AE2012">
            <v>2026086</v>
          </cell>
          <cell r="AF2012">
            <v>1918078</v>
          </cell>
          <cell r="AG2012">
            <v>0</v>
          </cell>
          <cell r="AH2012">
            <v>0</v>
          </cell>
          <cell r="AI2012">
            <v>0</v>
          </cell>
          <cell r="AJ2012">
            <v>0</v>
          </cell>
          <cell r="AK2012">
            <v>82292</v>
          </cell>
          <cell r="AL2012">
            <v>180016</v>
          </cell>
          <cell r="AM2012">
            <v>15430</v>
          </cell>
          <cell r="AN2012">
            <v>30860</v>
          </cell>
          <cell r="AO2012">
            <v>10286</v>
          </cell>
          <cell r="AP2012">
            <v>10286</v>
          </cell>
        </row>
        <row r="2013">
          <cell r="D2013" t="str">
            <v>NV khác</v>
          </cell>
          <cell r="G2013" t="str">
            <v>Quản lý</v>
          </cell>
          <cell r="I2013" t="str">
            <v>RD</v>
          </cell>
          <cell r="AC2013">
            <v>930000</v>
          </cell>
          <cell r="AD2013">
            <v>20275656</v>
          </cell>
          <cell r="AE2013">
            <v>1529182</v>
          </cell>
          <cell r="AF2013">
            <v>1460799</v>
          </cell>
          <cell r="AG2013">
            <v>0</v>
          </cell>
          <cell r="AH2013">
            <v>0</v>
          </cell>
          <cell r="AI2013">
            <v>0</v>
          </cell>
          <cell r="AJ2013">
            <v>0</v>
          </cell>
          <cell r="AK2013">
            <v>52101</v>
          </cell>
          <cell r="AL2013">
            <v>113973</v>
          </cell>
          <cell r="AM2013">
            <v>9769</v>
          </cell>
          <cell r="AN2013">
            <v>19539</v>
          </cell>
          <cell r="AO2013">
            <v>6513</v>
          </cell>
          <cell r="AP2013">
            <v>6513</v>
          </cell>
        </row>
        <row r="2014">
          <cell r="D2014" t="str">
            <v>NV khác</v>
          </cell>
          <cell r="G2014" t="str">
            <v>Quản lý</v>
          </cell>
          <cell r="I2014" t="str">
            <v>CKTĐH</v>
          </cell>
          <cell r="AC2014">
            <v>930000</v>
          </cell>
          <cell r="AD2014">
            <v>17275656</v>
          </cell>
          <cell r="AE2014">
            <v>7609878</v>
          </cell>
          <cell r="AF2014">
            <v>7199579</v>
          </cell>
          <cell r="AG2014">
            <v>0</v>
          </cell>
          <cell r="AH2014">
            <v>0</v>
          </cell>
          <cell r="AI2014">
            <v>0</v>
          </cell>
          <cell r="AJ2014">
            <v>0</v>
          </cell>
          <cell r="AK2014">
            <v>312609</v>
          </cell>
          <cell r="AL2014">
            <v>683833</v>
          </cell>
          <cell r="AM2014">
            <v>58614</v>
          </cell>
          <cell r="AN2014">
            <v>117229</v>
          </cell>
          <cell r="AO2014">
            <v>39076</v>
          </cell>
          <cell r="AP2014">
            <v>39076</v>
          </cell>
        </row>
        <row r="2015">
          <cell r="D2015" t="str">
            <v>NV khác</v>
          </cell>
          <cell r="G2015" t="str">
            <v>Quản lý</v>
          </cell>
          <cell r="I2015" t="str">
            <v>KDDH</v>
          </cell>
          <cell r="AC2015">
            <v>1030000</v>
          </cell>
          <cell r="AD2015">
            <v>26976540</v>
          </cell>
          <cell r="AE2015">
            <v>2068711</v>
          </cell>
          <cell r="AF2015">
            <v>1984931</v>
          </cell>
          <cell r="AG2015">
            <v>0</v>
          </cell>
          <cell r="AH2015">
            <v>0</v>
          </cell>
          <cell r="AI2015">
            <v>0</v>
          </cell>
          <cell r="AJ2015">
            <v>0</v>
          </cell>
          <cell r="AK2015">
            <v>63832</v>
          </cell>
          <cell r="AL2015">
            <v>139635</v>
          </cell>
          <cell r="AM2015">
            <v>11969</v>
          </cell>
          <cell r="AN2015">
            <v>23937</v>
          </cell>
          <cell r="AO2015">
            <v>7979</v>
          </cell>
          <cell r="AP2015">
            <v>7979</v>
          </cell>
        </row>
        <row r="2016">
          <cell r="D2016" t="str">
            <v>NV khác</v>
          </cell>
          <cell r="G2016" t="str">
            <v>Quản lý</v>
          </cell>
          <cell r="I2016" t="str">
            <v>IOT</v>
          </cell>
          <cell r="AC2016">
            <v>930000</v>
          </cell>
          <cell r="AD2016">
            <v>20309612</v>
          </cell>
          <cell r="AE2016">
            <v>9853469</v>
          </cell>
          <cell r="AF2016">
            <v>9361879</v>
          </cell>
          <cell r="AG2016">
            <v>0</v>
          </cell>
          <cell r="AH2016">
            <v>0</v>
          </cell>
          <cell r="AI2016">
            <v>0</v>
          </cell>
          <cell r="AJ2016">
            <v>0</v>
          </cell>
          <cell r="AK2016">
            <v>374545</v>
          </cell>
          <cell r="AL2016">
            <v>819317</v>
          </cell>
          <cell r="AM2016">
            <v>70227</v>
          </cell>
          <cell r="AN2016">
            <v>140454</v>
          </cell>
          <cell r="AO2016">
            <v>46818</v>
          </cell>
          <cell r="AP2016">
            <v>46818</v>
          </cell>
        </row>
        <row r="2017">
          <cell r="D2017" t="str">
            <v>NV khác</v>
          </cell>
          <cell r="G2017" t="str">
            <v>Quản lý</v>
          </cell>
          <cell r="I2017" t="str">
            <v>GPTH</v>
          </cell>
          <cell r="AC2017">
            <v>930000</v>
          </cell>
          <cell r="AD2017">
            <v>14515216</v>
          </cell>
          <cell r="AE2017">
            <v>7826087</v>
          </cell>
          <cell r="AF2017">
            <v>7364160</v>
          </cell>
          <cell r="AG2017">
            <v>0</v>
          </cell>
          <cell r="AH2017">
            <v>0</v>
          </cell>
          <cell r="AI2017">
            <v>0</v>
          </cell>
          <cell r="AJ2017">
            <v>0</v>
          </cell>
          <cell r="AK2017">
            <v>351944</v>
          </cell>
          <cell r="AL2017">
            <v>769878</v>
          </cell>
          <cell r="AM2017">
            <v>65990</v>
          </cell>
          <cell r="AN2017">
            <v>131979</v>
          </cell>
          <cell r="AO2017">
            <v>43993</v>
          </cell>
          <cell r="AP2017">
            <v>43993</v>
          </cell>
        </row>
        <row r="2018">
          <cell r="D2018" t="str">
            <v>NV khác</v>
          </cell>
          <cell r="G2018" t="str">
            <v>Quản lý</v>
          </cell>
          <cell r="I2018" t="str">
            <v>RD</v>
          </cell>
          <cell r="AC2018">
            <v>930000</v>
          </cell>
          <cell r="AD2018">
            <v>17275656</v>
          </cell>
          <cell r="AE2018">
            <v>3170783</v>
          </cell>
          <cell r="AF2018">
            <v>2999824</v>
          </cell>
          <cell r="AG2018">
            <v>0</v>
          </cell>
          <cell r="AH2018">
            <v>0</v>
          </cell>
          <cell r="AI2018">
            <v>0</v>
          </cell>
          <cell r="AJ2018">
            <v>0</v>
          </cell>
          <cell r="AK2018">
            <v>130254</v>
          </cell>
          <cell r="AL2018">
            <v>284930</v>
          </cell>
          <cell r="AM2018">
            <v>24423</v>
          </cell>
          <cell r="AN2018">
            <v>48845</v>
          </cell>
          <cell r="AO2018">
            <v>16282</v>
          </cell>
          <cell r="AP2018">
            <v>16282</v>
          </cell>
        </row>
        <row r="2019">
          <cell r="D2019" t="str">
            <v>NV khác</v>
          </cell>
          <cell r="G2019" t="str">
            <v>Quản lý</v>
          </cell>
          <cell r="I2019" t="str">
            <v>RD</v>
          </cell>
          <cell r="AC2019">
            <v>930000</v>
          </cell>
          <cell r="AD2019">
            <v>20994124</v>
          </cell>
          <cell r="AE2019">
            <v>791774</v>
          </cell>
          <cell r="AF2019">
            <v>755773</v>
          </cell>
          <cell r="AG2019">
            <v>0</v>
          </cell>
          <cell r="AH2019">
            <v>0</v>
          </cell>
          <cell r="AI2019">
            <v>0</v>
          </cell>
          <cell r="AJ2019">
            <v>0</v>
          </cell>
          <cell r="AK2019">
            <v>27430</v>
          </cell>
          <cell r="AL2019">
            <v>60006</v>
          </cell>
          <cell r="AM2019">
            <v>5143</v>
          </cell>
          <cell r="AN2019">
            <v>10286</v>
          </cell>
          <cell r="AO2019">
            <v>3428</v>
          </cell>
          <cell r="AP2019">
            <v>3428</v>
          </cell>
        </row>
        <row r="2020">
          <cell r="D2020" t="str">
            <v>NV khác</v>
          </cell>
          <cell r="G2020" t="str">
            <v>Quản lý</v>
          </cell>
          <cell r="I2020" t="str">
            <v>GPTH</v>
          </cell>
          <cell r="AC2020">
            <v>930000</v>
          </cell>
          <cell r="AD2020">
            <v>17275656</v>
          </cell>
          <cell r="AE2020">
            <v>9512348</v>
          </cell>
          <cell r="AF2020">
            <v>8999473</v>
          </cell>
          <cell r="AG2020">
            <v>0</v>
          </cell>
          <cell r="AH2020">
            <v>0</v>
          </cell>
          <cell r="AI2020">
            <v>0</v>
          </cell>
          <cell r="AJ2020">
            <v>0</v>
          </cell>
          <cell r="AK2020">
            <v>390762</v>
          </cell>
          <cell r="AL2020">
            <v>854791</v>
          </cell>
          <cell r="AM2020">
            <v>73268</v>
          </cell>
          <cell r="AN2020">
            <v>146536</v>
          </cell>
          <cell r="AO2020">
            <v>48845</v>
          </cell>
          <cell r="AP2020">
            <v>48845</v>
          </cell>
        </row>
        <row r="2021">
          <cell r="D2021" t="str">
            <v>NV khác</v>
          </cell>
          <cell r="G2021" t="str">
            <v>Quản lý</v>
          </cell>
          <cell r="I2021" t="str">
            <v>RD</v>
          </cell>
          <cell r="AC2021">
            <v>930000</v>
          </cell>
          <cell r="AD2021">
            <v>16385556</v>
          </cell>
          <cell r="AE2021">
            <v>595456</v>
          </cell>
          <cell r="AF2021">
            <v>561265</v>
          </cell>
          <cell r="AG2021">
            <v>0</v>
          </cell>
          <cell r="AH2021">
            <v>0</v>
          </cell>
          <cell r="AI2021">
            <v>0</v>
          </cell>
          <cell r="AJ2021">
            <v>0</v>
          </cell>
          <cell r="AK2021">
            <v>26050</v>
          </cell>
          <cell r="AL2021">
            <v>56986</v>
          </cell>
          <cell r="AM2021">
            <v>4884</v>
          </cell>
          <cell r="AN2021">
            <v>9770</v>
          </cell>
          <cell r="AO2021">
            <v>3257</v>
          </cell>
          <cell r="AP2021">
            <v>3257</v>
          </cell>
        </row>
        <row r="2022">
          <cell r="D2022" t="str">
            <v>NV khác</v>
          </cell>
          <cell r="G2022" t="str">
            <v>Quản lý</v>
          </cell>
          <cell r="I2022" t="str">
            <v>GPTH</v>
          </cell>
          <cell r="AC2022">
            <v>930000</v>
          </cell>
          <cell r="AD2022">
            <v>17275656</v>
          </cell>
          <cell r="AE2022">
            <v>9512348</v>
          </cell>
          <cell r="AF2022">
            <v>8999473</v>
          </cell>
          <cell r="AG2022">
            <v>0</v>
          </cell>
          <cell r="AH2022">
            <v>0</v>
          </cell>
          <cell r="AI2022">
            <v>0</v>
          </cell>
          <cell r="AJ2022">
            <v>0</v>
          </cell>
          <cell r="AK2022">
            <v>390762</v>
          </cell>
          <cell r="AL2022">
            <v>854791</v>
          </cell>
          <cell r="AM2022">
            <v>73268</v>
          </cell>
          <cell r="AN2022">
            <v>146536</v>
          </cell>
          <cell r="AO2022">
            <v>48845</v>
          </cell>
          <cell r="AP2022">
            <v>48845</v>
          </cell>
        </row>
        <row r="2023">
          <cell r="D2023" t="str">
            <v>NV khác</v>
          </cell>
          <cell r="G2023" t="str">
            <v>Quản lý</v>
          </cell>
          <cell r="I2023" t="str">
            <v>DVSBH</v>
          </cell>
          <cell r="AC2023">
            <v>930000</v>
          </cell>
          <cell r="AD2023">
            <v>20924275</v>
          </cell>
          <cell r="AE2023">
            <v>4708102</v>
          </cell>
          <cell r="AF2023">
            <v>4481215</v>
          </cell>
          <cell r="AG2023">
            <v>0</v>
          </cell>
          <cell r="AH2023">
            <v>0</v>
          </cell>
          <cell r="AI2023">
            <v>0</v>
          </cell>
          <cell r="AJ2023">
            <v>0</v>
          </cell>
          <cell r="AK2023">
            <v>172867</v>
          </cell>
          <cell r="AL2023">
            <v>378146</v>
          </cell>
          <cell r="AM2023">
            <v>32412</v>
          </cell>
          <cell r="AN2023">
            <v>64825</v>
          </cell>
          <cell r="AO2023">
            <v>21608</v>
          </cell>
          <cell r="AP2023">
            <v>21608</v>
          </cell>
        </row>
        <row r="2024">
          <cell r="D2024" t="str">
            <v>NV khác</v>
          </cell>
          <cell r="G2024" t="str">
            <v>Quản lý</v>
          </cell>
          <cell r="I2024" t="str">
            <v>RD</v>
          </cell>
          <cell r="AC2024">
            <v>930000</v>
          </cell>
          <cell r="AD2024">
            <v>16385556</v>
          </cell>
          <cell r="AE2024">
            <v>2977283</v>
          </cell>
          <cell r="AF2024">
            <v>2806324</v>
          </cell>
          <cell r="AG2024">
            <v>0</v>
          </cell>
          <cell r="AH2024">
            <v>0</v>
          </cell>
          <cell r="AI2024">
            <v>0</v>
          </cell>
          <cell r="AJ2024">
            <v>0</v>
          </cell>
          <cell r="AK2024">
            <v>130254</v>
          </cell>
          <cell r="AL2024">
            <v>284930</v>
          </cell>
          <cell r="AM2024">
            <v>24423</v>
          </cell>
          <cell r="AN2024">
            <v>48845</v>
          </cell>
          <cell r="AO2024">
            <v>16282</v>
          </cell>
          <cell r="AP2024">
            <v>16282</v>
          </cell>
        </row>
        <row r="2025">
          <cell r="D2025" t="str">
            <v>NV khác</v>
          </cell>
          <cell r="G2025" t="str">
            <v>Quản lý</v>
          </cell>
          <cell r="I2025" t="str">
            <v>RD</v>
          </cell>
          <cell r="AC2025">
            <v>930000</v>
          </cell>
          <cell r="AD2025">
            <v>14515216</v>
          </cell>
          <cell r="AE2025">
            <v>521739</v>
          </cell>
          <cell r="AF2025">
            <v>490944</v>
          </cell>
          <cell r="AG2025">
            <v>0</v>
          </cell>
          <cell r="AH2025">
            <v>0</v>
          </cell>
          <cell r="AI2025">
            <v>0</v>
          </cell>
          <cell r="AJ2025">
            <v>0</v>
          </cell>
          <cell r="AK2025">
            <v>23463</v>
          </cell>
          <cell r="AL2025">
            <v>51326</v>
          </cell>
          <cell r="AM2025">
            <v>4399</v>
          </cell>
          <cell r="AN2025">
            <v>8799</v>
          </cell>
          <cell r="AO2025">
            <v>2933</v>
          </cell>
          <cell r="AP2025">
            <v>2933</v>
          </cell>
        </row>
        <row r="2026">
          <cell r="D2026" t="str">
            <v>NV khác</v>
          </cell>
          <cell r="G2026" t="str">
            <v>Quản lý</v>
          </cell>
          <cell r="I2026" t="str">
            <v>CHĐK</v>
          </cell>
          <cell r="AC2026">
            <v>1147000</v>
          </cell>
          <cell r="AD2026">
            <v>22789272</v>
          </cell>
          <cell r="AE2026">
            <v>17983049</v>
          </cell>
          <cell r="AF2026">
            <v>17188942</v>
          </cell>
          <cell r="AG2026">
            <v>0</v>
          </cell>
          <cell r="AH2026">
            <v>0</v>
          </cell>
          <cell r="AI2026">
            <v>0</v>
          </cell>
          <cell r="AJ2026">
            <v>0</v>
          </cell>
          <cell r="AK2026">
            <v>605034</v>
          </cell>
          <cell r="AL2026">
            <v>1323511</v>
          </cell>
          <cell r="AM2026">
            <v>113444</v>
          </cell>
          <cell r="AN2026">
            <v>226888</v>
          </cell>
          <cell r="AO2026">
            <v>75629</v>
          </cell>
          <cell r="AP2026">
            <v>75629</v>
          </cell>
        </row>
        <row r="2027">
          <cell r="D2027" t="str">
            <v>NV khác</v>
          </cell>
          <cell r="G2027" t="str">
            <v>Quản lý</v>
          </cell>
          <cell r="I2027" t="str">
            <v>ĐBCL</v>
          </cell>
          <cell r="AC2027">
            <v>1047000</v>
          </cell>
          <cell r="AD2027">
            <v>13637636</v>
          </cell>
          <cell r="AE2027">
            <v>6220455</v>
          </cell>
          <cell r="AF2027">
            <v>5820119</v>
          </cell>
          <cell r="AG2027">
            <v>0</v>
          </cell>
          <cell r="AH2027">
            <v>0</v>
          </cell>
          <cell r="AI2027">
            <v>0</v>
          </cell>
          <cell r="AJ2027">
            <v>0</v>
          </cell>
          <cell r="AK2027">
            <v>305018</v>
          </cell>
          <cell r="AL2027">
            <v>667228</v>
          </cell>
          <cell r="AM2027">
            <v>57191</v>
          </cell>
          <cell r="AN2027">
            <v>114382</v>
          </cell>
          <cell r="AO2027">
            <v>38127</v>
          </cell>
          <cell r="AP2027">
            <v>38127</v>
          </cell>
        </row>
        <row r="2028">
          <cell r="D2028" t="str">
            <v>NV khác</v>
          </cell>
          <cell r="G2028" t="str">
            <v>Quản lý</v>
          </cell>
          <cell r="I2028" t="str">
            <v>DVSBH</v>
          </cell>
          <cell r="AC2028">
            <v>1030000</v>
          </cell>
          <cell r="AD2028">
            <v>25186896</v>
          </cell>
          <cell r="AE2028">
            <v>1922214</v>
          </cell>
          <cell r="AF2028">
            <v>1842507</v>
          </cell>
          <cell r="AG2028">
            <v>0</v>
          </cell>
          <cell r="AH2028">
            <v>0</v>
          </cell>
          <cell r="AI2028">
            <v>0</v>
          </cell>
          <cell r="AJ2028">
            <v>0</v>
          </cell>
          <cell r="AK2028">
            <v>60729</v>
          </cell>
          <cell r="AL2028">
            <v>132841</v>
          </cell>
          <cell r="AM2028">
            <v>11386</v>
          </cell>
          <cell r="AN2028">
            <v>22773</v>
          </cell>
          <cell r="AO2028">
            <v>7592</v>
          </cell>
          <cell r="AP2028">
            <v>7592</v>
          </cell>
        </row>
        <row r="2029">
          <cell r="D2029" t="str">
            <v>NV khác</v>
          </cell>
          <cell r="G2029" t="str">
            <v>Quản lý</v>
          </cell>
          <cell r="I2029" t="str">
            <v>GPTH</v>
          </cell>
          <cell r="AC2029">
            <v>930000</v>
          </cell>
          <cell r="AD2029">
            <v>19947552</v>
          </cell>
          <cell r="AE2029">
            <v>11133261</v>
          </cell>
          <cell r="AF2029">
            <v>10566042</v>
          </cell>
          <cell r="AG2029">
            <v>0</v>
          </cell>
          <cell r="AH2029">
            <v>0</v>
          </cell>
          <cell r="AI2029">
            <v>0</v>
          </cell>
          <cell r="AJ2029">
            <v>0</v>
          </cell>
          <cell r="AK2029">
            <v>432167</v>
          </cell>
          <cell r="AL2029">
            <v>945365</v>
          </cell>
          <cell r="AM2029">
            <v>81031</v>
          </cell>
          <cell r="AN2029">
            <v>162063</v>
          </cell>
          <cell r="AO2029">
            <v>54021</v>
          </cell>
          <cell r="AP2029">
            <v>54021</v>
          </cell>
        </row>
        <row r="2030">
          <cell r="D2030" t="str">
            <v>NV khác</v>
          </cell>
          <cell r="G2030" t="str">
            <v>Quản lý</v>
          </cell>
          <cell r="I2030" t="str">
            <v>ĐBCL</v>
          </cell>
          <cell r="AC2030">
            <v>1047000</v>
          </cell>
          <cell r="AD2030">
            <v>20796412</v>
          </cell>
          <cell r="AE2030">
            <v>10836523</v>
          </cell>
          <cell r="AF2030">
            <v>10307119</v>
          </cell>
          <cell r="AG2030">
            <v>0</v>
          </cell>
          <cell r="AH2030">
            <v>0</v>
          </cell>
          <cell r="AI2030">
            <v>0</v>
          </cell>
          <cell r="AJ2030">
            <v>0</v>
          </cell>
          <cell r="AK2030">
            <v>403356</v>
          </cell>
          <cell r="AL2030">
            <v>882341</v>
          </cell>
          <cell r="AM2030">
            <v>75629</v>
          </cell>
          <cell r="AN2030">
            <v>151258</v>
          </cell>
          <cell r="AO2030">
            <v>50419</v>
          </cell>
          <cell r="AP2030">
            <v>50419</v>
          </cell>
        </row>
        <row r="2031">
          <cell r="D2031" t="str">
            <v>NV khác</v>
          </cell>
          <cell r="G2031" t="str">
            <v>Quản lý</v>
          </cell>
          <cell r="I2031" t="str">
            <v>CHĐK</v>
          </cell>
          <cell r="AC2031">
            <v>930000</v>
          </cell>
          <cell r="AD2031">
            <v>14515216</v>
          </cell>
          <cell r="AE2031">
            <v>8347826</v>
          </cell>
          <cell r="AF2031">
            <v>7855104</v>
          </cell>
          <cell r="AG2031">
            <v>0</v>
          </cell>
          <cell r="AH2031">
            <v>0</v>
          </cell>
          <cell r="AI2031">
            <v>0</v>
          </cell>
          <cell r="AJ2031">
            <v>0</v>
          </cell>
          <cell r="AK2031">
            <v>375407</v>
          </cell>
          <cell r="AL2031">
            <v>821203</v>
          </cell>
          <cell r="AM2031">
            <v>70389</v>
          </cell>
          <cell r="AN2031">
            <v>140778</v>
          </cell>
          <cell r="AO2031">
            <v>46926</v>
          </cell>
          <cell r="AP2031">
            <v>46926</v>
          </cell>
        </row>
        <row r="2032">
          <cell r="D2032" t="str">
            <v>NV khác</v>
          </cell>
          <cell r="G2032" t="str">
            <v>Quản lý</v>
          </cell>
          <cell r="I2032" t="str">
            <v>CKTĐH</v>
          </cell>
          <cell r="AC2032">
            <v>930000</v>
          </cell>
          <cell r="AD2032">
            <v>15796808</v>
          </cell>
          <cell r="AE2032">
            <v>8034783</v>
          </cell>
          <cell r="AF2032">
            <v>7581460</v>
          </cell>
          <cell r="AG2032">
            <v>0</v>
          </cell>
          <cell r="AH2032">
            <v>0</v>
          </cell>
          <cell r="AI2032">
            <v>0</v>
          </cell>
          <cell r="AJ2032">
            <v>0</v>
          </cell>
          <cell r="AK2032">
            <v>345389</v>
          </cell>
          <cell r="AL2032">
            <v>755537</v>
          </cell>
          <cell r="AM2032">
            <v>64760</v>
          </cell>
          <cell r="AN2032">
            <v>129521</v>
          </cell>
          <cell r="AO2032">
            <v>43174</v>
          </cell>
          <cell r="AP2032">
            <v>43174</v>
          </cell>
        </row>
        <row r="2033">
          <cell r="D2033" t="str">
            <v>NV khác</v>
          </cell>
          <cell r="G2033" t="str">
            <v>Quản lý</v>
          </cell>
          <cell r="I2033" t="str">
            <v>IOT</v>
          </cell>
          <cell r="AC2033">
            <v>930000</v>
          </cell>
          <cell r="AD2033">
            <v>17741776</v>
          </cell>
          <cell r="AE2033">
            <v>3926536</v>
          </cell>
          <cell r="AF2033">
            <v>3721386</v>
          </cell>
          <cell r="AG2033">
            <v>0</v>
          </cell>
          <cell r="AH2033">
            <v>0</v>
          </cell>
          <cell r="AI2033">
            <v>0</v>
          </cell>
          <cell r="AJ2033">
            <v>0</v>
          </cell>
          <cell r="AK2033">
            <v>156305</v>
          </cell>
          <cell r="AL2033">
            <v>341917</v>
          </cell>
          <cell r="AM2033">
            <v>29307</v>
          </cell>
          <cell r="AN2033">
            <v>58614</v>
          </cell>
          <cell r="AO2033">
            <v>19538</v>
          </cell>
          <cell r="AP2033">
            <v>19538</v>
          </cell>
        </row>
        <row r="2034">
          <cell r="D2034" t="str">
            <v>NV khác</v>
          </cell>
          <cell r="G2034" t="str">
            <v>Quản lý</v>
          </cell>
          <cell r="I2034" t="str">
            <v>ĐPT</v>
          </cell>
          <cell r="AC2034">
            <v>1047000</v>
          </cell>
          <cell r="AD2034">
            <v>13970773</v>
          </cell>
          <cell r="AE2034">
            <v>8380673</v>
          </cell>
          <cell r="AF2034">
            <v>7857156</v>
          </cell>
          <cell r="AG2034">
            <v>0</v>
          </cell>
          <cell r="AH2034">
            <v>0</v>
          </cell>
          <cell r="AI2034">
            <v>0</v>
          </cell>
          <cell r="AJ2034">
            <v>0</v>
          </cell>
          <cell r="AK2034">
            <v>398870</v>
          </cell>
          <cell r="AL2034">
            <v>872529</v>
          </cell>
          <cell r="AM2034">
            <v>74788</v>
          </cell>
          <cell r="AN2034">
            <v>149577</v>
          </cell>
          <cell r="AO2034">
            <v>49859</v>
          </cell>
          <cell r="AP2034">
            <v>49859</v>
          </cell>
        </row>
        <row r="2035">
          <cell r="D2035" t="str">
            <v>NV khác</v>
          </cell>
          <cell r="G2035" t="str">
            <v>Quản lý</v>
          </cell>
          <cell r="I2035" t="str">
            <v>CHĐK</v>
          </cell>
          <cell r="AC2035">
            <v>930000</v>
          </cell>
          <cell r="AD2035">
            <v>17994124</v>
          </cell>
          <cell r="AE2035">
            <v>10581440</v>
          </cell>
          <cell r="AF2035">
            <v>10005390</v>
          </cell>
          <cell r="AG2035">
            <v>0</v>
          </cell>
          <cell r="AH2035">
            <v>0</v>
          </cell>
          <cell r="AI2035">
            <v>0</v>
          </cell>
          <cell r="AJ2035">
            <v>0</v>
          </cell>
          <cell r="AK2035">
            <v>438895</v>
          </cell>
          <cell r="AL2035">
            <v>960083</v>
          </cell>
          <cell r="AM2035">
            <v>82293</v>
          </cell>
          <cell r="AN2035">
            <v>164586</v>
          </cell>
          <cell r="AO2035">
            <v>54862</v>
          </cell>
          <cell r="AP2035">
            <v>54862</v>
          </cell>
        </row>
        <row r="2036">
          <cell r="D2036" t="str">
            <v>NV khác</v>
          </cell>
          <cell r="G2036" t="str">
            <v>Quản lý</v>
          </cell>
          <cell r="I2036" t="str">
            <v>CHĐK</v>
          </cell>
          <cell r="AC2036">
            <v>1047000</v>
          </cell>
          <cell r="AD2036">
            <v>15913808</v>
          </cell>
          <cell r="AE2036">
            <v>10330435</v>
          </cell>
          <cell r="AF2036">
            <v>9747592</v>
          </cell>
          <cell r="AG2036">
            <v>0</v>
          </cell>
          <cell r="AH2036">
            <v>0</v>
          </cell>
          <cell r="AI2036">
            <v>0</v>
          </cell>
          <cell r="AJ2036">
            <v>0</v>
          </cell>
          <cell r="AK2036">
            <v>444071</v>
          </cell>
          <cell r="AL2036">
            <v>971405</v>
          </cell>
          <cell r="AM2036">
            <v>83263</v>
          </cell>
          <cell r="AN2036">
            <v>166527</v>
          </cell>
          <cell r="AO2036">
            <v>55509</v>
          </cell>
          <cell r="AP2036">
            <v>55509</v>
          </cell>
        </row>
        <row r="2037">
          <cell r="D2037" t="str">
            <v>NV khác</v>
          </cell>
          <cell r="G2037" t="str">
            <v>Quản lý</v>
          </cell>
          <cell r="I2037" t="str">
            <v>IOT</v>
          </cell>
          <cell r="AC2037">
            <v>930000</v>
          </cell>
          <cell r="AD2037">
            <v>15796808</v>
          </cell>
          <cell r="AE2037">
            <v>3443478</v>
          </cell>
          <cell r="AF2037">
            <v>3249197</v>
          </cell>
          <cell r="AG2037">
            <v>0</v>
          </cell>
          <cell r="AH2037">
            <v>0</v>
          </cell>
          <cell r="AI2037">
            <v>0</v>
          </cell>
          <cell r="AJ2037">
            <v>0</v>
          </cell>
          <cell r="AK2037">
            <v>148024</v>
          </cell>
          <cell r="AL2037">
            <v>323802</v>
          </cell>
          <cell r="AM2037">
            <v>27754</v>
          </cell>
          <cell r="AN2037">
            <v>55509</v>
          </cell>
          <cell r="AO2037">
            <v>18503</v>
          </cell>
          <cell r="AP2037">
            <v>18503</v>
          </cell>
        </row>
        <row r="2038">
          <cell r="D2038" t="str">
            <v>NV khác</v>
          </cell>
          <cell r="G2038" t="str">
            <v>Quản lý</v>
          </cell>
          <cell r="I2038" t="str">
            <v>IOT</v>
          </cell>
          <cell r="AC2038">
            <v>930000</v>
          </cell>
          <cell r="AD2038">
            <v>17210056</v>
          </cell>
          <cell r="AE2038">
            <v>3787826</v>
          </cell>
          <cell r="AF2038">
            <v>3582676</v>
          </cell>
          <cell r="AG2038">
            <v>0</v>
          </cell>
          <cell r="AH2038">
            <v>0</v>
          </cell>
          <cell r="AI2038">
            <v>0</v>
          </cell>
          <cell r="AJ2038">
            <v>0</v>
          </cell>
          <cell r="AK2038">
            <v>156305</v>
          </cell>
          <cell r="AL2038">
            <v>341917</v>
          </cell>
          <cell r="AM2038">
            <v>29307</v>
          </cell>
          <cell r="AN2038">
            <v>58614</v>
          </cell>
          <cell r="AO2038">
            <v>19538</v>
          </cell>
          <cell r="AP2038">
            <v>19538</v>
          </cell>
        </row>
        <row r="2039">
          <cell r="D2039" t="str">
            <v>NV khác</v>
          </cell>
          <cell r="G2039" t="str">
            <v>Quản lý</v>
          </cell>
          <cell r="I2039" t="str">
            <v>CHĐK</v>
          </cell>
          <cell r="AC2039">
            <v>930000</v>
          </cell>
          <cell r="AD2039">
            <v>18623304</v>
          </cell>
          <cell r="AE2039">
            <v>11707826</v>
          </cell>
          <cell r="AF2039">
            <v>11095773</v>
          </cell>
          <cell r="AG2039">
            <v>0</v>
          </cell>
          <cell r="AH2039">
            <v>0</v>
          </cell>
          <cell r="AI2039">
            <v>0</v>
          </cell>
          <cell r="AJ2039">
            <v>0</v>
          </cell>
          <cell r="AK2039">
            <v>466326</v>
          </cell>
          <cell r="AL2039">
            <v>1020089</v>
          </cell>
          <cell r="AM2039">
            <v>87436</v>
          </cell>
          <cell r="AN2039">
            <v>174872</v>
          </cell>
          <cell r="AO2039">
            <v>58291</v>
          </cell>
          <cell r="AP2039">
            <v>58291</v>
          </cell>
        </row>
        <row r="2040">
          <cell r="D2040" t="str">
            <v>NV khác</v>
          </cell>
          <cell r="G2040" t="str">
            <v>Quản lý</v>
          </cell>
          <cell r="I2040" t="str">
            <v>CKTĐH</v>
          </cell>
          <cell r="AC2040">
            <v>930000</v>
          </cell>
          <cell r="AD2040">
            <v>16676236</v>
          </cell>
          <cell r="AE2040">
            <v>6689042</v>
          </cell>
          <cell r="AF2040">
            <v>6312935</v>
          </cell>
          <cell r="AG2040">
            <v>0</v>
          </cell>
          <cell r="AH2040">
            <v>0</v>
          </cell>
          <cell r="AI2040">
            <v>0</v>
          </cell>
          <cell r="AJ2040">
            <v>0</v>
          </cell>
          <cell r="AK2040">
            <v>286558</v>
          </cell>
          <cell r="AL2040">
            <v>626847</v>
          </cell>
          <cell r="AM2040">
            <v>53730</v>
          </cell>
          <cell r="AN2040">
            <v>107460</v>
          </cell>
          <cell r="AO2040">
            <v>35819</v>
          </cell>
          <cell r="AP2040">
            <v>35819</v>
          </cell>
        </row>
        <row r="2041">
          <cell r="D2041" t="str">
            <v>NV khác</v>
          </cell>
          <cell r="G2041" t="str">
            <v>Quản lý</v>
          </cell>
          <cell r="I2041" t="str">
            <v>RD</v>
          </cell>
          <cell r="AC2041">
            <v>930000</v>
          </cell>
          <cell r="AD2041">
            <v>15796808</v>
          </cell>
          <cell r="AE2041">
            <v>2869565</v>
          </cell>
          <cell r="AF2041">
            <v>2707664</v>
          </cell>
          <cell r="AG2041">
            <v>0</v>
          </cell>
          <cell r="AH2041">
            <v>0</v>
          </cell>
          <cell r="AI2041">
            <v>0</v>
          </cell>
          <cell r="AJ2041">
            <v>0</v>
          </cell>
          <cell r="AK2041">
            <v>123353</v>
          </cell>
          <cell r="AL2041">
            <v>269835</v>
          </cell>
          <cell r="AM2041">
            <v>23129</v>
          </cell>
          <cell r="AN2041">
            <v>46257</v>
          </cell>
          <cell r="AO2041">
            <v>15419</v>
          </cell>
          <cell r="AP2041">
            <v>15419</v>
          </cell>
        </row>
        <row r="2042">
          <cell r="D2042" t="str">
            <v>NV khác</v>
          </cell>
          <cell r="G2042" t="str">
            <v>Quản lý</v>
          </cell>
          <cell r="I2042" t="str">
            <v>RD</v>
          </cell>
          <cell r="AC2042">
            <v>1047000</v>
          </cell>
          <cell r="AD2042">
            <v>17807056</v>
          </cell>
          <cell r="AE2042">
            <v>3260870</v>
          </cell>
          <cell r="AF2042">
            <v>3089911</v>
          </cell>
          <cell r="AG2042">
            <v>0</v>
          </cell>
          <cell r="AH2042">
            <v>0</v>
          </cell>
          <cell r="AI2042">
            <v>0</v>
          </cell>
          <cell r="AJ2042">
            <v>0</v>
          </cell>
          <cell r="AK2042">
            <v>130254</v>
          </cell>
          <cell r="AL2042">
            <v>284930</v>
          </cell>
          <cell r="AM2042">
            <v>24423</v>
          </cell>
          <cell r="AN2042">
            <v>48845</v>
          </cell>
          <cell r="AO2042">
            <v>16282</v>
          </cell>
          <cell r="AP2042">
            <v>16282</v>
          </cell>
        </row>
        <row r="2043">
          <cell r="D2043" t="str">
            <v>NV khác</v>
          </cell>
          <cell r="G2043" t="str">
            <v>Quản lý</v>
          </cell>
          <cell r="I2043" t="str">
            <v>CHĐK</v>
          </cell>
          <cell r="AC2043">
            <v>930000</v>
          </cell>
          <cell r="AD2043">
            <v>16490056</v>
          </cell>
          <cell r="AE2043">
            <v>9600000</v>
          </cell>
          <cell r="AF2043">
            <v>9052933</v>
          </cell>
          <cell r="AG2043">
            <v>0</v>
          </cell>
          <cell r="AH2043">
            <v>0</v>
          </cell>
          <cell r="AI2043">
            <v>0</v>
          </cell>
          <cell r="AJ2043">
            <v>0</v>
          </cell>
          <cell r="AK2043">
            <v>416813</v>
          </cell>
          <cell r="AL2043">
            <v>911777</v>
          </cell>
          <cell r="AM2043">
            <v>78152</v>
          </cell>
          <cell r="AN2043">
            <v>156305</v>
          </cell>
          <cell r="AO2043">
            <v>52102</v>
          </cell>
          <cell r="AP2043">
            <v>52102</v>
          </cell>
        </row>
        <row r="2044">
          <cell r="D2044" t="str">
            <v>NV khác</v>
          </cell>
          <cell r="G2044" t="str">
            <v>Quản lý</v>
          </cell>
          <cell r="I2044" t="str">
            <v>MHMP</v>
          </cell>
          <cell r="AC2044">
            <v>930000</v>
          </cell>
          <cell r="AD2044">
            <v>15796808</v>
          </cell>
          <cell r="AE2044">
            <v>8034783</v>
          </cell>
          <cell r="AF2044">
            <v>7581460</v>
          </cell>
          <cell r="AG2044">
            <v>0</v>
          </cell>
          <cell r="AH2044">
            <v>0</v>
          </cell>
          <cell r="AI2044">
            <v>0</v>
          </cell>
          <cell r="AJ2044">
            <v>0</v>
          </cell>
          <cell r="AK2044">
            <v>345389</v>
          </cell>
          <cell r="AL2044">
            <v>755537</v>
          </cell>
          <cell r="AM2044">
            <v>64760</v>
          </cell>
          <cell r="AN2044">
            <v>129521</v>
          </cell>
          <cell r="AO2044">
            <v>43174</v>
          </cell>
          <cell r="AP2044">
            <v>43174</v>
          </cell>
        </row>
        <row r="2045">
          <cell r="D2045" t="str">
            <v>NV khác</v>
          </cell>
          <cell r="G2045" t="str">
            <v>Quản lý</v>
          </cell>
          <cell r="I2045" t="str">
            <v>CHĐK</v>
          </cell>
          <cell r="AC2045">
            <v>1398000</v>
          </cell>
          <cell r="AD2045">
            <v>15032759</v>
          </cell>
          <cell r="AE2045">
            <v>8929440</v>
          </cell>
          <cell r="AF2045">
            <v>8215085</v>
          </cell>
          <cell r="AG2045">
            <v>0</v>
          </cell>
          <cell r="AH2045">
            <v>0</v>
          </cell>
          <cell r="AI2045">
            <v>0</v>
          </cell>
          <cell r="AJ2045">
            <v>0</v>
          </cell>
          <cell r="AK2045">
            <v>714355</v>
          </cell>
          <cell r="AL2045">
            <v>1562652</v>
          </cell>
          <cell r="AM2045">
            <v>0</v>
          </cell>
          <cell r="AN2045">
            <v>0</v>
          </cell>
          <cell r="AO2045">
            <v>0</v>
          </cell>
          <cell r="AP2045">
            <v>0</v>
          </cell>
        </row>
        <row r="2046">
          <cell r="D2046" t="str">
            <v>NV khác</v>
          </cell>
          <cell r="G2046" t="str">
            <v>Quản lý</v>
          </cell>
          <cell r="I2046" t="str">
            <v>GPTH</v>
          </cell>
          <cell r="AC2046">
            <v>930000</v>
          </cell>
          <cell r="AD2046">
            <v>16490056</v>
          </cell>
          <cell r="AE2046">
            <v>9000000</v>
          </cell>
          <cell r="AF2046">
            <v>8487125</v>
          </cell>
          <cell r="AG2046">
            <v>0</v>
          </cell>
          <cell r="AH2046">
            <v>0</v>
          </cell>
          <cell r="AI2046">
            <v>0</v>
          </cell>
          <cell r="AJ2046">
            <v>0</v>
          </cell>
          <cell r="AK2046">
            <v>390762</v>
          </cell>
          <cell r="AL2046">
            <v>854791</v>
          </cell>
          <cell r="AM2046">
            <v>73268</v>
          </cell>
          <cell r="AN2046">
            <v>146536</v>
          </cell>
          <cell r="AO2046">
            <v>48845</v>
          </cell>
          <cell r="AP2046">
            <v>48845</v>
          </cell>
        </row>
        <row r="2047">
          <cell r="D2047" t="str">
            <v>NV khác</v>
          </cell>
          <cell r="G2047" t="str">
            <v>Quản lý</v>
          </cell>
          <cell r="I2047" t="str">
            <v>MHMP</v>
          </cell>
          <cell r="AC2047">
            <v>930000</v>
          </cell>
          <cell r="AD2047">
            <v>15796808</v>
          </cell>
          <cell r="AE2047">
            <v>13200000</v>
          </cell>
          <cell r="AF2047">
            <v>12455256</v>
          </cell>
          <cell r="AG2047">
            <v>0</v>
          </cell>
          <cell r="AH2047">
            <v>0</v>
          </cell>
          <cell r="AI2047">
            <v>0</v>
          </cell>
          <cell r="AJ2047">
            <v>0</v>
          </cell>
          <cell r="AK2047">
            <v>567424</v>
          </cell>
          <cell r="AL2047">
            <v>1241240</v>
          </cell>
          <cell r="AM2047">
            <v>106392</v>
          </cell>
          <cell r="AN2047">
            <v>212784</v>
          </cell>
          <cell r="AO2047">
            <v>70928</v>
          </cell>
          <cell r="AP2047">
            <v>70928</v>
          </cell>
        </row>
        <row r="2048">
          <cell r="D2048" t="str">
            <v>NV khác</v>
          </cell>
          <cell r="G2048" t="str">
            <v>Quản lý</v>
          </cell>
          <cell r="I2048" t="str">
            <v>CHĐK</v>
          </cell>
          <cell r="AC2048">
            <v>1047000</v>
          </cell>
          <cell r="AD2048">
            <v>22258396</v>
          </cell>
          <cell r="AE2048">
            <v>14161695</v>
          </cell>
          <cell r="AF2048">
            <v>13484202</v>
          </cell>
          <cell r="AG2048">
            <v>0</v>
          </cell>
          <cell r="AH2048">
            <v>0</v>
          </cell>
          <cell r="AI2048">
            <v>0</v>
          </cell>
          <cell r="AJ2048">
            <v>0</v>
          </cell>
          <cell r="AK2048">
            <v>516185</v>
          </cell>
          <cell r="AL2048">
            <v>1129155</v>
          </cell>
          <cell r="AM2048">
            <v>96785</v>
          </cell>
          <cell r="AN2048">
            <v>193569</v>
          </cell>
          <cell r="AO2048">
            <v>64523</v>
          </cell>
          <cell r="AP2048">
            <v>64523</v>
          </cell>
        </row>
        <row r="2049">
          <cell r="D2049" t="str">
            <v>NV khác</v>
          </cell>
          <cell r="G2049" t="str">
            <v>Quản lý</v>
          </cell>
          <cell r="I2049" t="str">
            <v>GPTH</v>
          </cell>
          <cell r="AC2049">
            <v>930000</v>
          </cell>
          <cell r="AD2049">
            <v>15796808</v>
          </cell>
          <cell r="AE2049">
            <v>8608696</v>
          </cell>
          <cell r="AF2049">
            <v>8122994</v>
          </cell>
          <cell r="AG2049">
            <v>0</v>
          </cell>
          <cell r="AH2049">
            <v>0</v>
          </cell>
          <cell r="AI2049">
            <v>0</v>
          </cell>
          <cell r="AJ2049">
            <v>0</v>
          </cell>
          <cell r="AK2049">
            <v>370059</v>
          </cell>
          <cell r="AL2049">
            <v>809504</v>
          </cell>
          <cell r="AM2049">
            <v>69386</v>
          </cell>
          <cell r="AN2049">
            <v>138772</v>
          </cell>
          <cell r="AO2049">
            <v>46257</v>
          </cell>
          <cell r="AP2049">
            <v>46257</v>
          </cell>
        </row>
        <row r="2050">
          <cell r="D2050" t="str">
            <v>NV khác</v>
          </cell>
          <cell r="G2050" t="str">
            <v>Quản lý</v>
          </cell>
          <cell r="I2050" t="str">
            <v>IOT</v>
          </cell>
          <cell r="AC2050">
            <v>930000</v>
          </cell>
          <cell r="AD2050">
            <v>20128152</v>
          </cell>
          <cell r="AE2050">
            <v>4500417</v>
          </cell>
          <cell r="AF2050">
            <v>4273529</v>
          </cell>
          <cell r="AG2050">
            <v>0</v>
          </cell>
          <cell r="AH2050">
            <v>0</v>
          </cell>
          <cell r="AI2050">
            <v>0</v>
          </cell>
          <cell r="AJ2050">
            <v>0</v>
          </cell>
          <cell r="AK2050">
            <v>172867</v>
          </cell>
          <cell r="AL2050">
            <v>378146</v>
          </cell>
          <cell r="AM2050">
            <v>32413</v>
          </cell>
          <cell r="AN2050">
            <v>64825</v>
          </cell>
          <cell r="AO2050">
            <v>21608</v>
          </cell>
          <cell r="AP2050">
            <v>21608</v>
          </cell>
        </row>
        <row r="2051">
          <cell r="D2051" t="str">
            <v>NV khác</v>
          </cell>
          <cell r="G2051" t="str">
            <v>Quản lý</v>
          </cell>
          <cell r="I2051" t="str">
            <v>GPTH</v>
          </cell>
          <cell r="AC2051">
            <v>930000</v>
          </cell>
          <cell r="AD2051">
            <v>12515216</v>
          </cell>
          <cell r="AE2051">
            <v>6521739</v>
          </cell>
          <cell r="AF2051">
            <v>6059812</v>
          </cell>
          <cell r="AG2051">
            <v>0</v>
          </cell>
          <cell r="AH2051">
            <v>0</v>
          </cell>
          <cell r="AI2051">
            <v>0</v>
          </cell>
          <cell r="AJ2051">
            <v>0</v>
          </cell>
          <cell r="AK2051">
            <v>351944</v>
          </cell>
          <cell r="AL2051">
            <v>769878</v>
          </cell>
          <cell r="AM2051">
            <v>65990</v>
          </cell>
          <cell r="AN2051">
            <v>131979</v>
          </cell>
          <cell r="AO2051">
            <v>43993</v>
          </cell>
          <cell r="AP2051">
            <v>43993</v>
          </cell>
        </row>
        <row r="2052">
          <cell r="D2052" t="str">
            <v>NV khác</v>
          </cell>
          <cell r="G2052" t="str">
            <v>Quản lý</v>
          </cell>
          <cell r="I2052" t="str">
            <v>RD</v>
          </cell>
          <cell r="AC2052">
            <v>930000</v>
          </cell>
          <cell r="AD2052">
            <v>14566288</v>
          </cell>
          <cell r="AE2052">
            <v>1040824</v>
          </cell>
          <cell r="AF2052">
            <v>976063</v>
          </cell>
          <cell r="AG2052">
            <v>0</v>
          </cell>
          <cell r="AH2052">
            <v>0</v>
          </cell>
          <cell r="AI2052">
            <v>0</v>
          </cell>
          <cell r="AJ2052">
            <v>0</v>
          </cell>
          <cell r="AK2052">
            <v>49341</v>
          </cell>
          <cell r="AL2052">
            <v>107934</v>
          </cell>
          <cell r="AM2052">
            <v>9252</v>
          </cell>
          <cell r="AN2052">
            <v>18503</v>
          </cell>
          <cell r="AO2052">
            <v>6168</v>
          </cell>
          <cell r="AP2052">
            <v>6168</v>
          </cell>
        </row>
        <row r="2053">
          <cell r="D2053" t="str">
            <v>NV khác</v>
          </cell>
          <cell r="G2053" t="str">
            <v>Quản lý</v>
          </cell>
          <cell r="I2053" t="str">
            <v>ĐPT</v>
          </cell>
          <cell r="AC2053">
            <v>930000</v>
          </cell>
          <cell r="AD2053">
            <v>15796808</v>
          </cell>
          <cell r="AE2053">
            <v>7460870</v>
          </cell>
          <cell r="AF2053">
            <v>7039928</v>
          </cell>
          <cell r="AG2053">
            <v>0</v>
          </cell>
          <cell r="AH2053">
            <v>0</v>
          </cell>
          <cell r="AI2053">
            <v>0</v>
          </cell>
          <cell r="AJ2053">
            <v>0</v>
          </cell>
          <cell r="AK2053">
            <v>320718</v>
          </cell>
          <cell r="AL2053">
            <v>701570</v>
          </cell>
          <cell r="AM2053">
            <v>60134</v>
          </cell>
          <cell r="AN2053">
            <v>120270</v>
          </cell>
          <cell r="AO2053">
            <v>40090</v>
          </cell>
          <cell r="AP2053">
            <v>40090</v>
          </cell>
        </row>
        <row r="2054">
          <cell r="D2054" t="str">
            <v>NV khác</v>
          </cell>
          <cell r="G2054" t="str">
            <v>Quản lý</v>
          </cell>
          <cell r="I2054" t="str">
            <v>IOT</v>
          </cell>
          <cell r="AC2054">
            <v>930000</v>
          </cell>
          <cell r="AD2054">
            <v>19325404</v>
          </cell>
          <cell r="AE2054">
            <v>4315330</v>
          </cell>
          <cell r="AF2054">
            <v>4099311</v>
          </cell>
          <cell r="AG2054">
            <v>0</v>
          </cell>
          <cell r="AH2054">
            <v>0</v>
          </cell>
          <cell r="AI2054">
            <v>0</v>
          </cell>
          <cell r="AJ2054">
            <v>0</v>
          </cell>
          <cell r="AK2054">
            <v>164586</v>
          </cell>
          <cell r="AL2054">
            <v>360031</v>
          </cell>
          <cell r="AM2054">
            <v>30860</v>
          </cell>
          <cell r="AN2054">
            <v>61720</v>
          </cell>
          <cell r="AO2054">
            <v>20573</v>
          </cell>
          <cell r="AP2054">
            <v>20573</v>
          </cell>
        </row>
        <row r="2055">
          <cell r="D2055" t="str">
            <v>NV khác</v>
          </cell>
          <cell r="G2055" t="str">
            <v>Quản lý</v>
          </cell>
          <cell r="I2055" t="str">
            <v>CKTĐH</v>
          </cell>
          <cell r="AC2055">
            <v>930000</v>
          </cell>
          <cell r="AD2055">
            <v>16385556</v>
          </cell>
          <cell r="AE2055">
            <v>7145478</v>
          </cell>
          <cell r="AF2055">
            <v>6735179</v>
          </cell>
          <cell r="AG2055">
            <v>0</v>
          </cell>
          <cell r="AH2055">
            <v>0</v>
          </cell>
          <cell r="AI2055">
            <v>0</v>
          </cell>
          <cell r="AJ2055">
            <v>0</v>
          </cell>
          <cell r="AK2055">
            <v>312609</v>
          </cell>
          <cell r="AL2055">
            <v>683833</v>
          </cell>
          <cell r="AM2055">
            <v>58614</v>
          </cell>
          <cell r="AN2055">
            <v>117229</v>
          </cell>
          <cell r="AO2055">
            <v>39076</v>
          </cell>
          <cell r="AP2055">
            <v>39076</v>
          </cell>
        </row>
        <row r="2056">
          <cell r="D2056" t="str">
            <v>NV khác</v>
          </cell>
          <cell r="G2056" t="str">
            <v>Quản lý</v>
          </cell>
          <cell r="I2056" t="str">
            <v>CKTĐH</v>
          </cell>
          <cell r="AC2056">
            <v>242609</v>
          </cell>
          <cell r="AD2056">
            <v>3112174</v>
          </cell>
          <cell r="AE2056">
            <v>2391304</v>
          </cell>
          <cell r="AF2056">
            <v>2391304</v>
          </cell>
          <cell r="AG2056">
            <v>0</v>
          </cell>
          <cell r="AH2056">
            <v>0</v>
          </cell>
          <cell r="AI2056">
            <v>0</v>
          </cell>
          <cell r="AJ2056">
            <v>0</v>
          </cell>
          <cell r="AK2056">
            <v>0</v>
          </cell>
          <cell r="AL2056">
            <v>0</v>
          </cell>
          <cell r="AM2056">
            <v>0</v>
          </cell>
          <cell r="AN2056">
            <v>0</v>
          </cell>
          <cell r="AO2056">
            <v>0</v>
          </cell>
          <cell r="AP2056">
            <v>0</v>
          </cell>
        </row>
        <row r="2057">
          <cell r="D2057" t="str">
            <v>NV khác</v>
          </cell>
          <cell r="G2057" t="str">
            <v>Quản lý</v>
          </cell>
          <cell r="I2057" t="str">
            <v>TCĐT</v>
          </cell>
          <cell r="AC2057">
            <v>930000</v>
          </cell>
          <cell r="AD2057">
            <v>12849836</v>
          </cell>
          <cell r="AE2057">
            <v>2246656</v>
          </cell>
          <cell r="AF2057">
            <v>2092682</v>
          </cell>
          <cell r="AG2057">
            <v>0</v>
          </cell>
          <cell r="AH2057">
            <v>0</v>
          </cell>
          <cell r="AI2057">
            <v>0</v>
          </cell>
          <cell r="AJ2057">
            <v>0</v>
          </cell>
          <cell r="AK2057">
            <v>117314</v>
          </cell>
          <cell r="AL2057">
            <v>256626</v>
          </cell>
          <cell r="AM2057">
            <v>21996</v>
          </cell>
          <cell r="AN2057">
            <v>43994</v>
          </cell>
          <cell r="AO2057">
            <v>14664</v>
          </cell>
          <cell r="AP2057">
            <v>14664</v>
          </cell>
        </row>
        <row r="2058">
          <cell r="D2058" t="str">
            <v>NV khác</v>
          </cell>
          <cell r="G2058" t="str">
            <v>Quản lý</v>
          </cell>
          <cell r="I2058" t="str">
            <v>RD</v>
          </cell>
          <cell r="AC2058">
            <v>930000</v>
          </cell>
          <cell r="AD2058">
            <v>17090056</v>
          </cell>
          <cell r="AE2058">
            <v>626087</v>
          </cell>
          <cell r="AF2058">
            <v>591896</v>
          </cell>
          <cell r="AG2058">
            <v>0</v>
          </cell>
          <cell r="AH2058">
            <v>0</v>
          </cell>
          <cell r="AI2058">
            <v>0</v>
          </cell>
          <cell r="AJ2058">
            <v>0</v>
          </cell>
          <cell r="AK2058">
            <v>26050</v>
          </cell>
          <cell r="AL2058">
            <v>56987</v>
          </cell>
          <cell r="AM2058">
            <v>4885</v>
          </cell>
          <cell r="AN2058">
            <v>9769</v>
          </cell>
          <cell r="AO2058">
            <v>3256</v>
          </cell>
          <cell r="AP2058">
            <v>3256</v>
          </cell>
        </row>
        <row r="2059">
          <cell r="D2059" t="str">
            <v>NV khác</v>
          </cell>
          <cell r="G2059" t="str">
            <v>Quản lý</v>
          </cell>
          <cell r="I2059" t="str">
            <v>TCĐT</v>
          </cell>
          <cell r="AC2059">
            <v>930000</v>
          </cell>
          <cell r="AD2059">
            <v>14015216</v>
          </cell>
          <cell r="AE2059">
            <v>2500000</v>
          </cell>
          <cell r="AF2059">
            <v>2346026</v>
          </cell>
          <cell r="AG2059">
            <v>0</v>
          </cell>
          <cell r="AH2059">
            <v>0</v>
          </cell>
          <cell r="AI2059">
            <v>0</v>
          </cell>
          <cell r="AJ2059">
            <v>0</v>
          </cell>
          <cell r="AK2059">
            <v>117314</v>
          </cell>
          <cell r="AL2059">
            <v>256626</v>
          </cell>
          <cell r="AM2059">
            <v>21996</v>
          </cell>
          <cell r="AN2059">
            <v>43994</v>
          </cell>
          <cell r="AO2059">
            <v>14664</v>
          </cell>
          <cell r="AP2059">
            <v>14664</v>
          </cell>
        </row>
        <row r="2060">
          <cell r="D2060" t="str">
            <v>NV khác</v>
          </cell>
          <cell r="G2060" t="str">
            <v>Quản lý</v>
          </cell>
          <cell r="I2060" t="str">
            <v>CKTĐH</v>
          </cell>
          <cell r="AC2060">
            <v>930000</v>
          </cell>
          <cell r="AD2060">
            <v>18646004</v>
          </cell>
          <cell r="AE2060">
            <v>689683</v>
          </cell>
          <cell r="AF2060">
            <v>653680</v>
          </cell>
          <cell r="AG2060">
            <v>0</v>
          </cell>
          <cell r="AH2060">
            <v>0</v>
          </cell>
          <cell r="AI2060">
            <v>0</v>
          </cell>
          <cell r="AJ2060">
            <v>0</v>
          </cell>
          <cell r="AK2060">
            <v>27431</v>
          </cell>
          <cell r="AL2060">
            <v>60005</v>
          </cell>
          <cell r="AM2060">
            <v>5143</v>
          </cell>
          <cell r="AN2060">
            <v>10287</v>
          </cell>
          <cell r="AO2060">
            <v>3429</v>
          </cell>
          <cell r="AP2060">
            <v>3429</v>
          </cell>
        </row>
        <row r="2061">
          <cell r="D2061" t="str">
            <v>NV khác</v>
          </cell>
          <cell r="G2061" t="str">
            <v>Quản lý</v>
          </cell>
          <cell r="I2061" t="str">
            <v>TCĐT</v>
          </cell>
          <cell r="AC2061">
            <v>1147000</v>
          </cell>
          <cell r="AD2061">
            <v>29713100</v>
          </cell>
          <cell r="AE2061">
            <v>5741248</v>
          </cell>
          <cell r="AF2061">
            <v>5531796</v>
          </cell>
          <cell r="AG2061">
            <v>0</v>
          </cell>
          <cell r="AH2061">
            <v>0</v>
          </cell>
          <cell r="AI2061">
            <v>0</v>
          </cell>
          <cell r="AJ2061">
            <v>0</v>
          </cell>
          <cell r="AK2061">
            <v>159582</v>
          </cell>
          <cell r="AL2061">
            <v>349086</v>
          </cell>
          <cell r="AM2061">
            <v>29922</v>
          </cell>
          <cell r="AN2061">
            <v>59844</v>
          </cell>
          <cell r="AO2061">
            <v>19948</v>
          </cell>
          <cell r="AP2061">
            <v>19948</v>
          </cell>
        </row>
        <row r="2062">
          <cell r="D2062" t="str">
            <v>NV khác</v>
          </cell>
          <cell r="G2062" t="str">
            <v>Quản lý</v>
          </cell>
          <cell r="I2062" t="str">
            <v>IOT</v>
          </cell>
          <cell r="AC2062">
            <v>1147000</v>
          </cell>
          <cell r="AD2062">
            <v>44718450</v>
          </cell>
          <cell r="AE2062">
            <v>10676227</v>
          </cell>
          <cell r="AF2062">
            <v>10367822</v>
          </cell>
          <cell r="AG2062">
            <v>0</v>
          </cell>
          <cell r="AH2062">
            <v>0</v>
          </cell>
          <cell r="AI2062">
            <v>0</v>
          </cell>
          <cell r="AJ2062">
            <v>0</v>
          </cell>
          <cell r="AK2062">
            <v>234975</v>
          </cell>
          <cell r="AL2062">
            <v>514007</v>
          </cell>
          <cell r="AM2062">
            <v>44058</v>
          </cell>
          <cell r="AN2062">
            <v>88115</v>
          </cell>
          <cell r="AO2062">
            <v>29372</v>
          </cell>
          <cell r="AP2062">
            <v>29372</v>
          </cell>
        </row>
        <row r="2063">
          <cell r="D2063" t="str">
            <v>NV khác</v>
          </cell>
          <cell r="G2063" t="str">
            <v>Quản lý</v>
          </cell>
          <cell r="I2063" t="str">
            <v>CKTĐH</v>
          </cell>
          <cell r="AC2063">
            <v>930000</v>
          </cell>
          <cell r="AD2063">
            <v>17741776</v>
          </cell>
          <cell r="AE2063">
            <v>7853071</v>
          </cell>
          <cell r="AF2063">
            <v>7442772</v>
          </cell>
          <cell r="AG2063">
            <v>0</v>
          </cell>
          <cell r="AH2063">
            <v>0</v>
          </cell>
          <cell r="AI2063">
            <v>0</v>
          </cell>
          <cell r="AJ2063">
            <v>0</v>
          </cell>
          <cell r="AK2063">
            <v>312609</v>
          </cell>
          <cell r="AL2063">
            <v>683833</v>
          </cell>
          <cell r="AM2063">
            <v>58614</v>
          </cell>
          <cell r="AN2063">
            <v>117229</v>
          </cell>
          <cell r="AO2063">
            <v>39076</v>
          </cell>
          <cell r="AP2063">
            <v>39076</v>
          </cell>
        </row>
        <row r="2064">
          <cell r="D2064" t="str">
            <v>NV khác</v>
          </cell>
          <cell r="G2064" t="str">
            <v>Quản lý</v>
          </cell>
          <cell r="I2064" t="str">
            <v>RD</v>
          </cell>
          <cell r="AC2064">
            <v>1047000</v>
          </cell>
          <cell r="AD2064">
            <v>15363808</v>
          </cell>
          <cell r="AE2064">
            <v>2750000</v>
          </cell>
          <cell r="AF2064">
            <v>2588099</v>
          </cell>
          <cell r="AG2064">
            <v>0</v>
          </cell>
          <cell r="AH2064">
            <v>0</v>
          </cell>
          <cell r="AI2064">
            <v>0</v>
          </cell>
          <cell r="AJ2064">
            <v>0</v>
          </cell>
          <cell r="AK2064">
            <v>123353</v>
          </cell>
          <cell r="AL2064">
            <v>269835</v>
          </cell>
          <cell r="AM2064">
            <v>23129</v>
          </cell>
          <cell r="AN2064">
            <v>46257</v>
          </cell>
          <cell r="AO2064">
            <v>15419</v>
          </cell>
          <cell r="AP2064">
            <v>15419</v>
          </cell>
        </row>
        <row r="2065">
          <cell r="D2065" t="str">
            <v>NV khác</v>
          </cell>
          <cell r="G2065" t="str">
            <v>Quản lý</v>
          </cell>
          <cell r="I2065" t="str">
            <v>DVSBH</v>
          </cell>
          <cell r="AC2065">
            <v>930000</v>
          </cell>
          <cell r="AD2065">
            <v>34371876</v>
          </cell>
          <cell r="AE2065">
            <v>18908828</v>
          </cell>
          <cell r="AF2065">
            <v>17122126</v>
          </cell>
          <cell r="AG2065">
            <v>0</v>
          </cell>
          <cell r="AH2065">
            <v>0</v>
          </cell>
          <cell r="AI2065">
            <v>0</v>
          </cell>
          <cell r="AJ2065">
            <v>0</v>
          </cell>
          <cell r="AK2065">
            <v>1786702</v>
          </cell>
          <cell r="AL2065">
            <v>3908410</v>
          </cell>
          <cell r="AM2065">
            <v>0</v>
          </cell>
          <cell r="AN2065">
            <v>0</v>
          </cell>
          <cell r="AO2065">
            <v>0</v>
          </cell>
          <cell r="AP2065">
            <v>0</v>
          </cell>
        </row>
        <row r="2066">
          <cell r="D2066" t="str">
            <v>NV khác</v>
          </cell>
          <cell r="G2066" t="str">
            <v>Quản lý</v>
          </cell>
          <cell r="I2066" t="str">
            <v>KTCN</v>
          </cell>
          <cell r="AC2066">
            <v>930000</v>
          </cell>
          <cell r="AD2066">
            <v>20493652</v>
          </cell>
          <cell r="AE2066">
            <v>9191530</v>
          </cell>
          <cell r="AF2066">
            <v>8737754</v>
          </cell>
          <cell r="AG2066">
            <v>0</v>
          </cell>
          <cell r="AH2066">
            <v>0</v>
          </cell>
          <cell r="AI2066">
            <v>0</v>
          </cell>
          <cell r="AJ2066">
            <v>0</v>
          </cell>
          <cell r="AK2066">
            <v>345734</v>
          </cell>
          <cell r="AL2066">
            <v>756292</v>
          </cell>
          <cell r="AM2066">
            <v>64825</v>
          </cell>
          <cell r="AN2066">
            <v>129650</v>
          </cell>
          <cell r="AO2066">
            <v>43217</v>
          </cell>
          <cell r="AP2066">
            <v>43217</v>
          </cell>
        </row>
        <row r="2067">
          <cell r="D2067" t="str">
            <v>NV khác</v>
          </cell>
          <cell r="G2067" t="str">
            <v>Quản lý</v>
          </cell>
          <cell r="I2067" t="str">
            <v>KTCN</v>
          </cell>
          <cell r="AC2067">
            <v>1047000</v>
          </cell>
          <cell r="AD2067">
            <v>20143999</v>
          </cell>
          <cell r="AE2067">
            <v>17150447</v>
          </cell>
          <cell r="AF2067">
            <v>16280711</v>
          </cell>
          <cell r="AG2067">
            <v>0</v>
          </cell>
          <cell r="AH2067">
            <v>0</v>
          </cell>
          <cell r="AI2067">
            <v>0</v>
          </cell>
          <cell r="AJ2067">
            <v>0</v>
          </cell>
          <cell r="AK2067">
            <v>662656</v>
          </cell>
          <cell r="AL2067">
            <v>1449560</v>
          </cell>
          <cell r="AM2067">
            <v>124248</v>
          </cell>
          <cell r="AN2067">
            <v>248496</v>
          </cell>
          <cell r="AO2067">
            <v>82832</v>
          </cell>
          <cell r="AP2067">
            <v>82832</v>
          </cell>
        </row>
        <row r="2068">
          <cell r="D2068" t="str">
            <v>NV khác</v>
          </cell>
          <cell r="G2068" t="str">
            <v>Quản lý</v>
          </cell>
          <cell r="I2068" t="str">
            <v>QLSX</v>
          </cell>
          <cell r="AC2068">
            <v>930000</v>
          </cell>
          <cell r="AD2068">
            <v>19029409</v>
          </cell>
          <cell r="AE2068">
            <v>706353</v>
          </cell>
          <cell r="AF2068">
            <v>670351</v>
          </cell>
          <cell r="AG2068">
            <v>0</v>
          </cell>
          <cell r="AH2068">
            <v>0</v>
          </cell>
          <cell r="AI2068">
            <v>0</v>
          </cell>
          <cell r="AJ2068">
            <v>0</v>
          </cell>
          <cell r="AK2068">
            <v>27430</v>
          </cell>
          <cell r="AL2068">
            <v>60006</v>
          </cell>
          <cell r="AM2068">
            <v>5144</v>
          </cell>
          <cell r="AN2068">
            <v>10286</v>
          </cell>
          <cell r="AO2068">
            <v>3428</v>
          </cell>
          <cell r="AP2068">
            <v>3428</v>
          </cell>
        </row>
        <row r="2069">
          <cell r="D2069" t="str">
            <v>NV khác</v>
          </cell>
          <cell r="G2069" t="str">
            <v>Quản lý</v>
          </cell>
          <cell r="I2069" t="str">
            <v>QLSX</v>
          </cell>
          <cell r="AC2069">
            <v>930000</v>
          </cell>
          <cell r="AD2069">
            <v>17741776</v>
          </cell>
          <cell r="AE2069">
            <v>654422</v>
          </cell>
          <cell r="AF2069">
            <v>620232</v>
          </cell>
          <cell r="AG2069">
            <v>0</v>
          </cell>
          <cell r="AH2069">
            <v>0</v>
          </cell>
          <cell r="AI2069">
            <v>0</v>
          </cell>
          <cell r="AJ2069">
            <v>0</v>
          </cell>
          <cell r="AK2069">
            <v>26050</v>
          </cell>
          <cell r="AL2069">
            <v>56986</v>
          </cell>
          <cell r="AM2069">
            <v>4884</v>
          </cell>
          <cell r="AN2069">
            <v>9770</v>
          </cell>
          <cell r="AO2069">
            <v>3256</v>
          </cell>
          <cell r="AP2069">
            <v>3256</v>
          </cell>
        </row>
        <row r="2070">
          <cell r="D2070" t="str">
            <v>NV khác</v>
          </cell>
          <cell r="G2070" t="str">
            <v>Quản lý</v>
          </cell>
          <cell r="I2070" t="str">
            <v>QLSX</v>
          </cell>
          <cell r="AC2070">
            <v>1147000</v>
          </cell>
          <cell r="AD2070">
            <v>31641431</v>
          </cell>
          <cell r="AE2070">
            <v>14724267</v>
          </cell>
          <cell r="AF2070">
            <v>14194409</v>
          </cell>
          <cell r="AG2070">
            <v>0</v>
          </cell>
          <cell r="AH2070">
            <v>0</v>
          </cell>
          <cell r="AI2070">
            <v>0</v>
          </cell>
          <cell r="AJ2070">
            <v>0</v>
          </cell>
          <cell r="AK2070">
            <v>403701</v>
          </cell>
          <cell r="AL2070">
            <v>883095</v>
          </cell>
          <cell r="AM2070">
            <v>75694</v>
          </cell>
          <cell r="AN2070">
            <v>151388</v>
          </cell>
          <cell r="AO2070">
            <v>50463</v>
          </cell>
          <cell r="AP2070">
            <v>50463</v>
          </cell>
        </row>
      </sheetData>
      <sheetData sheetId="2">
        <row r="15">
          <cell r="D15" t="str">
            <v>KHỐI 3</v>
          </cell>
        </row>
      </sheetData>
      <sheetData sheetId="3" refreshError="1"/>
      <sheetData sheetId="4" refreshError="1"/>
      <sheetData sheetId="5" refreshError="1"/>
      <sheetData sheetId="6" refreshError="1"/>
      <sheetData sheetId="7" refreshError="1"/>
      <sheetData sheetId="8" refreshError="1"/>
      <sheetData sheetId="9" refreshError="1"/>
      <sheetData sheetId="10">
        <row r="1">
          <cell r="A1" t="str">
            <v>Khối 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3" topLeftCell="A10" activePane="bottomLeft" state="frozen"/>
      <selection pane="bottomLeft" activeCell="D19" sqref="D19"/>
    </sheetView>
  </sheetViews>
  <sheetFormatPr defaultRowHeight="15"/>
  <cols>
    <col min="1" max="1" width="9.140625" style="224"/>
    <col min="2" max="2" width="36.140625" style="220" customWidth="1"/>
    <col min="3" max="3" width="28.5703125" style="220" customWidth="1"/>
    <col min="4" max="4" width="29" style="221" customWidth="1"/>
    <col min="5" max="5" width="14.42578125" style="220" bestFit="1" customWidth="1"/>
    <col min="6" max="6" width="48.5703125" style="220" customWidth="1"/>
    <col min="7" max="8" width="41.7109375" style="222" customWidth="1"/>
    <col min="9" max="16384" width="9.140625" style="220"/>
  </cols>
  <sheetData>
    <row r="1" spans="1:11" ht="15.75">
      <c r="A1" s="218" t="s">
        <v>0</v>
      </c>
      <c r="B1" s="219"/>
      <c r="J1" s="223" t="s">
        <v>1425</v>
      </c>
      <c r="K1" s="223" t="s">
        <v>1426</v>
      </c>
    </row>
    <row r="2" spans="1:11">
      <c r="J2" s="223" t="s">
        <v>1424</v>
      </c>
      <c r="K2" s="223" t="s">
        <v>15</v>
      </c>
    </row>
    <row r="3" spans="1:11" ht="24" customHeight="1">
      <c r="A3" s="225" t="s">
        <v>1</v>
      </c>
      <c r="B3" s="225" t="s">
        <v>2</v>
      </c>
      <c r="C3" s="225" t="s">
        <v>1247</v>
      </c>
      <c r="D3" s="226" t="s">
        <v>3</v>
      </c>
      <c r="E3" s="225" t="s">
        <v>1369</v>
      </c>
      <c r="F3" s="225" t="s">
        <v>1372</v>
      </c>
      <c r="G3" s="236" t="s">
        <v>1530</v>
      </c>
      <c r="H3" s="236" t="s">
        <v>1531</v>
      </c>
      <c r="J3" s="223" t="s">
        <v>1374</v>
      </c>
      <c r="K3" s="223" t="s">
        <v>1423</v>
      </c>
    </row>
    <row r="4" spans="1:11" s="219" customFormat="1">
      <c r="A4" s="227" t="s">
        <v>1366</v>
      </c>
      <c r="B4" s="228" t="s">
        <v>1502</v>
      </c>
      <c r="C4" s="228"/>
      <c r="D4" s="229"/>
      <c r="E4" s="228"/>
      <c r="F4" s="228"/>
      <c r="G4" s="237"/>
      <c r="H4" s="237"/>
      <c r="J4" s="223" t="s">
        <v>1427</v>
      </c>
      <c r="K4" s="223" t="s">
        <v>1428</v>
      </c>
    </row>
    <row r="5" spans="1:11" ht="45">
      <c r="A5" s="230">
        <v>1</v>
      </c>
      <c r="B5" s="114" t="s">
        <v>88</v>
      </c>
      <c r="C5" s="231" t="s">
        <v>1248</v>
      </c>
      <c r="D5" s="232" t="s">
        <v>1373</v>
      </c>
      <c r="E5" s="231" t="s">
        <v>1371</v>
      </c>
      <c r="F5" s="231"/>
      <c r="G5" s="238"/>
      <c r="H5" s="238"/>
    </row>
    <row r="6" spans="1:11" ht="105">
      <c r="A6" s="230">
        <v>2</v>
      </c>
      <c r="B6" s="231" t="s">
        <v>1376</v>
      </c>
      <c r="C6" s="231" t="s">
        <v>1248</v>
      </c>
      <c r="D6" s="232" t="s">
        <v>1364</v>
      </c>
      <c r="E6" s="231" t="s">
        <v>1370</v>
      </c>
      <c r="F6" s="231" t="s">
        <v>1429</v>
      </c>
      <c r="G6" s="238" t="s">
        <v>1532</v>
      </c>
      <c r="H6" s="238"/>
    </row>
    <row r="7" spans="1:11" s="233" customFormat="1" ht="60">
      <c r="A7" s="230">
        <v>3</v>
      </c>
      <c r="B7" s="114" t="s">
        <v>1368</v>
      </c>
      <c r="C7" s="231" t="s">
        <v>1250</v>
      </c>
      <c r="D7" s="232" t="s">
        <v>1365</v>
      </c>
      <c r="E7" s="231" t="s">
        <v>1375</v>
      </c>
      <c r="F7" s="231" t="s">
        <v>1380</v>
      </c>
      <c r="G7" s="239" t="s">
        <v>1536</v>
      </c>
      <c r="H7" s="239"/>
    </row>
    <row r="8" spans="1:11" s="219" customFormat="1">
      <c r="A8" s="227" t="s">
        <v>1367</v>
      </c>
      <c r="B8" s="228" t="s">
        <v>89</v>
      </c>
      <c r="C8" s="228"/>
      <c r="D8" s="234"/>
      <c r="E8" s="228"/>
      <c r="F8" s="228"/>
      <c r="G8" s="237"/>
      <c r="H8" s="237"/>
    </row>
    <row r="9" spans="1:11" ht="45">
      <c r="A9" s="230">
        <v>1</v>
      </c>
      <c r="B9" s="114" t="s">
        <v>1377</v>
      </c>
      <c r="C9" s="114" t="s">
        <v>1249</v>
      </c>
      <c r="D9" s="232" t="s">
        <v>1503</v>
      </c>
      <c r="E9" s="231" t="s">
        <v>1375</v>
      </c>
      <c r="F9" s="114"/>
      <c r="G9" s="238" t="s">
        <v>1538</v>
      </c>
      <c r="H9" s="238"/>
    </row>
    <row r="10" spans="1:11">
      <c r="A10" s="230">
        <v>2</v>
      </c>
      <c r="B10" s="114" t="s">
        <v>1378</v>
      </c>
      <c r="C10" s="114" t="s">
        <v>1249</v>
      </c>
      <c r="D10" s="232" t="s">
        <v>1504</v>
      </c>
      <c r="E10" s="231" t="s">
        <v>1375</v>
      </c>
      <c r="F10" s="114"/>
      <c r="G10" s="238"/>
      <c r="H10" s="238"/>
    </row>
    <row r="11" spans="1:11" ht="270">
      <c r="A11" s="230">
        <v>3</v>
      </c>
      <c r="B11" s="114" t="s">
        <v>1379</v>
      </c>
      <c r="C11" s="114" t="s">
        <v>1249</v>
      </c>
      <c r="D11" s="232" t="s">
        <v>1505</v>
      </c>
      <c r="E11" s="114" t="s">
        <v>1374</v>
      </c>
      <c r="F11" s="231" t="s">
        <v>1533</v>
      </c>
      <c r="G11" s="238" t="s">
        <v>1537</v>
      </c>
      <c r="H11" s="238"/>
    </row>
    <row r="12" spans="1:11" ht="45">
      <c r="A12" s="230">
        <v>4</v>
      </c>
      <c r="B12" s="114" t="s">
        <v>1453</v>
      </c>
      <c r="C12" s="114" t="s">
        <v>1249</v>
      </c>
      <c r="D12" s="232" t="s">
        <v>1506</v>
      </c>
      <c r="E12" s="231" t="s">
        <v>1375</v>
      </c>
      <c r="F12" s="235" t="s">
        <v>1534</v>
      </c>
      <c r="G12" s="238"/>
      <c r="H12" s="238"/>
    </row>
    <row r="13" spans="1:11" s="219" customFormat="1">
      <c r="A13" s="227" t="s">
        <v>1507</v>
      </c>
      <c r="B13" s="228" t="s">
        <v>1508</v>
      </c>
      <c r="C13" s="228"/>
      <c r="D13" s="234"/>
      <c r="E13" s="228"/>
      <c r="F13" s="228"/>
      <c r="G13" s="237"/>
      <c r="H13" s="237"/>
    </row>
    <row r="14" spans="1:11" ht="30">
      <c r="A14" s="230">
        <v>1</v>
      </c>
      <c r="B14" s="231" t="s">
        <v>1529</v>
      </c>
      <c r="C14" s="104"/>
      <c r="D14" s="235"/>
      <c r="E14" s="104" t="s">
        <v>1374</v>
      </c>
      <c r="F14" s="235" t="s">
        <v>1535</v>
      </c>
      <c r="G14" s="238"/>
      <c r="H14" s="23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0"/>
  <sheetViews>
    <sheetView topLeftCell="E1" zoomScale="85" zoomScaleNormal="85" workbookViewId="0">
      <selection activeCell="C1" sqref="C1"/>
    </sheetView>
  </sheetViews>
  <sheetFormatPr defaultRowHeight="15"/>
  <cols>
    <col min="3" max="4" width="50.7109375" bestFit="1" customWidth="1"/>
    <col min="5" max="6" width="18" customWidth="1"/>
    <col min="8" max="8" width="19.7109375" bestFit="1" customWidth="1"/>
    <col min="9" max="9" width="12.5703125" customWidth="1"/>
    <col min="10" max="10" width="13.140625" customWidth="1"/>
    <col min="11" max="12" width="12.42578125" bestFit="1" customWidth="1"/>
    <col min="16" max="16" width="16.85546875" customWidth="1"/>
  </cols>
  <sheetData>
    <row r="1" spans="1:31" ht="75">
      <c r="A1" s="1" t="s">
        <v>4</v>
      </c>
      <c r="B1" s="1" t="s">
        <v>5</v>
      </c>
      <c r="C1" s="1" t="s">
        <v>6</v>
      </c>
      <c r="D1" s="1" t="s">
        <v>7</v>
      </c>
      <c r="E1" s="2" t="s">
        <v>8</v>
      </c>
      <c r="F1" s="2" t="s">
        <v>81</v>
      </c>
      <c r="G1" s="1" t="s">
        <v>9</v>
      </c>
      <c r="H1" s="1" t="s">
        <v>10</v>
      </c>
      <c r="I1" s="2" t="s">
        <v>11</v>
      </c>
      <c r="J1" s="3" t="s">
        <v>12</v>
      </c>
      <c r="K1" s="4" t="s">
        <v>13</v>
      </c>
      <c r="L1" s="4" t="s">
        <v>14</v>
      </c>
      <c r="M1" s="2" t="s">
        <v>15</v>
      </c>
      <c r="N1" s="1" t="s">
        <v>16</v>
      </c>
      <c r="O1" s="3" t="s">
        <v>17</v>
      </c>
      <c r="P1" s="3" t="s">
        <v>18</v>
      </c>
      <c r="Q1" s="5" t="s">
        <v>19</v>
      </c>
      <c r="R1" s="5" t="s">
        <v>20</v>
      </c>
      <c r="S1" s="5" t="s">
        <v>21</v>
      </c>
      <c r="T1" s="5" t="s">
        <v>22</v>
      </c>
      <c r="U1" s="5" t="s">
        <v>23</v>
      </c>
      <c r="V1" s="5" t="s">
        <v>24</v>
      </c>
      <c r="W1" s="5" t="s">
        <v>25</v>
      </c>
      <c r="X1" s="5" t="s">
        <v>26</v>
      </c>
      <c r="Y1" s="5" t="s">
        <v>27</v>
      </c>
      <c r="Z1" s="5" t="s">
        <v>28</v>
      </c>
      <c r="AA1" s="5" t="s">
        <v>29</v>
      </c>
      <c r="AB1" s="5" t="s">
        <v>30</v>
      </c>
      <c r="AC1" s="5" t="s">
        <v>31</v>
      </c>
      <c r="AD1" s="3" t="s">
        <v>32</v>
      </c>
      <c r="AE1" s="3" t="s">
        <v>33</v>
      </c>
    </row>
    <row r="2" spans="1:31" ht="30">
      <c r="B2" s="6" t="s">
        <v>34</v>
      </c>
      <c r="C2" s="6" t="s">
        <v>34</v>
      </c>
      <c r="D2" s="6" t="s">
        <v>34</v>
      </c>
      <c r="E2" s="6" t="s">
        <v>82</v>
      </c>
      <c r="F2" s="6" t="s">
        <v>83</v>
      </c>
      <c r="G2" t="s">
        <v>66</v>
      </c>
      <c r="H2" t="s">
        <v>72</v>
      </c>
      <c r="I2" s="6" t="s">
        <v>77</v>
      </c>
      <c r="J2" s="6" t="s">
        <v>78</v>
      </c>
      <c r="K2" t="s">
        <v>75</v>
      </c>
      <c r="L2" t="s">
        <v>75</v>
      </c>
      <c r="M2" t="s">
        <v>76</v>
      </c>
      <c r="O2" s="86" t="s">
        <v>80</v>
      </c>
      <c r="P2" s="87" t="s">
        <v>79</v>
      </c>
    </row>
    <row r="3" spans="1:31">
      <c r="B3" s="6" t="s">
        <v>52</v>
      </c>
      <c r="C3" t="s">
        <v>35</v>
      </c>
      <c r="D3" t="s">
        <v>35</v>
      </c>
      <c r="F3" t="s">
        <v>84</v>
      </c>
      <c r="G3" t="s">
        <v>67</v>
      </c>
      <c r="H3" t="s">
        <v>73</v>
      </c>
    </row>
    <row r="4" spans="1:31">
      <c r="B4" s="6" t="s">
        <v>60</v>
      </c>
      <c r="C4" t="s">
        <v>36</v>
      </c>
      <c r="D4" t="s">
        <v>36</v>
      </c>
      <c r="E4" s="6" t="s">
        <v>85</v>
      </c>
      <c r="F4" s="6" t="s">
        <v>86</v>
      </c>
      <c r="G4" t="s">
        <v>68</v>
      </c>
      <c r="H4" t="s">
        <v>74</v>
      </c>
    </row>
    <row r="5" spans="1:31">
      <c r="C5" t="s">
        <v>37</v>
      </c>
      <c r="D5" t="s">
        <v>37</v>
      </c>
      <c r="F5" t="s">
        <v>87</v>
      </c>
      <c r="G5" t="s">
        <v>69</v>
      </c>
    </row>
    <row r="6" spans="1:31">
      <c r="C6" t="s">
        <v>38</v>
      </c>
      <c r="D6" t="s">
        <v>38</v>
      </c>
      <c r="G6" t="s">
        <v>70</v>
      </c>
    </row>
    <row r="7" spans="1:31">
      <c r="C7" t="s">
        <v>39</v>
      </c>
      <c r="D7" t="s">
        <v>39</v>
      </c>
      <c r="G7" t="s">
        <v>71</v>
      </c>
    </row>
    <row r="8" spans="1:31">
      <c r="C8" t="s">
        <v>40</v>
      </c>
      <c r="D8" t="s">
        <v>40</v>
      </c>
    </row>
    <row r="9" spans="1:31">
      <c r="C9" t="s">
        <v>41</v>
      </c>
      <c r="D9" t="s">
        <v>41</v>
      </c>
    </row>
    <row r="10" spans="1:31">
      <c r="C10" t="s">
        <v>42</v>
      </c>
      <c r="D10" t="s">
        <v>42</v>
      </c>
    </row>
    <row r="11" spans="1:31">
      <c r="C11" t="s">
        <v>43</v>
      </c>
      <c r="D11" t="s">
        <v>43</v>
      </c>
    </row>
    <row r="12" spans="1:31">
      <c r="C12" t="s">
        <v>44</v>
      </c>
      <c r="D12" t="s">
        <v>44</v>
      </c>
    </row>
    <row r="13" spans="1:31">
      <c r="C13" t="s">
        <v>45</v>
      </c>
      <c r="D13" t="s">
        <v>45</v>
      </c>
    </row>
    <row r="14" spans="1:31">
      <c r="C14" t="s">
        <v>46</v>
      </c>
      <c r="D14" t="s">
        <v>46</v>
      </c>
    </row>
    <row r="15" spans="1:31">
      <c r="C15" t="s">
        <v>47</v>
      </c>
      <c r="D15" t="s">
        <v>47</v>
      </c>
    </row>
    <row r="16" spans="1:31">
      <c r="C16" t="s">
        <v>48</v>
      </c>
      <c r="D16" t="s">
        <v>48</v>
      </c>
    </row>
    <row r="17" spans="3:4">
      <c r="C17" t="s">
        <v>49</v>
      </c>
      <c r="D17" t="s">
        <v>49</v>
      </c>
    </row>
    <row r="18" spans="3:4">
      <c r="C18" t="s">
        <v>50</v>
      </c>
      <c r="D18" t="s">
        <v>50</v>
      </c>
    </row>
    <row r="19" spans="3:4">
      <c r="C19" t="s">
        <v>51</v>
      </c>
      <c r="D19" t="s">
        <v>51</v>
      </c>
    </row>
    <row r="20" spans="3:4">
      <c r="C20" s="6" t="s">
        <v>52</v>
      </c>
      <c r="D20" s="6" t="s">
        <v>52</v>
      </c>
    </row>
    <row r="21" spans="3:4">
      <c r="C21" t="s">
        <v>35</v>
      </c>
      <c r="D21" t="s">
        <v>35</v>
      </c>
    </row>
    <row r="22" spans="3:4">
      <c r="C22" t="s">
        <v>37</v>
      </c>
      <c r="D22" t="s">
        <v>37</v>
      </c>
    </row>
    <row r="23" spans="3:4">
      <c r="C23" t="s">
        <v>53</v>
      </c>
      <c r="D23" t="s">
        <v>53</v>
      </c>
    </row>
    <row r="24" spans="3:4">
      <c r="C24" t="s">
        <v>38</v>
      </c>
      <c r="D24" t="s">
        <v>38</v>
      </c>
    </row>
    <row r="25" spans="3:4">
      <c r="C25" t="s">
        <v>42</v>
      </c>
      <c r="D25" t="s">
        <v>42</v>
      </c>
    </row>
    <row r="26" spans="3:4">
      <c r="C26" t="s">
        <v>54</v>
      </c>
      <c r="D26" t="s">
        <v>54</v>
      </c>
    </row>
    <row r="27" spans="3:4">
      <c r="C27" t="s">
        <v>55</v>
      </c>
      <c r="D27" t="s">
        <v>55</v>
      </c>
    </row>
    <row r="28" spans="3:4">
      <c r="C28" t="s">
        <v>56</v>
      </c>
      <c r="D28" t="s">
        <v>56</v>
      </c>
    </row>
    <row r="29" spans="3:4">
      <c r="C29" t="s">
        <v>57</v>
      </c>
      <c r="D29" t="s">
        <v>57</v>
      </c>
    </row>
    <row r="30" spans="3:4">
      <c r="C30" t="s">
        <v>58</v>
      </c>
      <c r="D30" t="s">
        <v>58</v>
      </c>
    </row>
    <row r="31" spans="3:4">
      <c r="C31" t="s">
        <v>59</v>
      </c>
      <c r="D31" t="s">
        <v>59</v>
      </c>
    </row>
    <row r="32" spans="3:4">
      <c r="C32" s="6" t="s">
        <v>60</v>
      </c>
      <c r="D32" s="6" t="s">
        <v>60</v>
      </c>
    </row>
    <row r="33" spans="3:4">
      <c r="C33" t="s">
        <v>61</v>
      </c>
      <c r="D33" t="s">
        <v>61</v>
      </c>
    </row>
    <row r="34" spans="3:4">
      <c r="C34" t="s">
        <v>37</v>
      </c>
      <c r="D34" t="s">
        <v>37</v>
      </c>
    </row>
    <row r="35" spans="3:4">
      <c r="C35" t="s">
        <v>62</v>
      </c>
      <c r="D35" t="s">
        <v>62</v>
      </c>
    </row>
    <row r="36" spans="3:4">
      <c r="C36" t="s">
        <v>38</v>
      </c>
      <c r="D36" t="s">
        <v>38</v>
      </c>
    </row>
    <row r="37" spans="3:4">
      <c r="C37" t="s">
        <v>63</v>
      </c>
      <c r="D37" t="s">
        <v>63</v>
      </c>
    </row>
    <row r="38" spans="3:4">
      <c r="C38" t="s">
        <v>64</v>
      </c>
      <c r="D38" t="s">
        <v>64</v>
      </c>
    </row>
    <row r="39" spans="3:4">
      <c r="C39" t="s">
        <v>65</v>
      </c>
      <c r="D39" t="s">
        <v>65</v>
      </c>
    </row>
    <row r="40" spans="3:4">
      <c r="C40" t="s">
        <v>61</v>
      </c>
      <c r="D40" t="s">
        <v>61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'\\172.21.1.11\TochucLD-HCQT\DATABASE\[DATABASE_202502013.xlsx]LIST'!#REF!</xm:f>
          </x14:formula1>
          <xm:sqref>G1 C1:D1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0"/>
  <sheetViews>
    <sheetView workbookViewId="0">
      <selection activeCell="G15" sqref="G15"/>
    </sheetView>
  </sheetViews>
  <sheetFormatPr defaultColWidth="9.140625" defaultRowHeight="15"/>
  <cols>
    <col min="1" max="1" width="5.85546875" style="25" customWidth="1"/>
    <col min="2" max="2" width="14.140625" style="69" customWidth="1"/>
    <col min="3" max="3" width="13" style="69" bestFit="1" customWidth="1"/>
    <col min="4" max="4" width="18" style="25" customWidth="1"/>
    <col min="5" max="5" width="24.5703125" style="25" customWidth="1"/>
    <col min="6" max="6" width="18.42578125" style="25" customWidth="1"/>
    <col min="7" max="7" width="32.28515625" style="25" customWidth="1"/>
    <col min="8" max="16384" width="9.140625" style="25"/>
  </cols>
  <sheetData>
    <row r="1" spans="1:7">
      <c r="G1" s="70" t="s">
        <v>1332</v>
      </c>
    </row>
    <row r="2" spans="1:7" ht="16.5">
      <c r="A2" s="71" t="s">
        <v>1333</v>
      </c>
      <c r="B2" s="25"/>
      <c r="E2" s="30"/>
      <c r="F2" s="240" t="s">
        <v>1296</v>
      </c>
      <c r="G2" s="240"/>
    </row>
    <row r="3" spans="1:7" ht="16.5">
      <c r="B3" s="72" t="s">
        <v>1334</v>
      </c>
      <c r="C3" s="72"/>
      <c r="D3" s="72"/>
      <c r="E3" s="30"/>
      <c r="F3" s="240" t="s">
        <v>1298</v>
      </c>
      <c r="G3" s="240"/>
    </row>
    <row r="4" spans="1:7" ht="16.5">
      <c r="B4" s="72"/>
      <c r="C4" s="72"/>
      <c r="D4" s="72"/>
      <c r="E4" s="26"/>
      <c r="F4" s="26"/>
      <c r="G4" s="26"/>
    </row>
    <row r="5" spans="1:7" ht="16.5">
      <c r="A5" s="73"/>
      <c r="B5" s="73"/>
      <c r="C5" s="73"/>
      <c r="D5" s="73"/>
      <c r="E5" s="241" t="s">
        <v>1335</v>
      </c>
      <c r="F5" s="241"/>
      <c r="G5" s="241"/>
    </row>
    <row r="6" spans="1:7">
      <c r="A6" s="242"/>
      <c r="B6" s="242"/>
      <c r="C6" s="242"/>
      <c r="D6" s="242"/>
      <c r="E6" s="242"/>
      <c r="F6" s="242"/>
      <c r="G6" s="242"/>
    </row>
    <row r="7" spans="1:7" ht="18.75">
      <c r="A7" s="243" t="s">
        <v>1430</v>
      </c>
      <c r="B7" s="243"/>
      <c r="C7" s="243"/>
      <c r="D7" s="243"/>
      <c r="E7" s="243"/>
      <c r="F7" s="243"/>
      <c r="G7" s="243"/>
    </row>
    <row r="8" spans="1:7" ht="16.5">
      <c r="A8" s="74"/>
      <c r="B8" s="75" t="s">
        <v>1300</v>
      </c>
      <c r="C8" s="74"/>
      <c r="D8" s="74"/>
      <c r="E8" s="74"/>
      <c r="F8" s="74"/>
      <c r="G8" s="74"/>
    </row>
    <row r="9" spans="1:7" ht="16.5">
      <c r="A9" s="74"/>
      <c r="B9" s="75" t="s">
        <v>1301</v>
      </c>
      <c r="C9" s="74"/>
      <c r="D9" s="74"/>
      <c r="E9" s="74"/>
      <c r="F9" s="74"/>
      <c r="G9" s="74"/>
    </row>
    <row r="10" spans="1:7" ht="16.5">
      <c r="A10" s="74"/>
      <c r="B10" s="75"/>
      <c r="C10" s="74"/>
      <c r="D10" s="74"/>
      <c r="E10" s="74"/>
      <c r="F10" s="74"/>
      <c r="G10" s="74"/>
    </row>
    <row r="11" spans="1:7" ht="28.5">
      <c r="A11" s="76" t="s">
        <v>4</v>
      </c>
      <c r="B11" s="76" t="s">
        <v>1336</v>
      </c>
      <c r="C11" s="76" t="s">
        <v>1252</v>
      </c>
      <c r="D11" s="76" t="s">
        <v>1337</v>
      </c>
      <c r="E11" s="77" t="s">
        <v>1338</v>
      </c>
      <c r="F11" s="77" t="s">
        <v>1339</v>
      </c>
      <c r="G11" s="76" t="s">
        <v>1305</v>
      </c>
    </row>
    <row r="12" spans="1:7" ht="30">
      <c r="A12" s="43">
        <v>1</v>
      </c>
      <c r="B12" s="78" t="s">
        <v>1340</v>
      </c>
      <c r="C12" s="78" t="s">
        <v>1341</v>
      </c>
      <c r="D12" s="59" t="s">
        <v>1342</v>
      </c>
      <c r="E12" s="79" t="s">
        <v>1343</v>
      </c>
      <c r="F12" s="80" t="s">
        <v>1344</v>
      </c>
      <c r="G12" s="81"/>
    </row>
    <row r="13" spans="1:7" ht="30">
      <c r="A13" s="43">
        <v>2</v>
      </c>
      <c r="B13" s="78" t="s">
        <v>1345</v>
      </c>
      <c r="C13" s="78" t="s">
        <v>1346</v>
      </c>
      <c r="D13" s="59" t="str">
        <f>+VLOOKUP(B13,[2]Sheet1!C$18:J$782,8,0)</f>
        <v>Phó Trưởng phòng</v>
      </c>
      <c r="E13" s="79" t="s">
        <v>1347</v>
      </c>
      <c r="F13" s="80" t="s">
        <v>1348</v>
      </c>
      <c r="G13" s="81"/>
    </row>
    <row r="14" spans="1:7" ht="30">
      <c r="A14" s="43">
        <v>3</v>
      </c>
      <c r="B14" s="78" t="s">
        <v>1051</v>
      </c>
      <c r="C14" s="78" t="s">
        <v>1349</v>
      </c>
      <c r="D14" s="59" t="s">
        <v>1350</v>
      </c>
      <c r="E14" s="79" t="s">
        <v>1347</v>
      </c>
      <c r="F14" s="80"/>
      <c r="G14" s="81"/>
    </row>
    <row r="15" spans="1:7" ht="30">
      <c r="A15" s="43">
        <v>4</v>
      </c>
      <c r="B15" s="78" t="s">
        <v>1351</v>
      </c>
      <c r="C15" s="78" t="s">
        <v>1352</v>
      </c>
      <c r="D15" s="59" t="s">
        <v>1353</v>
      </c>
      <c r="E15" s="79" t="s">
        <v>1354</v>
      </c>
      <c r="F15" s="80"/>
      <c r="G15" s="81" t="s">
        <v>1355</v>
      </c>
    </row>
    <row r="16" spans="1:7" ht="30">
      <c r="A16" s="43">
        <v>5</v>
      </c>
      <c r="B16" s="78" t="s">
        <v>1356</v>
      </c>
      <c r="C16" s="78" t="s">
        <v>1357</v>
      </c>
      <c r="D16" s="59" t="s">
        <v>1358</v>
      </c>
      <c r="E16" s="79" t="s">
        <v>1354</v>
      </c>
      <c r="F16" s="80"/>
      <c r="G16" s="81" t="s">
        <v>1359</v>
      </c>
    </row>
    <row r="17" spans="1:7" ht="30">
      <c r="A17" s="43">
        <v>6</v>
      </c>
      <c r="B17" s="78" t="s">
        <v>1360</v>
      </c>
      <c r="C17" s="78" t="s">
        <v>1361</v>
      </c>
      <c r="D17" s="59" t="s">
        <v>1358</v>
      </c>
      <c r="E17" s="79" t="s">
        <v>1354</v>
      </c>
      <c r="F17" s="80"/>
      <c r="G17" s="53"/>
    </row>
    <row r="19" spans="1:7" s="30" customFormat="1" ht="16.5">
      <c r="A19" s="82"/>
      <c r="B19" s="82" t="s">
        <v>1330</v>
      </c>
      <c r="D19" s="82"/>
      <c r="E19" s="82" t="s">
        <v>1362</v>
      </c>
      <c r="F19" s="83"/>
      <c r="G19" s="83" t="s">
        <v>1363</v>
      </c>
    </row>
    <row r="20" spans="1:7" s="30" customFormat="1" ht="16.5">
      <c r="A20" s="72"/>
      <c r="B20" s="84"/>
      <c r="D20" s="72"/>
      <c r="G20" s="85"/>
    </row>
  </sheetData>
  <mergeCells count="5">
    <mergeCell ref="F2:G2"/>
    <mergeCell ref="F3:G3"/>
    <mergeCell ref="E5:G5"/>
    <mergeCell ref="A6:G6"/>
    <mergeCell ref="A7:G7"/>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
  <sheetViews>
    <sheetView workbookViewId="0">
      <selection activeCell="D3" sqref="D3"/>
    </sheetView>
  </sheetViews>
  <sheetFormatPr defaultRowHeight="15"/>
  <cols>
    <col min="1" max="1" width="14.42578125" customWidth="1"/>
    <col min="2" max="2" width="24.28515625" customWidth="1"/>
    <col min="3" max="6" width="10" customWidth="1"/>
    <col min="7" max="7" width="26.42578125" customWidth="1"/>
    <col min="8" max="12" width="10" customWidth="1"/>
    <col min="13" max="13" width="22.7109375" customWidth="1"/>
    <col min="14" max="14" width="23.42578125" customWidth="1"/>
    <col min="15" max="15" width="12.140625" customWidth="1"/>
    <col min="16" max="16" width="16.140625" customWidth="1"/>
    <col min="17" max="28" width="10" customWidth="1"/>
  </cols>
  <sheetData>
    <row r="1" spans="1:28" ht="64.5">
      <c r="A1" s="19" t="s">
        <v>1251</v>
      </c>
      <c r="B1" s="20" t="s">
        <v>1252</v>
      </c>
      <c r="C1" s="19" t="s">
        <v>1253</v>
      </c>
      <c r="D1" s="19" t="s">
        <v>1254</v>
      </c>
      <c r="E1" s="19" t="s">
        <v>1255</v>
      </c>
      <c r="F1" s="19" t="s">
        <v>1256</v>
      </c>
      <c r="G1" s="19" t="s">
        <v>1257</v>
      </c>
      <c r="H1" s="19" t="s">
        <v>1258</v>
      </c>
      <c r="I1" s="19" t="s">
        <v>1259</v>
      </c>
      <c r="J1" s="19" t="s">
        <v>1260</v>
      </c>
      <c r="K1" s="19" t="s">
        <v>1261</v>
      </c>
      <c r="L1" s="19" t="s">
        <v>1262</v>
      </c>
      <c r="M1" s="20" t="s">
        <v>1263</v>
      </c>
      <c r="N1" s="19" t="s">
        <v>1264</v>
      </c>
      <c r="O1" s="19" t="s">
        <v>1265</v>
      </c>
      <c r="P1" s="19" t="s">
        <v>1266</v>
      </c>
      <c r="Q1" s="20" t="s">
        <v>1267</v>
      </c>
      <c r="R1" s="19" t="s">
        <v>1268</v>
      </c>
      <c r="S1" s="19" t="s">
        <v>1269</v>
      </c>
      <c r="T1" s="19" t="s">
        <v>1270</v>
      </c>
      <c r="U1" s="19" t="s">
        <v>1271</v>
      </c>
      <c r="V1" s="19" t="s">
        <v>1272</v>
      </c>
      <c r="W1" s="19" t="s">
        <v>1273</v>
      </c>
      <c r="X1" s="19" t="s">
        <v>1274</v>
      </c>
      <c r="Y1" s="19" t="s">
        <v>1275</v>
      </c>
      <c r="Z1" s="19" t="s">
        <v>1276</v>
      </c>
      <c r="AA1" s="19" t="s">
        <v>1277</v>
      </c>
      <c r="AB1" s="19" t="s">
        <v>1278</v>
      </c>
    </row>
    <row r="2" spans="1:28" ht="90">
      <c r="A2" s="8"/>
      <c r="B2" s="8"/>
      <c r="C2" s="9" t="s">
        <v>1279</v>
      </c>
      <c r="D2" s="8" t="s">
        <v>1280</v>
      </c>
      <c r="E2" s="9" t="s">
        <v>1281</v>
      </c>
      <c r="F2" s="9" t="s">
        <v>1282</v>
      </c>
      <c r="G2" s="8" t="s">
        <v>1283</v>
      </c>
      <c r="H2" s="21">
        <v>12650000</v>
      </c>
      <c r="I2" s="22">
        <v>45536</v>
      </c>
      <c r="J2" s="22">
        <v>45536</v>
      </c>
      <c r="K2" s="23">
        <v>100</v>
      </c>
      <c r="L2" s="9" t="s">
        <v>1284</v>
      </c>
      <c r="M2" s="8" t="s">
        <v>135</v>
      </c>
      <c r="N2" s="8" t="s">
        <v>1285</v>
      </c>
      <c r="O2" s="9" t="s">
        <v>1286</v>
      </c>
      <c r="P2" s="8" t="s">
        <v>1287</v>
      </c>
      <c r="Q2" s="22">
        <v>37023</v>
      </c>
      <c r="R2" s="8" t="s">
        <v>136</v>
      </c>
      <c r="S2" s="22">
        <v>45446</v>
      </c>
      <c r="T2" s="9" t="s">
        <v>1288</v>
      </c>
      <c r="U2" s="9" t="s">
        <v>1289</v>
      </c>
      <c r="V2" s="9" t="s">
        <v>1290</v>
      </c>
      <c r="W2" s="9" t="s">
        <v>910</v>
      </c>
      <c r="X2" s="9" t="s">
        <v>953</v>
      </c>
      <c r="Y2" s="24">
        <v>8</v>
      </c>
      <c r="Z2" s="9" t="s">
        <v>1291</v>
      </c>
      <c r="AA2" s="8" t="s">
        <v>1292</v>
      </c>
      <c r="AB2" s="9" t="s">
        <v>1293</v>
      </c>
    </row>
  </sheetData>
  <conditionalFormatting sqref="A1:A2">
    <cfRule type="duplicateValues" dxfId="5" priority="1"/>
    <cfRule type="duplicateValues" dxfId="4" priority="2"/>
  </conditionalFormatting>
  <conditionalFormatting sqref="A2">
    <cfRule type="duplicateValues" dxfId="3"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52"/>
  <sheetViews>
    <sheetView workbookViewId="0">
      <selection activeCell="F2" sqref="F2"/>
    </sheetView>
  </sheetViews>
  <sheetFormatPr defaultRowHeight="15"/>
  <cols>
    <col min="1" max="1" width="41.140625" bestFit="1" customWidth="1"/>
    <col min="2" max="2" width="48.140625" bestFit="1" customWidth="1"/>
    <col min="4" max="4" width="22.28515625" bestFit="1" customWidth="1"/>
    <col min="5" max="5" width="17.42578125" customWidth="1"/>
    <col min="39" max="41" width="0" hidden="1" customWidth="1"/>
  </cols>
  <sheetData>
    <row r="1" spans="1:41" ht="38.25">
      <c r="A1" s="14" t="s">
        <v>90</v>
      </c>
      <c r="B1" s="14" t="s">
        <v>91</v>
      </c>
      <c r="C1" s="15" t="s">
        <v>92</v>
      </c>
      <c r="D1" s="15" t="s">
        <v>93</v>
      </c>
      <c r="E1" s="15" t="s">
        <v>94</v>
      </c>
      <c r="F1" s="14" t="s">
        <v>95</v>
      </c>
      <c r="G1" s="14" t="s">
        <v>96</v>
      </c>
      <c r="H1" s="14" t="s">
        <v>97</v>
      </c>
      <c r="I1" s="14" t="s">
        <v>98</v>
      </c>
      <c r="J1" s="14" t="s">
        <v>99</v>
      </c>
      <c r="K1" s="14" t="s">
        <v>100</v>
      </c>
      <c r="L1" s="14" t="s">
        <v>101</v>
      </c>
      <c r="M1" s="14" t="s">
        <v>102</v>
      </c>
      <c r="N1" s="14" t="s">
        <v>103</v>
      </c>
      <c r="O1" s="14" t="s">
        <v>104</v>
      </c>
      <c r="P1" s="14" t="s">
        <v>105</v>
      </c>
      <c r="Q1" s="14" t="s">
        <v>106</v>
      </c>
      <c r="R1" s="14" t="s">
        <v>107</v>
      </c>
      <c r="S1" s="14" t="s">
        <v>108</v>
      </c>
      <c r="T1" s="14" t="s">
        <v>109</v>
      </c>
      <c r="U1" s="14" t="s">
        <v>110</v>
      </c>
      <c r="V1" s="14" t="s">
        <v>111</v>
      </c>
      <c r="W1" s="14" t="s">
        <v>112</v>
      </c>
      <c r="X1" s="14" t="s">
        <v>113</v>
      </c>
      <c r="Y1" s="14" t="s">
        <v>114</v>
      </c>
      <c r="Z1" s="14" t="s">
        <v>115</v>
      </c>
      <c r="AA1" s="14" t="s">
        <v>116</v>
      </c>
      <c r="AB1" s="14" t="s">
        <v>117</v>
      </c>
      <c r="AC1" s="14" t="s">
        <v>118</v>
      </c>
      <c r="AD1" s="14" t="s">
        <v>119</v>
      </c>
      <c r="AE1" s="14" t="s">
        <v>120</v>
      </c>
      <c r="AF1" s="14" t="s">
        <v>121</v>
      </c>
      <c r="AG1" s="14" t="s">
        <v>122</v>
      </c>
      <c r="AH1" s="14" t="s">
        <v>123</v>
      </c>
      <c r="AI1" s="14" t="s">
        <v>124</v>
      </c>
      <c r="AJ1" s="14" t="s">
        <v>125</v>
      </c>
      <c r="AK1" s="15" t="s">
        <v>126</v>
      </c>
      <c r="AL1" s="15" t="s">
        <v>127</v>
      </c>
      <c r="AM1" s="16" t="s">
        <v>128</v>
      </c>
      <c r="AN1" s="16" t="s">
        <v>129</v>
      </c>
      <c r="AO1" s="17" t="s">
        <v>130</v>
      </c>
    </row>
    <row r="2" spans="1:41">
      <c r="A2" s="8" t="s">
        <v>131</v>
      </c>
      <c r="B2" s="8" t="s">
        <v>132</v>
      </c>
      <c r="C2" s="8" t="s">
        <v>133</v>
      </c>
      <c r="D2" s="8" t="s">
        <v>134</v>
      </c>
      <c r="E2" s="8" t="s">
        <v>135</v>
      </c>
      <c r="F2" s="8">
        <v>1</v>
      </c>
      <c r="G2" s="8">
        <v>1</v>
      </c>
      <c r="H2" s="8">
        <v>1</v>
      </c>
      <c r="I2" s="8" t="s">
        <v>136</v>
      </c>
      <c r="J2" s="8" t="s">
        <v>136</v>
      </c>
      <c r="K2" s="8">
        <v>1</v>
      </c>
      <c r="L2" s="8">
        <v>1</v>
      </c>
      <c r="M2" s="8">
        <v>1</v>
      </c>
      <c r="N2" s="8">
        <v>1</v>
      </c>
      <c r="O2" s="8">
        <v>1</v>
      </c>
      <c r="P2" s="8" t="s">
        <v>136</v>
      </c>
      <c r="Q2" s="8" t="s">
        <v>136</v>
      </c>
      <c r="R2" s="8">
        <v>1</v>
      </c>
      <c r="S2" s="8">
        <v>1</v>
      </c>
      <c r="T2" s="8">
        <v>1</v>
      </c>
      <c r="U2" s="8">
        <v>1</v>
      </c>
      <c r="V2" s="8">
        <v>1</v>
      </c>
      <c r="W2" s="8" t="s">
        <v>136</v>
      </c>
      <c r="X2" s="8" t="s">
        <v>136</v>
      </c>
      <c r="Y2" s="8">
        <v>1</v>
      </c>
      <c r="Z2" s="8">
        <v>1</v>
      </c>
      <c r="AA2" s="8">
        <v>1</v>
      </c>
      <c r="AB2" s="8">
        <v>1</v>
      </c>
      <c r="AC2" s="8">
        <v>1</v>
      </c>
      <c r="AD2" s="8" t="s">
        <v>136</v>
      </c>
      <c r="AE2" s="8" t="s">
        <v>136</v>
      </c>
      <c r="AF2" s="8">
        <v>1</v>
      </c>
      <c r="AG2" s="8">
        <v>1</v>
      </c>
      <c r="AH2" s="8">
        <v>1</v>
      </c>
      <c r="AI2" s="8">
        <v>1</v>
      </c>
      <c r="AJ2" s="8">
        <v>1</v>
      </c>
      <c r="AK2" s="10">
        <v>23</v>
      </c>
      <c r="AL2" s="11">
        <v>23</v>
      </c>
      <c r="AM2" s="13">
        <v>23</v>
      </c>
      <c r="AN2" s="13">
        <v>0</v>
      </c>
      <c r="AO2" s="7" t="e">
        <v>#N/A</v>
      </c>
    </row>
    <row r="3" spans="1:41">
      <c r="A3" s="8" t="s">
        <v>131</v>
      </c>
      <c r="B3" s="8" t="s">
        <v>132</v>
      </c>
      <c r="C3" s="8" t="s">
        <v>137</v>
      </c>
      <c r="D3" s="8" t="s">
        <v>138</v>
      </c>
      <c r="E3" s="8" t="s">
        <v>135</v>
      </c>
      <c r="F3" s="8">
        <v>1</v>
      </c>
      <c r="G3" s="8">
        <v>1</v>
      </c>
      <c r="H3" s="8">
        <v>1</v>
      </c>
      <c r="I3" s="8" t="s">
        <v>136</v>
      </c>
      <c r="J3" s="8" t="s">
        <v>136</v>
      </c>
      <c r="K3" s="8">
        <v>1</v>
      </c>
      <c r="L3" s="8">
        <v>1</v>
      </c>
      <c r="M3" s="8">
        <v>1</v>
      </c>
      <c r="N3" s="8">
        <v>1</v>
      </c>
      <c r="O3" s="8">
        <v>1</v>
      </c>
      <c r="P3" s="8" t="s">
        <v>136</v>
      </c>
      <c r="Q3" s="8" t="s">
        <v>136</v>
      </c>
      <c r="R3" s="8">
        <v>1</v>
      </c>
      <c r="S3" s="8">
        <v>1</v>
      </c>
      <c r="T3" s="8">
        <v>1</v>
      </c>
      <c r="U3" s="8">
        <v>1</v>
      </c>
      <c r="V3" s="8">
        <v>1</v>
      </c>
      <c r="W3" s="8" t="s">
        <v>136</v>
      </c>
      <c r="X3" s="8" t="s">
        <v>136</v>
      </c>
      <c r="Y3" s="8">
        <v>1</v>
      </c>
      <c r="Z3" s="8">
        <v>1</v>
      </c>
      <c r="AA3" s="8">
        <v>1</v>
      </c>
      <c r="AB3" s="8">
        <v>1</v>
      </c>
      <c r="AC3" s="8">
        <v>1</v>
      </c>
      <c r="AD3" s="8" t="s">
        <v>136</v>
      </c>
      <c r="AE3" s="8" t="s">
        <v>136</v>
      </c>
      <c r="AF3" s="8">
        <v>1</v>
      </c>
      <c r="AG3" s="8">
        <v>1</v>
      </c>
      <c r="AH3" s="8">
        <v>1</v>
      </c>
      <c r="AI3" s="8">
        <v>1</v>
      </c>
      <c r="AJ3" s="8">
        <v>1</v>
      </c>
      <c r="AK3" s="10">
        <v>23</v>
      </c>
      <c r="AL3" s="11">
        <v>23</v>
      </c>
      <c r="AM3" s="13">
        <v>23</v>
      </c>
      <c r="AN3" s="13">
        <v>0</v>
      </c>
      <c r="AO3" s="7" t="e">
        <v>#N/A</v>
      </c>
    </row>
    <row r="4" spans="1:41">
      <c r="A4" s="8" t="s">
        <v>131</v>
      </c>
      <c r="B4" s="8" t="s">
        <v>139</v>
      </c>
      <c r="C4" s="8" t="s">
        <v>140</v>
      </c>
      <c r="D4" s="8" t="s">
        <v>141</v>
      </c>
      <c r="E4" s="8" t="s">
        <v>135</v>
      </c>
      <c r="F4" s="8">
        <v>1</v>
      </c>
      <c r="G4" s="8">
        <v>1</v>
      </c>
      <c r="H4" s="8">
        <v>1</v>
      </c>
      <c r="I4" s="8" t="s">
        <v>136</v>
      </c>
      <c r="J4" s="8" t="s">
        <v>136</v>
      </c>
      <c r="K4" s="8">
        <v>1</v>
      </c>
      <c r="L4" s="8">
        <v>1</v>
      </c>
      <c r="M4" s="8">
        <v>1</v>
      </c>
      <c r="N4" s="8">
        <v>1</v>
      </c>
      <c r="O4" s="8">
        <v>1</v>
      </c>
      <c r="P4" s="8" t="s">
        <v>136</v>
      </c>
      <c r="Q4" s="8" t="s">
        <v>136</v>
      </c>
      <c r="R4" s="8">
        <v>1</v>
      </c>
      <c r="S4" s="8">
        <v>1</v>
      </c>
      <c r="T4" s="8">
        <v>1</v>
      </c>
      <c r="U4" s="8">
        <v>1</v>
      </c>
      <c r="V4" s="8">
        <v>1</v>
      </c>
      <c r="W4" s="8" t="s">
        <v>136</v>
      </c>
      <c r="X4" s="8" t="s">
        <v>136</v>
      </c>
      <c r="Y4" s="8">
        <v>1</v>
      </c>
      <c r="Z4" s="8">
        <v>1</v>
      </c>
      <c r="AA4" s="8">
        <v>1</v>
      </c>
      <c r="AB4" s="8">
        <v>1</v>
      </c>
      <c r="AC4" s="8">
        <v>1</v>
      </c>
      <c r="AD4" s="8" t="s">
        <v>136</v>
      </c>
      <c r="AE4" s="8" t="s">
        <v>136</v>
      </c>
      <c r="AF4" s="8">
        <v>1</v>
      </c>
      <c r="AG4" s="8">
        <v>1</v>
      </c>
      <c r="AH4" s="8">
        <v>1</v>
      </c>
      <c r="AI4" s="8">
        <v>1</v>
      </c>
      <c r="AJ4" s="8">
        <v>1</v>
      </c>
      <c r="AK4" s="10">
        <v>23</v>
      </c>
      <c r="AL4" s="11">
        <v>23</v>
      </c>
      <c r="AM4" s="13">
        <v>23</v>
      </c>
      <c r="AN4" s="13">
        <v>0</v>
      </c>
      <c r="AO4" s="7" t="e">
        <v>#N/A</v>
      </c>
    </row>
    <row r="5" spans="1:41">
      <c r="A5" s="8" t="s">
        <v>131</v>
      </c>
      <c r="B5" s="8" t="s">
        <v>139</v>
      </c>
      <c r="C5" s="8" t="s">
        <v>142</v>
      </c>
      <c r="D5" s="8" t="s">
        <v>143</v>
      </c>
      <c r="E5" s="8" t="s">
        <v>135</v>
      </c>
      <c r="F5" s="8">
        <v>1</v>
      </c>
      <c r="G5" s="8">
        <v>1</v>
      </c>
      <c r="H5" s="8">
        <v>1</v>
      </c>
      <c r="I5" s="8" t="s">
        <v>136</v>
      </c>
      <c r="J5" s="8" t="s">
        <v>136</v>
      </c>
      <c r="K5" s="8">
        <v>1</v>
      </c>
      <c r="L5" s="8">
        <v>1</v>
      </c>
      <c r="M5" s="8">
        <v>1</v>
      </c>
      <c r="N5" s="8">
        <v>1</v>
      </c>
      <c r="O5" s="8">
        <v>1</v>
      </c>
      <c r="P5" s="8" t="s">
        <v>136</v>
      </c>
      <c r="Q5" s="8" t="s">
        <v>136</v>
      </c>
      <c r="R5" s="8">
        <v>1</v>
      </c>
      <c r="S5" s="8">
        <v>1</v>
      </c>
      <c r="T5" s="8">
        <v>1</v>
      </c>
      <c r="U5" s="8">
        <v>1</v>
      </c>
      <c r="V5" s="8">
        <v>1</v>
      </c>
      <c r="W5" s="8" t="s">
        <v>136</v>
      </c>
      <c r="X5" s="8" t="s">
        <v>136</v>
      </c>
      <c r="Y5" s="8">
        <v>1</v>
      </c>
      <c r="Z5" s="8">
        <v>1</v>
      </c>
      <c r="AA5" s="8">
        <v>1</v>
      </c>
      <c r="AB5" s="8">
        <v>1</v>
      </c>
      <c r="AC5" s="8">
        <v>1</v>
      </c>
      <c r="AD5" s="8" t="s">
        <v>136</v>
      </c>
      <c r="AE5" s="8" t="s">
        <v>136</v>
      </c>
      <c r="AF5" s="8">
        <v>1</v>
      </c>
      <c r="AG5" s="8">
        <v>1</v>
      </c>
      <c r="AH5" s="8">
        <v>1</v>
      </c>
      <c r="AI5" s="8">
        <v>1</v>
      </c>
      <c r="AJ5" s="8">
        <v>1</v>
      </c>
      <c r="AK5" s="10">
        <v>23</v>
      </c>
      <c r="AL5" s="11">
        <v>23</v>
      </c>
      <c r="AM5" s="13">
        <v>23</v>
      </c>
      <c r="AN5" s="13">
        <v>0</v>
      </c>
      <c r="AO5" s="7" t="e">
        <v>#N/A</v>
      </c>
    </row>
    <row r="6" spans="1:41">
      <c r="A6" s="8" t="s">
        <v>131</v>
      </c>
      <c r="B6" s="8" t="s">
        <v>139</v>
      </c>
      <c r="C6" s="8" t="s">
        <v>144</v>
      </c>
      <c r="D6" s="8" t="s">
        <v>145</v>
      </c>
      <c r="E6" s="8" t="s">
        <v>135</v>
      </c>
      <c r="F6" s="8">
        <v>1</v>
      </c>
      <c r="G6" s="8">
        <v>1</v>
      </c>
      <c r="H6" s="8">
        <v>1</v>
      </c>
      <c r="I6" s="8" t="s">
        <v>136</v>
      </c>
      <c r="J6" s="8" t="s">
        <v>136</v>
      </c>
      <c r="K6" s="8">
        <v>1</v>
      </c>
      <c r="L6" s="8">
        <v>1</v>
      </c>
      <c r="M6" s="8">
        <v>1</v>
      </c>
      <c r="N6" s="8">
        <v>1</v>
      </c>
      <c r="O6" s="8">
        <v>1</v>
      </c>
      <c r="P6" s="8" t="s">
        <v>136</v>
      </c>
      <c r="Q6" s="8" t="s">
        <v>136</v>
      </c>
      <c r="R6" s="8">
        <v>1</v>
      </c>
      <c r="S6" s="8">
        <v>1</v>
      </c>
      <c r="T6" s="8">
        <v>1</v>
      </c>
      <c r="U6" s="8">
        <v>1</v>
      </c>
      <c r="V6" s="8">
        <v>1</v>
      </c>
      <c r="W6" s="8" t="s">
        <v>136</v>
      </c>
      <c r="X6" s="8" t="s">
        <v>136</v>
      </c>
      <c r="Y6" s="8">
        <v>1</v>
      </c>
      <c r="Z6" s="8">
        <v>1</v>
      </c>
      <c r="AA6" s="8">
        <v>1</v>
      </c>
      <c r="AB6" s="8">
        <v>1</v>
      </c>
      <c r="AC6" s="8">
        <v>1</v>
      </c>
      <c r="AD6" s="8" t="s">
        <v>136</v>
      </c>
      <c r="AE6" s="8" t="s">
        <v>136</v>
      </c>
      <c r="AF6" s="8">
        <v>1</v>
      </c>
      <c r="AG6" s="8">
        <v>1</v>
      </c>
      <c r="AH6" s="8">
        <v>1</v>
      </c>
      <c r="AI6" s="8">
        <v>1</v>
      </c>
      <c r="AJ6" s="8">
        <v>1</v>
      </c>
      <c r="AK6" s="10">
        <v>23</v>
      </c>
      <c r="AL6" s="11">
        <v>23</v>
      </c>
      <c r="AM6" s="13">
        <v>23</v>
      </c>
      <c r="AN6" s="13">
        <v>0</v>
      </c>
      <c r="AO6" s="7" t="e">
        <v>#N/A</v>
      </c>
    </row>
    <row r="7" spans="1:41">
      <c r="A7" s="8" t="s">
        <v>131</v>
      </c>
      <c r="B7" s="8" t="s">
        <v>139</v>
      </c>
      <c r="C7" s="8" t="s">
        <v>146</v>
      </c>
      <c r="D7" s="8" t="s">
        <v>147</v>
      </c>
      <c r="E7" s="8" t="s">
        <v>135</v>
      </c>
      <c r="F7" s="8">
        <v>1</v>
      </c>
      <c r="G7" s="8">
        <v>1</v>
      </c>
      <c r="H7" s="8">
        <v>1</v>
      </c>
      <c r="I7" s="8" t="s">
        <v>136</v>
      </c>
      <c r="J7" s="8" t="s">
        <v>136</v>
      </c>
      <c r="K7" s="8">
        <v>1</v>
      </c>
      <c r="L7" s="8">
        <v>1</v>
      </c>
      <c r="M7" s="8">
        <v>1</v>
      </c>
      <c r="N7" s="8">
        <v>1</v>
      </c>
      <c r="O7" s="8">
        <v>1</v>
      </c>
      <c r="P7" s="8" t="s">
        <v>136</v>
      </c>
      <c r="Q7" s="8" t="s">
        <v>136</v>
      </c>
      <c r="R7" s="8">
        <v>1</v>
      </c>
      <c r="S7" s="8">
        <v>1</v>
      </c>
      <c r="T7" s="8">
        <v>1</v>
      </c>
      <c r="U7" s="8">
        <v>1</v>
      </c>
      <c r="V7" s="8">
        <v>1</v>
      </c>
      <c r="W7" s="8" t="s">
        <v>136</v>
      </c>
      <c r="X7" s="8" t="s">
        <v>136</v>
      </c>
      <c r="Y7" s="8">
        <v>1</v>
      </c>
      <c r="Z7" s="8">
        <v>1</v>
      </c>
      <c r="AA7" s="8">
        <v>1</v>
      </c>
      <c r="AB7" s="8">
        <v>1</v>
      </c>
      <c r="AC7" s="8">
        <v>1</v>
      </c>
      <c r="AD7" s="8" t="s">
        <v>136</v>
      </c>
      <c r="AE7" s="8" t="s">
        <v>136</v>
      </c>
      <c r="AF7" s="8">
        <v>1</v>
      </c>
      <c r="AG7" s="8">
        <v>1</v>
      </c>
      <c r="AH7" s="8">
        <v>1</v>
      </c>
      <c r="AI7" s="8">
        <v>1</v>
      </c>
      <c r="AJ7" s="8">
        <v>1</v>
      </c>
      <c r="AK7" s="10">
        <v>23</v>
      </c>
      <c r="AL7" s="11">
        <v>23</v>
      </c>
      <c r="AM7" s="13">
        <v>23</v>
      </c>
      <c r="AN7" s="13">
        <v>0</v>
      </c>
      <c r="AO7" s="7" t="e">
        <v>#N/A</v>
      </c>
    </row>
    <row r="8" spans="1:41">
      <c r="A8" s="8" t="s">
        <v>131</v>
      </c>
      <c r="B8" s="8" t="s">
        <v>148</v>
      </c>
      <c r="C8" s="8" t="s">
        <v>149</v>
      </c>
      <c r="D8" s="8" t="s">
        <v>150</v>
      </c>
      <c r="E8" s="8" t="s">
        <v>135</v>
      </c>
      <c r="F8" s="8">
        <v>1</v>
      </c>
      <c r="G8" s="8">
        <v>1</v>
      </c>
      <c r="H8" s="8">
        <v>1</v>
      </c>
      <c r="I8" s="8" t="s">
        <v>136</v>
      </c>
      <c r="J8" s="8" t="s">
        <v>136</v>
      </c>
      <c r="K8" s="8">
        <v>1</v>
      </c>
      <c r="L8" s="8">
        <v>1</v>
      </c>
      <c r="M8" s="8">
        <v>1</v>
      </c>
      <c r="N8" s="8">
        <v>1</v>
      </c>
      <c r="O8" s="8">
        <v>1</v>
      </c>
      <c r="P8" s="8" t="s">
        <v>136</v>
      </c>
      <c r="Q8" s="8" t="s">
        <v>136</v>
      </c>
      <c r="R8" s="8">
        <v>1</v>
      </c>
      <c r="S8" s="8">
        <v>1</v>
      </c>
      <c r="T8" s="8">
        <v>1</v>
      </c>
      <c r="U8" s="8">
        <v>1</v>
      </c>
      <c r="V8" s="8">
        <v>1</v>
      </c>
      <c r="W8" s="8" t="s">
        <v>136</v>
      </c>
      <c r="X8" s="8" t="s">
        <v>136</v>
      </c>
      <c r="Y8" s="8">
        <v>1</v>
      </c>
      <c r="Z8" s="8">
        <v>1</v>
      </c>
      <c r="AA8" s="8">
        <v>1</v>
      </c>
      <c r="AB8" s="8">
        <v>1</v>
      </c>
      <c r="AC8" s="8">
        <v>1</v>
      </c>
      <c r="AD8" s="8" t="s">
        <v>136</v>
      </c>
      <c r="AE8" s="8" t="s">
        <v>136</v>
      </c>
      <c r="AF8" s="8">
        <v>1</v>
      </c>
      <c r="AG8" s="8">
        <v>1</v>
      </c>
      <c r="AH8" s="8">
        <v>1</v>
      </c>
      <c r="AI8" s="8">
        <v>1</v>
      </c>
      <c r="AJ8" s="8">
        <v>1</v>
      </c>
      <c r="AK8" s="10">
        <v>23</v>
      </c>
      <c r="AL8" s="11">
        <v>23</v>
      </c>
      <c r="AM8" s="13">
        <v>23</v>
      </c>
      <c r="AN8" s="13">
        <v>0</v>
      </c>
      <c r="AO8" s="7" t="e">
        <v>#N/A</v>
      </c>
    </row>
    <row r="9" spans="1:41">
      <c r="A9" s="8" t="s">
        <v>131</v>
      </c>
      <c r="B9" s="8" t="s">
        <v>148</v>
      </c>
      <c r="C9" s="8" t="s">
        <v>151</v>
      </c>
      <c r="D9" s="8" t="s">
        <v>152</v>
      </c>
      <c r="E9" s="8" t="s">
        <v>135</v>
      </c>
      <c r="F9" s="8">
        <v>1</v>
      </c>
      <c r="G9" s="8">
        <v>1</v>
      </c>
      <c r="H9" s="8">
        <v>1</v>
      </c>
      <c r="I9" s="8" t="s">
        <v>136</v>
      </c>
      <c r="J9" s="8" t="s">
        <v>136</v>
      </c>
      <c r="K9" s="8">
        <v>1</v>
      </c>
      <c r="L9" s="8">
        <v>1</v>
      </c>
      <c r="M9" s="8">
        <v>1</v>
      </c>
      <c r="N9" s="8">
        <v>1</v>
      </c>
      <c r="O9" s="8">
        <v>1</v>
      </c>
      <c r="P9" s="8" t="s">
        <v>136</v>
      </c>
      <c r="Q9" s="8" t="s">
        <v>136</v>
      </c>
      <c r="R9" s="8">
        <v>1</v>
      </c>
      <c r="S9" s="8">
        <v>1</v>
      </c>
      <c r="T9" s="8">
        <v>1</v>
      </c>
      <c r="U9" s="8">
        <v>1</v>
      </c>
      <c r="V9" s="8">
        <v>1</v>
      </c>
      <c r="W9" s="8" t="s">
        <v>136</v>
      </c>
      <c r="X9" s="8" t="s">
        <v>136</v>
      </c>
      <c r="Y9" s="8">
        <v>1</v>
      </c>
      <c r="Z9" s="8">
        <v>1</v>
      </c>
      <c r="AA9" s="8">
        <v>1</v>
      </c>
      <c r="AB9" s="8">
        <v>1</v>
      </c>
      <c r="AC9" s="8">
        <v>1</v>
      </c>
      <c r="AD9" s="8" t="s">
        <v>136</v>
      </c>
      <c r="AE9" s="8" t="s">
        <v>136</v>
      </c>
      <c r="AF9" s="8">
        <v>1</v>
      </c>
      <c r="AG9" s="8">
        <v>1</v>
      </c>
      <c r="AH9" s="8">
        <v>1</v>
      </c>
      <c r="AI9" s="8">
        <v>1</v>
      </c>
      <c r="AJ9" s="8">
        <v>1</v>
      </c>
      <c r="AK9" s="10">
        <v>23</v>
      </c>
      <c r="AL9" s="11">
        <v>23</v>
      </c>
      <c r="AM9" s="13">
        <v>23</v>
      </c>
      <c r="AN9" s="13">
        <v>0</v>
      </c>
      <c r="AO9" s="7" t="e">
        <v>#N/A</v>
      </c>
    </row>
    <row r="10" spans="1:41">
      <c r="A10" s="8" t="s">
        <v>131</v>
      </c>
      <c r="B10" s="8" t="s">
        <v>148</v>
      </c>
      <c r="C10" s="8" t="s">
        <v>153</v>
      </c>
      <c r="D10" s="8" t="s">
        <v>154</v>
      </c>
      <c r="E10" s="8" t="s">
        <v>135</v>
      </c>
      <c r="F10" s="8">
        <v>1</v>
      </c>
      <c r="G10" s="8">
        <v>1</v>
      </c>
      <c r="H10" s="8">
        <v>1</v>
      </c>
      <c r="I10" s="8" t="s">
        <v>136</v>
      </c>
      <c r="J10" s="8" t="s">
        <v>136</v>
      </c>
      <c r="K10" s="8">
        <v>1</v>
      </c>
      <c r="L10" s="8">
        <v>1</v>
      </c>
      <c r="M10" s="8">
        <v>1</v>
      </c>
      <c r="N10" s="8">
        <v>1</v>
      </c>
      <c r="O10" s="8">
        <v>1</v>
      </c>
      <c r="P10" s="8" t="s">
        <v>136</v>
      </c>
      <c r="Q10" s="8" t="s">
        <v>136</v>
      </c>
      <c r="R10" s="8">
        <v>1</v>
      </c>
      <c r="S10" s="8">
        <v>1</v>
      </c>
      <c r="T10" s="8">
        <v>1</v>
      </c>
      <c r="U10" s="8">
        <v>1</v>
      </c>
      <c r="V10" s="8">
        <v>1</v>
      </c>
      <c r="W10" s="8" t="s">
        <v>136</v>
      </c>
      <c r="X10" s="8" t="s">
        <v>136</v>
      </c>
      <c r="Y10" s="8">
        <v>1</v>
      </c>
      <c r="Z10" s="8">
        <v>1</v>
      </c>
      <c r="AA10" s="8">
        <v>1</v>
      </c>
      <c r="AB10" s="8">
        <v>1</v>
      </c>
      <c r="AC10" s="8">
        <v>1</v>
      </c>
      <c r="AD10" s="8" t="s">
        <v>136</v>
      </c>
      <c r="AE10" s="8" t="s">
        <v>136</v>
      </c>
      <c r="AF10" s="8">
        <v>1</v>
      </c>
      <c r="AG10" s="8">
        <v>1</v>
      </c>
      <c r="AH10" s="8">
        <v>1</v>
      </c>
      <c r="AI10" s="8">
        <v>1</v>
      </c>
      <c r="AJ10" s="8">
        <v>1</v>
      </c>
      <c r="AK10" s="10">
        <v>23</v>
      </c>
      <c r="AL10" s="11">
        <v>23</v>
      </c>
      <c r="AM10" s="13">
        <v>23</v>
      </c>
      <c r="AN10" s="13">
        <v>0</v>
      </c>
      <c r="AO10" s="7" t="e">
        <v>#N/A</v>
      </c>
    </row>
    <row r="11" spans="1:41">
      <c r="A11" s="8" t="s">
        <v>131</v>
      </c>
      <c r="B11" s="8" t="s">
        <v>148</v>
      </c>
      <c r="C11" s="8" t="s">
        <v>155</v>
      </c>
      <c r="D11" s="8" t="s">
        <v>156</v>
      </c>
      <c r="E11" s="8" t="s">
        <v>135</v>
      </c>
      <c r="F11" s="8">
        <v>1</v>
      </c>
      <c r="G11" s="8">
        <v>1</v>
      </c>
      <c r="H11" s="8">
        <v>1</v>
      </c>
      <c r="I11" s="8" t="s">
        <v>136</v>
      </c>
      <c r="J11" s="8" t="s">
        <v>136</v>
      </c>
      <c r="K11" s="8">
        <v>1</v>
      </c>
      <c r="L11" s="8">
        <v>1</v>
      </c>
      <c r="M11" s="8">
        <v>1</v>
      </c>
      <c r="N11" s="8">
        <v>1</v>
      </c>
      <c r="O11" s="8">
        <v>1</v>
      </c>
      <c r="P11" s="8" t="s">
        <v>136</v>
      </c>
      <c r="Q11" s="8" t="s">
        <v>136</v>
      </c>
      <c r="R11" s="8">
        <v>1</v>
      </c>
      <c r="S11" s="8">
        <v>1</v>
      </c>
      <c r="T11" s="8">
        <v>1</v>
      </c>
      <c r="U11" s="8">
        <v>1</v>
      </c>
      <c r="V11" s="8">
        <v>1</v>
      </c>
      <c r="W11" s="8" t="s">
        <v>136</v>
      </c>
      <c r="X11" s="8" t="s">
        <v>136</v>
      </c>
      <c r="Y11" s="8">
        <v>1</v>
      </c>
      <c r="Z11" s="8">
        <v>1</v>
      </c>
      <c r="AA11" s="8">
        <v>1</v>
      </c>
      <c r="AB11" s="8">
        <v>1</v>
      </c>
      <c r="AC11" s="8">
        <v>1</v>
      </c>
      <c r="AD11" s="8" t="s">
        <v>136</v>
      </c>
      <c r="AE11" s="8" t="s">
        <v>136</v>
      </c>
      <c r="AF11" s="8">
        <v>1</v>
      </c>
      <c r="AG11" s="8">
        <v>1</v>
      </c>
      <c r="AH11" s="8">
        <v>1</v>
      </c>
      <c r="AI11" s="8">
        <v>1</v>
      </c>
      <c r="AJ11" s="8">
        <v>1</v>
      </c>
      <c r="AK11" s="10">
        <v>23</v>
      </c>
      <c r="AL11" s="11">
        <v>23</v>
      </c>
      <c r="AM11" s="13">
        <v>23</v>
      </c>
      <c r="AN11" s="13">
        <v>0</v>
      </c>
      <c r="AO11" s="7" t="e">
        <v>#N/A</v>
      </c>
    </row>
    <row r="12" spans="1:41">
      <c r="A12" s="8" t="s">
        <v>131</v>
      </c>
      <c r="B12" s="8" t="s">
        <v>148</v>
      </c>
      <c r="C12" s="8" t="s">
        <v>157</v>
      </c>
      <c r="D12" s="8" t="s">
        <v>158</v>
      </c>
      <c r="E12" s="8" t="s">
        <v>135</v>
      </c>
      <c r="F12" s="8">
        <v>1</v>
      </c>
      <c r="G12" s="8">
        <v>1</v>
      </c>
      <c r="H12" s="8">
        <v>1</v>
      </c>
      <c r="I12" s="8" t="s">
        <v>136</v>
      </c>
      <c r="J12" s="8" t="s">
        <v>136</v>
      </c>
      <c r="K12" s="8">
        <v>1</v>
      </c>
      <c r="L12" s="8">
        <v>1</v>
      </c>
      <c r="M12" s="8">
        <v>1</v>
      </c>
      <c r="N12" s="8">
        <v>1</v>
      </c>
      <c r="O12" s="8">
        <v>1</v>
      </c>
      <c r="P12" s="8" t="s">
        <v>136</v>
      </c>
      <c r="Q12" s="8" t="s">
        <v>136</v>
      </c>
      <c r="R12" s="8">
        <v>1</v>
      </c>
      <c r="S12" s="8">
        <v>1</v>
      </c>
      <c r="T12" s="8">
        <v>1</v>
      </c>
      <c r="U12" s="8">
        <v>1</v>
      </c>
      <c r="V12" s="8">
        <v>1</v>
      </c>
      <c r="W12" s="8" t="s">
        <v>136</v>
      </c>
      <c r="X12" s="8" t="s">
        <v>136</v>
      </c>
      <c r="Y12" s="8">
        <v>1</v>
      </c>
      <c r="Z12" s="8">
        <v>1</v>
      </c>
      <c r="AA12" s="8">
        <v>1</v>
      </c>
      <c r="AB12" s="8">
        <v>1</v>
      </c>
      <c r="AC12" s="8">
        <v>1</v>
      </c>
      <c r="AD12" s="8" t="s">
        <v>136</v>
      </c>
      <c r="AE12" s="8" t="s">
        <v>136</v>
      </c>
      <c r="AF12" s="8">
        <v>1</v>
      </c>
      <c r="AG12" s="8">
        <v>1</v>
      </c>
      <c r="AH12" s="8">
        <v>1</v>
      </c>
      <c r="AI12" s="8">
        <v>1</v>
      </c>
      <c r="AJ12" s="8">
        <v>1</v>
      </c>
      <c r="AK12" s="10">
        <v>23</v>
      </c>
      <c r="AL12" s="11">
        <v>23</v>
      </c>
      <c r="AM12" s="13">
        <v>23</v>
      </c>
      <c r="AN12" s="13">
        <v>0</v>
      </c>
      <c r="AO12" s="7" t="e">
        <v>#N/A</v>
      </c>
    </row>
    <row r="13" spans="1:41">
      <c r="A13" s="8" t="s">
        <v>131</v>
      </c>
      <c r="B13" s="8" t="s">
        <v>148</v>
      </c>
      <c r="C13" s="8" t="s">
        <v>159</v>
      </c>
      <c r="D13" s="8" t="s">
        <v>160</v>
      </c>
      <c r="E13" s="8" t="s">
        <v>135</v>
      </c>
      <c r="F13" s="8">
        <v>1</v>
      </c>
      <c r="G13" s="8">
        <v>1</v>
      </c>
      <c r="H13" s="8">
        <v>1</v>
      </c>
      <c r="I13" s="8" t="s">
        <v>136</v>
      </c>
      <c r="J13" s="8" t="s">
        <v>136</v>
      </c>
      <c r="K13" s="8">
        <v>1</v>
      </c>
      <c r="L13" s="8">
        <v>1</v>
      </c>
      <c r="M13" s="8">
        <v>1</v>
      </c>
      <c r="N13" s="8">
        <v>1</v>
      </c>
      <c r="O13" s="8">
        <v>1</v>
      </c>
      <c r="P13" s="8" t="s">
        <v>136</v>
      </c>
      <c r="Q13" s="8" t="s">
        <v>136</v>
      </c>
      <c r="R13" s="8">
        <v>1</v>
      </c>
      <c r="S13" s="8">
        <v>1</v>
      </c>
      <c r="T13" s="8">
        <v>1</v>
      </c>
      <c r="U13" s="8">
        <v>1</v>
      </c>
      <c r="V13" s="8">
        <v>1</v>
      </c>
      <c r="W13" s="8" t="s">
        <v>136</v>
      </c>
      <c r="X13" s="8" t="s">
        <v>136</v>
      </c>
      <c r="Y13" s="8">
        <v>1</v>
      </c>
      <c r="Z13" s="8">
        <v>1</v>
      </c>
      <c r="AA13" s="8">
        <v>1</v>
      </c>
      <c r="AB13" s="8">
        <v>1</v>
      </c>
      <c r="AC13" s="8">
        <v>1</v>
      </c>
      <c r="AD13" s="8" t="s">
        <v>136</v>
      </c>
      <c r="AE13" s="8" t="s">
        <v>136</v>
      </c>
      <c r="AF13" s="8">
        <v>1</v>
      </c>
      <c r="AG13" s="8">
        <v>1</v>
      </c>
      <c r="AH13" s="8">
        <v>1</v>
      </c>
      <c r="AI13" s="8">
        <v>1</v>
      </c>
      <c r="AJ13" s="8">
        <v>1</v>
      </c>
      <c r="AK13" s="10">
        <v>23</v>
      </c>
      <c r="AL13" s="11">
        <v>23</v>
      </c>
      <c r="AM13" s="13">
        <v>23</v>
      </c>
      <c r="AN13" s="13">
        <v>0</v>
      </c>
      <c r="AO13" s="7" t="e">
        <v>#N/A</v>
      </c>
    </row>
    <row r="14" spans="1:41">
      <c r="A14" s="8" t="s">
        <v>131</v>
      </c>
      <c r="B14" s="8" t="s">
        <v>148</v>
      </c>
      <c r="C14" s="8" t="s">
        <v>161</v>
      </c>
      <c r="D14" s="8" t="s">
        <v>162</v>
      </c>
      <c r="E14" s="8" t="s">
        <v>135</v>
      </c>
      <c r="F14" s="8">
        <v>0</v>
      </c>
      <c r="G14" s="8">
        <v>0</v>
      </c>
      <c r="H14" s="8">
        <v>0</v>
      </c>
      <c r="I14" s="8" t="s">
        <v>136</v>
      </c>
      <c r="J14" s="8" t="s">
        <v>136</v>
      </c>
      <c r="K14" s="8">
        <v>0</v>
      </c>
      <c r="L14" s="8">
        <v>0</v>
      </c>
      <c r="M14" s="8">
        <v>0</v>
      </c>
      <c r="N14" s="8">
        <v>0</v>
      </c>
      <c r="O14" s="8">
        <v>0</v>
      </c>
      <c r="P14" s="8" t="s">
        <v>136</v>
      </c>
      <c r="Q14" s="8" t="s">
        <v>136</v>
      </c>
      <c r="R14" s="8">
        <v>0</v>
      </c>
      <c r="S14" s="8">
        <v>0</v>
      </c>
      <c r="T14" s="8">
        <v>0</v>
      </c>
      <c r="U14" s="8">
        <v>0</v>
      </c>
      <c r="V14" s="8">
        <v>0</v>
      </c>
      <c r="W14" s="8" t="s">
        <v>136</v>
      </c>
      <c r="X14" s="8" t="s">
        <v>136</v>
      </c>
      <c r="Y14" s="8">
        <v>0</v>
      </c>
      <c r="Z14" s="8">
        <v>0</v>
      </c>
      <c r="AA14" s="8">
        <v>0</v>
      </c>
      <c r="AB14" s="8">
        <v>0</v>
      </c>
      <c r="AC14" s="8">
        <v>0</v>
      </c>
      <c r="AD14" s="8" t="s">
        <v>136</v>
      </c>
      <c r="AE14" s="8" t="s">
        <v>136</v>
      </c>
      <c r="AF14" s="8">
        <v>0</v>
      </c>
      <c r="AG14" s="8">
        <v>0</v>
      </c>
      <c r="AH14" s="8">
        <v>0</v>
      </c>
      <c r="AI14" s="8">
        <v>0</v>
      </c>
      <c r="AJ14" s="8">
        <v>0</v>
      </c>
      <c r="AK14" s="10">
        <v>23</v>
      </c>
      <c r="AL14" s="12">
        <v>0</v>
      </c>
      <c r="AM14" s="13">
        <v>0</v>
      </c>
      <c r="AN14" s="13">
        <v>0</v>
      </c>
      <c r="AO14" s="7" t="e">
        <v>#N/A</v>
      </c>
    </row>
    <row r="15" spans="1:41">
      <c r="A15" s="8" t="s">
        <v>131</v>
      </c>
      <c r="B15" s="8" t="s">
        <v>148</v>
      </c>
      <c r="C15" s="8" t="s">
        <v>163</v>
      </c>
      <c r="D15" s="8" t="s">
        <v>164</v>
      </c>
      <c r="E15" s="8" t="s">
        <v>135</v>
      </c>
      <c r="F15" s="8">
        <v>1</v>
      </c>
      <c r="G15" s="8">
        <v>1</v>
      </c>
      <c r="H15" s="8">
        <v>1</v>
      </c>
      <c r="I15" s="8" t="s">
        <v>136</v>
      </c>
      <c r="J15" s="8" t="s">
        <v>136</v>
      </c>
      <c r="K15" s="8">
        <v>1</v>
      </c>
      <c r="L15" s="8">
        <v>1</v>
      </c>
      <c r="M15" s="8">
        <v>1</v>
      </c>
      <c r="N15" s="8">
        <v>1</v>
      </c>
      <c r="O15" s="8">
        <v>1</v>
      </c>
      <c r="P15" s="8" t="s">
        <v>136</v>
      </c>
      <c r="Q15" s="8" t="s">
        <v>136</v>
      </c>
      <c r="R15" s="8">
        <v>1</v>
      </c>
      <c r="S15" s="8">
        <v>1</v>
      </c>
      <c r="T15" s="8">
        <v>1</v>
      </c>
      <c r="U15" s="8">
        <v>1</v>
      </c>
      <c r="V15" s="8">
        <v>1</v>
      </c>
      <c r="W15" s="8" t="s">
        <v>136</v>
      </c>
      <c r="X15" s="8" t="s">
        <v>136</v>
      </c>
      <c r="Y15" s="8">
        <v>1</v>
      </c>
      <c r="Z15" s="8">
        <v>1</v>
      </c>
      <c r="AA15" s="8">
        <v>1</v>
      </c>
      <c r="AB15" s="8">
        <v>1</v>
      </c>
      <c r="AC15" s="8">
        <v>1</v>
      </c>
      <c r="AD15" s="8" t="s">
        <v>136</v>
      </c>
      <c r="AE15" s="8" t="s">
        <v>136</v>
      </c>
      <c r="AF15" s="8">
        <v>1</v>
      </c>
      <c r="AG15" s="8">
        <v>1</v>
      </c>
      <c r="AH15" s="8">
        <v>1</v>
      </c>
      <c r="AI15" s="8">
        <v>1</v>
      </c>
      <c r="AJ15" s="8">
        <v>1</v>
      </c>
      <c r="AK15" s="10">
        <v>23</v>
      </c>
      <c r="AL15" s="11">
        <v>23</v>
      </c>
      <c r="AM15" s="13">
        <v>23</v>
      </c>
      <c r="AN15" s="13">
        <v>0</v>
      </c>
      <c r="AO15" s="7" t="e">
        <v>#N/A</v>
      </c>
    </row>
    <row r="16" spans="1:41">
      <c r="A16" s="8" t="s">
        <v>131</v>
      </c>
      <c r="B16" s="8" t="s">
        <v>165</v>
      </c>
      <c r="C16" s="8" t="s">
        <v>166</v>
      </c>
      <c r="D16" s="8" t="s">
        <v>167</v>
      </c>
      <c r="E16" s="8" t="s">
        <v>135</v>
      </c>
      <c r="F16" s="8">
        <v>1</v>
      </c>
      <c r="G16" s="8">
        <v>1</v>
      </c>
      <c r="H16" s="8">
        <v>1</v>
      </c>
      <c r="I16" s="8" t="s">
        <v>136</v>
      </c>
      <c r="J16" s="8" t="s">
        <v>136</v>
      </c>
      <c r="K16" s="8">
        <v>1</v>
      </c>
      <c r="L16" s="8">
        <v>1</v>
      </c>
      <c r="M16" s="8">
        <v>1</v>
      </c>
      <c r="N16" s="8">
        <v>1</v>
      </c>
      <c r="O16" s="8">
        <v>1</v>
      </c>
      <c r="P16" s="8" t="s">
        <v>136</v>
      </c>
      <c r="Q16" s="8" t="s">
        <v>136</v>
      </c>
      <c r="R16" s="8">
        <v>1</v>
      </c>
      <c r="S16" s="8">
        <v>1</v>
      </c>
      <c r="T16" s="8">
        <v>1</v>
      </c>
      <c r="U16" s="8">
        <v>1</v>
      </c>
      <c r="V16" s="8">
        <v>1</v>
      </c>
      <c r="W16" s="8" t="s">
        <v>136</v>
      </c>
      <c r="X16" s="8" t="s">
        <v>136</v>
      </c>
      <c r="Y16" s="8">
        <v>1</v>
      </c>
      <c r="Z16" s="8">
        <v>1</v>
      </c>
      <c r="AA16" s="8">
        <v>1</v>
      </c>
      <c r="AB16" s="8">
        <v>1</v>
      </c>
      <c r="AC16" s="8">
        <v>1</v>
      </c>
      <c r="AD16" s="8" t="s">
        <v>136</v>
      </c>
      <c r="AE16" s="8" t="s">
        <v>136</v>
      </c>
      <c r="AF16" s="8">
        <v>1</v>
      </c>
      <c r="AG16" s="8">
        <v>1</v>
      </c>
      <c r="AH16" s="8">
        <v>1</v>
      </c>
      <c r="AI16" s="8">
        <v>1</v>
      </c>
      <c r="AJ16" s="8">
        <v>1</v>
      </c>
      <c r="AK16" s="10">
        <v>23</v>
      </c>
      <c r="AL16" s="11">
        <v>23</v>
      </c>
      <c r="AM16" s="13">
        <v>23</v>
      </c>
      <c r="AN16" s="13">
        <v>0</v>
      </c>
      <c r="AO16" s="7" t="e">
        <v>#N/A</v>
      </c>
    </row>
    <row r="17" spans="1:41">
      <c r="A17" s="8" t="s">
        <v>131</v>
      </c>
      <c r="B17" s="8" t="s">
        <v>165</v>
      </c>
      <c r="C17" s="8" t="s">
        <v>168</v>
      </c>
      <c r="D17" s="8" t="s">
        <v>169</v>
      </c>
      <c r="E17" s="8" t="s">
        <v>135</v>
      </c>
      <c r="F17" s="8">
        <v>1</v>
      </c>
      <c r="G17" s="8">
        <v>1</v>
      </c>
      <c r="H17" s="8">
        <v>1</v>
      </c>
      <c r="I17" s="8" t="s">
        <v>136</v>
      </c>
      <c r="J17" s="8" t="s">
        <v>136</v>
      </c>
      <c r="K17" s="8">
        <v>1</v>
      </c>
      <c r="L17" s="8">
        <v>1</v>
      </c>
      <c r="M17" s="8">
        <v>1</v>
      </c>
      <c r="N17" s="8">
        <v>1</v>
      </c>
      <c r="O17" s="8">
        <v>1</v>
      </c>
      <c r="P17" s="8" t="s">
        <v>136</v>
      </c>
      <c r="Q17" s="8" t="s">
        <v>136</v>
      </c>
      <c r="R17" s="8">
        <v>1</v>
      </c>
      <c r="S17" s="8">
        <v>1</v>
      </c>
      <c r="T17" s="8">
        <v>1</v>
      </c>
      <c r="U17" s="8">
        <v>1</v>
      </c>
      <c r="V17" s="8">
        <v>1</v>
      </c>
      <c r="W17" s="8" t="s">
        <v>136</v>
      </c>
      <c r="X17" s="8" t="s">
        <v>136</v>
      </c>
      <c r="Y17" s="8">
        <v>1</v>
      </c>
      <c r="Z17" s="8">
        <v>1</v>
      </c>
      <c r="AA17" s="8">
        <v>1</v>
      </c>
      <c r="AB17" s="8">
        <v>1</v>
      </c>
      <c r="AC17" s="8">
        <v>1</v>
      </c>
      <c r="AD17" s="8" t="s">
        <v>136</v>
      </c>
      <c r="AE17" s="8" t="s">
        <v>136</v>
      </c>
      <c r="AF17" s="8">
        <v>1</v>
      </c>
      <c r="AG17" s="8">
        <v>1</v>
      </c>
      <c r="AH17" s="8">
        <v>1</v>
      </c>
      <c r="AI17" s="8">
        <v>1</v>
      </c>
      <c r="AJ17" s="8">
        <v>1</v>
      </c>
      <c r="AK17" s="10">
        <v>23</v>
      </c>
      <c r="AL17" s="11">
        <v>23</v>
      </c>
      <c r="AM17" s="13">
        <v>23</v>
      </c>
      <c r="AN17" s="13">
        <v>0</v>
      </c>
      <c r="AO17" s="7" t="e">
        <v>#N/A</v>
      </c>
    </row>
    <row r="18" spans="1:41">
      <c r="A18" s="8" t="s">
        <v>131</v>
      </c>
      <c r="B18" s="8" t="s">
        <v>165</v>
      </c>
      <c r="C18" s="8" t="s">
        <v>170</v>
      </c>
      <c r="D18" s="8" t="s">
        <v>171</v>
      </c>
      <c r="E18" s="8" t="s">
        <v>135</v>
      </c>
      <c r="F18" s="8">
        <v>1</v>
      </c>
      <c r="G18" s="8">
        <v>1</v>
      </c>
      <c r="H18" s="8">
        <v>1</v>
      </c>
      <c r="I18" s="8" t="s">
        <v>136</v>
      </c>
      <c r="J18" s="8" t="s">
        <v>136</v>
      </c>
      <c r="K18" s="8">
        <v>1</v>
      </c>
      <c r="L18" s="8">
        <v>1</v>
      </c>
      <c r="M18" s="8">
        <v>1</v>
      </c>
      <c r="N18" s="8">
        <v>1</v>
      </c>
      <c r="O18" s="8">
        <v>1</v>
      </c>
      <c r="P18" s="8" t="s">
        <v>136</v>
      </c>
      <c r="Q18" s="8" t="s">
        <v>136</v>
      </c>
      <c r="R18" s="8">
        <v>1</v>
      </c>
      <c r="S18" s="8">
        <v>1</v>
      </c>
      <c r="T18" s="8">
        <v>1</v>
      </c>
      <c r="U18" s="8">
        <v>1</v>
      </c>
      <c r="V18" s="8">
        <v>1</v>
      </c>
      <c r="W18" s="8" t="s">
        <v>136</v>
      </c>
      <c r="X18" s="8" t="s">
        <v>136</v>
      </c>
      <c r="Y18" s="8">
        <v>1</v>
      </c>
      <c r="Z18" s="8">
        <v>1</v>
      </c>
      <c r="AA18" s="8">
        <v>1</v>
      </c>
      <c r="AB18" s="8">
        <v>1</v>
      </c>
      <c r="AC18" s="8">
        <v>1</v>
      </c>
      <c r="AD18" s="8" t="s">
        <v>136</v>
      </c>
      <c r="AE18" s="8" t="s">
        <v>136</v>
      </c>
      <c r="AF18" s="8">
        <v>1</v>
      </c>
      <c r="AG18" s="8">
        <v>1</v>
      </c>
      <c r="AH18" s="8">
        <v>1</v>
      </c>
      <c r="AI18" s="8">
        <v>1</v>
      </c>
      <c r="AJ18" s="8">
        <v>1</v>
      </c>
      <c r="AK18" s="10">
        <v>23</v>
      </c>
      <c r="AL18" s="11">
        <v>23</v>
      </c>
      <c r="AM18" s="13">
        <v>23</v>
      </c>
      <c r="AN18" s="13">
        <v>0</v>
      </c>
      <c r="AO18" s="7" t="e">
        <v>#N/A</v>
      </c>
    </row>
    <row r="19" spans="1:41">
      <c r="A19" s="8" t="s">
        <v>131</v>
      </c>
      <c r="B19" s="8" t="s">
        <v>165</v>
      </c>
      <c r="C19" s="8" t="s">
        <v>172</v>
      </c>
      <c r="D19" s="8" t="s">
        <v>173</v>
      </c>
      <c r="E19" s="8" t="s">
        <v>135</v>
      </c>
      <c r="F19" s="8">
        <v>1</v>
      </c>
      <c r="G19" s="8">
        <v>1</v>
      </c>
      <c r="H19" s="8">
        <v>1</v>
      </c>
      <c r="I19" s="8" t="s">
        <v>136</v>
      </c>
      <c r="J19" s="8" t="s">
        <v>136</v>
      </c>
      <c r="K19" s="8">
        <v>1</v>
      </c>
      <c r="L19" s="8">
        <v>1</v>
      </c>
      <c r="M19" s="8">
        <v>1</v>
      </c>
      <c r="N19" s="8">
        <v>1</v>
      </c>
      <c r="O19" s="8">
        <v>1</v>
      </c>
      <c r="P19" s="8" t="s">
        <v>136</v>
      </c>
      <c r="Q19" s="8" t="s">
        <v>136</v>
      </c>
      <c r="R19" s="8">
        <v>1</v>
      </c>
      <c r="S19" s="8">
        <v>1</v>
      </c>
      <c r="T19" s="8">
        <v>1</v>
      </c>
      <c r="U19" s="8">
        <v>1</v>
      </c>
      <c r="V19" s="8">
        <v>1</v>
      </c>
      <c r="W19" s="8" t="s">
        <v>136</v>
      </c>
      <c r="X19" s="8" t="s">
        <v>136</v>
      </c>
      <c r="Y19" s="8">
        <v>1</v>
      </c>
      <c r="Z19" s="8">
        <v>1</v>
      </c>
      <c r="AA19" s="8">
        <v>1</v>
      </c>
      <c r="AB19" s="8">
        <v>1</v>
      </c>
      <c r="AC19" s="8">
        <v>1</v>
      </c>
      <c r="AD19" s="8" t="s">
        <v>136</v>
      </c>
      <c r="AE19" s="8" t="s">
        <v>136</v>
      </c>
      <c r="AF19" s="8">
        <v>1</v>
      </c>
      <c r="AG19" s="8">
        <v>1</v>
      </c>
      <c r="AH19" s="8">
        <v>1</v>
      </c>
      <c r="AI19" s="8">
        <v>1</v>
      </c>
      <c r="AJ19" s="8">
        <v>1</v>
      </c>
      <c r="AK19" s="10">
        <v>23</v>
      </c>
      <c r="AL19" s="11">
        <v>23</v>
      </c>
      <c r="AM19" s="13">
        <v>23</v>
      </c>
      <c r="AN19" s="13">
        <v>0</v>
      </c>
      <c r="AO19" s="7" t="e">
        <v>#N/A</v>
      </c>
    </row>
    <row r="20" spans="1:41">
      <c r="A20" s="8" t="s">
        <v>131</v>
      </c>
      <c r="B20" s="8" t="s">
        <v>165</v>
      </c>
      <c r="C20" s="8" t="s">
        <v>174</v>
      </c>
      <c r="D20" s="8" t="s">
        <v>175</v>
      </c>
      <c r="E20" s="8" t="s">
        <v>135</v>
      </c>
      <c r="F20" s="8">
        <v>1</v>
      </c>
      <c r="G20" s="8">
        <v>1</v>
      </c>
      <c r="H20" s="8">
        <v>1</v>
      </c>
      <c r="I20" s="8" t="s">
        <v>136</v>
      </c>
      <c r="J20" s="8" t="s">
        <v>136</v>
      </c>
      <c r="K20" s="8">
        <v>1</v>
      </c>
      <c r="L20" s="8">
        <v>1</v>
      </c>
      <c r="M20" s="8">
        <v>1</v>
      </c>
      <c r="N20" s="8">
        <v>1</v>
      </c>
      <c r="O20" s="8">
        <v>1</v>
      </c>
      <c r="P20" s="8" t="s">
        <v>136</v>
      </c>
      <c r="Q20" s="8" t="s">
        <v>136</v>
      </c>
      <c r="R20" s="8">
        <v>1</v>
      </c>
      <c r="S20" s="8">
        <v>1</v>
      </c>
      <c r="T20" s="8">
        <v>1</v>
      </c>
      <c r="U20" s="8">
        <v>1</v>
      </c>
      <c r="V20" s="8">
        <v>1</v>
      </c>
      <c r="W20" s="8" t="s">
        <v>136</v>
      </c>
      <c r="X20" s="8" t="s">
        <v>136</v>
      </c>
      <c r="Y20" s="8">
        <v>1</v>
      </c>
      <c r="Z20" s="8">
        <v>1</v>
      </c>
      <c r="AA20" s="8">
        <v>1</v>
      </c>
      <c r="AB20" s="8">
        <v>1</v>
      </c>
      <c r="AC20" s="8">
        <v>1</v>
      </c>
      <c r="AD20" s="8" t="s">
        <v>136</v>
      </c>
      <c r="AE20" s="8" t="s">
        <v>136</v>
      </c>
      <c r="AF20" s="8">
        <v>1</v>
      </c>
      <c r="AG20" s="8">
        <v>1</v>
      </c>
      <c r="AH20" s="8">
        <v>1</v>
      </c>
      <c r="AI20" s="8">
        <v>1</v>
      </c>
      <c r="AJ20" s="8">
        <v>1</v>
      </c>
      <c r="AK20" s="10">
        <v>23</v>
      </c>
      <c r="AL20" s="11">
        <v>23</v>
      </c>
      <c r="AM20" s="13">
        <v>23</v>
      </c>
      <c r="AN20" s="13">
        <v>0</v>
      </c>
      <c r="AO20" s="7" t="e">
        <v>#N/A</v>
      </c>
    </row>
    <row r="21" spans="1:41">
      <c r="A21" s="8" t="s">
        <v>131</v>
      </c>
      <c r="B21" s="8" t="s">
        <v>165</v>
      </c>
      <c r="C21" s="8" t="s">
        <v>176</v>
      </c>
      <c r="D21" s="8" t="s">
        <v>177</v>
      </c>
      <c r="E21" s="8" t="s">
        <v>135</v>
      </c>
      <c r="F21" s="8">
        <v>1</v>
      </c>
      <c r="G21" s="8">
        <v>1</v>
      </c>
      <c r="H21" s="8">
        <v>1</v>
      </c>
      <c r="I21" s="8" t="s">
        <v>136</v>
      </c>
      <c r="J21" s="8" t="s">
        <v>136</v>
      </c>
      <c r="K21" s="8">
        <v>1</v>
      </c>
      <c r="L21" s="8">
        <v>1</v>
      </c>
      <c r="M21" s="8">
        <v>1</v>
      </c>
      <c r="N21" s="8">
        <v>1</v>
      </c>
      <c r="O21" s="8">
        <v>1</v>
      </c>
      <c r="P21" s="8" t="s">
        <v>136</v>
      </c>
      <c r="Q21" s="8" t="s">
        <v>136</v>
      </c>
      <c r="R21" s="8">
        <v>1</v>
      </c>
      <c r="S21" s="8">
        <v>1</v>
      </c>
      <c r="T21" s="8">
        <v>1</v>
      </c>
      <c r="U21" s="8">
        <v>1</v>
      </c>
      <c r="V21" s="8">
        <v>1</v>
      </c>
      <c r="W21" s="8" t="s">
        <v>136</v>
      </c>
      <c r="X21" s="8" t="s">
        <v>136</v>
      </c>
      <c r="Y21" s="8">
        <v>1</v>
      </c>
      <c r="Z21" s="8">
        <v>1</v>
      </c>
      <c r="AA21" s="8">
        <v>1</v>
      </c>
      <c r="AB21" s="8">
        <v>1</v>
      </c>
      <c r="AC21" s="8">
        <v>1</v>
      </c>
      <c r="AD21" s="8" t="s">
        <v>136</v>
      </c>
      <c r="AE21" s="8" t="s">
        <v>136</v>
      </c>
      <c r="AF21" s="8">
        <v>1</v>
      </c>
      <c r="AG21" s="8">
        <v>1</v>
      </c>
      <c r="AH21" s="8">
        <v>1</v>
      </c>
      <c r="AI21" s="8">
        <v>1</v>
      </c>
      <c r="AJ21" s="8">
        <v>1</v>
      </c>
      <c r="AK21" s="10">
        <v>23</v>
      </c>
      <c r="AL21" s="11">
        <v>23</v>
      </c>
      <c r="AM21" s="13">
        <v>23</v>
      </c>
      <c r="AN21" s="13">
        <v>0</v>
      </c>
      <c r="AO21" s="7" t="e">
        <v>#N/A</v>
      </c>
    </row>
    <row r="22" spans="1:41">
      <c r="A22" s="8" t="s">
        <v>131</v>
      </c>
      <c r="B22" s="8" t="s">
        <v>165</v>
      </c>
      <c r="C22" s="8" t="s">
        <v>178</v>
      </c>
      <c r="D22" s="8" t="s">
        <v>179</v>
      </c>
      <c r="E22" s="8" t="s">
        <v>135</v>
      </c>
      <c r="F22" s="8">
        <v>1</v>
      </c>
      <c r="G22" s="8">
        <v>1</v>
      </c>
      <c r="H22" s="8">
        <v>1</v>
      </c>
      <c r="I22" s="8" t="s">
        <v>136</v>
      </c>
      <c r="J22" s="8" t="s">
        <v>136</v>
      </c>
      <c r="K22" s="8">
        <v>1</v>
      </c>
      <c r="L22" s="8">
        <v>1</v>
      </c>
      <c r="M22" s="8">
        <v>1</v>
      </c>
      <c r="N22" s="8">
        <v>1</v>
      </c>
      <c r="O22" s="8">
        <v>1</v>
      </c>
      <c r="P22" s="8" t="s">
        <v>136</v>
      </c>
      <c r="Q22" s="8" t="s">
        <v>136</v>
      </c>
      <c r="R22" s="8">
        <v>1</v>
      </c>
      <c r="S22" s="8">
        <v>1</v>
      </c>
      <c r="T22" s="8">
        <v>1</v>
      </c>
      <c r="U22" s="8">
        <v>1</v>
      </c>
      <c r="V22" s="8">
        <v>1</v>
      </c>
      <c r="W22" s="8" t="s">
        <v>136</v>
      </c>
      <c r="X22" s="8" t="s">
        <v>136</v>
      </c>
      <c r="Y22" s="8">
        <v>1</v>
      </c>
      <c r="Z22" s="8">
        <v>1</v>
      </c>
      <c r="AA22" s="8">
        <v>1</v>
      </c>
      <c r="AB22" s="8">
        <v>1</v>
      </c>
      <c r="AC22" s="8">
        <v>1</v>
      </c>
      <c r="AD22" s="8" t="s">
        <v>136</v>
      </c>
      <c r="AE22" s="8" t="s">
        <v>136</v>
      </c>
      <c r="AF22" s="8">
        <v>1</v>
      </c>
      <c r="AG22" s="8">
        <v>1</v>
      </c>
      <c r="AH22" s="8">
        <v>1</v>
      </c>
      <c r="AI22" s="8">
        <v>1</v>
      </c>
      <c r="AJ22" s="8">
        <v>1</v>
      </c>
      <c r="AK22" s="10">
        <v>23</v>
      </c>
      <c r="AL22" s="11">
        <v>23</v>
      </c>
      <c r="AM22" s="13">
        <v>23</v>
      </c>
      <c r="AN22" s="13">
        <v>0</v>
      </c>
      <c r="AO22" s="7" t="e">
        <v>#N/A</v>
      </c>
    </row>
    <row r="23" spans="1:41">
      <c r="A23" s="8" t="s">
        <v>131</v>
      </c>
      <c r="B23" s="8" t="s">
        <v>165</v>
      </c>
      <c r="C23" s="8" t="s">
        <v>180</v>
      </c>
      <c r="D23" s="8" t="s">
        <v>181</v>
      </c>
      <c r="E23" s="8" t="s">
        <v>135</v>
      </c>
      <c r="F23" s="8">
        <v>1</v>
      </c>
      <c r="G23" s="8">
        <v>1</v>
      </c>
      <c r="H23" s="8">
        <v>1</v>
      </c>
      <c r="I23" s="8" t="s">
        <v>136</v>
      </c>
      <c r="J23" s="8" t="s">
        <v>136</v>
      </c>
      <c r="K23" s="8">
        <v>1</v>
      </c>
      <c r="L23" s="8">
        <v>1</v>
      </c>
      <c r="M23" s="8">
        <v>1</v>
      </c>
      <c r="N23" s="8">
        <v>1</v>
      </c>
      <c r="O23" s="8">
        <v>1</v>
      </c>
      <c r="P23" s="8" t="s">
        <v>136</v>
      </c>
      <c r="Q23" s="8" t="s">
        <v>136</v>
      </c>
      <c r="R23" s="8">
        <v>1</v>
      </c>
      <c r="S23" s="8">
        <v>1</v>
      </c>
      <c r="T23" s="8">
        <v>1</v>
      </c>
      <c r="U23" s="8">
        <v>1</v>
      </c>
      <c r="V23" s="8">
        <v>1</v>
      </c>
      <c r="W23" s="8" t="s">
        <v>136</v>
      </c>
      <c r="X23" s="8" t="s">
        <v>136</v>
      </c>
      <c r="Y23" s="8">
        <v>1</v>
      </c>
      <c r="Z23" s="8">
        <v>1</v>
      </c>
      <c r="AA23" s="8">
        <v>1</v>
      </c>
      <c r="AB23" s="8">
        <v>1</v>
      </c>
      <c r="AC23" s="8">
        <v>1</v>
      </c>
      <c r="AD23" s="8" t="s">
        <v>136</v>
      </c>
      <c r="AE23" s="8" t="s">
        <v>136</v>
      </c>
      <c r="AF23" s="8">
        <v>1</v>
      </c>
      <c r="AG23" s="8">
        <v>1</v>
      </c>
      <c r="AH23" s="8">
        <v>1</v>
      </c>
      <c r="AI23" s="8">
        <v>1</v>
      </c>
      <c r="AJ23" s="8">
        <v>1</v>
      </c>
      <c r="AK23" s="10">
        <v>23</v>
      </c>
      <c r="AL23" s="11">
        <v>23</v>
      </c>
      <c r="AM23" s="13">
        <v>23</v>
      </c>
      <c r="AN23" s="13">
        <v>0</v>
      </c>
      <c r="AO23" s="7" t="e">
        <v>#N/A</v>
      </c>
    </row>
    <row r="24" spans="1:41">
      <c r="A24" s="8" t="s">
        <v>131</v>
      </c>
      <c r="B24" s="8" t="s">
        <v>165</v>
      </c>
      <c r="C24" s="8" t="s">
        <v>182</v>
      </c>
      <c r="D24" s="8" t="s">
        <v>183</v>
      </c>
      <c r="E24" s="8" t="s">
        <v>135</v>
      </c>
      <c r="F24" s="8">
        <v>1</v>
      </c>
      <c r="G24" s="8">
        <v>1</v>
      </c>
      <c r="H24" s="8">
        <v>1</v>
      </c>
      <c r="I24" s="8" t="s">
        <v>136</v>
      </c>
      <c r="J24" s="8" t="s">
        <v>136</v>
      </c>
      <c r="K24" s="8">
        <v>1</v>
      </c>
      <c r="L24" s="8">
        <v>1</v>
      </c>
      <c r="M24" s="8">
        <v>1</v>
      </c>
      <c r="N24" s="8">
        <v>1</v>
      </c>
      <c r="O24" s="8">
        <v>1</v>
      </c>
      <c r="P24" s="8" t="s">
        <v>136</v>
      </c>
      <c r="Q24" s="8" t="s">
        <v>136</v>
      </c>
      <c r="R24" s="8">
        <v>1</v>
      </c>
      <c r="S24" s="8">
        <v>1</v>
      </c>
      <c r="T24" s="8">
        <v>1</v>
      </c>
      <c r="U24" s="8">
        <v>1</v>
      </c>
      <c r="V24" s="8">
        <v>1</v>
      </c>
      <c r="W24" s="8" t="s">
        <v>136</v>
      </c>
      <c r="X24" s="8" t="s">
        <v>136</v>
      </c>
      <c r="Y24" s="8">
        <v>1</v>
      </c>
      <c r="Z24" s="8">
        <v>1</v>
      </c>
      <c r="AA24" s="8">
        <v>1</v>
      </c>
      <c r="AB24" s="8">
        <v>1</v>
      </c>
      <c r="AC24" s="8">
        <v>1</v>
      </c>
      <c r="AD24" s="8" t="s">
        <v>136</v>
      </c>
      <c r="AE24" s="8" t="s">
        <v>136</v>
      </c>
      <c r="AF24" s="8">
        <v>1</v>
      </c>
      <c r="AG24" s="8">
        <v>1</v>
      </c>
      <c r="AH24" s="8">
        <v>1</v>
      </c>
      <c r="AI24" s="8">
        <v>1</v>
      </c>
      <c r="AJ24" s="8">
        <v>1</v>
      </c>
      <c r="AK24" s="10">
        <v>23</v>
      </c>
      <c r="AL24" s="11">
        <v>23</v>
      </c>
      <c r="AM24" s="13">
        <v>23</v>
      </c>
      <c r="AN24" s="13">
        <v>0</v>
      </c>
      <c r="AO24" s="7" t="e">
        <v>#N/A</v>
      </c>
    </row>
    <row r="25" spans="1:41">
      <c r="A25" s="8" t="s">
        <v>131</v>
      </c>
      <c r="B25" s="8" t="s">
        <v>184</v>
      </c>
      <c r="C25" s="8" t="s">
        <v>185</v>
      </c>
      <c r="D25" s="8" t="s">
        <v>186</v>
      </c>
      <c r="E25" s="8" t="s">
        <v>135</v>
      </c>
      <c r="F25" s="8">
        <v>1</v>
      </c>
      <c r="G25" s="8">
        <v>1</v>
      </c>
      <c r="H25" s="8">
        <v>1</v>
      </c>
      <c r="I25" s="8" t="s">
        <v>136</v>
      </c>
      <c r="J25" s="8" t="s">
        <v>136</v>
      </c>
      <c r="K25" s="8">
        <v>1</v>
      </c>
      <c r="L25" s="8">
        <v>1</v>
      </c>
      <c r="M25" s="8">
        <v>1</v>
      </c>
      <c r="N25" s="8">
        <v>1</v>
      </c>
      <c r="O25" s="8">
        <v>1</v>
      </c>
      <c r="P25" s="8" t="s">
        <v>136</v>
      </c>
      <c r="Q25" s="8" t="s">
        <v>136</v>
      </c>
      <c r="R25" s="8">
        <v>1</v>
      </c>
      <c r="S25" s="8">
        <v>1</v>
      </c>
      <c r="T25" s="8">
        <v>1</v>
      </c>
      <c r="U25" s="8">
        <v>1</v>
      </c>
      <c r="V25" s="8">
        <v>1</v>
      </c>
      <c r="W25" s="8" t="s">
        <v>136</v>
      </c>
      <c r="X25" s="8" t="s">
        <v>136</v>
      </c>
      <c r="Y25" s="8">
        <v>1</v>
      </c>
      <c r="Z25" s="8">
        <v>1</v>
      </c>
      <c r="AA25" s="8">
        <v>1</v>
      </c>
      <c r="AB25" s="8">
        <v>1</v>
      </c>
      <c r="AC25" s="8">
        <v>1</v>
      </c>
      <c r="AD25" s="8" t="s">
        <v>136</v>
      </c>
      <c r="AE25" s="8" t="s">
        <v>136</v>
      </c>
      <c r="AF25" s="8">
        <v>1</v>
      </c>
      <c r="AG25" s="8">
        <v>1</v>
      </c>
      <c r="AH25" s="8">
        <v>1</v>
      </c>
      <c r="AI25" s="8">
        <v>1</v>
      </c>
      <c r="AJ25" s="8">
        <v>1</v>
      </c>
      <c r="AK25" s="10">
        <v>23</v>
      </c>
      <c r="AL25" s="11">
        <v>23</v>
      </c>
      <c r="AM25" s="13">
        <v>23</v>
      </c>
      <c r="AN25" s="13">
        <v>0</v>
      </c>
      <c r="AO25" s="7" t="e">
        <v>#N/A</v>
      </c>
    </row>
    <row r="26" spans="1:41">
      <c r="A26" s="8" t="s">
        <v>131</v>
      </c>
      <c r="B26" s="8" t="s">
        <v>184</v>
      </c>
      <c r="C26" s="8" t="s">
        <v>187</v>
      </c>
      <c r="D26" s="8" t="s">
        <v>188</v>
      </c>
      <c r="E26" s="8" t="s">
        <v>135</v>
      </c>
      <c r="F26" s="8">
        <v>1</v>
      </c>
      <c r="G26" s="8">
        <v>1</v>
      </c>
      <c r="H26" s="8">
        <v>1</v>
      </c>
      <c r="I26" s="8" t="s">
        <v>136</v>
      </c>
      <c r="J26" s="8" t="s">
        <v>136</v>
      </c>
      <c r="K26" s="8">
        <v>1</v>
      </c>
      <c r="L26" s="8">
        <v>1</v>
      </c>
      <c r="M26" s="8">
        <v>1</v>
      </c>
      <c r="N26" s="8">
        <v>1</v>
      </c>
      <c r="O26" s="8">
        <v>1</v>
      </c>
      <c r="P26" s="8" t="s">
        <v>136</v>
      </c>
      <c r="Q26" s="8" t="s">
        <v>136</v>
      </c>
      <c r="R26" s="8">
        <v>1</v>
      </c>
      <c r="S26" s="8">
        <v>1</v>
      </c>
      <c r="T26" s="8">
        <v>1</v>
      </c>
      <c r="U26" s="8">
        <v>1</v>
      </c>
      <c r="V26" s="8">
        <v>1</v>
      </c>
      <c r="W26" s="8" t="s">
        <v>136</v>
      </c>
      <c r="X26" s="8" t="s">
        <v>136</v>
      </c>
      <c r="Y26" s="8">
        <v>1</v>
      </c>
      <c r="Z26" s="8">
        <v>1</v>
      </c>
      <c r="AA26" s="8">
        <v>1</v>
      </c>
      <c r="AB26" s="8">
        <v>1</v>
      </c>
      <c r="AC26" s="8">
        <v>1</v>
      </c>
      <c r="AD26" s="8" t="s">
        <v>136</v>
      </c>
      <c r="AE26" s="8" t="s">
        <v>136</v>
      </c>
      <c r="AF26" s="8">
        <v>1</v>
      </c>
      <c r="AG26" s="8">
        <v>1</v>
      </c>
      <c r="AH26" s="8">
        <v>1</v>
      </c>
      <c r="AI26" s="8">
        <v>1</v>
      </c>
      <c r="AJ26" s="8">
        <v>1</v>
      </c>
      <c r="AK26" s="10">
        <v>23</v>
      </c>
      <c r="AL26" s="11">
        <v>23</v>
      </c>
      <c r="AM26" s="13">
        <v>23</v>
      </c>
      <c r="AN26" s="13">
        <v>0</v>
      </c>
      <c r="AO26" s="7" t="e">
        <v>#N/A</v>
      </c>
    </row>
    <row r="27" spans="1:41">
      <c r="A27" s="8" t="s">
        <v>131</v>
      </c>
      <c r="B27" s="8" t="s">
        <v>184</v>
      </c>
      <c r="C27" s="8" t="s">
        <v>189</v>
      </c>
      <c r="D27" s="8" t="s">
        <v>190</v>
      </c>
      <c r="E27" s="8" t="s">
        <v>135</v>
      </c>
      <c r="F27" s="8">
        <v>1</v>
      </c>
      <c r="G27" s="8">
        <v>1</v>
      </c>
      <c r="H27" s="8">
        <v>1</v>
      </c>
      <c r="I27" s="8" t="s">
        <v>136</v>
      </c>
      <c r="J27" s="8" t="s">
        <v>136</v>
      </c>
      <c r="K27" s="8">
        <v>1</v>
      </c>
      <c r="L27" s="8">
        <v>1</v>
      </c>
      <c r="M27" s="8">
        <v>1</v>
      </c>
      <c r="N27" s="8">
        <v>1</v>
      </c>
      <c r="O27" s="8">
        <v>1</v>
      </c>
      <c r="P27" s="8" t="s">
        <v>136</v>
      </c>
      <c r="Q27" s="8" t="s">
        <v>136</v>
      </c>
      <c r="R27" s="8">
        <v>1</v>
      </c>
      <c r="S27" s="8">
        <v>1</v>
      </c>
      <c r="T27" s="8">
        <v>1</v>
      </c>
      <c r="U27" s="8">
        <v>1</v>
      </c>
      <c r="V27" s="8">
        <v>1</v>
      </c>
      <c r="W27" s="8" t="s">
        <v>136</v>
      </c>
      <c r="X27" s="8" t="s">
        <v>136</v>
      </c>
      <c r="Y27" s="8">
        <v>1</v>
      </c>
      <c r="Z27" s="8">
        <v>1</v>
      </c>
      <c r="AA27" s="8">
        <v>1</v>
      </c>
      <c r="AB27" s="8">
        <v>1</v>
      </c>
      <c r="AC27" s="8">
        <v>1</v>
      </c>
      <c r="AD27" s="8" t="s">
        <v>136</v>
      </c>
      <c r="AE27" s="8" t="s">
        <v>136</v>
      </c>
      <c r="AF27" s="8">
        <v>1</v>
      </c>
      <c r="AG27" s="8">
        <v>1</v>
      </c>
      <c r="AH27" s="8">
        <v>1</v>
      </c>
      <c r="AI27" s="8">
        <v>1</v>
      </c>
      <c r="AJ27" s="8">
        <v>1</v>
      </c>
      <c r="AK27" s="10">
        <v>23</v>
      </c>
      <c r="AL27" s="11">
        <v>23</v>
      </c>
      <c r="AM27" s="13">
        <v>23</v>
      </c>
      <c r="AN27" s="13">
        <v>0</v>
      </c>
      <c r="AO27" s="7" t="e">
        <v>#N/A</v>
      </c>
    </row>
    <row r="28" spans="1:41">
      <c r="A28" s="8" t="s">
        <v>131</v>
      </c>
      <c r="B28" s="8" t="s">
        <v>184</v>
      </c>
      <c r="C28" s="8" t="s">
        <v>191</v>
      </c>
      <c r="D28" s="8" t="s">
        <v>192</v>
      </c>
      <c r="E28" s="8" t="s">
        <v>135</v>
      </c>
      <c r="F28" s="8">
        <v>1</v>
      </c>
      <c r="G28" s="8">
        <v>1</v>
      </c>
      <c r="H28" s="8">
        <v>1</v>
      </c>
      <c r="I28" s="8" t="s">
        <v>136</v>
      </c>
      <c r="J28" s="8" t="s">
        <v>136</v>
      </c>
      <c r="K28" s="8">
        <v>1</v>
      </c>
      <c r="L28" s="8">
        <v>1</v>
      </c>
      <c r="M28" s="8">
        <v>1</v>
      </c>
      <c r="N28" s="8">
        <v>1</v>
      </c>
      <c r="O28" s="8">
        <v>1</v>
      </c>
      <c r="P28" s="8" t="s">
        <v>136</v>
      </c>
      <c r="Q28" s="8" t="s">
        <v>136</v>
      </c>
      <c r="R28" s="8">
        <v>1</v>
      </c>
      <c r="S28" s="8">
        <v>1</v>
      </c>
      <c r="T28" s="8">
        <v>1</v>
      </c>
      <c r="U28" s="8">
        <v>1</v>
      </c>
      <c r="V28" s="8">
        <v>1</v>
      </c>
      <c r="W28" s="8" t="s">
        <v>136</v>
      </c>
      <c r="X28" s="8" t="s">
        <v>136</v>
      </c>
      <c r="Y28" s="8">
        <v>1</v>
      </c>
      <c r="Z28" s="8">
        <v>1</v>
      </c>
      <c r="AA28" s="8">
        <v>1</v>
      </c>
      <c r="AB28" s="8">
        <v>1</v>
      </c>
      <c r="AC28" s="8">
        <v>1</v>
      </c>
      <c r="AD28" s="8" t="s">
        <v>136</v>
      </c>
      <c r="AE28" s="8" t="s">
        <v>136</v>
      </c>
      <c r="AF28" s="8">
        <v>1</v>
      </c>
      <c r="AG28" s="8">
        <v>1</v>
      </c>
      <c r="AH28" s="8">
        <v>1</v>
      </c>
      <c r="AI28" s="8">
        <v>1</v>
      </c>
      <c r="AJ28" s="8">
        <v>1</v>
      </c>
      <c r="AK28" s="10">
        <v>23</v>
      </c>
      <c r="AL28" s="11">
        <v>23</v>
      </c>
      <c r="AM28" s="13">
        <v>23</v>
      </c>
      <c r="AN28" s="13">
        <v>0</v>
      </c>
      <c r="AO28" s="7" t="e">
        <v>#N/A</v>
      </c>
    </row>
    <row r="29" spans="1:41">
      <c r="A29" s="8" t="s">
        <v>131</v>
      </c>
      <c r="B29" s="8" t="s">
        <v>184</v>
      </c>
      <c r="C29" s="8" t="s">
        <v>193</v>
      </c>
      <c r="D29" s="8" t="s">
        <v>194</v>
      </c>
      <c r="E29" s="8" t="s">
        <v>135</v>
      </c>
      <c r="F29" s="8">
        <v>1</v>
      </c>
      <c r="G29" s="8">
        <v>1</v>
      </c>
      <c r="H29" s="8">
        <v>1</v>
      </c>
      <c r="I29" s="8" t="s">
        <v>136</v>
      </c>
      <c r="J29" s="8" t="s">
        <v>136</v>
      </c>
      <c r="K29" s="8">
        <v>1</v>
      </c>
      <c r="L29" s="8">
        <v>1</v>
      </c>
      <c r="M29" s="8">
        <v>1</v>
      </c>
      <c r="N29" s="8">
        <v>1</v>
      </c>
      <c r="O29" s="8">
        <v>1</v>
      </c>
      <c r="P29" s="8" t="s">
        <v>136</v>
      </c>
      <c r="Q29" s="8" t="s">
        <v>136</v>
      </c>
      <c r="R29" s="8">
        <v>1</v>
      </c>
      <c r="S29" s="8">
        <v>1</v>
      </c>
      <c r="T29" s="8">
        <v>1</v>
      </c>
      <c r="U29" s="8">
        <v>1</v>
      </c>
      <c r="V29" s="8">
        <v>1</v>
      </c>
      <c r="W29" s="8" t="s">
        <v>136</v>
      </c>
      <c r="X29" s="8" t="s">
        <v>136</v>
      </c>
      <c r="Y29" s="8">
        <v>1</v>
      </c>
      <c r="Z29" s="8">
        <v>1</v>
      </c>
      <c r="AA29" s="8">
        <v>1</v>
      </c>
      <c r="AB29" s="8">
        <v>1</v>
      </c>
      <c r="AC29" s="8">
        <v>1</v>
      </c>
      <c r="AD29" s="8" t="s">
        <v>136</v>
      </c>
      <c r="AE29" s="8" t="s">
        <v>136</v>
      </c>
      <c r="AF29" s="8">
        <v>1</v>
      </c>
      <c r="AG29" s="8">
        <v>1</v>
      </c>
      <c r="AH29" s="8">
        <v>1</v>
      </c>
      <c r="AI29" s="8">
        <v>1</v>
      </c>
      <c r="AJ29" s="8">
        <v>1</v>
      </c>
      <c r="AK29" s="10">
        <v>23</v>
      </c>
      <c r="AL29" s="11">
        <v>23</v>
      </c>
      <c r="AM29" s="13">
        <v>23</v>
      </c>
      <c r="AN29" s="13">
        <v>0</v>
      </c>
      <c r="AO29" s="7" t="e">
        <v>#N/A</v>
      </c>
    </row>
    <row r="30" spans="1:41">
      <c r="A30" s="8" t="s">
        <v>131</v>
      </c>
      <c r="B30" s="8" t="s">
        <v>184</v>
      </c>
      <c r="C30" s="8" t="s">
        <v>195</v>
      </c>
      <c r="D30" s="8" t="s">
        <v>196</v>
      </c>
      <c r="E30" s="8" t="s">
        <v>135</v>
      </c>
      <c r="F30" s="8">
        <v>1</v>
      </c>
      <c r="G30" s="8">
        <v>1</v>
      </c>
      <c r="H30" s="8">
        <v>1</v>
      </c>
      <c r="I30" s="8" t="s">
        <v>136</v>
      </c>
      <c r="J30" s="8" t="s">
        <v>136</v>
      </c>
      <c r="K30" s="8">
        <v>1</v>
      </c>
      <c r="L30" s="8">
        <v>1</v>
      </c>
      <c r="M30" s="8">
        <v>1</v>
      </c>
      <c r="N30" s="8">
        <v>1</v>
      </c>
      <c r="O30" s="8">
        <v>1</v>
      </c>
      <c r="P30" s="8" t="s">
        <v>136</v>
      </c>
      <c r="Q30" s="8" t="s">
        <v>136</v>
      </c>
      <c r="R30" s="8">
        <v>1</v>
      </c>
      <c r="S30" s="8">
        <v>1</v>
      </c>
      <c r="T30" s="8">
        <v>1</v>
      </c>
      <c r="U30" s="8">
        <v>1</v>
      </c>
      <c r="V30" s="8">
        <v>1</v>
      </c>
      <c r="W30" s="8" t="s">
        <v>136</v>
      </c>
      <c r="X30" s="8" t="s">
        <v>136</v>
      </c>
      <c r="Y30" s="8">
        <v>1</v>
      </c>
      <c r="Z30" s="8">
        <v>1</v>
      </c>
      <c r="AA30" s="8">
        <v>1</v>
      </c>
      <c r="AB30" s="8">
        <v>1</v>
      </c>
      <c r="AC30" s="8">
        <v>1</v>
      </c>
      <c r="AD30" s="8" t="s">
        <v>136</v>
      </c>
      <c r="AE30" s="8" t="s">
        <v>136</v>
      </c>
      <c r="AF30" s="8">
        <v>1</v>
      </c>
      <c r="AG30" s="8">
        <v>1</v>
      </c>
      <c r="AH30" s="8">
        <v>1</v>
      </c>
      <c r="AI30" s="8">
        <v>1</v>
      </c>
      <c r="AJ30" s="8">
        <v>1</v>
      </c>
      <c r="AK30" s="10">
        <v>23</v>
      </c>
      <c r="AL30" s="11">
        <v>23</v>
      </c>
      <c r="AM30" s="13">
        <v>23</v>
      </c>
      <c r="AN30" s="13">
        <v>0</v>
      </c>
      <c r="AO30" s="7" t="e">
        <v>#N/A</v>
      </c>
    </row>
    <row r="31" spans="1:41">
      <c r="A31" s="8" t="s">
        <v>131</v>
      </c>
      <c r="B31" s="8" t="s">
        <v>184</v>
      </c>
      <c r="C31" s="8" t="s">
        <v>197</v>
      </c>
      <c r="D31" s="8" t="s">
        <v>198</v>
      </c>
      <c r="E31" s="8" t="s">
        <v>135</v>
      </c>
      <c r="F31" s="8">
        <v>1</v>
      </c>
      <c r="G31" s="8">
        <v>1</v>
      </c>
      <c r="H31" s="8">
        <v>1</v>
      </c>
      <c r="I31" s="8" t="s">
        <v>136</v>
      </c>
      <c r="J31" s="8" t="s">
        <v>136</v>
      </c>
      <c r="K31" s="8">
        <v>1</v>
      </c>
      <c r="L31" s="8">
        <v>1</v>
      </c>
      <c r="M31" s="8">
        <v>1</v>
      </c>
      <c r="N31" s="8">
        <v>1</v>
      </c>
      <c r="O31" s="8">
        <v>1</v>
      </c>
      <c r="P31" s="8" t="s">
        <v>136</v>
      </c>
      <c r="Q31" s="8" t="s">
        <v>136</v>
      </c>
      <c r="R31" s="8">
        <v>1</v>
      </c>
      <c r="S31" s="8">
        <v>1</v>
      </c>
      <c r="T31" s="8">
        <v>1</v>
      </c>
      <c r="U31" s="8">
        <v>1</v>
      </c>
      <c r="V31" s="8">
        <v>1</v>
      </c>
      <c r="W31" s="8" t="s">
        <v>136</v>
      </c>
      <c r="X31" s="8" t="s">
        <v>136</v>
      </c>
      <c r="Y31" s="8">
        <v>1</v>
      </c>
      <c r="Z31" s="8">
        <v>1</v>
      </c>
      <c r="AA31" s="8">
        <v>1</v>
      </c>
      <c r="AB31" s="8">
        <v>1</v>
      </c>
      <c r="AC31" s="8">
        <v>1</v>
      </c>
      <c r="AD31" s="8" t="s">
        <v>136</v>
      </c>
      <c r="AE31" s="8" t="s">
        <v>136</v>
      </c>
      <c r="AF31" s="8">
        <v>1</v>
      </c>
      <c r="AG31" s="8">
        <v>1</v>
      </c>
      <c r="AH31" s="8">
        <v>1</v>
      </c>
      <c r="AI31" s="8">
        <v>1</v>
      </c>
      <c r="AJ31" s="8">
        <v>1</v>
      </c>
      <c r="AK31" s="10">
        <v>23</v>
      </c>
      <c r="AL31" s="11">
        <v>23</v>
      </c>
      <c r="AM31" s="13">
        <v>23</v>
      </c>
      <c r="AN31" s="13">
        <v>0</v>
      </c>
      <c r="AO31" s="7" t="e">
        <v>#N/A</v>
      </c>
    </row>
    <row r="32" spans="1:41">
      <c r="A32" s="8" t="s">
        <v>131</v>
      </c>
      <c r="B32" s="8" t="s">
        <v>184</v>
      </c>
      <c r="C32" s="8" t="s">
        <v>199</v>
      </c>
      <c r="D32" s="8" t="s">
        <v>200</v>
      </c>
      <c r="E32" s="8" t="s">
        <v>135</v>
      </c>
      <c r="F32" s="8">
        <v>1</v>
      </c>
      <c r="G32" s="8">
        <v>1</v>
      </c>
      <c r="H32" s="8">
        <v>1</v>
      </c>
      <c r="I32" s="8" t="s">
        <v>136</v>
      </c>
      <c r="J32" s="8" t="s">
        <v>136</v>
      </c>
      <c r="K32" s="8">
        <v>1</v>
      </c>
      <c r="L32" s="8">
        <v>1</v>
      </c>
      <c r="M32" s="8">
        <v>1</v>
      </c>
      <c r="N32" s="8">
        <v>1</v>
      </c>
      <c r="O32" s="8">
        <v>1</v>
      </c>
      <c r="P32" s="8" t="s">
        <v>136</v>
      </c>
      <c r="Q32" s="8" t="s">
        <v>136</v>
      </c>
      <c r="R32" s="8">
        <v>1</v>
      </c>
      <c r="S32" s="8">
        <v>1</v>
      </c>
      <c r="T32" s="8">
        <v>1</v>
      </c>
      <c r="U32" s="8">
        <v>1</v>
      </c>
      <c r="V32" s="8">
        <v>1</v>
      </c>
      <c r="W32" s="8" t="s">
        <v>136</v>
      </c>
      <c r="X32" s="8" t="s">
        <v>136</v>
      </c>
      <c r="Y32" s="8">
        <v>1</v>
      </c>
      <c r="Z32" s="8">
        <v>1</v>
      </c>
      <c r="AA32" s="8">
        <v>1</v>
      </c>
      <c r="AB32" s="8">
        <v>1</v>
      </c>
      <c r="AC32" s="8">
        <v>1</v>
      </c>
      <c r="AD32" s="8" t="s">
        <v>136</v>
      </c>
      <c r="AE32" s="8" t="s">
        <v>136</v>
      </c>
      <c r="AF32" s="8">
        <v>1</v>
      </c>
      <c r="AG32" s="8">
        <v>1</v>
      </c>
      <c r="AH32" s="8">
        <v>1</v>
      </c>
      <c r="AI32" s="8">
        <v>1</v>
      </c>
      <c r="AJ32" s="8">
        <v>1</v>
      </c>
      <c r="AK32" s="10">
        <v>23</v>
      </c>
      <c r="AL32" s="11">
        <v>23</v>
      </c>
      <c r="AM32" s="13">
        <v>23</v>
      </c>
      <c r="AN32" s="13">
        <v>0</v>
      </c>
      <c r="AO32" s="7" t="e">
        <v>#N/A</v>
      </c>
    </row>
    <row r="33" spans="1:41">
      <c r="A33" s="8" t="s">
        <v>131</v>
      </c>
      <c r="B33" s="8" t="s">
        <v>184</v>
      </c>
      <c r="C33" s="8" t="s">
        <v>201</v>
      </c>
      <c r="D33" s="8" t="s">
        <v>202</v>
      </c>
      <c r="E33" s="8" t="s">
        <v>135</v>
      </c>
      <c r="F33" s="8">
        <v>1</v>
      </c>
      <c r="G33" s="8">
        <v>1</v>
      </c>
      <c r="H33" s="8">
        <v>1</v>
      </c>
      <c r="I33" s="8" t="s">
        <v>136</v>
      </c>
      <c r="J33" s="8" t="s">
        <v>136</v>
      </c>
      <c r="K33" s="8">
        <v>1</v>
      </c>
      <c r="L33" s="8">
        <v>1</v>
      </c>
      <c r="M33" s="8">
        <v>1</v>
      </c>
      <c r="N33" s="8">
        <v>1</v>
      </c>
      <c r="O33" s="8">
        <v>1</v>
      </c>
      <c r="P33" s="8" t="s">
        <v>136</v>
      </c>
      <c r="Q33" s="8" t="s">
        <v>136</v>
      </c>
      <c r="R33" s="8">
        <v>1</v>
      </c>
      <c r="S33" s="8">
        <v>1</v>
      </c>
      <c r="T33" s="8">
        <v>1</v>
      </c>
      <c r="U33" s="8">
        <v>1</v>
      </c>
      <c r="V33" s="8">
        <v>1</v>
      </c>
      <c r="W33" s="8" t="s">
        <v>136</v>
      </c>
      <c r="X33" s="8" t="s">
        <v>136</v>
      </c>
      <c r="Y33" s="8">
        <v>1</v>
      </c>
      <c r="Z33" s="8">
        <v>1</v>
      </c>
      <c r="AA33" s="8">
        <v>1</v>
      </c>
      <c r="AB33" s="8">
        <v>1</v>
      </c>
      <c r="AC33" s="8">
        <v>1</v>
      </c>
      <c r="AD33" s="8" t="s">
        <v>136</v>
      </c>
      <c r="AE33" s="8" t="s">
        <v>136</v>
      </c>
      <c r="AF33" s="8">
        <v>1</v>
      </c>
      <c r="AG33" s="8">
        <v>1</v>
      </c>
      <c r="AH33" s="8">
        <v>1</v>
      </c>
      <c r="AI33" s="8">
        <v>1</v>
      </c>
      <c r="AJ33" s="8">
        <v>1</v>
      </c>
      <c r="AK33" s="10">
        <v>23</v>
      </c>
      <c r="AL33" s="11">
        <v>23</v>
      </c>
      <c r="AM33" s="13">
        <v>23</v>
      </c>
      <c r="AN33" s="13">
        <v>0</v>
      </c>
      <c r="AO33" s="7" t="e">
        <v>#N/A</v>
      </c>
    </row>
    <row r="34" spans="1:41">
      <c r="A34" s="8" t="s">
        <v>131</v>
      </c>
      <c r="B34" s="8" t="s">
        <v>184</v>
      </c>
      <c r="C34" s="8" t="s">
        <v>203</v>
      </c>
      <c r="D34" s="8" t="s">
        <v>204</v>
      </c>
      <c r="E34" s="8" t="s">
        <v>135</v>
      </c>
      <c r="F34" s="8">
        <v>1</v>
      </c>
      <c r="G34" s="8">
        <v>1</v>
      </c>
      <c r="H34" s="8">
        <v>1</v>
      </c>
      <c r="I34" s="8" t="s">
        <v>136</v>
      </c>
      <c r="J34" s="8" t="s">
        <v>136</v>
      </c>
      <c r="K34" s="8">
        <v>1</v>
      </c>
      <c r="L34" s="8">
        <v>1</v>
      </c>
      <c r="M34" s="8">
        <v>1</v>
      </c>
      <c r="N34" s="8">
        <v>1</v>
      </c>
      <c r="O34" s="8">
        <v>1</v>
      </c>
      <c r="P34" s="8" t="s">
        <v>136</v>
      </c>
      <c r="Q34" s="8" t="s">
        <v>136</v>
      </c>
      <c r="R34" s="8">
        <v>1</v>
      </c>
      <c r="S34" s="8">
        <v>1</v>
      </c>
      <c r="T34" s="8">
        <v>1</v>
      </c>
      <c r="U34" s="8">
        <v>1</v>
      </c>
      <c r="V34" s="8">
        <v>1</v>
      </c>
      <c r="W34" s="8" t="s">
        <v>136</v>
      </c>
      <c r="X34" s="8" t="s">
        <v>136</v>
      </c>
      <c r="Y34" s="8">
        <v>1</v>
      </c>
      <c r="Z34" s="8">
        <v>1</v>
      </c>
      <c r="AA34" s="8">
        <v>1</v>
      </c>
      <c r="AB34" s="8">
        <v>1</v>
      </c>
      <c r="AC34" s="8">
        <v>1</v>
      </c>
      <c r="AD34" s="8" t="s">
        <v>136</v>
      </c>
      <c r="AE34" s="8" t="s">
        <v>136</v>
      </c>
      <c r="AF34" s="8">
        <v>1</v>
      </c>
      <c r="AG34" s="8">
        <v>1</v>
      </c>
      <c r="AH34" s="8">
        <v>1</v>
      </c>
      <c r="AI34" s="8">
        <v>1</v>
      </c>
      <c r="AJ34" s="8">
        <v>1</v>
      </c>
      <c r="AK34" s="10">
        <v>23</v>
      </c>
      <c r="AL34" s="11">
        <v>23</v>
      </c>
      <c r="AM34" s="13">
        <v>23</v>
      </c>
      <c r="AN34" s="13">
        <v>0</v>
      </c>
      <c r="AO34" s="7" t="e">
        <v>#N/A</v>
      </c>
    </row>
    <row r="35" spans="1:41">
      <c r="A35" s="8" t="s">
        <v>131</v>
      </c>
      <c r="B35" s="8" t="s">
        <v>184</v>
      </c>
      <c r="C35" s="8" t="s">
        <v>205</v>
      </c>
      <c r="D35" s="8" t="s">
        <v>206</v>
      </c>
      <c r="E35" s="8" t="s">
        <v>135</v>
      </c>
      <c r="F35" s="8">
        <v>1</v>
      </c>
      <c r="G35" s="8">
        <v>1</v>
      </c>
      <c r="H35" s="8">
        <v>1</v>
      </c>
      <c r="I35" s="8" t="s">
        <v>136</v>
      </c>
      <c r="J35" s="8" t="s">
        <v>136</v>
      </c>
      <c r="K35" s="8">
        <v>1</v>
      </c>
      <c r="L35" s="8">
        <v>1</v>
      </c>
      <c r="M35" s="8">
        <v>1</v>
      </c>
      <c r="N35" s="8">
        <v>1</v>
      </c>
      <c r="O35" s="8">
        <v>1</v>
      </c>
      <c r="P35" s="8" t="s">
        <v>136</v>
      </c>
      <c r="Q35" s="8" t="s">
        <v>136</v>
      </c>
      <c r="R35" s="8">
        <v>1</v>
      </c>
      <c r="S35" s="8">
        <v>1</v>
      </c>
      <c r="T35" s="8">
        <v>1</v>
      </c>
      <c r="U35" s="8">
        <v>1</v>
      </c>
      <c r="V35" s="8">
        <v>1</v>
      </c>
      <c r="W35" s="8" t="s">
        <v>136</v>
      </c>
      <c r="X35" s="8" t="s">
        <v>136</v>
      </c>
      <c r="Y35" s="8">
        <v>1</v>
      </c>
      <c r="Z35" s="8">
        <v>1</v>
      </c>
      <c r="AA35" s="8">
        <v>1</v>
      </c>
      <c r="AB35" s="8">
        <v>1</v>
      </c>
      <c r="AC35" s="8">
        <v>1</v>
      </c>
      <c r="AD35" s="8" t="s">
        <v>136</v>
      </c>
      <c r="AE35" s="8" t="s">
        <v>136</v>
      </c>
      <c r="AF35" s="8">
        <v>1</v>
      </c>
      <c r="AG35" s="8">
        <v>1</v>
      </c>
      <c r="AH35" s="8">
        <v>1</v>
      </c>
      <c r="AI35" s="8">
        <v>1</v>
      </c>
      <c r="AJ35" s="8">
        <v>1</v>
      </c>
      <c r="AK35" s="10">
        <v>23</v>
      </c>
      <c r="AL35" s="11">
        <v>23</v>
      </c>
      <c r="AM35" s="13">
        <v>23</v>
      </c>
      <c r="AN35" s="13">
        <v>0</v>
      </c>
      <c r="AO35" s="7" t="e">
        <v>#N/A</v>
      </c>
    </row>
    <row r="36" spans="1:41">
      <c r="A36" s="8" t="s">
        <v>131</v>
      </c>
      <c r="B36" s="8" t="s">
        <v>184</v>
      </c>
      <c r="C36" s="8" t="s">
        <v>207</v>
      </c>
      <c r="D36" s="8" t="s">
        <v>208</v>
      </c>
      <c r="E36" s="8" t="s">
        <v>135</v>
      </c>
      <c r="F36" s="8">
        <v>1</v>
      </c>
      <c r="G36" s="8">
        <v>1</v>
      </c>
      <c r="H36" s="8">
        <v>1</v>
      </c>
      <c r="I36" s="8" t="s">
        <v>136</v>
      </c>
      <c r="J36" s="8" t="s">
        <v>136</v>
      </c>
      <c r="K36" s="8">
        <v>1</v>
      </c>
      <c r="L36" s="8">
        <v>1</v>
      </c>
      <c r="M36" s="8">
        <v>1</v>
      </c>
      <c r="N36" s="8">
        <v>1</v>
      </c>
      <c r="O36" s="8">
        <v>1</v>
      </c>
      <c r="P36" s="8" t="s">
        <v>136</v>
      </c>
      <c r="Q36" s="8" t="s">
        <v>136</v>
      </c>
      <c r="R36" s="8">
        <v>1</v>
      </c>
      <c r="S36" s="8">
        <v>1</v>
      </c>
      <c r="T36" s="8">
        <v>1</v>
      </c>
      <c r="U36" s="8">
        <v>1</v>
      </c>
      <c r="V36" s="8">
        <v>1</v>
      </c>
      <c r="W36" s="8" t="s">
        <v>136</v>
      </c>
      <c r="X36" s="8" t="s">
        <v>136</v>
      </c>
      <c r="Y36" s="8">
        <v>1</v>
      </c>
      <c r="Z36" s="8">
        <v>1</v>
      </c>
      <c r="AA36" s="8">
        <v>1</v>
      </c>
      <c r="AB36" s="8">
        <v>1</v>
      </c>
      <c r="AC36" s="8">
        <v>1</v>
      </c>
      <c r="AD36" s="8" t="s">
        <v>136</v>
      </c>
      <c r="AE36" s="8" t="s">
        <v>136</v>
      </c>
      <c r="AF36" s="8">
        <v>1</v>
      </c>
      <c r="AG36" s="8">
        <v>1</v>
      </c>
      <c r="AH36" s="8">
        <v>1</v>
      </c>
      <c r="AI36" s="8">
        <v>1</v>
      </c>
      <c r="AJ36" s="8">
        <v>1</v>
      </c>
      <c r="AK36" s="10">
        <v>23</v>
      </c>
      <c r="AL36" s="11">
        <v>23</v>
      </c>
      <c r="AM36" s="13">
        <v>23</v>
      </c>
      <c r="AN36" s="13">
        <v>0</v>
      </c>
      <c r="AO36" s="7" t="e">
        <v>#N/A</v>
      </c>
    </row>
    <row r="37" spans="1:41">
      <c r="A37" s="8" t="s">
        <v>131</v>
      </c>
      <c r="B37" s="8" t="s">
        <v>184</v>
      </c>
      <c r="C37" s="8" t="s">
        <v>209</v>
      </c>
      <c r="D37" s="8" t="s">
        <v>210</v>
      </c>
      <c r="E37" s="8" t="s">
        <v>135</v>
      </c>
      <c r="F37" s="8">
        <v>1</v>
      </c>
      <c r="G37" s="8">
        <v>1</v>
      </c>
      <c r="H37" s="8">
        <v>1</v>
      </c>
      <c r="I37" s="8" t="s">
        <v>136</v>
      </c>
      <c r="J37" s="8" t="s">
        <v>136</v>
      </c>
      <c r="K37" s="8">
        <v>1</v>
      </c>
      <c r="L37" s="8">
        <v>1</v>
      </c>
      <c r="M37" s="8">
        <v>1</v>
      </c>
      <c r="N37" s="8">
        <v>1</v>
      </c>
      <c r="O37" s="8">
        <v>1</v>
      </c>
      <c r="P37" s="8" t="s">
        <v>136</v>
      </c>
      <c r="Q37" s="8" t="s">
        <v>136</v>
      </c>
      <c r="R37" s="8">
        <v>1</v>
      </c>
      <c r="S37" s="8">
        <v>1</v>
      </c>
      <c r="T37" s="8">
        <v>1</v>
      </c>
      <c r="U37" s="8">
        <v>1</v>
      </c>
      <c r="V37" s="8">
        <v>1</v>
      </c>
      <c r="W37" s="8" t="s">
        <v>136</v>
      </c>
      <c r="X37" s="8" t="s">
        <v>136</v>
      </c>
      <c r="Y37" s="8">
        <v>1</v>
      </c>
      <c r="Z37" s="8">
        <v>1</v>
      </c>
      <c r="AA37" s="8">
        <v>1</v>
      </c>
      <c r="AB37" s="8">
        <v>1</v>
      </c>
      <c r="AC37" s="8">
        <v>1</v>
      </c>
      <c r="AD37" s="8" t="s">
        <v>136</v>
      </c>
      <c r="AE37" s="8" t="s">
        <v>136</v>
      </c>
      <c r="AF37" s="8">
        <v>1</v>
      </c>
      <c r="AG37" s="8">
        <v>1</v>
      </c>
      <c r="AH37" s="8">
        <v>1</v>
      </c>
      <c r="AI37" s="8">
        <v>1</v>
      </c>
      <c r="AJ37" s="8">
        <v>1</v>
      </c>
      <c r="AK37" s="10">
        <v>23</v>
      </c>
      <c r="AL37" s="11">
        <v>23</v>
      </c>
      <c r="AM37" s="13">
        <v>23</v>
      </c>
      <c r="AN37" s="13">
        <v>0</v>
      </c>
      <c r="AO37" s="7" t="e">
        <v>#N/A</v>
      </c>
    </row>
    <row r="38" spans="1:41">
      <c r="A38" s="8" t="s">
        <v>131</v>
      </c>
      <c r="B38" s="8" t="s">
        <v>184</v>
      </c>
      <c r="C38" s="8" t="s">
        <v>211</v>
      </c>
      <c r="D38" s="8" t="s">
        <v>212</v>
      </c>
      <c r="E38" s="8" t="s">
        <v>135</v>
      </c>
      <c r="F38" s="8">
        <v>1</v>
      </c>
      <c r="G38" s="8">
        <v>1</v>
      </c>
      <c r="H38" s="8">
        <v>1</v>
      </c>
      <c r="I38" s="8" t="s">
        <v>136</v>
      </c>
      <c r="J38" s="8" t="s">
        <v>136</v>
      </c>
      <c r="K38" s="8">
        <v>1</v>
      </c>
      <c r="L38" s="8">
        <v>1</v>
      </c>
      <c r="M38" s="8">
        <v>1</v>
      </c>
      <c r="N38" s="8">
        <v>1</v>
      </c>
      <c r="O38" s="8">
        <v>1</v>
      </c>
      <c r="P38" s="8" t="s">
        <v>136</v>
      </c>
      <c r="Q38" s="8" t="s">
        <v>136</v>
      </c>
      <c r="R38" s="8">
        <v>1</v>
      </c>
      <c r="S38" s="8">
        <v>1</v>
      </c>
      <c r="T38" s="8">
        <v>1</v>
      </c>
      <c r="U38" s="8">
        <v>1</v>
      </c>
      <c r="V38" s="8">
        <v>1</v>
      </c>
      <c r="W38" s="8" t="s">
        <v>136</v>
      </c>
      <c r="X38" s="8" t="s">
        <v>136</v>
      </c>
      <c r="Y38" s="8">
        <v>1</v>
      </c>
      <c r="Z38" s="8">
        <v>1</v>
      </c>
      <c r="AA38" s="8">
        <v>1</v>
      </c>
      <c r="AB38" s="8">
        <v>1</v>
      </c>
      <c r="AC38" s="8">
        <v>1</v>
      </c>
      <c r="AD38" s="8" t="s">
        <v>136</v>
      </c>
      <c r="AE38" s="8" t="s">
        <v>136</v>
      </c>
      <c r="AF38" s="8">
        <v>1</v>
      </c>
      <c r="AG38" s="8">
        <v>1</v>
      </c>
      <c r="AH38" s="8">
        <v>1</v>
      </c>
      <c r="AI38" s="8">
        <v>1</v>
      </c>
      <c r="AJ38" s="8">
        <v>1</v>
      </c>
      <c r="AK38" s="10">
        <v>23</v>
      </c>
      <c r="AL38" s="11">
        <v>23</v>
      </c>
      <c r="AM38" s="13">
        <v>23</v>
      </c>
      <c r="AN38" s="13">
        <v>0</v>
      </c>
      <c r="AO38" s="7" t="e">
        <v>#N/A</v>
      </c>
    </row>
    <row r="39" spans="1:41">
      <c r="A39" s="8" t="s">
        <v>131</v>
      </c>
      <c r="B39" s="8" t="s">
        <v>184</v>
      </c>
      <c r="C39" s="8" t="s">
        <v>213</v>
      </c>
      <c r="D39" s="8" t="s">
        <v>214</v>
      </c>
      <c r="E39" s="8" t="s">
        <v>135</v>
      </c>
      <c r="F39" s="8">
        <v>1</v>
      </c>
      <c r="G39" s="8">
        <v>1</v>
      </c>
      <c r="H39" s="8">
        <v>1</v>
      </c>
      <c r="I39" s="8" t="s">
        <v>136</v>
      </c>
      <c r="J39" s="8" t="s">
        <v>136</v>
      </c>
      <c r="K39" s="8">
        <v>1</v>
      </c>
      <c r="L39" s="8">
        <v>1</v>
      </c>
      <c r="M39" s="8">
        <v>1</v>
      </c>
      <c r="N39" s="8">
        <v>1</v>
      </c>
      <c r="O39" s="8">
        <v>1</v>
      </c>
      <c r="P39" s="8" t="s">
        <v>136</v>
      </c>
      <c r="Q39" s="8" t="s">
        <v>136</v>
      </c>
      <c r="R39" s="8">
        <v>1</v>
      </c>
      <c r="S39" s="8">
        <v>1</v>
      </c>
      <c r="T39" s="8">
        <v>1</v>
      </c>
      <c r="U39" s="8">
        <v>1</v>
      </c>
      <c r="V39" s="8">
        <v>1</v>
      </c>
      <c r="W39" s="8" t="s">
        <v>136</v>
      </c>
      <c r="X39" s="8" t="s">
        <v>136</v>
      </c>
      <c r="Y39" s="8">
        <v>1</v>
      </c>
      <c r="Z39" s="8">
        <v>1</v>
      </c>
      <c r="AA39" s="8">
        <v>1</v>
      </c>
      <c r="AB39" s="8">
        <v>1</v>
      </c>
      <c r="AC39" s="8">
        <v>1</v>
      </c>
      <c r="AD39" s="8" t="s">
        <v>136</v>
      </c>
      <c r="AE39" s="8" t="s">
        <v>136</v>
      </c>
      <c r="AF39" s="8">
        <v>1</v>
      </c>
      <c r="AG39" s="8">
        <v>1</v>
      </c>
      <c r="AH39" s="8">
        <v>1</v>
      </c>
      <c r="AI39" s="8">
        <v>1</v>
      </c>
      <c r="AJ39" s="8">
        <v>1</v>
      </c>
      <c r="AK39" s="10">
        <v>23</v>
      </c>
      <c r="AL39" s="11">
        <v>23</v>
      </c>
      <c r="AM39" s="13">
        <v>23</v>
      </c>
      <c r="AN39" s="13">
        <v>0</v>
      </c>
      <c r="AO39" s="7" t="e">
        <v>#N/A</v>
      </c>
    </row>
    <row r="40" spans="1:41">
      <c r="A40" s="8" t="s">
        <v>131</v>
      </c>
      <c r="B40" s="8" t="s">
        <v>184</v>
      </c>
      <c r="C40" s="8" t="s">
        <v>215</v>
      </c>
      <c r="D40" s="8" t="s">
        <v>216</v>
      </c>
      <c r="E40" s="8" t="s">
        <v>135</v>
      </c>
      <c r="F40" s="8">
        <v>1</v>
      </c>
      <c r="G40" s="8">
        <v>1</v>
      </c>
      <c r="H40" s="8">
        <v>1</v>
      </c>
      <c r="I40" s="8" t="s">
        <v>136</v>
      </c>
      <c r="J40" s="8" t="s">
        <v>136</v>
      </c>
      <c r="K40" s="8">
        <v>1</v>
      </c>
      <c r="L40" s="8">
        <v>1</v>
      </c>
      <c r="M40" s="8">
        <v>1</v>
      </c>
      <c r="N40" s="8">
        <v>1</v>
      </c>
      <c r="O40" s="8">
        <v>1</v>
      </c>
      <c r="P40" s="8" t="s">
        <v>136</v>
      </c>
      <c r="Q40" s="8" t="s">
        <v>136</v>
      </c>
      <c r="R40" s="8">
        <v>1</v>
      </c>
      <c r="S40" s="8">
        <v>1</v>
      </c>
      <c r="T40" s="8">
        <v>1</v>
      </c>
      <c r="U40" s="8">
        <v>1</v>
      </c>
      <c r="V40" s="8">
        <v>1</v>
      </c>
      <c r="W40" s="8" t="s">
        <v>136</v>
      </c>
      <c r="X40" s="8" t="s">
        <v>136</v>
      </c>
      <c r="Y40" s="8">
        <v>1</v>
      </c>
      <c r="Z40" s="8">
        <v>1</v>
      </c>
      <c r="AA40" s="8">
        <v>1</v>
      </c>
      <c r="AB40" s="8">
        <v>1</v>
      </c>
      <c r="AC40" s="8">
        <v>1</v>
      </c>
      <c r="AD40" s="8" t="s">
        <v>136</v>
      </c>
      <c r="AE40" s="8" t="s">
        <v>136</v>
      </c>
      <c r="AF40" s="8">
        <v>1</v>
      </c>
      <c r="AG40" s="8">
        <v>1</v>
      </c>
      <c r="AH40" s="8">
        <v>1</v>
      </c>
      <c r="AI40" s="8">
        <v>1</v>
      </c>
      <c r="AJ40" s="8">
        <v>1</v>
      </c>
      <c r="AK40" s="10">
        <v>23</v>
      </c>
      <c r="AL40" s="11">
        <v>23</v>
      </c>
      <c r="AM40" s="13">
        <v>23</v>
      </c>
      <c r="AN40" s="13">
        <v>0</v>
      </c>
      <c r="AO40" s="7" t="e">
        <v>#N/A</v>
      </c>
    </row>
    <row r="41" spans="1:41">
      <c r="A41" s="8" t="s">
        <v>131</v>
      </c>
      <c r="B41" s="8" t="s">
        <v>184</v>
      </c>
      <c r="C41" s="8" t="s">
        <v>217</v>
      </c>
      <c r="D41" s="8" t="s">
        <v>218</v>
      </c>
      <c r="E41" s="8" t="s">
        <v>135</v>
      </c>
      <c r="F41" s="8">
        <v>1</v>
      </c>
      <c r="G41" s="8">
        <v>1</v>
      </c>
      <c r="H41" s="8">
        <v>1</v>
      </c>
      <c r="I41" s="8" t="s">
        <v>136</v>
      </c>
      <c r="J41" s="8" t="s">
        <v>136</v>
      </c>
      <c r="K41" s="8">
        <v>1</v>
      </c>
      <c r="L41" s="8">
        <v>1</v>
      </c>
      <c r="M41" s="8">
        <v>1</v>
      </c>
      <c r="N41" s="8">
        <v>1</v>
      </c>
      <c r="O41" s="8">
        <v>1</v>
      </c>
      <c r="P41" s="8" t="s">
        <v>136</v>
      </c>
      <c r="Q41" s="8" t="s">
        <v>136</v>
      </c>
      <c r="R41" s="8">
        <v>1</v>
      </c>
      <c r="S41" s="8">
        <v>1</v>
      </c>
      <c r="T41" s="8">
        <v>1</v>
      </c>
      <c r="U41" s="8">
        <v>1</v>
      </c>
      <c r="V41" s="8">
        <v>1</v>
      </c>
      <c r="W41" s="8" t="s">
        <v>136</v>
      </c>
      <c r="X41" s="8" t="s">
        <v>136</v>
      </c>
      <c r="Y41" s="8">
        <v>1</v>
      </c>
      <c r="Z41" s="8">
        <v>1</v>
      </c>
      <c r="AA41" s="8">
        <v>1</v>
      </c>
      <c r="AB41" s="8">
        <v>1</v>
      </c>
      <c r="AC41" s="8">
        <v>1</v>
      </c>
      <c r="AD41" s="8" t="s">
        <v>136</v>
      </c>
      <c r="AE41" s="8" t="s">
        <v>136</v>
      </c>
      <c r="AF41" s="8">
        <v>1</v>
      </c>
      <c r="AG41" s="8">
        <v>1</v>
      </c>
      <c r="AH41" s="8">
        <v>1</v>
      </c>
      <c r="AI41" s="8">
        <v>1</v>
      </c>
      <c r="AJ41" s="8">
        <v>1</v>
      </c>
      <c r="AK41" s="10">
        <v>23</v>
      </c>
      <c r="AL41" s="11">
        <v>23</v>
      </c>
      <c r="AM41" s="13">
        <v>23</v>
      </c>
      <c r="AN41" s="13">
        <v>0</v>
      </c>
      <c r="AO41" s="7" t="e">
        <v>#N/A</v>
      </c>
    </row>
    <row r="42" spans="1:41">
      <c r="A42" s="8" t="s">
        <v>131</v>
      </c>
      <c r="B42" s="8" t="s">
        <v>184</v>
      </c>
      <c r="C42" s="8" t="s">
        <v>219</v>
      </c>
      <c r="D42" s="8" t="s">
        <v>220</v>
      </c>
      <c r="E42" s="8" t="s">
        <v>135</v>
      </c>
      <c r="F42" s="8">
        <v>1</v>
      </c>
      <c r="G42" s="8">
        <v>1</v>
      </c>
      <c r="H42" s="8">
        <v>1</v>
      </c>
      <c r="I42" s="8" t="s">
        <v>136</v>
      </c>
      <c r="J42" s="8" t="s">
        <v>136</v>
      </c>
      <c r="K42" s="8">
        <v>1</v>
      </c>
      <c r="L42" s="8">
        <v>1</v>
      </c>
      <c r="M42" s="8">
        <v>1</v>
      </c>
      <c r="N42" s="8">
        <v>1</v>
      </c>
      <c r="O42" s="8">
        <v>1</v>
      </c>
      <c r="P42" s="8" t="s">
        <v>136</v>
      </c>
      <c r="Q42" s="8" t="s">
        <v>136</v>
      </c>
      <c r="R42" s="8">
        <v>1</v>
      </c>
      <c r="S42" s="8">
        <v>1</v>
      </c>
      <c r="T42" s="8">
        <v>1</v>
      </c>
      <c r="U42" s="8">
        <v>1</v>
      </c>
      <c r="V42" s="8">
        <v>1</v>
      </c>
      <c r="W42" s="8" t="s">
        <v>136</v>
      </c>
      <c r="X42" s="8" t="s">
        <v>136</v>
      </c>
      <c r="Y42" s="8">
        <v>1</v>
      </c>
      <c r="Z42" s="8">
        <v>1</v>
      </c>
      <c r="AA42" s="8">
        <v>1</v>
      </c>
      <c r="AB42" s="8">
        <v>1</v>
      </c>
      <c r="AC42" s="8">
        <v>1</v>
      </c>
      <c r="AD42" s="8" t="s">
        <v>136</v>
      </c>
      <c r="AE42" s="8" t="s">
        <v>136</v>
      </c>
      <c r="AF42" s="8">
        <v>1</v>
      </c>
      <c r="AG42" s="8">
        <v>1</v>
      </c>
      <c r="AH42" s="8">
        <v>1</v>
      </c>
      <c r="AI42" s="8">
        <v>1</v>
      </c>
      <c r="AJ42" s="8">
        <v>1</v>
      </c>
      <c r="AK42" s="10">
        <v>23</v>
      </c>
      <c r="AL42" s="11">
        <v>23</v>
      </c>
      <c r="AM42" s="13">
        <v>23</v>
      </c>
      <c r="AN42" s="13">
        <v>0</v>
      </c>
      <c r="AO42" s="7" t="e">
        <v>#N/A</v>
      </c>
    </row>
    <row r="43" spans="1:41">
      <c r="A43" s="8" t="s">
        <v>131</v>
      </c>
      <c r="B43" s="8" t="s">
        <v>184</v>
      </c>
      <c r="C43" s="8" t="s">
        <v>221</v>
      </c>
      <c r="D43" s="8" t="s">
        <v>222</v>
      </c>
      <c r="E43" s="8" t="s">
        <v>135</v>
      </c>
      <c r="F43" s="8">
        <v>1</v>
      </c>
      <c r="G43" s="8">
        <v>1</v>
      </c>
      <c r="H43" s="8">
        <v>1</v>
      </c>
      <c r="I43" s="8" t="s">
        <v>136</v>
      </c>
      <c r="J43" s="8" t="s">
        <v>136</v>
      </c>
      <c r="K43" s="8">
        <v>1</v>
      </c>
      <c r="L43" s="8">
        <v>1</v>
      </c>
      <c r="M43" s="8">
        <v>1</v>
      </c>
      <c r="N43" s="8">
        <v>1</v>
      </c>
      <c r="O43" s="8">
        <v>1</v>
      </c>
      <c r="P43" s="8" t="s">
        <v>136</v>
      </c>
      <c r="Q43" s="8" t="s">
        <v>136</v>
      </c>
      <c r="R43" s="8">
        <v>1</v>
      </c>
      <c r="S43" s="8">
        <v>1</v>
      </c>
      <c r="T43" s="8">
        <v>1</v>
      </c>
      <c r="U43" s="8">
        <v>1</v>
      </c>
      <c r="V43" s="8">
        <v>1</v>
      </c>
      <c r="W43" s="8" t="s">
        <v>136</v>
      </c>
      <c r="X43" s="8" t="s">
        <v>136</v>
      </c>
      <c r="Y43" s="8">
        <v>1</v>
      </c>
      <c r="Z43" s="8">
        <v>1</v>
      </c>
      <c r="AA43" s="8">
        <v>1</v>
      </c>
      <c r="AB43" s="8">
        <v>1</v>
      </c>
      <c r="AC43" s="8">
        <v>1</v>
      </c>
      <c r="AD43" s="8" t="s">
        <v>136</v>
      </c>
      <c r="AE43" s="8" t="s">
        <v>136</v>
      </c>
      <c r="AF43" s="8">
        <v>1</v>
      </c>
      <c r="AG43" s="8">
        <v>1</v>
      </c>
      <c r="AH43" s="8">
        <v>1</v>
      </c>
      <c r="AI43" s="8">
        <v>1</v>
      </c>
      <c r="AJ43" s="8">
        <v>1</v>
      </c>
      <c r="AK43" s="10">
        <v>23</v>
      </c>
      <c r="AL43" s="11">
        <v>23</v>
      </c>
      <c r="AM43" s="13">
        <v>23</v>
      </c>
      <c r="AN43" s="13">
        <v>0</v>
      </c>
      <c r="AO43" s="7" t="e">
        <v>#N/A</v>
      </c>
    </row>
    <row r="44" spans="1:41">
      <c r="A44" s="8" t="s">
        <v>131</v>
      </c>
      <c r="B44" s="8" t="s">
        <v>184</v>
      </c>
      <c r="C44" s="8" t="s">
        <v>223</v>
      </c>
      <c r="D44" s="8" t="s">
        <v>224</v>
      </c>
      <c r="E44" s="8" t="s">
        <v>135</v>
      </c>
      <c r="F44" s="8">
        <v>1</v>
      </c>
      <c r="G44" s="8">
        <v>1</v>
      </c>
      <c r="H44" s="8">
        <v>1</v>
      </c>
      <c r="I44" s="8" t="s">
        <v>136</v>
      </c>
      <c r="J44" s="8" t="s">
        <v>136</v>
      </c>
      <c r="K44" s="8">
        <v>1</v>
      </c>
      <c r="L44" s="8">
        <v>1</v>
      </c>
      <c r="M44" s="8">
        <v>1</v>
      </c>
      <c r="N44" s="8">
        <v>1</v>
      </c>
      <c r="O44" s="8">
        <v>1</v>
      </c>
      <c r="P44" s="8" t="s">
        <v>136</v>
      </c>
      <c r="Q44" s="8" t="s">
        <v>136</v>
      </c>
      <c r="R44" s="8">
        <v>1</v>
      </c>
      <c r="S44" s="8">
        <v>1</v>
      </c>
      <c r="T44" s="8">
        <v>1</v>
      </c>
      <c r="U44" s="8">
        <v>1</v>
      </c>
      <c r="V44" s="8">
        <v>1</v>
      </c>
      <c r="W44" s="8" t="s">
        <v>136</v>
      </c>
      <c r="X44" s="8" t="s">
        <v>136</v>
      </c>
      <c r="Y44" s="8">
        <v>1</v>
      </c>
      <c r="Z44" s="8">
        <v>1</v>
      </c>
      <c r="AA44" s="8">
        <v>1</v>
      </c>
      <c r="AB44" s="8">
        <v>1</v>
      </c>
      <c r="AC44" s="8">
        <v>1</v>
      </c>
      <c r="AD44" s="8" t="s">
        <v>136</v>
      </c>
      <c r="AE44" s="8" t="s">
        <v>136</v>
      </c>
      <c r="AF44" s="8">
        <v>1</v>
      </c>
      <c r="AG44" s="8">
        <v>1</v>
      </c>
      <c r="AH44" s="8">
        <v>1</v>
      </c>
      <c r="AI44" s="8">
        <v>1</v>
      </c>
      <c r="AJ44" s="8">
        <v>1</v>
      </c>
      <c r="AK44" s="10">
        <v>23</v>
      </c>
      <c r="AL44" s="11">
        <v>23</v>
      </c>
      <c r="AM44" s="13">
        <v>23</v>
      </c>
      <c r="AN44" s="13">
        <v>0</v>
      </c>
      <c r="AO44" s="7" t="e">
        <v>#N/A</v>
      </c>
    </row>
    <row r="45" spans="1:41">
      <c r="A45" s="8" t="s">
        <v>131</v>
      </c>
      <c r="B45" s="8" t="s">
        <v>184</v>
      </c>
      <c r="C45" s="8" t="s">
        <v>225</v>
      </c>
      <c r="D45" s="8" t="s">
        <v>226</v>
      </c>
      <c r="E45" s="8" t="s">
        <v>135</v>
      </c>
      <c r="F45" s="8">
        <v>1</v>
      </c>
      <c r="G45" s="8">
        <v>1</v>
      </c>
      <c r="H45" s="8">
        <v>1</v>
      </c>
      <c r="I45" s="8" t="s">
        <v>136</v>
      </c>
      <c r="J45" s="8" t="s">
        <v>136</v>
      </c>
      <c r="K45" s="8">
        <v>1</v>
      </c>
      <c r="L45" s="8">
        <v>1</v>
      </c>
      <c r="M45" s="8">
        <v>1</v>
      </c>
      <c r="N45" s="8">
        <v>1</v>
      </c>
      <c r="O45" s="8">
        <v>1</v>
      </c>
      <c r="P45" s="8" t="s">
        <v>136</v>
      </c>
      <c r="Q45" s="8" t="s">
        <v>136</v>
      </c>
      <c r="R45" s="8">
        <v>1</v>
      </c>
      <c r="S45" s="8">
        <v>1</v>
      </c>
      <c r="T45" s="8">
        <v>1</v>
      </c>
      <c r="U45" s="8">
        <v>1</v>
      </c>
      <c r="V45" s="8">
        <v>1</v>
      </c>
      <c r="W45" s="8" t="s">
        <v>136</v>
      </c>
      <c r="X45" s="8" t="s">
        <v>136</v>
      </c>
      <c r="Y45" s="8">
        <v>1</v>
      </c>
      <c r="Z45" s="8">
        <v>1</v>
      </c>
      <c r="AA45" s="8">
        <v>1</v>
      </c>
      <c r="AB45" s="8">
        <v>1</v>
      </c>
      <c r="AC45" s="8">
        <v>1</v>
      </c>
      <c r="AD45" s="8" t="s">
        <v>136</v>
      </c>
      <c r="AE45" s="8" t="s">
        <v>136</v>
      </c>
      <c r="AF45" s="8">
        <v>1</v>
      </c>
      <c r="AG45" s="8">
        <v>1</v>
      </c>
      <c r="AH45" s="8">
        <v>1</v>
      </c>
      <c r="AI45" s="8">
        <v>1</v>
      </c>
      <c r="AJ45" s="8">
        <v>1</v>
      </c>
      <c r="AK45" s="10">
        <v>23</v>
      </c>
      <c r="AL45" s="11">
        <v>23</v>
      </c>
      <c r="AM45" s="13">
        <v>23</v>
      </c>
      <c r="AN45" s="13">
        <v>0</v>
      </c>
      <c r="AO45" s="7" t="e">
        <v>#N/A</v>
      </c>
    </row>
    <row r="46" spans="1:41">
      <c r="A46" s="8" t="s">
        <v>131</v>
      </c>
      <c r="B46" s="8" t="s">
        <v>184</v>
      </c>
      <c r="C46" s="8" t="s">
        <v>227</v>
      </c>
      <c r="D46" s="8" t="s">
        <v>228</v>
      </c>
      <c r="E46" s="8" t="s">
        <v>135</v>
      </c>
      <c r="F46" s="8">
        <v>1</v>
      </c>
      <c r="G46" s="8">
        <v>1</v>
      </c>
      <c r="H46" s="8">
        <v>1</v>
      </c>
      <c r="I46" s="8" t="s">
        <v>136</v>
      </c>
      <c r="J46" s="8" t="s">
        <v>136</v>
      </c>
      <c r="K46" s="8">
        <v>1</v>
      </c>
      <c r="L46" s="8">
        <v>1</v>
      </c>
      <c r="M46" s="8">
        <v>1</v>
      </c>
      <c r="N46" s="8">
        <v>1</v>
      </c>
      <c r="O46" s="8">
        <v>1</v>
      </c>
      <c r="P46" s="8" t="s">
        <v>136</v>
      </c>
      <c r="Q46" s="8" t="s">
        <v>136</v>
      </c>
      <c r="R46" s="8">
        <v>1</v>
      </c>
      <c r="S46" s="8">
        <v>1</v>
      </c>
      <c r="T46" s="8">
        <v>1</v>
      </c>
      <c r="U46" s="8">
        <v>1</v>
      </c>
      <c r="V46" s="8">
        <v>1</v>
      </c>
      <c r="W46" s="8" t="s">
        <v>136</v>
      </c>
      <c r="X46" s="8" t="s">
        <v>136</v>
      </c>
      <c r="Y46" s="8">
        <v>1</v>
      </c>
      <c r="Z46" s="8">
        <v>1</v>
      </c>
      <c r="AA46" s="8">
        <v>1</v>
      </c>
      <c r="AB46" s="8">
        <v>1</v>
      </c>
      <c r="AC46" s="8">
        <v>1</v>
      </c>
      <c r="AD46" s="8" t="s">
        <v>136</v>
      </c>
      <c r="AE46" s="8" t="s">
        <v>136</v>
      </c>
      <c r="AF46" s="8">
        <v>1</v>
      </c>
      <c r="AG46" s="8">
        <v>1</v>
      </c>
      <c r="AH46" s="8">
        <v>1</v>
      </c>
      <c r="AI46" s="8">
        <v>1</v>
      </c>
      <c r="AJ46" s="8">
        <v>1</v>
      </c>
      <c r="AK46" s="10">
        <v>23</v>
      </c>
      <c r="AL46" s="11">
        <v>23</v>
      </c>
      <c r="AM46" s="13">
        <v>23</v>
      </c>
      <c r="AN46" s="13">
        <v>0</v>
      </c>
      <c r="AO46" s="7" t="e">
        <v>#N/A</v>
      </c>
    </row>
    <row r="47" spans="1:41">
      <c r="A47" s="8" t="s">
        <v>131</v>
      </c>
      <c r="B47" s="8" t="s">
        <v>184</v>
      </c>
      <c r="C47" s="8" t="s">
        <v>229</v>
      </c>
      <c r="D47" s="8" t="s">
        <v>230</v>
      </c>
      <c r="E47" s="8" t="s">
        <v>135</v>
      </c>
      <c r="F47" s="8">
        <v>1</v>
      </c>
      <c r="G47" s="8">
        <v>1</v>
      </c>
      <c r="H47" s="8">
        <v>1</v>
      </c>
      <c r="I47" s="8" t="s">
        <v>136</v>
      </c>
      <c r="J47" s="8" t="s">
        <v>136</v>
      </c>
      <c r="K47" s="8">
        <v>1</v>
      </c>
      <c r="L47" s="8">
        <v>1</v>
      </c>
      <c r="M47" s="8">
        <v>1</v>
      </c>
      <c r="N47" s="8">
        <v>1</v>
      </c>
      <c r="O47" s="8">
        <v>1</v>
      </c>
      <c r="P47" s="8" t="s">
        <v>136</v>
      </c>
      <c r="Q47" s="8" t="s">
        <v>136</v>
      </c>
      <c r="R47" s="8">
        <v>1</v>
      </c>
      <c r="S47" s="8">
        <v>1</v>
      </c>
      <c r="T47" s="8">
        <v>1</v>
      </c>
      <c r="U47" s="8">
        <v>1</v>
      </c>
      <c r="V47" s="8">
        <v>1</v>
      </c>
      <c r="W47" s="8" t="s">
        <v>136</v>
      </c>
      <c r="X47" s="8" t="s">
        <v>136</v>
      </c>
      <c r="Y47" s="8">
        <v>1</v>
      </c>
      <c r="Z47" s="8">
        <v>1</v>
      </c>
      <c r="AA47" s="8">
        <v>1</v>
      </c>
      <c r="AB47" s="8">
        <v>1</v>
      </c>
      <c r="AC47" s="8">
        <v>1</v>
      </c>
      <c r="AD47" s="8" t="s">
        <v>136</v>
      </c>
      <c r="AE47" s="8" t="s">
        <v>136</v>
      </c>
      <c r="AF47" s="8">
        <v>1</v>
      </c>
      <c r="AG47" s="8">
        <v>1</v>
      </c>
      <c r="AH47" s="8">
        <v>1</v>
      </c>
      <c r="AI47" s="8">
        <v>1</v>
      </c>
      <c r="AJ47" s="8">
        <v>1</v>
      </c>
      <c r="AK47" s="10">
        <v>23</v>
      </c>
      <c r="AL47" s="11">
        <v>23</v>
      </c>
      <c r="AM47" s="13">
        <v>23</v>
      </c>
      <c r="AN47" s="13">
        <v>0</v>
      </c>
      <c r="AO47" s="7" t="e">
        <v>#N/A</v>
      </c>
    </row>
    <row r="48" spans="1:41">
      <c r="A48" s="8" t="s">
        <v>131</v>
      </c>
      <c r="B48" s="8" t="s">
        <v>184</v>
      </c>
      <c r="C48" s="8" t="s">
        <v>231</v>
      </c>
      <c r="D48" s="8" t="s">
        <v>232</v>
      </c>
      <c r="E48" s="8" t="s">
        <v>135</v>
      </c>
      <c r="F48" s="8">
        <v>1</v>
      </c>
      <c r="G48" s="8">
        <v>1</v>
      </c>
      <c r="H48" s="8">
        <v>1</v>
      </c>
      <c r="I48" s="8" t="s">
        <v>136</v>
      </c>
      <c r="J48" s="8" t="s">
        <v>136</v>
      </c>
      <c r="K48" s="8">
        <v>1</v>
      </c>
      <c r="L48" s="8">
        <v>1</v>
      </c>
      <c r="M48" s="8">
        <v>1</v>
      </c>
      <c r="N48" s="8">
        <v>1</v>
      </c>
      <c r="O48" s="8">
        <v>1</v>
      </c>
      <c r="P48" s="8" t="s">
        <v>136</v>
      </c>
      <c r="Q48" s="8" t="s">
        <v>136</v>
      </c>
      <c r="R48" s="8">
        <v>1</v>
      </c>
      <c r="S48" s="8">
        <v>1</v>
      </c>
      <c r="T48" s="8">
        <v>1</v>
      </c>
      <c r="U48" s="8">
        <v>1</v>
      </c>
      <c r="V48" s="8">
        <v>1</v>
      </c>
      <c r="W48" s="8" t="s">
        <v>136</v>
      </c>
      <c r="X48" s="8" t="s">
        <v>136</v>
      </c>
      <c r="Y48" s="8">
        <v>1</v>
      </c>
      <c r="Z48" s="8">
        <v>1</v>
      </c>
      <c r="AA48" s="8">
        <v>1</v>
      </c>
      <c r="AB48" s="8">
        <v>1</v>
      </c>
      <c r="AC48" s="8">
        <v>1</v>
      </c>
      <c r="AD48" s="8" t="s">
        <v>136</v>
      </c>
      <c r="AE48" s="8" t="s">
        <v>136</v>
      </c>
      <c r="AF48" s="8">
        <v>1</v>
      </c>
      <c r="AG48" s="8">
        <v>1</v>
      </c>
      <c r="AH48" s="8">
        <v>1</v>
      </c>
      <c r="AI48" s="8">
        <v>1</v>
      </c>
      <c r="AJ48" s="8">
        <v>1</v>
      </c>
      <c r="AK48" s="10">
        <v>23</v>
      </c>
      <c r="AL48" s="11">
        <v>23</v>
      </c>
      <c r="AM48" s="13">
        <v>23</v>
      </c>
      <c r="AN48" s="13">
        <v>0</v>
      </c>
      <c r="AO48" s="7" t="e">
        <v>#N/A</v>
      </c>
    </row>
    <row r="49" spans="1:41">
      <c r="A49" s="8" t="s">
        <v>131</v>
      </c>
      <c r="B49" s="8" t="s">
        <v>184</v>
      </c>
      <c r="C49" s="8" t="s">
        <v>233</v>
      </c>
      <c r="D49" s="8" t="s">
        <v>234</v>
      </c>
      <c r="E49" s="8" t="s">
        <v>135</v>
      </c>
      <c r="F49" s="8">
        <v>1</v>
      </c>
      <c r="G49" s="8">
        <v>1</v>
      </c>
      <c r="H49" s="8">
        <v>1</v>
      </c>
      <c r="I49" s="8" t="s">
        <v>136</v>
      </c>
      <c r="J49" s="8" t="s">
        <v>136</v>
      </c>
      <c r="K49" s="8">
        <v>1</v>
      </c>
      <c r="L49" s="8">
        <v>1</v>
      </c>
      <c r="M49" s="8">
        <v>1</v>
      </c>
      <c r="N49" s="8">
        <v>1</v>
      </c>
      <c r="O49" s="8">
        <v>1</v>
      </c>
      <c r="P49" s="8" t="s">
        <v>136</v>
      </c>
      <c r="Q49" s="8" t="s">
        <v>136</v>
      </c>
      <c r="R49" s="8">
        <v>1</v>
      </c>
      <c r="S49" s="8">
        <v>1</v>
      </c>
      <c r="T49" s="8">
        <v>1</v>
      </c>
      <c r="U49" s="8">
        <v>1</v>
      </c>
      <c r="V49" s="8">
        <v>1</v>
      </c>
      <c r="W49" s="8" t="s">
        <v>136</v>
      </c>
      <c r="X49" s="8" t="s">
        <v>136</v>
      </c>
      <c r="Y49" s="8">
        <v>1</v>
      </c>
      <c r="Z49" s="8">
        <v>1</v>
      </c>
      <c r="AA49" s="8">
        <v>1</v>
      </c>
      <c r="AB49" s="8">
        <v>1</v>
      </c>
      <c r="AC49" s="8">
        <v>1</v>
      </c>
      <c r="AD49" s="8" t="s">
        <v>136</v>
      </c>
      <c r="AE49" s="8" t="s">
        <v>136</v>
      </c>
      <c r="AF49" s="8">
        <v>1</v>
      </c>
      <c r="AG49" s="8">
        <v>1</v>
      </c>
      <c r="AH49" s="8">
        <v>1</v>
      </c>
      <c r="AI49" s="8">
        <v>1</v>
      </c>
      <c r="AJ49" s="8">
        <v>1</v>
      </c>
      <c r="AK49" s="10">
        <v>23</v>
      </c>
      <c r="AL49" s="11">
        <v>23</v>
      </c>
      <c r="AM49" s="13">
        <v>23</v>
      </c>
      <c r="AN49" s="13">
        <v>0</v>
      </c>
      <c r="AO49" s="7" t="e">
        <v>#N/A</v>
      </c>
    </row>
    <row r="50" spans="1:41">
      <c r="A50" s="8" t="s">
        <v>131</v>
      </c>
      <c r="B50" s="8" t="s">
        <v>184</v>
      </c>
      <c r="C50" s="8" t="s">
        <v>235</v>
      </c>
      <c r="D50" s="8" t="s">
        <v>236</v>
      </c>
      <c r="E50" s="8" t="s">
        <v>135</v>
      </c>
      <c r="F50" s="8">
        <v>1</v>
      </c>
      <c r="G50" s="8">
        <v>1</v>
      </c>
      <c r="H50" s="8">
        <v>1</v>
      </c>
      <c r="I50" s="8" t="s">
        <v>136</v>
      </c>
      <c r="J50" s="8" t="s">
        <v>136</v>
      </c>
      <c r="K50" s="8">
        <v>1</v>
      </c>
      <c r="L50" s="8">
        <v>1</v>
      </c>
      <c r="M50" s="8">
        <v>1</v>
      </c>
      <c r="N50" s="8">
        <v>1</v>
      </c>
      <c r="O50" s="8">
        <v>1</v>
      </c>
      <c r="P50" s="8" t="s">
        <v>136</v>
      </c>
      <c r="Q50" s="8" t="s">
        <v>136</v>
      </c>
      <c r="R50" s="8">
        <v>1</v>
      </c>
      <c r="S50" s="8">
        <v>1</v>
      </c>
      <c r="T50" s="8">
        <v>1</v>
      </c>
      <c r="U50" s="8">
        <v>1</v>
      </c>
      <c r="V50" s="8">
        <v>1</v>
      </c>
      <c r="W50" s="8" t="s">
        <v>136</v>
      </c>
      <c r="X50" s="8" t="s">
        <v>136</v>
      </c>
      <c r="Y50" s="8">
        <v>1</v>
      </c>
      <c r="Z50" s="8">
        <v>1</v>
      </c>
      <c r="AA50" s="8">
        <v>1</v>
      </c>
      <c r="AB50" s="8">
        <v>1</v>
      </c>
      <c r="AC50" s="8">
        <v>1</v>
      </c>
      <c r="AD50" s="8" t="s">
        <v>136</v>
      </c>
      <c r="AE50" s="8" t="s">
        <v>136</v>
      </c>
      <c r="AF50" s="8">
        <v>1</v>
      </c>
      <c r="AG50" s="8">
        <v>1</v>
      </c>
      <c r="AH50" s="8">
        <v>1</v>
      </c>
      <c r="AI50" s="8">
        <v>1</v>
      </c>
      <c r="AJ50" s="8">
        <v>1</v>
      </c>
      <c r="AK50" s="10">
        <v>23</v>
      </c>
      <c r="AL50" s="11">
        <v>23</v>
      </c>
      <c r="AM50" s="13">
        <v>23</v>
      </c>
      <c r="AN50" s="13">
        <v>0</v>
      </c>
      <c r="AO50" s="7" t="e">
        <v>#N/A</v>
      </c>
    </row>
    <row r="51" spans="1:41">
      <c r="A51" s="8" t="s">
        <v>131</v>
      </c>
      <c r="B51" s="8" t="s">
        <v>184</v>
      </c>
      <c r="C51" s="8" t="s">
        <v>237</v>
      </c>
      <c r="D51" s="8" t="s">
        <v>238</v>
      </c>
      <c r="E51" s="8" t="s">
        <v>135</v>
      </c>
      <c r="F51" s="8">
        <v>1</v>
      </c>
      <c r="G51" s="8">
        <v>1</v>
      </c>
      <c r="H51" s="8">
        <v>1</v>
      </c>
      <c r="I51" s="8" t="s">
        <v>136</v>
      </c>
      <c r="J51" s="8" t="s">
        <v>136</v>
      </c>
      <c r="K51" s="8">
        <v>1</v>
      </c>
      <c r="L51" s="8">
        <v>1</v>
      </c>
      <c r="M51" s="8">
        <v>1</v>
      </c>
      <c r="N51" s="8">
        <v>1</v>
      </c>
      <c r="O51" s="8">
        <v>1</v>
      </c>
      <c r="P51" s="8" t="s">
        <v>136</v>
      </c>
      <c r="Q51" s="8" t="s">
        <v>136</v>
      </c>
      <c r="R51" s="8">
        <v>1</v>
      </c>
      <c r="S51" s="8">
        <v>1</v>
      </c>
      <c r="T51" s="8">
        <v>1</v>
      </c>
      <c r="U51" s="8">
        <v>1</v>
      </c>
      <c r="V51" s="8">
        <v>1</v>
      </c>
      <c r="W51" s="8" t="s">
        <v>136</v>
      </c>
      <c r="X51" s="8" t="s">
        <v>136</v>
      </c>
      <c r="Y51" s="8">
        <v>1</v>
      </c>
      <c r="Z51" s="8">
        <v>1</v>
      </c>
      <c r="AA51" s="8">
        <v>1</v>
      </c>
      <c r="AB51" s="8">
        <v>1</v>
      </c>
      <c r="AC51" s="8">
        <v>1</v>
      </c>
      <c r="AD51" s="8" t="s">
        <v>136</v>
      </c>
      <c r="AE51" s="8" t="s">
        <v>136</v>
      </c>
      <c r="AF51" s="8">
        <v>1</v>
      </c>
      <c r="AG51" s="8">
        <v>1</v>
      </c>
      <c r="AH51" s="8">
        <v>1</v>
      </c>
      <c r="AI51" s="8">
        <v>1</v>
      </c>
      <c r="AJ51" s="8">
        <v>1</v>
      </c>
      <c r="AK51" s="10">
        <v>23</v>
      </c>
      <c r="AL51" s="11">
        <v>23</v>
      </c>
      <c r="AM51" s="13">
        <v>23</v>
      </c>
      <c r="AN51" s="13">
        <v>0</v>
      </c>
      <c r="AO51" s="7" t="e">
        <v>#N/A</v>
      </c>
    </row>
    <row r="52" spans="1:41">
      <c r="A52" s="8" t="s">
        <v>131</v>
      </c>
      <c r="B52" s="8" t="s">
        <v>184</v>
      </c>
      <c r="C52" s="8" t="s">
        <v>239</v>
      </c>
      <c r="D52" s="8" t="s">
        <v>240</v>
      </c>
      <c r="E52" s="8" t="s">
        <v>135</v>
      </c>
      <c r="F52" s="8">
        <v>0</v>
      </c>
      <c r="G52" s="8">
        <v>0</v>
      </c>
      <c r="H52" s="8">
        <v>0</v>
      </c>
      <c r="I52" s="8" t="s">
        <v>136</v>
      </c>
      <c r="J52" s="8" t="s">
        <v>136</v>
      </c>
      <c r="K52" s="8">
        <v>0</v>
      </c>
      <c r="L52" s="8">
        <v>0</v>
      </c>
      <c r="M52" s="8">
        <v>0</v>
      </c>
      <c r="N52" s="8">
        <v>0</v>
      </c>
      <c r="O52" s="8">
        <v>0</v>
      </c>
      <c r="P52" s="8" t="s">
        <v>136</v>
      </c>
      <c r="Q52" s="8" t="s">
        <v>136</v>
      </c>
      <c r="R52" s="8">
        <v>0</v>
      </c>
      <c r="S52" s="8">
        <v>0</v>
      </c>
      <c r="T52" s="8">
        <v>0</v>
      </c>
      <c r="U52" s="8">
        <v>0</v>
      </c>
      <c r="V52" s="8">
        <v>0</v>
      </c>
      <c r="W52" s="8" t="s">
        <v>136</v>
      </c>
      <c r="X52" s="8" t="s">
        <v>136</v>
      </c>
      <c r="Y52" s="8">
        <v>0</v>
      </c>
      <c r="Z52" s="8">
        <v>0</v>
      </c>
      <c r="AA52" s="8">
        <v>0</v>
      </c>
      <c r="AB52" s="8">
        <v>0</v>
      </c>
      <c r="AC52" s="8">
        <v>0</v>
      </c>
      <c r="AD52" s="8" t="s">
        <v>136</v>
      </c>
      <c r="AE52" s="8" t="s">
        <v>136</v>
      </c>
      <c r="AF52" s="8">
        <v>0</v>
      </c>
      <c r="AG52" s="8">
        <v>0</v>
      </c>
      <c r="AH52" s="8">
        <v>0</v>
      </c>
      <c r="AI52" s="8">
        <v>0</v>
      </c>
      <c r="AJ52" s="8">
        <v>0</v>
      </c>
      <c r="AK52" s="10">
        <v>23</v>
      </c>
      <c r="AL52" s="12">
        <v>0</v>
      </c>
      <c r="AM52" s="13">
        <v>0</v>
      </c>
      <c r="AN52" s="13">
        <v>0</v>
      </c>
      <c r="AO52" s="7" t="e">
        <v>#N/A</v>
      </c>
    </row>
    <row r="53" spans="1:41">
      <c r="A53" s="8" t="s">
        <v>131</v>
      </c>
      <c r="B53" s="8" t="s">
        <v>184</v>
      </c>
      <c r="C53" s="8" t="s">
        <v>241</v>
      </c>
      <c r="D53" s="8" t="s">
        <v>242</v>
      </c>
      <c r="E53" s="8" t="s">
        <v>135</v>
      </c>
      <c r="F53" s="8">
        <v>1</v>
      </c>
      <c r="G53" s="8">
        <v>1</v>
      </c>
      <c r="H53" s="8">
        <v>1</v>
      </c>
      <c r="I53" s="8" t="s">
        <v>136</v>
      </c>
      <c r="J53" s="8" t="s">
        <v>136</v>
      </c>
      <c r="K53" s="8">
        <v>1</v>
      </c>
      <c r="L53" s="8">
        <v>1</v>
      </c>
      <c r="M53" s="8">
        <v>1</v>
      </c>
      <c r="N53" s="8">
        <v>1</v>
      </c>
      <c r="O53" s="8">
        <v>1</v>
      </c>
      <c r="P53" s="8" t="s">
        <v>136</v>
      </c>
      <c r="Q53" s="8" t="s">
        <v>136</v>
      </c>
      <c r="R53" s="8">
        <v>1</v>
      </c>
      <c r="S53" s="8">
        <v>1</v>
      </c>
      <c r="T53" s="8">
        <v>1</v>
      </c>
      <c r="U53" s="8">
        <v>1</v>
      </c>
      <c r="V53" s="8">
        <v>1</v>
      </c>
      <c r="W53" s="8" t="s">
        <v>136</v>
      </c>
      <c r="X53" s="8" t="s">
        <v>136</v>
      </c>
      <c r="Y53" s="8">
        <v>1</v>
      </c>
      <c r="Z53" s="8">
        <v>1</v>
      </c>
      <c r="AA53" s="8">
        <v>1</v>
      </c>
      <c r="AB53" s="8">
        <v>1</v>
      </c>
      <c r="AC53" s="8">
        <v>1</v>
      </c>
      <c r="AD53" s="8" t="s">
        <v>136</v>
      </c>
      <c r="AE53" s="8" t="s">
        <v>136</v>
      </c>
      <c r="AF53" s="8">
        <v>1</v>
      </c>
      <c r="AG53" s="8">
        <v>1</v>
      </c>
      <c r="AH53" s="8">
        <v>1</v>
      </c>
      <c r="AI53" s="8">
        <v>1</v>
      </c>
      <c r="AJ53" s="8">
        <v>1</v>
      </c>
      <c r="AK53" s="10">
        <v>23</v>
      </c>
      <c r="AL53" s="11">
        <v>23</v>
      </c>
      <c r="AM53" s="13">
        <v>23</v>
      </c>
      <c r="AN53" s="13">
        <v>0</v>
      </c>
      <c r="AO53" s="7" t="e">
        <v>#N/A</v>
      </c>
    </row>
    <row r="54" spans="1:41">
      <c r="A54" s="8" t="s">
        <v>131</v>
      </c>
      <c r="B54" s="8" t="s">
        <v>184</v>
      </c>
      <c r="C54" s="8" t="s">
        <v>243</v>
      </c>
      <c r="D54" s="8" t="s">
        <v>244</v>
      </c>
      <c r="E54" s="8" t="s">
        <v>135</v>
      </c>
      <c r="F54" s="8">
        <v>1</v>
      </c>
      <c r="G54" s="8">
        <v>1</v>
      </c>
      <c r="H54" s="8">
        <v>1</v>
      </c>
      <c r="I54" s="8" t="s">
        <v>136</v>
      </c>
      <c r="J54" s="8" t="s">
        <v>136</v>
      </c>
      <c r="K54" s="8">
        <v>1</v>
      </c>
      <c r="L54" s="8">
        <v>1</v>
      </c>
      <c r="M54" s="8">
        <v>1</v>
      </c>
      <c r="N54" s="8">
        <v>1</v>
      </c>
      <c r="O54" s="8">
        <v>1</v>
      </c>
      <c r="P54" s="8" t="s">
        <v>136</v>
      </c>
      <c r="Q54" s="8" t="s">
        <v>136</v>
      </c>
      <c r="R54" s="8">
        <v>1</v>
      </c>
      <c r="S54" s="8">
        <v>1</v>
      </c>
      <c r="T54" s="8">
        <v>1</v>
      </c>
      <c r="U54" s="8">
        <v>1</v>
      </c>
      <c r="V54" s="8">
        <v>1</v>
      </c>
      <c r="W54" s="8" t="s">
        <v>136</v>
      </c>
      <c r="X54" s="8" t="s">
        <v>136</v>
      </c>
      <c r="Y54" s="8">
        <v>1</v>
      </c>
      <c r="Z54" s="8">
        <v>1</v>
      </c>
      <c r="AA54" s="8">
        <v>1</v>
      </c>
      <c r="AB54" s="8">
        <v>1</v>
      </c>
      <c r="AC54" s="8">
        <v>1</v>
      </c>
      <c r="AD54" s="8" t="s">
        <v>136</v>
      </c>
      <c r="AE54" s="8" t="s">
        <v>136</v>
      </c>
      <c r="AF54" s="8">
        <v>1</v>
      </c>
      <c r="AG54" s="8">
        <v>1</v>
      </c>
      <c r="AH54" s="8">
        <v>1</v>
      </c>
      <c r="AI54" s="8">
        <v>1</v>
      </c>
      <c r="AJ54" s="8">
        <v>1</v>
      </c>
      <c r="AK54" s="10">
        <v>23</v>
      </c>
      <c r="AL54" s="11">
        <v>23</v>
      </c>
      <c r="AM54" s="13">
        <v>23</v>
      </c>
      <c r="AN54" s="13">
        <v>0</v>
      </c>
      <c r="AO54" s="7" t="e">
        <v>#N/A</v>
      </c>
    </row>
    <row r="55" spans="1:41">
      <c r="A55" s="8" t="s">
        <v>131</v>
      </c>
      <c r="B55" s="8" t="s">
        <v>184</v>
      </c>
      <c r="C55" s="8" t="s">
        <v>245</v>
      </c>
      <c r="D55" s="8" t="s">
        <v>246</v>
      </c>
      <c r="E55" s="8" t="s">
        <v>135</v>
      </c>
      <c r="F55" s="8">
        <v>1</v>
      </c>
      <c r="G55" s="8">
        <v>1</v>
      </c>
      <c r="H55" s="8">
        <v>1</v>
      </c>
      <c r="I55" s="8" t="s">
        <v>136</v>
      </c>
      <c r="J55" s="8" t="s">
        <v>136</v>
      </c>
      <c r="K55" s="8">
        <v>1</v>
      </c>
      <c r="L55" s="8">
        <v>1</v>
      </c>
      <c r="M55" s="8">
        <v>1</v>
      </c>
      <c r="N55" s="8">
        <v>1</v>
      </c>
      <c r="O55" s="8">
        <v>1</v>
      </c>
      <c r="P55" s="8" t="s">
        <v>136</v>
      </c>
      <c r="Q55" s="8" t="s">
        <v>136</v>
      </c>
      <c r="R55" s="8">
        <v>1</v>
      </c>
      <c r="S55" s="8">
        <v>1</v>
      </c>
      <c r="T55" s="8">
        <v>1</v>
      </c>
      <c r="U55" s="8">
        <v>1</v>
      </c>
      <c r="V55" s="8">
        <v>1</v>
      </c>
      <c r="W55" s="8" t="s">
        <v>136</v>
      </c>
      <c r="X55" s="8" t="s">
        <v>136</v>
      </c>
      <c r="Y55" s="8">
        <v>1</v>
      </c>
      <c r="Z55" s="8">
        <v>1</v>
      </c>
      <c r="AA55" s="8">
        <v>1</v>
      </c>
      <c r="AB55" s="8">
        <v>1</v>
      </c>
      <c r="AC55" s="8">
        <v>1</v>
      </c>
      <c r="AD55" s="8" t="s">
        <v>136</v>
      </c>
      <c r="AE55" s="8" t="s">
        <v>136</v>
      </c>
      <c r="AF55" s="8">
        <v>1</v>
      </c>
      <c r="AG55" s="8">
        <v>1</v>
      </c>
      <c r="AH55" s="8">
        <v>1</v>
      </c>
      <c r="AI55" s="8">
        <v>1</v>
      </c>
      <c r="AJ55" s="8">
        <v>1</v>
      </c>
      <c r="AK55" s="10">
        <v>23</v>
      </c>
      <c r="AL55" s="11">
        <v>23</v>
      </c>
      <c r="AM55" s="13">
        <v>23</v>
      </c>
      <c r="AN55" s="13">
        <v>0</v>
      </c>
      <c r="AO55" s="7" t="e">
        <v>#N/A</v>
      </c>
    </row>
    <row r="56" spans="1:41">
      <c r="A56" s="8" t="s">
        <v>131</v>
      </c>
      <c r="B56" s="8" t="s">
        <v>184</v>
      </c>
      <c r="C56" s="8" t="s">
        <v>247</v>
      </c>
      <c r="D56" s="8" t="s">
        <v>248</v>
      </c>
      <c r="E56" s="8" t="s">
        <v>135</v>
      </c>
      <c r="F56" s="8">
        <v>1</v>
      </c>
      <c r="G56" s="8">
        <v>1</v>
      </c>
      <c r="H56" s="8">
        <v>1</v>
      </c>
      <c r="I56" s="8" t="s">
        <v>136</v>
      </c>
      <c r="J56" s="8" t="s">
        <v>136</v>
      </c>
      <c r="K56" s="8">
        <v>1</v>
      </c>
      <c r="L56" s="8">
        <v>1</v>
      </c>
      <c r="M56" s="8">
        <v>1</v>
      </c>
      <c r="N56" s="8">
        <v>1</v>
      </c>
      <c r="O56" s="8">
        <v>1</v>
      </c>
      <c r="P56" s="8" t="s">
        <v>136</v>
      </c>
      <c r="Q56" s="8" t="s">
        <v>136</v>
      </c>
      <c r="R56" s="8">
        <v>1</v>
      </c>
      <c r="S56" s="8">
        <v>1</v>
      </c>
      <c r="T56" s="8">
        <v>1</v>
      </c>
      <c r="U56" s="8">
        <v>1</v>
      </c>
      <c r="V56" s="8">
        <v>1</v>
      </c>
      <c r="W56" s="8" t="s">
        <v>136</v>
      </c>
      <c r="X56" s="8" t="s">
        <v>136</v>
      </c>
      <c r="Y56" s="8">
        <v>1</v>
      </c>
      <c r="Z56" s="8">
        <v>1</v>
      </c>
      <c r="AA56" s="8">
        <v>1</v>
      </c>
      <c r="AB56" s="8">
        <v>1</v>
      </c>
      <c r="AC56" s="8">
        <v>1</v>
      </c>
      <c r="AD56" s="8" t="s">
        <v>136</v>
      </c>
      <c r="AE56" s="8" t="s">
        <v>136</v>
      </c>
      <c r="AF56" s="8">
        <v>1</v>
      </c>
      <c r="AG56" s="8">
        <v>1</v>
      </c>
      <c r="AH56" s="8">
        <v>1</v>
      </c>
      <c r="AI56" s="8">
        <v>1</v>
      </c>
      <c r="AJ56" s="8">
        <v>1</v>
      </c>
      <c r="AK56" s="10">
        <v>23</v>
      </c>
      <c r="AL56" s="11">
        <v>23</v>
      </c>
      <c r="AM56" s="13">
        <v>23</v>
      </c>
      <c r="AN56" s="13">
        <v>0</v>
      </c>
      <c r="AO56" s="7" t="e">
        <v>#N/A</v>
      </c>
    </row>
    <row r="57" spans="1:41">
      <c r="A57" s="8" t="s">
        <v>131</v>
      </c>
      <c r="B57" s="8" t="s">
        <v>184</v>
      </c>
      <c r="C57" s="8" t="s">
        <v>249</v>
      </c>
      <c r="D57" s="8" t="s">
        <v>250</v>
      </c>
      <c r="E57" s="8" t="s">
        <v>135</v>
      </c>
      <c r="F57" s="8">
        <v>1</v>
      </c>
      <c r="G57" s="8">
        <v>1</v>
      </c>
      <c r="H57" s="8">
        <v>1</v>
      </c>
      <c r="I57" s="8" t="s">
        <v>136</v>
      </c>
      <c r="J57" s="8" t="s">
        <v>136</v>
      </c>
      <c r="K57" s="8">
        <v>1</v>
      </c>
      <c r="L57" s="8">
        <v>1</v>
      </c>
      <c r="M57" s="8">
        <v>1</v>
      </c>
      <c r="N57" s="8">
        <v>1</v>
      </c>
      <c r="O57" s="8">
        <v>1</v>
      </c>
      <c r="P57" s="8" t="s">
        <v>136</v>
      </c>
      <c r="Q57" s="8" t="s">
        <v>136</v>
      </c>
      <c r="R57" s="8">
        <v>1</v>
      </c>
      <c r="S57" s="8">
        <v>1</v>
      </c>
      <c r="T57" s="8">
        <v>1</v>
      </c>
      <c r="U57" s="8">
        <v>1</v>
      </c>
      <c r="V57" s="8">
        <v>0</v>
      </c>
      <c r="W57" s="8" t="s">
        <v>136</v>
      </c>
      <c r="X57" s="8" t="s">
        <v>136</v>
      </c>
      <c r="Y57" s="8">
        <v>1</v>
      </c>
      <c r="Z57" s="8">
        <v>1</v>
      </c>
      <c r="AA57" s="8">
        <v>1</v>
      </c>
      <c r="AB57" s="8">
        <v>1</v>
      </c>
      <c r="AC57" s="8">
        <v>1</v>
      </c>
      <c r="AD57" s="8" t="s">
        <v>136</v>
      </c>
      <c r="AE57" s="8" t="s">
        <v>136</v>
      </c>
      <c r="AF57" s="8">
        <v>1</v>
      </c>
      <c r="AG57" s="8">
        <v>1</v>
      </c>
      <c r="AH57" s="8">
        <v>1</v>
      </c>
      <c r="AI57" s="8">
        <v>1</v>
      </c>
      <c r="AJ57" s="8">
        <v>1</v>
      </c>
      <c r="AK57" s="10">
        <v>23</v>
      </c>
      <c r="AL57" s="11">
        <v>22</v>
      </c>
      <c r="AM57" s="13">
        <v>22</v>
      </c>
      <c r="AN57" s="13">
        <v>0</v>
      </c>
      <c r="AO57" s="7" t="e">
        <v>#N/A</v>
      </c>
    </row>
    <row r="58" spans="1:41">
      <c r="A58" s="8" t="s">
        <v>131</v>
      </c>
      <c r="B58" s="8" t="s">
        <v>184</v>
      </c>
      <c r="C58" s="8" t="s">
        <v>251</v>
      </c>
      <c r="D58" s="8" t="s">
        <v>252</v>
      </c>
      <c r="E58" s="8" t="s">
        <v>135</v>
      </c>
      <c r="F58" s="8">
        <v>1</v>
      </c>
      <c r="G58" s="8">
        <v>1</v>
      </c>
      <c r="H58" s="8">
        <v>1</v>
      </c>
      <c r="I58" s="8" t="s">
        <v>136</v>
      </c>
      <c r="J58" s="8" t="s">
        <v>136</v>
      </c>
      <c r="K58" s="8">
        <v>1</v>
      </c>
      <c r="L58" s="8">
        <v>1</v>
      </c>
      <c r="M58" s="8">
        <v>1</v>
      </c>
      <c r="N58" s="8">
        <v>1</v>
      </c>
      <c r="O58" s="8">
        <v>1</v>
      </c>
      <c r="P58" s="8" t="s">
        <v>136</v>
      </c>
      <c r="Q58" s="8" t="s">
        <v>136</v>
      </c>
      <c r="R58" s="8">
        <v>1</v>
      </c>
      <c r="S58" s="8">
        <v>1</v>
      </c>
      <c r="T58" s="8">
        <v>1</v>
      </c>
      <c r="U58" s="8">
        <v>1</v>
      </c>
      <c r="V58" s="8">
        <v>1</v>
      </c>
      <c r="W58" s="8" t="s">
        <v>136</v>
      </c>
      <c r="X58" s="8" t="s">
        <v>136</v>
      </c>
      <c r="Y58" s="8">
        <v>1</v>
      </c>
      <c r="Z58" s="8">
        <v>1</v>
      </c>
      <c r="AA58" s="8">
        <v>1</v>
      </c>
      <c r="AB58" s="8">
        <v>1</v>
      </c>
      <c r="AC58" s="8">
        <v>1</v>
      </c>
      <c r="AD58" s="8" t="s">
        <v>136</v>
      </c>
      <c r="AE58" s="8" t="s">
        <v>136</v>
      </c>
      <c r="AF58" s="8">
        <v>1</v>
      </c>
      <c r="AG58" s="8">
        <v>1</v>
      </c>
      <c r="AH58" s="8">
        <v>1</v>
      </c>
      <c r="AI58" s="8">
        <v>1</v>
      </c>
      <c r="AJ58" s="8">
        <v>1</v>
      </c>
      <c r="AK58" s="10">
        <v>23</v>
      </c>
      <c r="AL58" s="11">
        <v>23</v>
      </c>
      <c r="AM58" s="13">
        <v>23</v>
      </c>
      <c r="AN58" s="13">
        <v>0</v>
      </c>
      <c r="AO58" s="7" t="e">
        <v>#N/A</v>
      </c>
    </row>
    <row r="59" spans="1:41">
      <c r="A59" s="8" t="s">
        <v>131</v>
      </c>
      <c r="B59" s="8" t="s">
        <v>184</v>
      </c>
      <c r="C59" s="8" t="s">
        <v>253</v>
      </c>
      <c r="D59" s="8" t="s">
        <v>254</v>
      </c>
      <c r="E59" s="8" t="s">
        <v>135</v>
      </c>
      <c r="F59" s="8">
        <v>1</v>
      </c>
      <c r="G59" s="8">
        <v>1</v>
      </c>
      <c r="H59" s="8">
        <v>1</v>
      </c>
      <c r="I59" s="8" t="s">
        <v>136</v>
      </c>
      <c r="J59" s="8" t="s">
        <v>136</v>
      </c>
      <c r="K59" s="8">
        <v>1</v>
      </c>
      <c r="L59" s="8">
        <v>1</v>
      </c>
      <c r="M59" s="8">
        <v>1</v>
      </c>
      <c r="N59" s="8">
        <v>1</v>
      </c>
      <c r="O59" s="8">
        <v>1</v>
      </c>
      <c r="P59" s="8" t="s">
        <v>136</v>
      </c>
      <c r="Q59" s="8" t="s">
        <v>136</v>
      </c>
      <c r="R59" s="8">
        <v>1</v>
      </c>
      <c r="S59" s="8">
        <v>1</v>
      </c>
      <c r="T59" s="8">
        <v>1</v>
      </c>
      <c r="U59" s="8">
        <v>1</v>
      </c>
      <c r="V59" s="8">
        <v>1</v>
      </c>
      <c r="W59" s="8" t="s">
        <v>136</v>
      </c>
      <c r="X59" s="8" t="s">
        <v>136</v>
      </c>
      <c r="Y59" s="8">
        <v>1</v>
      </c>
      <c r="Z59" s="8">
        <v>1</v>
      </c>
      <c r="AA59" s="8">
        <v>1</v>
      </c>
      <c r="AB59" s="8">
        <v>1</v>
      </c>
      <c r="AC59" s="8">
        <v>1</v>
      </c>
      <c r="AD59" s="8" t="s">
        <v>136</v>
      </c>
      <c r="AE59" s="8" t="s">
        <v>136</v>
      </c>
      <c r="AF59" s="8">
        <v>1</v>
      </c>
      <c r="AG59" s="8">
        <v>1</v>
      </c>
      <c r="AH59" s="8">
        <v>1</v>
      </c>
      <c r="AI59" s="8">
        <v>1</v>
      </c>
      <c r="AJ59" s="8">
        <v>1</v>
      </c>
      <c r="AK59" s="10">
        <v>23</v>
      </c>
      <c r="AL59" s="11">
        <v>23</v>
      </c>
      <c r="AM59" s="13">
        <v>23</v>
      </c>
      <c r="AN59" s="13">
        <v>0</v>
      </c>
      <c r="AO59" s="7" t="e">
        <v>#N/A</v>
      </c>
    </row>
    <row r="60" spans="1:41">
      <c r="A60" s="8" t="s">
        <v>131</v>
      </c>
      <c r="B60" s="8" t="s">
        <v>184</v>
      </c>
      <c r="C60" s="8" t="s">
        <v>255</v>
      </c>
      <c r="D60" s="8" t="s">
        <v>256</v>
      </c>
      <c r="E60" s="8" t="s">
        <v>135</v>
      </c>
      <c r="F60" s="8">
        <v>1</v>
      </c>
      <c r="G60" s="8">
        <v>1</v>
      </c>
      <c r="H60" s="8">
        <v>1</v>
      </c>
      <c r="I60" s="8" t="s">
        <v>136</v>
      </c>
      <c r="J60" s="8" t="s">
        <v>136</v>
      </c>
      <c r="K60" s="8">
        <v>1</v>
      </c>
      <c r="L60" s="8">
        <v>1</v>
      </c>
      <c r="M60" s="8">
        <v>1</v>
      </c>
      <c r="N60" s="8">
        <v>1</v>
      </c>
      <c r="O60" s="8">
        <v>1</v>
      </c>
      <c r="P60" s="8" t="s">
        <v>136</v>
      </c>
      <c r="Q60" s="8" t="s">
        <v>136</v>
      </c>
      <c r="R60" s="8">
        <v>1</v>
      </c>
      <c r="S60" s="8">
        <v>1</v>
      </c>
      <c r="T60" s="8">
        <v>1</v>
      </c>
      <c r="U60" s="8">
        <v>1</v>
      </c>
      <c r="V60" s="8">
        <v>1</v>
      </c>
      <c r="W60" s="8" t="s">
        <v>136</v>
      </c>
      <c r="X60" s="8" t="s">
        <v>136</v>
      </c>
      <c r="Y60" s="8">
        <v>1</v>
      </c>
      <c r="Z60" s="8">
        <v>1</v>
      </c>
      <c r="AA60" s="8">
        <v>1</v>
      </c>
      <c r="AB60" s="8">
        <v>1</v>
      </c>
      <c r="AC60" s="8">
        <v>1</v>
      </c>
      <c r="AD60" s="8" t="s">
        <v>136</v>
      </c>
      <c r="AE60" s="8" t="s">
        <v>136</v>
      </c>
      <c r="AF60" s="8">
        <v>1</v>
      </c>
      <c r="AG60" s="8">
        <v>1</v>
      </c>
      <c r="AH60" s="8">
        <v>1</v>
      </c>
      <c r="AI60" s="8">
        <v>1</v>
      </c>
      <c r="AJ60" s="8">
        <v>1</v>
      </c>
      <c r="AK60" s="10">
        <v>23</v>
      </c>
      <c r="AL60" s="11">
        <v>23</v>
      </c>
      <c r="AM60" s="13">
        <v>23</v>
      </c>
      <c r="AN60" s="13">
        <v>0</v>
      </c>
      <c r="AO60" s="7" t="e">
        <v>#N/A</v>
      </c>
    </row>
    <row r="61" spans="1:41">
      <c r="A61" s="8" t="s">
        <v>131</v>
      </c>
      <c r="B61" s="8" t="s">
        <v>184</v>
      </c>
      <c r="C61" s="8" t="s">
        <v>257</v>
      </c>
      <c r="D61" s="8" t="s">
        <v>258</v>
      </c>
      <c r="E61" s="8" t="s">
        <v>135</v>
      </c>
      <c r="F61" s="8">
        <v>1</v>
      </c>
      <c r="G61" s="8">
        <v>1</v>
      </c>
      <c r="H61" s="8">
        <v>1</v>
      </c>
      <c r="I61" s="8" t="s">
        <v>136</v>
      </c>
      <c r="J61" s="8" t="s">
        <v>136</v>
      </c>
      <c r="K61" s="8">
        <v>1</v>
      </c>
      <c r="L61" s="8">
        <v>1</v>
      </c>
      <c r="M61" s="8">
        <v>1</v>
      </c>
      <c r="N61" s="8">
        <v>1</v>
      </c>
      <c r="O61" s="8">
        <v>1</v>
      </c>
      <c r="P61" s="8" t="s">
        <v>136</v>
      </c>
      <c r="Q61" s="8" t="s">
        <v>136</v>
      </c>
      <c r="R61" s="8">
        <v>1</v>
      </c>
      <c r="S61" s="8">
        <v>1</v>
      </c>
      <c r="T61" s="8">
        <v>1</v>
      </c>
      <c r="U61" s="8">
        <v>1</v>
      </c>
      <c r="V61" s="8">
        <v>1</v>
      </c>
      <c r="W61" s="8" t="s">
        <v>136</v>
      </c>
      <c r="X61" s="8" t="s">
        <v>136</v>
      </c>
      <c r="Y61" s="8">
        <v>1</v>
      </c>
      <c r="Z61" s="8">
        <v>1</v>
      </c>
      <c r="AA61" s="8">
        <v>1</v>
      </c>
      <c r="AB61" s="8">
        <v>1</v>
      </c>
      <c r="AC61" s="8">
        <v>1</v>
      </c>
      <c r="AD61" s="8" t="s">
        <v>136</v>
      </c>
      <c r="AE61" s="8" t="s">
        <v>136</v>
      </c>
      <c r="AF61" s="8">
        <v>1</v>
      </c>
      <c r="AG61" s="8">
        <v>1</v>
      </c>
      <c r="AH61" s="8">
        <v>1</v>
      </c>
      <c r="AI61" s="8">
        <v>1</v>
      </c>
      <c r="AJ61" s="8">
        <v>1</v>
      </c>
      <c r="AK61" s="10">
        <v>23</v>
      </c>
      <c r="AL61" s="11">
        <v>23</v>
      </c>
      <c r="AM61" s="13">
        <v>23</v>
      </c>
      <c r="AN61" s="13">
        <v>0</v>
      </c>
      <c r="AO61" s="7" t="e">
        <v>#N/A</v>
      </c>
    </row>
    <row r="62" spans="1:41">
      <c r="A62" s="8" t="s">
        <v>131</v>
      </c>
      <c r="B62" s="8" t="s">
        <v>184</v>
      </c>
      <c r="C62" s="8" t="s">
        <v>259</v>
      </c>
      <c r="D62" s="8" t="s">
        <v>260</v>
      </c>
      <c r="E62" s="8" t="s">
        <v>135</v>
      </c>
      <c r="F62" s="8">
        <v>1</v>
      </c>
      <c r="G62" s="8">
        <v>1</v>
      </c>
      <c r="H62" s="8">
        <v>1</v>
      </c>
      <c r="I62" s="8" t="s">
        <v>136</v>
      </c>
      <c r="J62" s="8" t="s">
        <v>136</v>
      </c>
      <c r="K62" s="8">
        <v>1</v>
      </c>
      <c r="L62" s="8">
        <v>1</v>
      </c>
      <c r="M62" s="8">
        <v>1</v>
      </c>
      <c r="N62" s="8">
        <v>1</v>
      </c>
      <c r="O62" s="8">
        <v>1</v>
      </c>
      <c r="P62" s="8" t="s">
        <v>136</v>
      </c>
      <c r="Q62" s="8" t="s">
        <v>136</v>
      </c>
      <c r="R62" s="8">
        <v>1</v>
      </c>
      <c r="S62" s="8">
        <v>1</v>
      </c>
      <c r="T62" s="8">
        <v>1</v>
      </c>
      <c r="U62" s="8">
        <v>1</v>
      </c>
      <c r="V62" s="8">
        <v>1</v>
      </c>
      <c r="W62" s="8" t="s">
        <v>136</v>
      </c>
      <c r="X62" s="8" t="s">
        <v>136</v>
      </c>
      <c r="Y62" s="8">
        <v>1</v>
      </c>
      <c r="Z62" s="8">
        <v>1</v>
      </c>
      <c r="AA62" s="8">
        <v>1</v>
      </c>
      <c r="AB62" s="8">
        <v>1</v>
      </c>
      <c r="AC62" s="8">
        <v>1</v>
      </c>
      <c r="AD62" s="8" t="s">
        <v>136</v>
      </c>
      <c r="AE62" s="8" t="s">
        <v>136</v>
      </c>
      <c r="AF62" s="8">
        <v>1</v>
      </c>
      <c r="AG62" s="8">
        <v>1</v>
      </c>
      <c r="AH62" s="8">
        <v>1</v>
      </c>
      <c r="AI62" s="8">
        <v>1</v>
      </c>
      <c r="AJ62" s="8">
        <v>1</v>
      </c>
      <c r="AK62" s="10">
        <v>23</v>
      </c>
      <c r="AL62" s="11">
        <v>23</v>
      </c>
      <c r="AM62" s="13">
        <v>23</v>
      </c>
      <c r="AN62" s="13">
        <v>0</v>
      </c>
      <c r="AO62" s="7" t="e">
        <v>#N/A</v>
      </c>
    </row>
    <row r="63" spans="1:41">
      <c r="A63" s="8" t="s">
        <v>131</v>
      </c>
      <c r="B63" s="8" t="s">
        <v>184</v>
      </c>
      <c r="C63" s="8" t="s">
        <v>261</v>
      </c>
      <c r="D63" s="8" t="s">
        <v>262</v>
      </c>
      <c r="E63" s="8" t="s">
        <v>135</v>
      </c>
      <c r="F63" s="8">
        <v>1</v>
      </c>
      <c r="G63" s="8">
        <v>1</v>
      </c>
      <c r="H63" s="8">
        <v>1</v>
      </c>
      <c r="I63" s="8" t="s">
        <v>136</v>
      </c>
      <c r="J63" s="8" t="s">
        <v>136</v>
      </c>
      <c r="K63" s="8">
        <v>1</v>
      </c>
      <c r="L63" s="8">
        <v>1</v>
      </c>
      <c r="M63" s="8">
        <v>1</v>
      </c>
      <c r="N63" s="8">
        <v>1</v>
      </c>
      <c r="O63" s="8">
        <v>1</v>
      </c>
      <c r="P63" s="8" t="s">
        <v>136</v>
      </c>
      <c r="Q63" s="8" t="s">
        <v>136</v>
      </c>
      <c r="R63" s="8">
        <v>1</v>
      </c>
      <c r="S63" s="8">
        <v>1</v>
      </c>
      <c r="T63" s="8">
        <v>1</v>
      </c>
      <c r="U63" s="8">
        <v>1</v>
      </c>
      <c r="V63" s="8">
        <v>1</v>
      </c>
      <c r="W63" s="8" t="s">
        <v>136</v>
      </c>
      <c r="X63" s="8" t="s">
        <v>136</v>
      </c>
      <c r="Y63" s="8">
        <v>1</v>
      </c>
      <c r="Z63" s="8">
        <v>1</v>
      </c>
      <c r="AA63" s="8">
        <v>1</v>
      </c>
      <c r="AB63" s="8">
        <v>1</v>
      </c>
      <c r="AC63" s="8">
        <v>1</v>
      </c>
      <c r="AD63" s="8" t="s">
        <v>136</v>
      </c>
      <c r="AE63" s="8" t="s">
        <v>136</v>
      </c>
      <c r="AF63" s="8">
        <v>1</v>
      </c>
      <c r="AG63" s="8">
        <v>1</v>
      </c>
      <c r="AH63" s="8">
        <v>1</v>
      </c>
      <c r="AI63" s="8">
        <v>1</v>
      </c>
      <c r="AJ63" s="8">
        <v>1</v>
      </c>
      <c r="AK63" s="10">
        <v>23</v>
      </c>
      <c r="AL63" s="11">
        <v>23</v>
      </c>
      <c r="AM63" s="13">
        <v>23</v>
      </c>
      <c r="AN63" s="13">
        <v>0</v>
      </c>
      <c r="AO63" s="7" t="e">
        <v>#N/A</v>
      </c>
    </row>
    <row r="64" spans="1:41">
      <c r="A64" s="8" t="s">
        <v>131</v>
      </c>
      <c r="B64" s="8" t="s">
        <v>184</v>
      </c>
      <c r="C64" s="8" t="s">
        <v>263</v>
      </c>
      <c r="D64" s="8" t="s">
        <v>264</v>
      </c>
      <c r="E64" s="8" t="s">
        <v>135</v>
      </c>
      <c r="F64" s="8">
        <v>1</v>
      </c>
      <c r="G64" s="8">
        <v>1</v>
      </c>
      <c r="H64" s="8">
        <v>1</v>
      </c>
      <c r="I64" s="8" t="s">
        <v>136</v>
      </c>
      <c r="J64" s="8" t="s">
        <v>136</v>
      </c>
      <c r="K64" s="8">
        <v>1</v>
      </c>
      <c r="L64" s="8">
        <v>1</v>
      </c>
      <c r="M64" s="8">
        <v>1</v>
      </c>
      <c r="N64" s="8">
        <v>1</v>
      </c>
      <c r="O64" s="8">
        <v>1</v>
      </c>
      <c r="P64" s="8" t="s">
        <v>136</v>
      </c>
      <c r="Q64" s="8" t="s">
        <v>136</v>
      </c>
      <c r="R64" s="8">
        <v>1</v>
      </c>
      <c r="S64" s="8">
        <v>1</v>
      </c>
      <c r="T64" s="8">
        <v>1</v>
      </c>
      <c r="U64" s="8">
        <v>1</v>
      </c>
      <c r="V64" s="8">
        <v>1</v>
      </c>
      <c r="W64" s="8" t="s">
        <v>136</v>
      </c>
      <c r="X64" s="8" t="s">
        <v>136</v>
      </c>
      <c r="Y64" s="8">
        <v>1</v>
      </c>
      <c r="Z64" s="8">
        <v>1</v>
      </c>
      <c r="AA64" s="8">
        <v>1</v>
      </c>
      <c r="AB64" s="8">
        <v>1</v>
      </c>
      <c r="AC64" s="8">
        <v>1</v>
      </c>
      <c r="AD64" s="8" t="s">
        <v>136</v>
      </c>
      <c r="AE64" s="8" t="s">
        <v>136</v>
      </c>
      <c r="AF64" s="8">
        <v>1</v>
      </c>
      <c r="AG64" s="8">
        <v>1</v>
      </c>
      <c r="AH64" s="8">
        <v>1</v>
      </c>
      <c r="AI64" s="8">
        <v>1</v>
      </c>
      <c r="AJ64" s="8">
        <v>1</v>
      </c>
      <c r="AK64" s="10">
        <v>23</v>
      </c>
      <c r="AL64" s="11">
        <v>23</v>
      </c>
      <c r="AM64" s="13">
        <v>23</v>
      </c>
      <c r="AN64" s="13">
        <v>0</v>
      </c>
      <c r="AO64" s="7" t="e">
        <v>#N/A</v>
      </c>
    </row>
    <row r="65" spans="1:41">
      <c r="A65" s="8" t="s">
        <v>131</v>
      </c>
      <c r="B65" s="8" t="s">
        <v>184</v>
      </c>
      <c r="C65" s="8" t="s">
        <v>265</v>
      </c>
      <c r="D65" s="8" t="s">
        <v>266</v>
      </c>
      <c r="E65" s="8" t="s">
        <v>135</v>
      </c>
      <c r="F65" s="8">
        <v>1</v>
      </c>
      <c r="G65" s="8">
        <v>1</v>
      </c>
      <c r="H65" s="8">
        <v>1</v>
      </c>
      <c r="I65" s="8" t="s">
        <v>136</v>
      </c>
      <c r="J65" s="8" t="s">
        <v>136</v>
      </c>
      <c r="K65" s="8">
        <v>1</v>
      </c>
      <c r="L65" s="8">
        <v>1</v>
      </c>
      <c r="M65" s="8">
        <v>1</v>
      </c>
      <c r="N65" s="8">
        <v>1</v>
      </c>
      <c r="O65" s="8">
        <v>1</v>
      </c>
      <c r="P65" s="8" t="s">
        <v>136</v>
      </c>
      <c r="Q65" s="8" t="s">
        <v>136</v>
      </c>
      <c r="R65" s="8">
        <v>1</v>
      </c>
      <c r="S65" s="8">
        <v>1</v>
      </c>
      <c r="T65" s="8">
        <v>1</v>
      </c>
      <c r="U65" s="8">
        <v>1</v>
      </c>
      <c r="V65" s="8">
        <v>1</v>
      </c>
      <c r="W65" s="8" t="s">
        <v>136</v>
      </c>
      <c r="X65" s="8" t="s">
        <v>136</v>
      </c>
      <c r="Y65" s="8">
        <v>1</v>
      </c>
      <c r="Z65" s="8">
        <v>1</v>
      </c>
      <c r="AA65" s="8">
        <v>1</v>
      </c>
      <c r="AB65" s="8">
        <v>1</v>
      </c>
      <c r="AC65" s="8">
        <v>1</v>
      </c>
      <c r="AD65" s="8" t="s">
        <v>136</v>
      </c>
      <c r="AE65" s="8" t="s">
        <v>136</v>
      </c>
      <c r="AF65" s="8">
        <v>1</v>
      </c>
      <c r="AG65" s="8">
        <v>1</v>
      </c>
      <c r="AH65" s="8">
        <v>1</v>
      </c>
      <c r="AI65" s="8">
        <v>1</v>
      </c>
      <c r="AJ65" s="8">
        <v>1</v>
      </c>
      <c r="AK65" s="10">
        <v>23</v>
      </c>
      <c r="AL65" s="11">
        <v>23</v>
      </c>
      <c r="AM65" s="13">
        <v>23</v>
      </c>
      <c r="AN65" s="13">
        <v>0</v>
      </c>
      <c r="AO65" s="7" t="e">
        <v>#N/A</v>
      </c>
    </row>
    <row r="66" spans="1:41">
      <c r="A66" s="8" t="s">
        <v>131</v>
      </c>
      <c r="B66" s="8" t="s">
        <v>184</v>
      </c>
      <c r="C66" s="8" t="s">
        <v>267</v>
      </c>
      <c r="D66" s="8" t="s">
        <v>268</v>
      </c>
      <c r="E66" s="8" t="s">
        <v>135</v>
      </c>
      <c r="F66" s="8">
        <v>1</v>
      </c>
      <c r="G66" s="8">
        <v>1</v>
      </c>
      <c r="H66" s="8">
        <v>1</v>
      </c>
      <c r="I66" s="8" t="s">
        <v>136</v>
      </c>
      <c r="J66" s="8" t="s">
        <v>136</v>
      </c>
      <c r="K66" s="8">
        <v>1</v>
      </c>
      <c r="L66" s="8">
        <v>1</v>
      </c>
      <c r="M66" s="8">
        <v>1</v>
      </c>
      <c r="N66" s="8">
        <v>1</v>
      </c>
      <c r="O66" s="8">
        <v>1</v>
      </c>
      <c r="P66" s="8" t="s">
        <v>136</v>
      </c>
      <c r="Q66" s="8" t="s">
        <v>136</v>
      </c>
      <c r="R66" s="8">
        <v>1</v>
      </c>
      <c r="S66" s="8">
        <v>1</v>
      </c>
      <c r="T66" s="8">
        <v>1</v>
      </c>
      <c r="U66" s="8">
        <v>1</v>
      </c>
      <c r="V66" s="8">
        <v>1</v>
      </c>
      <c r="W66" s="8" t="s">
        <v>136</v>
      </c>
      <c r="X66" s="8" t="s">
        <v>136</v>
      </c>
      <c r="Y66" s="8">
        <v>1</v>
      </c>
      <c r="Z66" s="8">
        <v>1</v>
      </c>
      <c r="AA66" s="8">
        <v>1</v>
      </c>
      <c r="AB66" s="8">
        <v>1</v>
      </c>
      <c r="AC66" s="8">
        <v>1</v>
      </c>
      <c r="AD66" s="8" t="s">
        <v>136</v>
      </c>
      <c r="AE66" s="8" t="s">
        <v>136</v>
      </c>
      <c r="AF66" s="8">
        <v>1</v>
      </c>
      <c r="AG66" s="8">
        <v>1</v>
      </c>
      <c r="AH66" s="8">
        <v>1</v>
      </c>
      <c r="AI66" s="8">
        <v>1</v>
      </c>
      <c r="AJ66" s="8">
        <v>1</v>
      </c>
      <c r="AK66" s="10">
        <v>23</v>
      </c>
      <c r="AL66" s="11">
        <v>23</v>
      </c>
      <c r="AM66" s="13">
        <v>23</v>
      </c>
      <c r="AN66" s="13">
        <v>0</v>
      </c>
      <c r="AO66" s="7" t="e">
        <v>#N/A</v>
      </c>
    </row>
    <row r="67" spans="1:41">
      <c r="A67" s="8" t="s">
        <v>131</v>
      </c>
      <c r="B67" s="8" t="s">
        <v>184</v>
      </c>
      <c r="C67" s="8" t="s">
        <v>269</v>
      </c>
      <c r="D67" s="8" t="s">
        <v>270</v>
      </c>
      <c r="E67" s="8" t="s">
        <v>135</v>
      </c>
      <c r="F67" s="8">
        <v>1</v>
      </c>
      <c r="G67" s="8">
        <v>1</v>
      </c>
      <c r="H67" s="8">
        <v>1</v>
      </c>
      <c r="I67" s="8" t="s">
        <v>136</v>
      </c>
      <c r="J67" s="8" t="s">
        <v>136</v>
      </c>
      <c r="K67" s="8">
        <v>1</v>
      </c>
      <c r="L67" s="8">
        <v>1</v>
      </c>
      <c r="M67" s="8">
        <v>1</v>
      </c>
      <c r="N67" s="8">
        <v>1</v>
      </c>
      <c r="O67" s="8">
        <v>1</v>
      </c>
      <c r="P67" s="8" t="s">
        <v>136</v>
      </c>
      <c r="Q67" s="8" t="s">
        <v>136</v>
      </c>
      <c r="R67" s="8">
        <v>1</v>
      </c>
      <c r="S67" s="8">
        <v>1</v>
      </c>
      <c r="T67" s="8">
        <v>1</v>
      </c>
      <c r="U67" s="8">
        <v>1</v>
      </c>
      <c r="V67" s="8">
        <v>1</v>
      </c>
      <c r="W67" s="8" t="s">
        <v>136</v>
      </c>
      <c r="X67" s="8" t="s">
        <v>136</v>
      </c>
      <c r="Y67" s="8">
        <v>1</v>
      </c>
      <c r="Z67" s="8">
        <v>1</v>
      </c>
      <c r="AA67" s="8">
        <v>1</v>
      </c>
      <c r="AB67" s="8">
        <v>1</v>
      </c>
      <c r="AC67" s="8">
        <v>1</v>
      </c>
      <c r="AD67" s="8" t="s">
        <v>136</v>
      </c>
      <c r="AE67" s="8" t="s">
        <v>136</v>
      </c>
      <c r="AF67" s="8">
        <v>1</v>
      </c>
      <c r="AG67" s="8">
        <v>1</v>
      </c>
      <c r="AH67" s="8">
        <v>1</v>
      </c>
      <c r="AI67" s="8">
        <v>1</v>
      </c>
      <c r="AJ67" s="8">
        <v>1</v>
      </c>
      <c r="AK67" s="10">
        <v>23</v>
      </c>
      <c r="AL67" s="11">
        <v>23</v>
      </c>
      <c r="AM67" s="13">
        <v>23</v>
      </c>
      <c r="AN67" s="13">
        <v>0</v>
      </c>
      <c r="AO67" s="7" t="e">
        <v>#N/A</v>
      </c>
    </row>
    <row r="68" spans="1:41">
      <c r="A68" s="8" t="s">
        <v>131</v>
      </c>
      <c r="B68" s="8" t="s">
        <v>184</v>
      </c>
      <c r="C68" s="8" t="s">
        <v>271</v>
      </c>
      <c r="D68" s="8" t="s">
        <v>272</v>
      </c>
      <c r="E68" s="8" t="s">
        <v>135</v>
      </c>
      <c r="F68" s="8">
        <v>1</v>
      </c>
      <c r="G68" s="8">
        <v>1</v>
      </c>
      <c r="H68" s="8">
        <v>1</v>
      </c>
      <c r="I68" s="8" t="s">
        <v>136</v>
      </c>
      <c r="J68" s="8" t="s">
        <v>136</v>
      </c>
      <c r="K68" s="8">
        <v>1</v>
      </c>
      <c r="L68" s="8">
        <v>1</v>
      </c>
      <c r="M68" s="8">
        <v>1</v>
      </c>
      <c r="N68" s="8">
        <v>1</v>
      </c>
      <c r="O68" s="8">
        <v>1</v>
      </c>
      <c r="P68" s="8" t="s">
        <v>136</v>
      </c>
      <c r="Q68" s="8" t="s">
        <v>136</v>
      </c>
      <c r="R68" s="8">
        <v>1</v>
      </c>
      <c r="S68" s="8">
        <v>1</v>
      </c>
      <c r="T68" s="8">
        <v>1</v>
      </c>
      <c r="U68" s="8">
        <v>1</v>
      </c>
      <c r="V68" s="8">
        <v>1</v>
      </c>
      <c r="W68" s="8" t="s">
        <v>136</v>
      </c>
      <c r="X68" s="8" t="s">
        <v>136</v>
      </c>
      <c r="Y68" s="8">
        <v>1</v>
      </c>
      <c r="Z68" s="8">
        <v>1</v>
      </c>
      <c r="AA68" s="8">
        <v>1</v>
      </c>
      <c r="AB68" s="8">
        <v>1</v>
      </c>
      <c r="AC68" s="8">
        <v>1</v>
      </c>
      <c r="AD68" s="8" t="s">
        <v>136</v>
      </c>
      <c r="AE68" s="8" t="s">
        <v>136</v>
      </c>
      <c r="AF68" s="8">
        <v>1</v>
      </c>
      <c r="AG68" s="8">
        <v>1</v>
      </c>
      <c r="AH68" s="8">
        <v>1</v>
      </c>
      <c r="AI68" s="8">
        <v>1</v>
      </c>
      <c r="AJ68" s="8">
        <v>1</v>
      </c>
      <c r="AK68" s="10">
        <v>23</v>
      </c>
      <c r="AL68" s="11">
        <v>23</v>
      </c>
      <c r="AM68" s="13">
        <v>23</v>
      </c>
      <c r="AN68" s="13">
        <v>0</v>
      </c>
      <c r="AO68" s="7" t="e">
        <v>#N/A</v>
      </c>
    </row>
    <row r="69" spans="1:41">
      <c r="A69" s="8" t="s">
        <v>131</v>
      </c>
      <c r="B69" s="8" t="s">
        <v>273</v>
      </c>
      <c r="C69" s="8" t="s">
        <v>274</v>
      </c>
      <c r="D69" s="8" t="s">
        <v>275</v>
      </c>
      <c r="E69" s="8" t="s">
        <v>135</v>
      </c>
      <c r="F69" s="8">
        <v>1</v>
      </c>
      <c r="G69" s="8">
        <v>1</v>
      </c>
      <c r="H69" s="8">
        <v>1</v>
      </c>
      <c r="I69" s="8" t="s">
        <v>136</v>
      </c>
      <c r="J69" s="8" t="s">
        <v>136</v>
      </c>
      <c r="K69" s="8">
        <v>1</v>
      </c>
      <c r="L69" s="8">
        <v>1</v>
      </c>
      <c r="M69" s="8">
        <v>1</v>
      </c>
      <c r="N69" s="8">
        <v>1</v>
      </c>
      <c r="O69" s="8">
        <v>1</v>
      </c>
      <c r="P69" s="8" t="s">
        <v>136</v>
      </c>
      <c r="Q69" s="8" t="s">
        <v>136</v>
      </c>
      <c r="R69" s="8">
        <v>1</v>
      </c>
      <c r="S69" s="8">
        <v>1</v>
      </c>
      <c r="T69" s="8">
        <v>1</v>
      </c>
      <c r="U69" s="8">
        <v>1</v>
      </c>
      <c r="V69" s="8">
        <v>1</v>
      </c>
      <c r="W69" s="8" t="s">
        <v>136</v>
      </c>
      <c r="X69" s="8" t="s">
        <v>136</v>
      </c>
      <c r="Y69" s="8">
        <v>1</v>
      </c>
      <c r="Z69" s="8">
        <v>1</v>
      </c>
      <c r="AA69" s="8">
        <v>1</v>
      </c>
      <c r="AB69" s="8">
        <v>1</v>
      </c>
      <c r="AC69" s="8">
        <v>1</v>
      </c>
      <c r="AD69" s="8" t="s">
        <v>136</v>
      </c>
      <c r="AE69" s="8" t="s">
        <v>136</v>
      </c>
      <c r="AF69" s="8">
        <v>1</v>
      </c>
      <c r="AG69" s="8">
        <v>1</v>
      </c>
      <c r="AH69" s="8">
        <v>1</v>
      </c>
      <c r="AI69" s="8">
        <v>1</v>
      </c>
      <c r="AJ69" s="8">
        <v>1</v>
      </c>
      <c r="AK69" s="10">
        <v>23</v>
      </c>
      <c r="AL69" s="11">
        <v>23</v>
      </c>
      <c r="AM69" s="13">
        <v>23</v>
      </c>
      <c r="AN69" s="13">
        <v>0</v>
      </c>
      <c r="AO69" s="7" t="e">
        <v>#N/A</v>
      </c>
    </row>
    <row r="70" spans="1:41">
      <c r="A70" s="8" t="s">
        <v>131</v>
      </c>
      <c r="B70" s="8" t="s">
        <v>273</v>
      </c>
      <c r="C70" s="8" t="s">
        <v>276</v>
      </c>
      <c r="D70" s="8" t="s">
        <v>277</v>
      </c>
      <c r="E70" s="8" t="s">
        <v>135</v>
      </c>
      <c r="F70" s="8">
        <v>1</v>
      </c>
      <c r="G70" s="8">
        <v>1</v>
      </c>
      <c r="H70" s="8">
        <v>1</v>
      </c>
      <c r="I70" s="8" t="s">
        <v>136</v>
      </c>
      <c r="J70" s="8" t="s">
        <v>136</v>
      </c>
      <c r="K70" s="8">
        <v>1</v>
      </c>
      <c r="L70" s="8">
        <v>1</v>
      </c>
      <c r="M70" s="8">
        <v>1</v>
      </c>
      <c r="N70" s="8">
        <v>1</v>
      </c>
      <c r="O70" s="8">
        <v>1</v>
      </c>
      <c r="P70" s="8" t="s">
        <v>136</v>
      </c>
      <c r="Q70" s="8" t="s">
        <v>136</v>
      </c>
      <c r="R70" s="8">
        <v>1</v>
      </c>
      <c r="S70" s="8">
        <v>1</v>
      </c>
      <c r="T70" s="8">
        <v>1</v>
      </c>
      <c r="U70" s="8">
        <v>1</v>
      </c>
      <c r="V70" s="8">
        <v>1</v>
      </c>
      <c r="W70" s="8" t="s">
        <v>136</v>
      </c>
      <c r="X70" s="8" t="s">
        <v>136</v>
      </c>
      <c r="Y70" s="8">
        <v>1</v>
      </c>
      <c r="Z70" s="8">
        <v>1</v>
      </c>
      <c r="AA70" s="8">
        <v>1</v>
      </c>
      <c r="AB70" s="8">
        <v>1</v>
      </c>
      <c r="AC70" s="8">
        <v>1</v>
      </c>
      <c r="AD70" s="8" t="s">
        <v>136</v>
      </c>
      <c r="AE70" s="8" t="s">
        <v>136</v>
      </c>
      <c r="AF70" s="8">
        <v>1</v>
      </c>
      <c r="AG70" s="8">
        <v>1</v>
      </c>
      <c r="AH70" s="8">
        <v>1</v>
      </c>
      <c r="AI70" s="8">
        <v>1</v>
      </c>
      <c r="AJ70" s="8">
        <v>1</v>
      </c>
      <c r="AK70" s="10">
        <v>23</v>
      </c>
      <c r="AL70" s="11">
        <v>23</v>
      </c>
      <c r="AM70" s="13">
        <v>23</v>
      </c>
      <c r="AN70" s="13">
        <v>0</v>
      </c>
      <c r="AO70" s="7" t="e">
        <v>#N/A</v>
      </c>
    </row>
    <row r="71" spans="1:41">
      <c r="A71" s="8" t="s">
        <v>131</v>
      </c>
      <c r="B71" s="8" t="s">
        <v>273</v>
      </c>
      <c r="C71" s="8" t="s">
        <v>278</v>
      </c>
      <c r="D71" s="8" t="s">
        <v>279</v>
      </c>
      <c r="E71" s="8" t="s">
        <v>135</v>
      </c>
      <c r="F71" s="8">
        <v>1</v>
      </c>
      <c r="G71" s="8">
        <v>1</v>
      </c>
      <c r="H71" s="8">
        <v>1</v>
      </c>
      <c r="I71" s="8" t="s">
        <v>136</v>
      </c>
      <c r="J71" s="8" t="s">
        <v>136</v>
      </c>
      <c r="K71" s="8">
        <v>1</v>
      </c>
      <c r="L71" s="8">
        <v>1</v>
      </c>
      <c r="M71" s="8">
        <v>1</v>
      </c>
      <c r="N71" s="8">
        <v>1</v>
      </c>
      <c r="O71" s="8">
        <v>1</v>
      </c>
      <c r="P71" s="8" t="s">
        <v>136</v>
      </c>
      <c r="Q71" s="8" t="s">
        <v>136</v>
      </c>
      <c r="R71" s="8">
        <v>1</v>
      </c>
      <c r="S71" s="8">
        <v>1</v>
      </c>
      <c r="T71" s="8">
        <v>1</v>
      </c>
      <c r="U71" s="8">
        <v>1</v>
      </c>
      <c r="V71" s="8">
        <v>1</v>
      </c>
      <c r="W71" s="8" t="s">
        <v>136</v>
      </c>
      <c r="X71" s="8" t="s">
        <v>136</v>
      </c>
      <c r="Y71" s="8">
        <v>1</v>
      </c>
      <c r="Z71" s="8">
        <v>1</v>
      </c>
      <c r="AA71" s="8">
        <v>1</v>
      </c>
      <c r="AB71" s="8">
        <v>1</v>
      </c>
      <c r="AC71" s="8">
        <v>1</v>
      </c>
      <c r="AD71" s="8" t="s">
        <v>136</v>
      </c>
      <c r="AE71" s="8" t="s">
        <v>136</v>
      </c>
      <c r="AF71" s="8">
        <v>1</v>
      </c>
      <c r="AG71" s="8">
        <v>1</v>
      </c>
      <c r="AH71" s="8">
        <v>1</v>
      </c>
      <c r="AI71" s="8">
        <v>1</v>
      </c>
      <c r="AJ71" s="8">
        <v>1</v>
      </c>
      <c r="AK71" s="10">
        <v>23</v>
      </c>
      <c r="AL71" s="11">
        <v>23</v>
      </c>
      <c r="AM71" s="13">
        <v>23</v>
      </c>
      <c r="AN71" s="13">
        <v>0</v>
      </c>
      <c r="AO71" s="7" t="e">
        <v>#N/A</v>
      </c>
    </row>
    <row r="72" spans="1:41">
      <c r="A72" s="8" t="s">
        <v>131</v>
      </c>
      <c r="B72" s="8" t="s">
        <v>273</v>
      </c>
      <c r="C72" s="8" t="s">
        <v>280</v>
      </c>
      <c r="D72" s="8" t="s">
        <v>281</v>
      </c>
      <c r="E72" s="8" t="s">
        <v>135</v>
      </c>
      <c r="F72" s="8">
        <v>1</v>
      </c>
      <c r="G72" s="8">
        <v>1</v>
      </c>
      <c r="H72" s="8">
        <v>1</v>
      </c>
      <c r="I72" s="8" t="s">
        <v>136</v>
      </c>
      <c r="J72" s="8" t="s">
        <v>136</v>
      </c>
      <c r="K72" s="8">
        <v>1</v>
      </c>
      <c r="L72" s="8">
        <v>1</v>
      </c>
      <c r="M72" s="8">
        <v>1</v>
      </c>
      <c r="N72" s="8">
        <v>1</v>
      </c>
      <c r="O72" s="8">
        <v>1</v>
      </c>
      <c r="P72" s="8" t="s">
        <v>136</v>
      </c>
      <c r="Q72" s="8" t="s">
        <v>136</v>
      </c>
      <c r="R72" s="8">
        <v>1</v>
      </c>
      <c r="S72" s="8">
        <v>1</v>
      </c>
      <c r="T72" s="8">
        <v>1</v>
      </c>
      <c r="U72" s="8">
        <v>1</v>
      </c>
      <c r="V72" s="8">
        <v>1</v>
      </c>
      <c r="W72" s="8" t="s">
        <v>136</v>
      </c>
      <c r="X72" s="8" t="s">
        <v>136</v>
      </c>
      <c r="Y72" s="8">
        <v>1</v>
      </c>
      <c r="Z72" s="8">
        <v>1</v>
      </c>
      <c r="AA72" s="8">
        <v>1</v>
      </c>
      <c r="AB72" s="8">
        <v>1</v>
      </c>
      <c r="AC72" s="8">
        <v>1</v>
      </c>
      <c r="AD72" s="8" t="s">
        <v>136</v>
      </c>
      <c r="AE72" s="8" t="s">
        <v>136</v>
      </c>
      <c r="AF72" s="8">
        <v>1</v>
      </c>
      <c r="AG72" s="8">
        <v>1</v>
      </c>
      <c r="AH72" s="8">
        <v>1</v>
      </c>
      <c r="AI72" s="8">
        <v>1</v>
      </c>
      <c r="AJ72" s="8">
        <v>1</v>
      </c>
      <c r="AK72" s="10">
        <v>23</v>
      </c>
      <c r="AL72" s="11">
        <v>23</v>
      </c>
      <c r="AM72" s="13">
        <v>23</v>
      </c>
      <c r="AN72" s="13">
        <v>0</v>
      </c>
      <c r="AO72" s="7" t="e">
        <v>#N/A</v>
      </c>
    </row>
    <row r="73" spans="1:41">
      <c r="A73" s="8" t="s">
        <v>131</v>
      </c>
      <c r="B73" s="8" t="s">
        <v>273</v>
      </c>
      <c r="C73" s="8" t="s">
        <v>282</v>
      </c>
      <c r="D73" s="8" t="s">
        <v>283</v>
      </c>
      <c r="E73" s="8" t="s">
        <v>135</v>
      </c>
      <c r="F73" s="8">
        <v>1</v>
      </c>
      <c r="G73" s="8">
        <v>1</v>
      </c>
      <c r="H73" s="8">
        <v>1</v>
      </c>
      <c r="I73" s="8" t="s">
        <v>136</v>
      </c>
      <c r="J73" s="8" t="s">
        <v>136</v>
      </c>
      <c r="K73" s="8">
        <v>1</v>
      </c>
      <c r="L73" s="8">
        <v>1</v>
      </c>
      <c r="M73" s="8">
        <v>1</v>
      </c>
      <c r="N73" s="8">
        <v>1</v>
      </c>
      <c r="O73" s="8">
        <v>1</v>
      </c>
      <c r="P73" s="8" t="s">
        <v>136</v>
      </c>
      <c r="Q73" s="8" t="s">
        <v>136</v>
      </c>
      <c r="R73" s="8">
        <v>1</v>
      </c>
      <c r="S73" s="8">
        <v>1</v>
      </c>
      <c r="T73" s="8">
        <v>1</v>
      </c>
      <c r="U73" s="8">
        <v>1</v>
      </c>
      <c r="V73" s="8">
        <v>1</v>
      </c>
      <c r="W73" s="8" t="s">
        <v>136</v>
      </c>
      <c r="X73" s="8" t="s">
        <v>136</v>
      </c>
      <c r="Y73" s="8">
        <v>1</v>
      </c>
      <c r="Z73" s="8">
        <v>1</v>
      </c>
      <c r="AA73" s="8">
        <v>1</v>
      </c>
      <c r="AB73" s="8">
        <v>1</v>
      </c>
      <c r="AC73" s="8">
        <v>1</v>
      </c>
      <c r="AD73" s="8" t="s">
        <v>136</v>
      </c>
      <c r="AE73" s="8" t="s">
        <v>136</v>
      </c>
      <c r="AF73" s="8">
        <v>1</v>
      </c>
      <c r="AG73" s="8">
        <v>1</v>
      </c>
      <c r="AH73" s="8">
        <v>1</v>
      </c>
      <c r="AI73" s="8">
        <v>1</v>
      </c>
      <c r="AJ73" s="8">
        <v>1</v>
      </c>
      <c r="AK73" s="10">
        <v>23</v>
      </c>
      <c r="AL73" s="11">
        <v>23</v>
      </c>
      <c r="AM73" s="13">
        <v>23</v>
      </c>
      <c r="AN73" s="13">
        <v>0</v>
      </c>
      <c r="AO73" s="7" t="e">
        <v>#N/A</v>
      </c>
    </row>
    <row r="74" spans="1:41">
      <c r="A74" s="8" t="s">
        <v>131</v>
      </c>
      <c r="B74" s="8" t="s">
        <v>273</v>
      </c>
      <c r="C74" s="8" t="s">
        <v>284</v>
      </c>
      <c r="D74" s="8" t="s">
        <v>285</v>
      </c>
      <c r="E74" s="8" t="s">
        <v>135</v>
      </c>
      <c r="F74" s="8">
        <v>1</v>
      </c>
      <c r="G74" s="8">
        <v>1</v>
      </c>
      <c r="H74" s="8">
        <v>1</v>
      </c>
      <c r="I74" s="8" t="s">
        <v>136</v>
      </c>
      <c r="J74" s="8" t="s">
        <v>136</v>
      </c>
      <c r="K74" s="8">
        <v>1</v>
      </c>
      <c r="L74" s="8">
        <v>1</v>
      </c>
      <c r="M74" s="8">
        <v>1</v>
      </c>
      <c r="N74" s="8">
        <v>1</v>
      </c>
      <c r="O74" s="8">
        <v>1</v>
      </c>
      <c r="P74" s="8" t="s">
        <v>136</v>
      </c>
      <c r="Q74" s="8" t="s">
        <v>136</v>
      </c>
      <c r="R74" s="8">
        <v>1</v>
      </c>
      <c r="S74" s="8">
        <v>1</v>
      </c>
      <c r="T74" s="8">
        <v>1</v>
      </c>
      <c r="U74" s="8">
        <v>1</v>
      </c>
      <c r="V74" s="8">
        <v>1</v>
      </c>
      <c r="W74" s="8" t="s">
        <v>136</v>
      </c>
      <c r="X74" s="8" t="s">
        <v>136</v>
      </c>
      <c r="Y74" s="8">
        <v>1</v>
      </c>
      <c r="Z74" s="8">
        <v>1</v>
      </c>
      <c r="AA74" s="8">
        <v>1</v>
      </c>
      <c r="AB74" s="8">
        <v>1</v>
      </c>
      <c r="AC74" s="8">
        <v>1</v>
      </c>
      <c r="AD74" s="8" t="s">
        <v>136</v>
      </c>
      <c r="AE74" s="8" t="s">
        <v>136</v>
      </c>
      <c r="AF74" s="8">
        <v>1</v>
      </c>
      <c r="AG74" s="8">
        <v>1</v>
      </c>
      <c r="AH74" s="8">
        <v>1</v>
      </c>
      <c r="AI74" s="8">
        <v>1</v>
      </c>
      <c r="AJ74" s="8">
        <v>1</v>
      </c>
      <c r="AK74" s="10">
        <v>23</v>
      </c>
      <c r="AL74" s="11">
        <v>23</v>
      </c>
      <c r="AM74" s="13">
        <v>23</v>
      </c>
      <c r="AN74" s="13">
        <v>0</v>
      </c>
      <c r="AO74" s="7" t="e">
        <v>#N/A</v>
      </c>
    </row>
    <row r="75" spans="1:41">
      <c r="A75" s="8" t="s">
        <v>131</v>
      </c>
      <c r="B75" s="8" t="s">
        <v>273</v>
      </c>
      <c r="C75" s="8" t="s">
        <v>286</v>
      </c>
      <c r="D75" s="8" t="s">
        <v>287</v>
      </c>
      <c r="E75" s="8" t="s">
        <v>135</v>
      </c>
      <c r="F75" s="8">
        <v>1</v>
      </c>
      <c r="G75" s="8">
        <v>1</v>
      </c>
      <c r="H75" s="8">
        <v>1</v>
      </c>
      <c r="I75" s="8" t="s">
        <v>136</v>
      </c>
      <c r="J75" s="8" t="s">
        <v>136</v>
      </c>
      <c r="K75" s="8">
        <v>1</v>
      </c>
      <c r="L75" s="8">
        <v>1</v>
      </c>
      <c r="M75" s="8">
        <v>1</v>
      </c>
      <c r="N75" s="8">
        <v>1</v>
      </c>
      <c r="O75" s="8">
        <v>1</v>
      </c>
      <c r="P75" s="8" t="s">
        <v>136</v>
      </c>
      <c r="Q75" s="8" t="s">
        <v>136</v>
      </c>
      <c r="R75" s="8">
        <v>1</v>
      </c>
      <c r="S75" s="8">
        <v>1</v>
      </c>
      <c r="T75" s="8">
        <v>1</v>
      </c>
      <c r="U75" s="8">
        <v>1</v>
      </c>
      <c r="V75" s="8">
        <v>1</v>
      </c>
      <c r="W75" s="8" t="s">
        <v>136</v>
      </c>
      <c r="X75" s="8" t="s">
        <v>136</v>
      </c>
      <c r="Y75" s="8">
        <v>1</v>
      </c>
      <c r="Z75" s="8">
        <v>1</v>
      </c>
      <c r="AA75" s="8">
        <v>1</v>
      </c>
      <c r="AB75" s="8">
        <v>1</v>
      </c>
      <c r="AC75" s="8">
        <v>1</v>
      </c>
      <c r="AD75" s="8" t="s">
        <v>136</v>
      </c>
      <c r="AE75" s="8" t="s">
        <v>136</v>
      </c>
      <c r="AF75" s="8">
        <v>1</v>
      </c>
      <c r="AG75" s="8">
        <v>1</v>
      </c>
      <c r="AH75" s="8">
        <v>1</v>
      </c>
      <c r="AI75" s="8">
        <v>1</v>
      </c>
      <c r="AJ75" s="8">
        <v>1</v>
      </c>
      <c r="AK75" s="10">
        <v>23</v>
      </c>
      <c r="AL75" s="11">
        <v>23</v>
      </c>
      <c r="AM75" s="13">
        <v>23</v>
      </c>
      <c r="AN75" s="13">
        <v>0</v>
      </c>
      <c r="AO75" s="7" t="e">
        <v>#N/A</v>
      </c>
    </row>
    <row r="76" spans="1:41">
      <c r="A76" s="8" t="s">
        <v>131</v>
      </c>
      <c r="B76" s="8" t="s">
        <v>273</v>
      </c>
      <c r="C76" s="8" t="s">
        <v>288</v>
      </c>
      <c r="D76" s="8" t="s">
        <v>289</v>
      </c>
      <c r="E76" s="8" t="s">
        <v>135</v>
      </c>
      <c r="F76" s="8">
        <v>1</v>
      </c>
      <c r="G76" s="8">
        <v>1</v>
      </c>
      <c r="H76" s="8">
        <v>1</v>
      </c>
      <c r="I76" s="8" t="s">
        <v>136</v>
      </c>
      <c r="J76" s="8" t="s">
        <v>136</v>
      </c>
      <c r="K76" s="8">
        <v>1</v>
      </c>
      <c r="L76" s="8">
        <v>1</v>
      </c>
      <c r="M76" s="8">
        <v>1</v>
      </c>
      <c r="N76" s="8">
        <v>1</v>
      </c>
      <c r="O76" s="8">
        <v>1</v>
      </c>
      <c r="P76" s="8" t="s">
        <v>136</v>
      </c>
      <c r="Q76" s="8" t="s">
        <v>136</v>
      </c>
      <c r="R76" s="8">
        <v>1</v>
      </c>
      <c r="S76" s="8">
        <v>1</v>
      </c>
      <c r="T76" s="8">
        <v>1</v>
      </c>
      <c r="U76" s="8">
        <v>1</v>
      </c>
      <c r="V76" s="8">
        <v>1</v>
      </c>
      <c r="W76" s="8" t="s">
        <v>136</v>
      </c>
      <c r="X76" s="8" t="s">
        <v>136</v>
      </c>
      <c r="Y76" s="8">
        <v>1</v>
      </c>
      <c r="Z76" s="8">
        <v>1</v>
      </c>
      <c r="AA76" s="8">
        <v>1</v>
      </c>
      <c r="AB76" s="8">
        <v>1</v>
      </c>
      <c r="AC76" s="8">
        <v>1</v>
      </c>
      <c r="AD76" s="8" t="s">
        <v>136</v>
      </c>
      <c r="AE76" s="8" t="s">
        <v>136</v>
      </c>
      <c r="AF76" s="8">
        <v>1</v>
      </c>
      <c r="AG76" s="8">
        <v>1</v>
      </c>
      <c r="AH76" s="8">
        <v>1</v>
      </c>
      <c r="AI76" s="8">
        <v>1</v>
      </c>
      <c r="AJ76" s="8">
        <v>1</v>
      </c>
      <c r="AK76" s="10">
        <v>23</v>
      </c>
      <c r="AL76" s="11">
        <v>23</v>
      </c>
      <c r="AM76" s="13">
        <v>23</v>
      </c>
      <c r="AN76" s="13">
        <v>0</v>
      </c>
      <c r="AO76" s="7" t="e">
        <v>#N/A</v>
      </c>
    </row>
    <row r="77" spans="1:41">
      <c r="A77" s="8" t="s">
        <v>131</v>
      </c>
      <c r="B77" s="8" t="s">
        <v>273</v>
      </c>
      <c r="C77" s="8" t="s">
        <v>290</v>
      </c>
      <c r="D77" s="8" t="s">
        <v>291</v>
      </c>
      <c r="E77" s="8" t="s">
        <v>135</v>
      </c>
      <c r="F77" s="8">
        <v>1</v>
      </c>
      <c r="G77" s="8">
        <v>1</v>
      </c>
      <c r="H77" s="8">
        <v>1</v>
      </c>
      <c r="I77" s="8" t="s">
        <v>136</v>
      </c>
      <c r="J77" s="8" t="s">
        <v>136</v>
      </c>
      <c r="K77" s="8">
        <v>1</v>
      </c>
      <c r="L77" s="8">
        <v>1</v>
      </c>
      <c r="M77" s="8">
        <v>1</v>
      </c>
      <c r="N77" s="8">
        <v>1</v>
      </c>
      <c r="O77" s="8">
        <v>1</v>
      </c>
      <c r="P77" s="8" t="s">
        <v>136</v>
      </c>
      <c r="Q77" s="8" t="s">
        <v>136</v>
      </c>
      <c r="R77" s="8">
        <v>1</v>
      </c>
      <c r="S77" s="8">
        <v>1</v>
      </c>
      <c r="T77" s="8">
        <v>1</v>
      </c>
      <c r="U77" s="8">
        <v>1</v>
      </c>
      <c r="V77" s="8">
        <v>1</v>
      </c>
      <c r="W77" s="8" t="s">
        <v>136</v>
      </c>
      <c r="X77" s="8" t="s">
        <v>136</v>
      </c>
      <c r="Y77" s="8">
        <v>1</v>
      </c>
      <c r="Z77" s="8">
        <v>1</v>
      </c>
      <c r="AA77" s="8">
        <v>1</v>
      </c>
      <c r="AB77" s="8">
        <v>1</v>
      </c>
      <c r="AC77" s="8">
        <v>1</v>
      </c>
      <c r="AD77" s="8" t="s">
        <v>136</v>
      </c>
      <c r="AE77" s="8" t="s">
        <v>136</v>
      </c>
      <c r="AF77" s="8">
        <v>1</v>
      </c>
      <c r="AG77" s="8">
        <v>1</v>
      </c>
      <c r="AH77" s="8">
        <v>1</v>
      </c>
      <c r="AI77" s="8">
        <v>1</v>
      </c>
      <c r="AJ77" s="8">
        <v>1</v>
      </c>
      <c r="AK77" s="10">
        <v>23</v>
      </c>
      <c r="AL77" s="11">
        <v>23</v>
      </c>
      <c r="AM77" s="13">
        <v>23</v>
      </c>
      <c r="AN77" s="13">
        <v>0</v>
      </c>
      <c r="AO77" s="7" t="e">
        <v>#N/A</v>
      </c>
    </row>
    <row r="78" spans="1:41">
      <c r="A78" s="8" t="s">
        <v>131</v>
      </c>
      <c r="B78" s="8" t="s">
        <v>273</v>
      </c>
      <c r="C78" s="8" t="s">
        <v>292</v>
      </c>
      <c r="D78" s="8" t="s">
        <v>293</v>
      </c>
      <c r="E78" s="8" t="s">
        <v>135</v>
      </c>
      <c r="F78" s="8">
        <v>1</v>
      </c>
      <c r="G78" s="8">
        <v>1</v>
      </c>
      <c r="H78" s="8">
        <v>1</v>
      </c>
      <c r="I78" s="8" t="s">
        <v>136</v>
      </c>
      <c r="J78" s="8" t="s">
        <v>136</v>
      </c>
      <c r="K78" s="8">
        <v>1</v>
      </c>
      <c r="L78" s="8">
        <v>1</v>
      </c>
      <c r="M78" s="8">
        <v>1</v>
      </c>
      <c r="N78" s="8">
        <v>1</v>
      </c>
      <c r="O78" s="8">
        <v>1</v>
      </c>
      <c r="P78" s="8" t="s">
        <v>136</v>
      </c>
      <c r="Q78" s="8" t="s">
        <v>136</v>
      </c>
      <c r="R78" s="8">
        <v>1</v>
      </c>
      <c r="S78" s="8">
        <v>1</v>
      </c>
      <c r="T78" s="8">
        <v>1</v>
      </c>
      <c r="U78" s="8">
        <v>1</v>
      </c>
      <c r="V78" s="8">
        <v>1</v>
      </c>
      <c r="W78" s="8" t="s">
        <v>136</v>
      </c>
      <c r="X78" s="8" t="s">
        <v>136</v>
      </c>
      <c r="Y78" s="8">
        <v>1</v>
      </c>
      <c r="Z78" s="8">
        <v>1</v>
      </c>
      <c r="AA78" s="8">
        <v>1</v>
      </c>
      <c r="AB78" s="8">
        <v>1</v>
      </c>
      <c r="AC78" s="8">
        <v>1</v>
      </c>
      <c r="AD78" s="8" t="s">
        <v>136</v>
      </c>
      <c r="AE78" s="8" t="s">
        <v>136</v>
      </c>
      <c r="AF78" s="8">
        <v>1</v>
      </c>
      <c r="AG78" s="8">
        <v>1</v>
      </c>
      <c r="AH78" s="8">
        <v>1</v>
      </c>
      <c r="AI78" s="8">
        <v>1</v>
      </c>
      <c r="AJ78" s="8">
        <v>1</v>
      </c>
      <c r="AK78" s="10">
        <v>23</v>
      </c>
      <c r="AL78" s="11">
        <v>23</v>
      </c>
      <c r="AM78" s="13">
        <v>23</v>
      </c>
      <c r="AN78" s="13">
        <v>0</v>
      </c>
      <c r="AO78" s="7" t="e">
        <v>#N/A</v>
      </c>
    </row>
    <row r="79" spans="1:41">
      <c r="A79" s="8" t="s">
        <v>131</v>
      </c>
      <c r="B79" s="8" t="s">
        <v>273</v>
      </c>
      <c r="C79" s="8" t="s">
        <v>294</v>
      </c>
      <c r="D79" s="8" t="s">
        <v>295</v>
      </c>
      <c r="E79" s="8" t="s">
        <v>135</v>
      </c>
      <c r="F79" s="8">
        <v>1</v>
      </c>
      <c r="G79" s="8">
        <v>1</v>
      </c>
      <c r="H79" s="8">
        <v>1</v>
      </c>
      <c r="I79" s="8" t="s">
        <v>136</v>
      </c>
      <c r="J79" s="8" t="s">
        <v>136</v>
      </c>
      <c r="K79" s="8">
        <v>1</v>
      </c>
      <c r="L79" s="8">
        <v>1</v>
      </c>
      <c r="M79" s="8">
        <v>1</v>
      </c>
      <c r="N79" s="8">
        <v>1</v>
      </c>
      <c r="O79" s="8">
        <v>1</v>
      </c>
      <c r="P79" s="8" t="s">
        <v>136</v>
      </c>
      <c r="Q79" s="8" t="s">
        <v>136</v>
      </c>
      <c r="R79" s="8">
        <v>1</v>
      </c>
      <c r="S79" s="8">
        <v>1</v>
      </c>
      <c r="T79" s="8">
        <v>1</v>
      </c>
      <c r="U79" s="8">
        <v>1</v>
      </c>
      <c r="V79" s="8">
        <v>1</v>
      </c>
      <c r="W79" s="8" t="s">
        <v>136</v>
      </c>
      <c r="X79" s="8" t="s">
        <v>136</v>
      </c>
      <c r="Y79" s="8">
        <v>1</v>
      </c>
      <c r="Z79" s="8">
        <v>1</v>
      </c>
      <c r="AA79" s="8">
        <v>1</v>
      </c>
      <c r="AB79" s="8">
        <v>1</v>
      </c>
      <c r="AC79" s="8">
        <v>1</v>
      </c>
      <c r="AD79" s="8" t="s">
        <v>136</v>
      </c>
      <c r="AE79" s="8" t="s">
        <v>136</v>
      </c>
      <c r="AF79" s="8">
        <v>1</v>
      </c>
      <c r="AG79" s="8">
        <v>1</v>
      </c>
      <c r="AH79" s="8">
        <v>1</v>
      </c>
      <c r="AI79" s="8">
        <v>1</v>
      </c>
      <c r="AJ79" s="8">
        <v>1</v>
      </c>
      <c r="AK79" s="10">
        <v>23</v>
      </c>
      <c r="AL79" s="11">
        <v>23</v>
      </c>
      <c r="AM79" s="13">
        <v>23</v>
      </c>
      <c r="AN79" s="13">
        <v>0</v>
      </c>
      <c r="AO79" s="7" t="e">
        <v>#N/A</v>
      </c>
    </row>
    <row r="80" spans="1:41">
      <c r="A80" s="8" t="s">
        <v>131</v>
      </c>
      <c r="B80" s="8" t="s">
        <v>273</v>
      </c>
      <c r="C80" s="8" t="s">
        <v>296</v>
      </c>
      <c r="D80" s="8" t="s">
        <v>297</v>
      </c>
      <c r="E80" s="8" t="s">
        <v>135</v>
      </c>
      <c r="F80" s="8">
        <v>1</v>
      </c>
      <c r="G80" s="8">
        <v>1</v>
      </c>
      <c r="H80" s="8">
        <v>1</v>
      </c>
      <c r="I80" s="8" t="s">
        <v>136</v>
      </c>
      <c r="J80" s="8" t="s">
        <v>136</v>
      </c>
      <c r="K80" s="8">
        <v>1</v>
      </c>
      <c r="L80" s="8">
        <v>1</v>
      </c>
      <c r="M80" s="8">
        <v>1</v>
      </c>
      <c r="N80" s="8">
        <v>1</v>
      </c>
      <c r="O80" s="8">
        <v>1</v>
      </c>
      <c r="P80" s="8" t="s">
        <v>136</v>
      </c>
      <c r="Q80" s="8" t="s">
        <v>136</v>
      </c>
      <c r="R80" s="8">
        <v>1</v>
      </c>
      <c r="S80" s="8">
        <v>1</v>
      </c>
      <c r="T80" s="8">
        <v>1</v>
      </c>
      <c r="U80" s="8">
        <v>1</v>
      </c>
      <c r="V80" s="8">
        <v>1</v>
      </c>
      <c r="W80" s="8" t="s">
        <v>136</v>
      </c>
      <c r="X80" s="8" t="s">
        <v>136</v>
      </c>
      <c r="Y80" s="8">
        <v>1</v>
      </c>
      <c r="Z80" s="8">
        <v>1</v>
      </c>
      <c r="AA80" s="8">
        <v>1</v>
      </c>
      <c r="AB80" s="8">
        <v>1</v>
      </c>
      <c r="AC80" s="8">
        <v>1</v>
      </c>
      <c r="AD80" s="8" t="s">
        <v>136</v>
      </c>
      <c r="AE80" s="8" t="s">
        <v>136</v>
      </c>
      <c r="AF80" s="8">
        <v>1</v>
      </c>
      <c r="AG80" s="8">
        <v>1</v>
      </c>
      <c r="AH80" s="8">
        <v>1</v>
      </c>
      <c r="AI80" s="8">
        <v>1</v>
      </c>
      <c r="AJ80" s="8">
        <v>1</v>
      </c>
      <c r="AK80" s="10">
        <v>23</v>
      </c>
      <c r="AL80" s="11">
        <v>23</v>
      </c>
      <c r="AM80" s="13">
        <v>23</v>
      </c>
      <c r="AN80" s="13">
        <v>0</v>
      </c>
      <c r="AO80" s="7" t="e">
        <v>#N/A</v>
      </c>
    </row>
    <row r="81" spans="1:41">
      <c r="A81" s="8" t="s">
        <v>131</v>
      </c>
      <c r="B81" s="8" t="s">
        <v>273</v>
      </c>
      <c r="C81" s="8" t="s">
        <v>298</v>
      </c>
      <c r="D81" s="8" t="s">
        <v>299</v>
      </c>
      <c r="E81" s="8" t="s">
        <v>135</v>
      </c>
      <c r="F81" s="8">
        <v>1</v>
      </c>
      <c r="G81" s="8">
        <v>1</v>
      </c>
      <c r="H81" s="8">
        <v>1</v>
      </c>
      <c r="I81" s="8" t="s">
        <v>136</v>
      </c>
      <c r="J81" s="8" t="s">
        <v>136</v>
      </c>
      <c r="K81" s="8">
        <v>1</v>
      </c>
      <c r="L81" s="8">
        <v>1</v>
      </c>
      <c r="M81" s="8">
        <v>1</v>
      </c>
      <c r="N81" s="8">
        <v>1</v>
      </c>
      <c r="O81" s="8">
        <v>1</v>
      </c>
      <c r="P81" s="8" t="s">
        <v>136</v>
      </c>
      <c r="Q81" s="8" t="s">
        <v>136</v>
      </c>
      <c r="R81" s="8">
        <v>1</v>
      </c>
      <c r="S81" s="8">
        <v>1</v>
      </c>
      <c r="T81" s="8">
        <v>1</v>
      </c>
      <c r="U81" s="8">
        <v>1</v>
      </c>
      <c r="V81" s="8">
        <v>1</v>
      </c>
      <c r="W81" s="8" t="s">
        <v>136</v>
      </c>
      <c r="X81" s="8" t="s">
        <v>136</v>
      </c>
      <c r="Y81" s="8">
        <v>1</v>
      </c>
      <c r="Z81" s="8">
        <v>1</v>
      </c>
      <c r="AA81" s="8">
        <v>1</v>
      </c>
      <c r="AB81" s="8">
        <v>1</v>
      </c>
      <c r="AC81" s="8">
        <v>1</v>
      </c>
      <c r="AD81" s="8" t="s">
        <v>136</v>
      </c>
      <c r="AE81" s="8" t="s">
        <v>136</v>
      </c>
      <c r="AF81" s="8">
        <v>1</v>
      </c>
      <c r="AG81" s="8">
        <v>1</v>
      </c>
      <c r="AH81" s="8">
        <v>1</v>
      </c>
      <c r="AI81" s="8">
        <v>1</v>
      </c>
      <c r="AJ81" s="8">
        <v>1</v>
      </c>
      <c r="AK81" s="10">
        <v>23</v>
      </c>
      <c r="AL81" s="11">
        <v>23</v>
      </c>
      <c r="AM81" s="13">
        <v>23</v>
      </c>
      <c r="AN81" s="13">
        <v>0</v>
      </c>
      <c r="AO81" s="7" t="e">
        <v>#N/A</v>
      </c>
    </row>
    <row r="82" spans="1:41">
      <c r="A82" s="8" t="s">
        <v>131</v>
      </c>
      <c r="B82" s="8" t="s">
        <v>273</v>
      </c>
      <c r="C82" s="8" t="s">
        <v>300</v>
      </c>
      <c r="D82" s="8" t="s">
        <v>301</v>
      </c>
      <c r="E82" s="8" t="s">
        <v>135</v>
      </c>
      <c r="F82" s="8">
        <v>1</v>
      </c>
      <c r="G82" s="8">
        <v>1</v>
      </c>
      <c r="H82" s="8">
        <v>1</v>
      </c>
      <c r="I82" s="8" t="s">
        <v>136</v>
      </c>
      <c r="J82" s="8" t="s">
        <v>136</v>
      </c>
      <c r="K82" s="8">
        <v>1</v>
      </c>
      <c r="L82" s="8">
        <v>1</v>
      </c>
      <c r="M82" s="8">
        <v>1</v>
      </c>
      <c r="N82" s="8">
        <v>1</v>
      </c>
      <c r="O82" s="8">
        <v>1</v>
      </c>
      <c r="P82" s="8" t="s">
        <v>136</v>
      </c>
      <c r="Q82" s="8" t="s">
        <v>136</v>
      </c>
      <c r="R82" s="8">
        <v>1</v>
      </c>
      <c r="S82" s="8">
        <v>1</v>
      </c>
      <c r="T82" s="8">
        <v>1</v>
      </c>
      <c r="U82" s="8">
        <v>1</v>
      </c>
      <c r="V82" s="8">
        <v>1</v>
      </c>
      <c r="W82" s="8" t="s">
        <v>136</v>
      </c>
      <c r="X82" s="8" t="s">
        <v>136</v>
      </c>
      <c r="Y82" s="8">
        <v>1</v>
      </c>
      <c r="Z82" s="8">
        <v>1</v>
      </c>
      <c r="AA82" s="8">
        <v>1</v>
      </c>
      <c r="AB82" s="8">
        <v>1</v>
      </c>
      <c r="AC82" s="8">
        <v>1</v>
      </c>
      <c r="AD82" s="8" t="s">
        <v>136</v>
      </c>
      <c r="AE82" s="8" t="s">
        <v>136</v>
      </c>
      <c r="AF82" s="8">
        <v>1</v>
      </c>
      <c r="AG82" s="8">
        <v>1</v>
      </c>
      <c r="AH82" s="8">
        <v>1</v>
      </c>
      <c r="AI82" s="8">
        <v>1</v>
      </c>
      <c r="AJ82" s="8">
        <v>1</v>
      </c>
      <c r="AK82" s="10">
        <v>23</v>
      </c>
      <c r="AL82" s="11">
        <v>23</v>
      </c>
      <c r="AM82" s="13">
        <v>23</v>
      </c>
      <c r="AN82" s="13">
        <v>0</v>
      </c>
      <c r="AO82" s="7" t="e">
        <v>#N/A</v>
      </c>
    </row>
    <row r="83" spans="1:41">
      <c r="A83" s="8" t="s">
        <v>131</v>
      </c>
      <c r="B83" s="8" t="s">
        <v>273</v>
      </c>
      <c r="C83" s="8" t="s">
        <v>302</v>
      </c>
      <c r="D83" s="8" t="s">
        <v>303</v>
      </c>
      <c r="E83" s="8" t="s">
        <v>135</v>
      </c>
      <c r="F83" s="8">
        <v>1</v>
      </c>
      <c r="G83" s="8">
        <v>1</v>
      </c>
      <c r="H83" s="8">
        <v>1</v>
      </c>
      <c r="I83" s="8" t="s">
        <v>136</v>
      </c>
      <c r="J83" s="8" t="s">
        <v>136</v>
      </c>
      <c r="K83" s="8">
        <v>1</v>
      </c>
      <c r="L83" s="8">
        <v>1</v>
      </c>
      <c r="M83" s="8">
        <v>1</v>
      </c>
      <c r="N83" s="8">
        <v>1</v>
      </c>
      <c r="O83" s="8">
        <v>1</v>
      </c>
      <c r="P83" s="8" t="s">
        <v>136</v>
      </c>
      <c r="Q83" s="8" t="s">
        <v>136</v>
      </c>
      <c r="R83" s="8">
        <v>1</v>
      </c>
      <c r="S83" s="8">
        <v>1</v>
      </c>
      <c r="T83" s="8">
        <v>1</v>
      </c>
      <c r="U83" s="8">
        <v>1</v>
      </c>
      <c r="V83" s="8">
        <v>1</v>
      </c>
      <c r="W83" s="8" t="s">
        <v>136</v>
      </c>
      <c r="X83" s="8" t="s">
        <v>136</v>
      </c>
      <c r="Y83" s="8">
        <v>1</v>
      </c>
      <c r="Z83" s="8">
        <v>1</v>
      </c>
      <c r="AA83" s="8">
        <v>1</v>
      </c>
      <c r="AB83" s="8">
        <v>1</v>
      </c>
      <c r="AC83" s="8">
        <v>1</v>
      </c>
      <c r="AD83" s="8" t="s">
        <v>136</v>
      </c>
      <c r="AE83" s="8" t="s">
        <v>136</v>
      </c>
      <c r="AF83" s="8">
        <v>1</v>
      </c>
      <c r="AG83" s="8">
        <v>1</v>
      </c>
      <c r="AH83" s="8">
        <v>1</v>
      </c>
      <c r="AI83" s="8">
        <v>1</v>
      </c>
      <c r="AJ83" s="8">
        <v>1</v>
      </c>
      <c r="AK83" s="10">
        <v>23</v>
      </c>
      <c r="AL83" s="11">
        <v>23</v>
      </c>
      <c r="AM83" s="13">
        <v>23</v>
      </c>
      <c r="AN83" s="13">
        <v>0</v>
      </c>
      <c r="AO83" s="7" t="e">
        <v>#N/A</v>
      </c>
    </row>
    <row r="84" spans="1:41">
      <c r="A84" s="8" t="s">
        <v>131</v>
      </c>
      <c r="B84" s="8" t="s">
        <v>273</v>
      </c>
      <c r="C84" s="8" t="s">
        <v>304</v>
      </c>
      <c r="D84" s="8" t="s">
        <v>305</v>
      </c>
      <c r="E84" s="8" t="s">
        <v>135</v>
      </c>
      <c r="F84" s="8">
        <v>1</v>
      </c>
      <c r="G84" s="8">
        <v>1</v>
      </c>
      <c r="H84" s="8">
        <v>1</v>
      </c>
      <c r="I84" s="8" t="s">
        <v>136</v>
      </c>
      <c r="J84" s="8" t="s">
        <v>136</v>
      </c>
      <c r="K84" s="8">
        <v>1</v>
      </c>
      <c r="L84" s="8">
        <v>1</v>
      </c>
      <c r="M84" s="8">
        <v>1</v>
      </c>
      <c r="N84" s="8">
        <v>1</v>
      </c>
      <c r="O84" s="8">
        <v>1</v>
      </c>
      <c r="P84" s="8" t="s">
        <v>136</v>
      </c>
      <c r="Q84" s="8" t="s">
        <v>136</v>
      </c>
      <c r="R84" s="8">
        <v>1</v>
      </c>
      <c r="S84" s="8">
        <v>1</v>
      </c>
      <c r="T84" s="8">
        <v>1</v>
      </c>
      <c r="U84" s="8">
        <v>1</v>
      </c>
      <c r="V84" s="8">
        <v>1</v>
      </c>
      <c r="W84" s="8" t="s">
        <v>136</v>
      </c>
      <c r="X84" s="8" t="s">
        <v>136</v>
      </c>
      <c r="Y84" s="8">
        <v>1</v>
      </c>
      <c r="Z84" s="8">
        <v>1</v>
      </c>
      <c r="AA84" s="8">
        <v>1</v>
      </c>
      <c r="AB84" s="8">
        <v>1</v>
      </c>
      <c r="AC84" s="8">
        <v>1</v>
      </c>
      <c r="AD84" s="8" t="s">
        <v>136</v>
      </c>
      <c r="AE84" s="8" t="s">
        <v>136</v>
      </c>
      <c r="AF84" s="8">
        <v>1</v>
      </c>
      <c r="AG84" s="8">
        <v>1</v>
      </c>
      <c r="AH84" s="8">
        <v>1</v>
      </c>
      <c r="AI84" s="8">
        <v>1</v>
      </c>
      <c r="AJ84" s="8">
        <v>1</v>
      </c>
      <c r="AK84" s="10">
        <v>23</v>
      </c>
      <c r="AL84" s="11">
        <v>23</v>
      </c>
      <c r="AM84" s="13">
        <v>23</v>
      </c>
      <c r="AN84" s="13">
        <v>0</v>
      </c>
      <c r="AO84" s="7" t="e">
        <v>#N/A</v>
      </c>
    </row>
    <row r="85" spans="1:41">
      <c r="A85" s="8" t="s">
        <v>131</v>
      </c>
      <c r="B85" s="8" t="s">
        <v>273</v>
      </c>
      <c r="C85" s="8" t="s">
        <v>306</v>
      </c>
      <c r="D85" s="8" t="s">
        <v>307</v>
      </c>
      <c r="E85" s="8" t="s">
        <v>135</v>
      </c>
      <c r="F85" s="8">
        <v>1</v>
      </c>
      <c r="G85" s="8">
        <v>1</v>
      </c>
      <c r="H85" s="8">
        <v>1</v>
      </c>
      <c r="I85" s="8" t="s">
        <v>136</v>
      </c>
      <c r="J85" s="8" t="s">
        <v>136</v>
      </c>
      <c r="K85" s="8">
        <v>1</v>
      </c>
      <c r="L85" s="8">
        <v>1</v>
      </c>
      <c r="M85" s="8">
        <v>1</v>
      </c>
      <c r="N85" s="8">
        <v>1</v>
      </c>
      <c r="O85" s="8">
        <v>1</v>
      </c>
      <c r="P85" s="8" t="s">
        <v>136</v>
      </c>
      <c r="Q85" s="8" t="s">
        <v>136</v>
      </c>
      <c r="R85" s="8">
        <v>1</v>
      </c>
      <c r="S85" s="8">
        <v>1</v>
      </c>
      <c r="T85" s="8">
        <v>1</v>
      </c>
      <c r="U85" s="8">
        <v>1</v>
      </c>
      <c r="V85" s="8">
        <v>1</v>
      </c>
      <c r="W85" s="8" t="s">
        <v>136</v>
      </c>
      <c r="X85" s="8" t="s">
        <v>136</v>
      </c>
      <c r="Y85" s="8">
        <v>1</v>
      </c>
      <c r="Z85" s="8">
        <v>1</v>
      </c>
      <c r="AA85" s="8">
        <v>1</v>
      </c>
      <c r="AB85" s="8">
        <v>1</v>
      </c>
      <c r="AC85" s="8">
        <v>1</v>
      </c>
      <c r="AD85" s="8" t="s">
        <v>136</v>
      </c>
      <c r="AE85" s="8" t="s">
        <v>136</v>
      </c>
      <c r="AF85" s="8">
        <v>1</v>
      </c>
      <c r="AG85" s="8">
        <v>1</v>
      </c>
      <c r="AH85" s="8">
        <v>1</v>
      </c>
      <c r="AI85" s="8">
        <v>1</v>
      </c>
      <c r="AJ85" s="8">
        <v>1</v>
      </c>
      <c r="AK85" s="10">
        <v>23</v>
      </c>
      <c r="AL85" s="11">
        <v>23</v>
      </c>
      <c r="AM85" s="13">
        <v>23</v>
      </c>
      <c r="AN85" s="13">
        <v>0</v>
      </c>
      <c r="AO85" s="7" t="e">
        <v>#N/A</v>
      </c>
    </row>
    <row r="86" spans="1:41">
      <c r="A86" s="8" t="s">
        <v>131</v>
      </c>
      <c r="B86" s="8" t="s">
        <v>273</v>
      </c>
      <c r="C86" s="8" t="s">
        <v>308</v>
      </c>
      <c r="D86" s="8" t="s">
        <v>200</v>
      </c>
      <c r="E86" s="8" t="s">
        <v>135</v>
      </c>
      <c r="F86" s="8">
        <v>1</v>
      </c>
      <c r="G86" s="8">
        <v>1</v>
      </c>
      <c r="H86" s="8">
        <v>1</v>
      </c>
      <c r="I86" s="8" t="s">
        <v>136</v>
      </c>
      <c r="J86" s="8" t="s">
        <v>136</v>
      </c>
      <c r="K86" s="8">
        <v>1</v>
      </c>
      <c r="L86" s="8">
        <v>1</v>
      </c>
      <c r="M86" s="8">
        <v>1</v>
      </c>
      <c r="N86" s="8">
        <v>1</v>
      </c>
      <c r="O86" s="8">
        <v>1</v>
      </c>
      <c r="P86" s="8" t="s">
        <v>136</v>
      </c>
      <c r="Q86" s="8" t="s">
        <v>136</v>
      </c>
      <c r="R86" s="8">
        <v>1</v>
      </c>
      <c r="S86" s="8">
        <v>1</v>
      </c>
      <c r="T86" s="8">
        <v>1</v>
      </c>
      <c r="U86" s="8">
        <v>1</v>
      </c>
      <c r="V86" s="8">
        <v>1</v>
      </c>
      <c r="W86" s="8" t="s">
        <v>136</v>
      </c>
      <c r="X86" s="8" t="s">
        <v>136</v>
      </c>
      <c r="Y86" s="8">
        <v>1</v>
      </c>
      <c r="Z86" s="8">
        <v>1</v>
      </c>
      <c r="AA86" s="8">
        <v>1</v>
      </c>
      <c r="AB86" s="8">
        <v>1</v>
      </c>
      <c r="AC86" s="8">
        <v>1</v>
      </c>
      <c r="AD86" s="8" t="s">
        <v>136</v>
      </c>
      <c r="AE86" s="8" t="s">
        <v>136</v>
      </c>
      <c r="AF86" s="8">
        <v>1</v>
      </c>
      <c r="AG86" s="8">
        <v>1</v>
      </c>
      <c r="AH86" s="8">
        <v>1</v>
      </c>
      <c r="AI86" s="8">
        <v>1</v>
      </c>
      <c r="AJ86" s="8">
        <v>1</v>
      </c>
      <c r="AK86" s="10">
        <v>23</v>
      </c>
      <c r="AL86" s="11">
        <v>23</v>
      </c>
      <c r="AM86" s="13">
        <v>23</v>
      </c>
      <c r="AN86" s="13">
        <v>0</v>
      </c>
      <c r="AO86" s="7" t="e">
        <v>#N/A</v>
      </c>
    </row>
    <row r="87" spans="1:41">
      <c r="A87" s="8" t="s">
        <v>131</v>
      </c>
      <c r="B87" s="8" t="s">
        <v>273</v>
      </c>
      <c r="C87" s="8" t="s">
        <v>309</v>
      </c>
      <c r="D87" s="8" t="s">
        <v>310</v>
      </c>
      <c r="E87" s="8" t="s">
        <v>135</v>
      </c>
      <c r="F87" s="8">
        <v>1</v>
      </c>
      <c r="G87" s="8">
        <v>1</v>
      </c>
      <c r="H87" s="8">
        <v>1</v>
      </c>
      <c r="I87" s="8" t="s">
        <v>136</v>
      </c>
      <c r="J87" s="8" t="s">
        <v>136</v>
      </c>
      <c r="K87" s="8">
        <v>1</v>
      </c>
      <c r="L87" s="8">
        <v>1</v>
      </c>
      <c r="M87" s="8">
        <v>1</v>
      </c>
      <c r="N87" s="8">
        <v>1</v>
      </c>
      <c r="O87" s="8">
        <v>1</v>
      </c>
      <c r="P87" s="8" t="s">
        <v>136</v>
      </c>
      <c r="Q87" s="8" t="s">
        <v>136</v>
      </c>
      <c r="R87" s="8">
        <v>1</v>
      </c>
      <c r="S87" s="8">
        <v>1</v>
      </c>
      <c r="T87" s="8">
        <v>1</v>
      </c>
      <c r="U87" s="8">
        <v>1</v>
      </c>
      <c r="V87" s="8">
        <v>1</v>
      </c>
      <c r="W87" s="8" t="s">
        <v>136</v>
      </c>
      <c r="X87" s="8" t="s">
        <v>136</v>
      </c>
      <c r="Y87" s="8">
        <v>1</v>
      </c>
      <c r="Z87" s="8">
        <v>1</v>
      </c>
      <c r="AA87" s="8">
        <v>1</v>
      </c>
      <c r="AB87" s="8">
        <v>1</v>
      </c>
      <c r="AC87" s="8">
        <v>1</v>
      </c>
      <c r="AD87" s="8" t="s">
        <v>136</v>
      </c>
      <c r="AE87" s="8" t="s">
        <v>136</v>
      </c>
      <c r="AF87" s="8">
        <v>1</v>
      </c>
      <c r="AG87" s="8">
        <v>1</v>
      </c>
      <c r="AH87" s="8">
        <v>1</v>
      </c>
      <c r="AI87" s="8">
        <v>1</v>
      </c>
      <c r="AJ87" s="8">
        <v>1</v>
      </c>
      <c r="AK87" s="10">
        <v>23</v>
      </c>
      <c r="AL87" s="11">
        <v>23</v>
      </c>
      <c r="AM87" s="13">
        <v>23</v>
      </c>
      <c r="AN87" s="13">
        <v>0</v>
      </c>
      <c r="AO87" s="7" t="e">
        <v>#N/A</v>
      </c>
    </row>
    <row r="88" spans="1:41">
      <c r="A88" s="8" t="s">
        <v>131</v>
      </c>
      <c r="B88" s="8" t="s">
        <v>273</v>
      </c>
      <c r="C88" s="8" t="s">
        <v>311</v>
      </c>
      <c r="D88" s="8" t="s">
        <v>312</v>
      </c>
      <c r="E88" s="8" t="s">
        <v>135</v>
      </c>
      <c r="F88" s="8">
        <v>1</v>
      </c>
      <c r="G88" s="8">
        <v>1</v>
      </c>
      <c r="H88" s="8">
        <v>1</v>
      </c>
      <c r="I88" s="8" t="s">
        <v>136</v>
      </c>
      <c r="J88" s="8" t="s">
        <v>136</v>
      </c>
      <c r="K88" s="8">
        <v>1</v>
      </c>
      <c r="L88" s="8">
        <v>1</v>
      </c>
      <c r="M88" s="8">
        <v>1</v>
      </c>
      <c r="N88" s="8">
        <v>1</v>
      </c>
      <c r="O88" s="8">
        <v>1</v>
      </c>
      <c r="P88" s="8" t="s">
        <v>136</v>
      </c>
      <c r="Q88" s="8" t="s">
        <v>136</v>
      </c>
      <c r="R88" s="8">
        <v>1</v>
      </c>
      <c r="S88" s="8">
        <v>1</v>
      </c>
      <c r="T88" s="8">
        <v>1</v>
      </c>
      <c r="U88" s="8">
        <v>1</v>
      </c>
      <c r="V88" s="8">
        <v>1</v>
      </c>
      <c r="W88" s="8" t="s">
        <v>136</v>
      </c>
      <c r="X88" s="8" t="s">
        <v>136</v>
      </c>
      <c r="Y88" s="8">
        <v>1</v>
      </c>
      <c r="Z88" s="8">
        <v>1</v>
      </c>
      <c r="AA88" s="8">
        <v>1</v>
      </c>
      <c r="AB88" s="8">
        <v>1</v>
      </c>
      <c r="AC88" s="8">
        <v>1</v>
      </c>
      <c r="AD88" s="8" t="s">
        <v>136</v>
      </c>
      <c r="AE88" s="8" t="s">
        <v>136</v>
      </c>
      <c r="AF88" s="8">
        <v>1</v>
      </c>
      <c r="AG88" s="8">
        <v>1</v>
      </c>
      <c r="AH88" s="8">
        <v>1</v>
      </c>
      <c r="AI88" s="8">
        <v>1</v>
      </c>
      <c r="AJ88" s="8">
        <v>1</v>
      </c>
      <c r="AK88" s="10">
        <v>23</v>
      </c>
      <c r="AL88" s="11">
        <v>23</v>
      </c>
      <c r="AM88" s="13">
        <v>23</v>
      </c>
      <c r="AN88" s="13">
        <v>0</v>
      </c>
      <c r="AO88" s="7" t="e">
        <v>#N/A</v>
      </c>
    </row>
    <row r="89" spans="1:41">
      <c r="A89" s="8" t="s">
        <v>131</v>
      </c>
      <c r="B89" s="8" t="s">
        <v>273</v>
      </c>
      <c r="C89" s="8" t="s">
        <v>313</v>
      </c>
      <c r="D89" s="8" t="s">
        <v>314</v>
      </c>
      <c r="E89" s="8" t="s">
        <v>135</v>
      </c>
      <c r="F89" s="8">
        <v>1</v>
      </c>
      <c r="G89" s="8">
        <v>1</v>
      </c>
      <c r="H89" s="8">
        <v>1</v>
      </c>
      <c r="I89" s="8" t="s">
        <v>136</v>
      </c>
      <c r="J89" s="8" t="s">
        <v>136</v>
      </c>
      <c r="K89" s="8">
        <v>1</v>
      </c>
      <c r="L89" s="8">
        <v>1</v>
      </c>
      <c r="M89" s="8">
        <v>1</v>
      </c>
      <c r="N89" s="8">
        <v>1</v>
      </c>
      <c r="O89" s="8">
        <v>1</v>
      </c>
      <c r="P89" s="8" t="s">
        <v>136</v>
      </c>
      <c r="Q89" s="8" t="s">
        <v>136</v>
      </c>
      <c r="R89" s="8">
        <v>1</v>
      </c>
      <c r="S89" s="8">
        <v>1</v>
      </c>
      <c r="T89" s="8">
        <v>1</v>
      </c>
      <c r="U89" s="8">
        <v>1</v>
      </c>
      <c r="V89" s="8">
        <v>1</v>
      </c>
      <c r="W89" s="8" t="s">
        <v>136</v>
      </c>
      <c r="X89" s="8" t="s">
        <v>136</v>
      </c>
      <c r="Y89" s="8">
        <v>1</v>
      </c>
      <c r="Z89" s="8">
        <v>1</v>
      </c>
      <c r="AA89" s="8">
        <v>1</v>
      </c>
      <c r="AB89" s="8">
        <v>1</v>
      </c>
      <c r="AC89" s="8">
        <v>1</v>
      </c>
      <c r="AD89" s="8" t="s">
        <v>136</v>
      </c>
      <c r="AE89" s="8" t="s">
        <v>136</v>
      </c>
      <c r="AF89" s="8">
        <v>1</v>
      </c>
      <c r="AG89" s="8">
        <v>1</v>
      </c>
      <c r="AH89" s="8">
        <v>1</v>
      </c>
      <c r="AI89" s="8">
        <v>1</v>
      </c>
      <c r="AJ89" s="8">
        <v>1</v>
      </c>
      <c r="AK89" s="10">
        <v>23</v>
      </c>
      <c r="AL89" s="11">
        <v>23</v>
      </c>
      <c r="AM89" s="13">
        <v>23</v>
      </c>
      <c r="AN89" s="13">
        <v>0</v>
      </c>
      <c r="AO89" s="7" t="e">
        <v>#N/A</v>
      </c>
    </row>
    <row r="90" spans="1:41">
      <c r="A90" s="8" t="s">
        <v>131</v>
      </c>
      <c r="B90" s="8" t="s">
        <v>273</v>
      </c>
      <c r="C90" s="8" t="s">
        <v>315</v>
      </c>
      <c r="D90" s="8" t="s">
        <v>316</v>
      </c>
      <c r="E90" s="8" t="s">
        <v>135</v>
      </c>
      <c r="F90" s="8">
        <v>1</v>
      </c>
      <c r="G90" s="8">
        <v>1</v>
      </c>
      <c r="H90" s="8">
        <v>1</v>
      </c>
      <c r="I90" s="8" t="s">
        <v>136</v>
      </c>
      <c r="J90" s="8" t="s">
        <v>136</v>
      </c>
      <c r="K90" s="8">
        <v>1</v>
      </c>
      <c r="L90" s="8">
        <v>1</v>
      </c>
      <c r="M90" s="8">
        <v>1</v>
      </c>
      <c r="N90" s="8">
        <v>1</v>
      </c>
      <c r="O90" s="8">
        <v>1</v>
      </c>
      <c r="P90" s="8" t="s">
        <v>136</v>
      </c>
      <c r="Q90" s="8" t="s">
        <v>136</v>
      </c>
      <c r="R90" s="8">
        <v>1</v>
      </c>
      <c r="S90" s="8">
        <v>1</v>
      </c>
      <c r="T90" s="8">
        <v>1</v>
      </c>
      <c r="U90" s="8">
        <v>1</v>
      </c>
      <c r="V90" s="8">
        <v>1</v>
      </c>
      <c r="W90" s="8" t="s">
        <v>136</v>
      </c>
      <c r="X90" s="8" t="s">
        <v>136</v>
      </c>
      <c r="Y90" s="8">
        <v>1</v>
      </c>
      <c r="Z90" s="8">
        <v>1</v>
      </c>
      <c r="AA90" s="8">
        <v>1</v>
      </c>
      <c r="AB90" s="8">
        <v>1</v>
      </c>
      <c r="AC90" s="8">
        <v>1</v>
      </c>
      <c r="AD90" s="8" t="s">
        <v>136</v>
      </c>
      <c r="AE90" s="8" t="s">
        <v>136</v>
      </c>
      <c r="AF90" s="8">
        <v>1</v>
      </c>
      <c r="AG90" s="8">
        <v>1</v>
      </c>
      <c r="AH90" s="8">
        <v>1</v>
      </c>
      <c r="AI90" s="8">
        <v>1</v>
      </c>
      <c r="AJ90" s="8">
        <v>1</v>
      </c>
      <c r="AK90" s="10">
        <v>23</v>
      </c>
      <c r="AL90" s="11">
        <v>23</v>
      </c>
      <c r="AM90" s="13">
        <v>23</v>
      </c>
      <c r="AN90" s="13">
        <v>0</v>
      </c>
      <c r="AO90" s="7" t="e">
        <v>#N/A</v>
      </c>
    </row>
    <row r="91" spans="1:41">
      <c r="A91" s="8" t="s">
        <v>131</v>
      </c>
      <c r="B91" s="8" t="s">
        <v>273</v>
      </c>
      <c r="C91" s="8" t="s">
        <v>317</v>
      </c>
      <c r="D91" s="8" t="s">
        <v>318</v>
      </c>
      <c r="E91" s="8" t="s">
        <v>135</v>
      </c>
      <c r="F91" s="8">
        <v>1</v>
      </c>
      <c r="G91" s="8">
        <v>1</v>
      </c>
      <c r="H91" s="8">
        <v>1</v>
      </c>
      <c r="I91" s="8" t="s">
        <v>136</v>
      </c>
      <c r="J91" s="8" t="s">
        <v>136</v>
      </c>
      <c r="K91" s="8">
        <v>1</v>
      </c>
      <c r="L91" s="8">
        <v>1</v>
      </c>
      <c r="M91" s="8">
        <v>1</v>
      </c>
      <c r="N91" s="8">
        <v>1</v>
      </c>
      <c r="O91" s="8">
        <v>1</v>
      </c>
      <c r="P91" s="8" t="s">
        <v>136</v>
      </c>
      <c r="Q91" s="8" t="s">
        <v>136</v>
      </c>
      <c r="R91" s="8">
        <v>1</v>
      </c>
      <c r="S91" s="8">
        <v>1</v>
      </c>
      <c r="T91" s="8">
        <v>1</v>
      </c>
      <c r="U91" s="8">
        <v>1</v>
      </c>
      <c r="V91" s="8">
        <v>1</v>
      </c>
      <c r="W91" s="8" t="s">
        <v>136</v>
      </c>
      <c r="X91" s="8" t="s">
        <v>136</v>
      </c>
      <c r="Y91" s="8">
        <v>1</v>
      </c>
      <c r="Z91" s="8">
        <v>1</v>
      </c>
      <c r="AA91" s="8">
        <v>1</v>
      </c>
      <c r="AB91" s="8">
        <v>1</v>
      </c>
      <c r="AC91" s="8">
        <v>1</v>
      </c>
      <c r="AD91" s="8" t="s">
        <v>136</v>
      </c>
      <c r="AE91" s="8" t="s">
        <v>136</v>
      </c>
      <c r="AF91" s="8">
        <v>1</v>
      </c>
      <c r="AG91" s="8">
        <v>1</v>
      </c>
      <c r="AH91" s="8">
        <v>1</v>
      </c>
      <c r="AI91" s="8">
        <v>1</v>
      </c>
      <c r="AJ91" s="8">
        <v>1</v>
      </c>
      <c r="AK91" s="10">
        <v>23</v>
      </c>
      <c r="AL91" s="11">
        <v>23</v>
      </c>
      <c r="AM91" s="13">
        <v>23</v>
      </c>
      <c r="AN91" s="13">
        <v>0</v>
      </c>
      <c r="AO91" s="7" t="e">
        <v>#N/A</v>
      </c>
    </row>
    <row r="92" spans="1:41">
      <c r="A92" s="8" t="s">
        <v>131</v>
      </c>
      <c r="B92" s="8" t="s">
        <v>273</v>
      </c>
      <c r="C92" s="8" t="s">
        <v>319</v>
      </c>
      <c r="D92" s="8" t="s">
        <v>320</v>
      </c>
      <c r="E92" s="8" t="s">
        <v>135</v>
      </c>
      <c r="F92" s="8">
        <v>1</v>
      </c>
      <c r="G92" s="8">
        <v>1</v>
      </c>
      <c r="H92" s="8">
        <v>1</v>
      </c>
      <c r="I92" s="8" t="s">
        <v>136</v>
      </c>
      <c r="J92" s="8" t="s">
        <v>136</v>
      </c>
      <c r="K92" s="8">
        <v>1</v>
      </c>
      <c r="L92" s="8">
        <v>1</v>
      </c>
      <c r="M92" s="8">
        <v>1</v>
      </c>
      <c r="N92" s="8">
        <v>1</v>
      </c>
      <c r="O92" s="8">
        <v>1</v>
      </c>
      <c r="P92" s="8" t="s">
        <v>136</v>
      </c>
      <c r="Q92" s="8" t="s">
        <v>136</v>
      </c>
      <c r="R92" s="8">
        <v>1</v>
      </c>
      <c r="S92" s="8">
        <v>1</v>
      </c>
      <c r="T92" s="8">
        <v>1</v>
      </c>
      <c r="U92" s="8">
        <v>1</v>
      </c>
      <c r="V92" s="8">
        <v>1</v>
      </c>
      <c r="W92" s="8" t="s">
        <v>136</v>
      </c>
      <c r="X92" s="8" t="s">
        <v>136</v>
      </c>
      <c r="Y92" s="8">
        <v>1</v>
      </c>
      <c r="Z92" s="8">
        <v>1</v>
      </c>
      <c r="AA92" s="8">
        <v>1</v>
      </c>
      <c r="AB92" s="8">
        <v>1</v>
      </c>
      <c r="AC92" s="8">
        <v>1</v>
      </c>
      <c r="AD92" s="8" t="s">
        <v>136</v>
      </c>
      <c r="AE92" s="8" t="s">
        <v>136</v>
      </c>
      <c r="AF92" s="8">
        <v>1</v>
      </c>
      <c r="AG92" s="8">
        <v>1</v>
      </c>
      <c r="AH92" s="8">
        <v>1</v>
      </c>
      <c r="AI92" s="8">
        <v>1</v>
      </c>
      <c r="AJ92" s="8">
        <v>1</v>
      </c>
      <c r="AK92" s="10">
        <v>23</v>
      </c>
      <c r="AL92" s="11">
        <v>23</v>
      </c>
      <c r="AM92" s="13">
        <v>23</v>
      </c>
      <c r="AN92" s="13">
        <v>0</v>
      </c>
      <c r="AO92" s="7" t="e">
        <v>#N/A</v>
      </c>
    </row>
    <row r="93" spans="1:41">
      <c r="A93" s="8" t="s">
        <v>131</v>
      </c>
      <c r="B93" s="8" t="s">
        <v>273</v>
      </c>
      <c r="C93" s="8" t="s">
        <v>321</v>
      </c>
      <c r="D93" s="8" t="s">
        <v>322</v>
      </c>
      <c r="E93" s="8" t="s">
        <v>135</v>
      </c>
      <c r="F93" s="8">
        <v>1</v>
      </c>
      <c r="G93" s="8">
        <v>1</v>
      </c>
      <c r="H93" s="8">
        <v>1</v>
      </c>
      <c r="I93" s="8" t="s">
        <v>136</v>
      </c>
      <c r="J93" s="8" t="s">
        <v>136</v>
      </c>
      <c r="K93" s="8">
        <v>1</v>
      </c>
      <c r="L93" s="8">
        <v>1</v>
      </c>
      <c r="M93" s="8">
        <v>1</v>
      </c>
      <c r="N93" s="8">
        <v>1</v>
      </c>
      <c r="O93" s="8">
        <v>1</v>
      </c>
      <c r="P93" s="8" t="s">
        <v>136</v>
      </c>
      <c r="Q93" s="8" t="s">
        <v>136</v>
      </c>
      <c r="R93" s="8">
        <v>1</v>
      </c>
      <c r="S93" s="8">
        <v>1</v>
      </c>
      <c r="T93" s="8">
        <v>1</v>
      </c>
      <c r="U93" s="8">
        <v>1</v>
      </c>
      <c r="V93" s="8">
        <v>1</v>
      </c>
      <c r="W93" s="8" t="s">
        <v>136</v>
      </c>
      <c r="X93" s="8" t="s">
        <v>136</v>
      </c>
      <c r="Y93" s="8">
        <v>1</v>
      </c>
      <c r="Z93" s="8">
        <v>1</v>
      </c>
      <c r="AA93" s="8">
        <v>1</v>
      </c>
      <c r="AB93" s="8">
        <v>1</v>
      </c>
      <c r="AC93" s="8">
        <v>1</v>
      </c>
      <c r="AD93" s="8" t="s">
        <v>136</v>
      </c>
      <c r="AE93" s="8" t="s">
        <v>136</v>
      </c>
      <c r="AF93" s="8">
        <v>1</v>
      </c>
      <c r="AG93" s="8">
        <v>1</v>
      </c>
      <c r="AH93" s="8">
        <v>1</v>
      </c>
      <c r="AI93" s="8">
        <v>1</v>
      </c>
      <c r="AJ93" s="8">
        <v>1</v>
      </c>
      <c r="AK93" s="10">
        <v>23</v>
      </c>
      <c r="AL93" s="11">
        <v>23</v>
      </c>
      <c r="AM93" s="13">
        <v>23</v>
      </c>
      <c r="AN93" s="13">
        <v>0</v>
      </c>
      <c r="AO93" s="7" t="e">
        <v>#N/A</v>
      </c>
    </row>
    <row r="94" spans="1:41">
      <c r="A94" s="8" t="s">
        <v>131</v>
      </c>
      <c r="B94" s="8" t="s">
        <v>273</v>
      </c>
      <c r="C94" s="8" t="s">
        <v>323</v>
      </c>
      <c r="D94" s="8" t="s">
        <v>324</v>
      </c>
      <c r="E94" s="8" t="s">
        <v>135</v>
      </c>
      <c r="F94" s="8">
        <v>0</v>
      </c>
      <c r="G94" s="8">
        <v>0</v>
      </c>
      <c r="H94" s="8">
        <v>0</v>
      </c>
      <c r="I94" s="8" t="s">
        <v>136</v>
      </c>
      <c r="J94" s="8" t="s">
        <v>136</v>
      </c>
      <c r="K94" s="8">
        <v>0</v>
      </c>
      <c r="L94" s="8">
        <v>0</v>
      </c>
      <c r="M94" s="8">
        <v>0</v>
      </c>
      <c r="N94" s="8">
        <v>0</v>
      </c>
      <c r="O94" s="8">
        <v>0</v>
      </c>
      <c r="P94" s="8" t="s">
        <v>136</v>
      </c>
      <c r="Q94" s="8" t="s">
        <v>136</v>
      </c>
      <c r="R94" s="8">
        <v>0</v>
      </c>
      <c r="S94" s="8">
        <v>0</v>
      </c>
      <c r="T94" s="8">
        <v>0</v>
      </c>
      <c r="U94" s="8">
        <v>0</v>
      </c>
      <c r="V94" s="8">
        <v>0</v>
      </c>
      <c r="W94" s="8" t="s">
        <v>136</v>
      </c>
      <c r="X94" s="8" t="s">
        <v>136</v>
      </c>
      <c r="Y94" s="8">
        <v>0</v>
      </c>
      <c r="Z94" s="8">
        <v>0</v>
      </c>
      <c r="AA94" s="8">
        <v>0</v>
      </c>
      <c r="AB94" s="8">
        <v>0</v>
      </c>
      <c r="AC94" s="8">
        <v>0</v>
      </c>
      <c r="AD94" s="8" t="s">
        <v>136</v>
      </c>
      <c r="AE94" s="8" t="s">
        <v>136</v>
      </c>
      <c r="AF94" s="8">
        <v>0</v>
      </c>
      <c r="AG94" s="8">
        <v>0</v>
      </c>
      <c r="AH94" s="8">
        <v>0</v>
      </c>
      <c r="AI94" s="8">
        <v>0</v>
      </c>
      <c r="AJ94" s="8">
        <v>0</v>
      </c>
      <c r="AK94" s="10">
        <v>23</v>
      </c>
      <c r="AL94" s="12">
        <v>0</v>
      </c>
      <c r="AM94" s="13">
        <v>0</v>
      </c>
      <c r="AN94" s="13">
        <v>0</v>
      </c>
      <c r="AO94" s="7" t="e">
        <v>#N/A</v>
      </c>
    </row>
    <row r="95" spans="1:41">
      <c r="A95" s="8" t="s">
        <v>131</v>
      </c>
      <c r="B95" s="8" t="s">
        <v>273</v>
      </c>
      <c r="C95" s="8" t="s">
        <v>325</v>
      </c>
      <c r="D95" s="8" t="s">
        <v>326</v>
      </c>
      <c r="E95" s="8" t="s">
        <v>135</v>
      </c>
      <c r="F95" s="8">
        <v>1</v>
      </c>
      <c r="G95" s="8">
        <v>1</v>
      </c>
      <c r="H95" s="8">
        <v>1</v>
      </c>
      <c r="I95" s="8" t="s">
        <v>136</v>
      </c>
      <c r="J95" s="8" t="s">
        <v>136</v>
      </c>
      <c r="K95" s="8">
        <v>1</v>
      </c>
      <c r="L95" s="8">
        <v>1</v>
      </c>
      <c r="M95" s="8">
        <v>1</v>
      </c>
      <c r="N95" s="8">
        <v>1</v>
      </c>
      <c r="O95" s="8">
        <v>1</v>
      </c>
      <c r="P95" s="8" t="s">
        <v>136</v>
      </c>
      <c r="Q95" s="8" t="s">
        <v>136</v>
      </c>
      <c r="R95" s="8">
        <v>1</v>
      </c>
      <c r="S95" s="8">
        <v>1</v>
      </c>
      <c r="T95" s="8">
        <v>1</v>
      </c>
      <c r="U95" s="8">
        <v>1</v>
      </c>
      <c r="V95" s="8">
        <v>1</v>
      </c>
      <c r="W95" s="8" t="s">
        <v>136</v>
      </c>
      <c r="X95" s="8" t="s">
        <v>136</v>
      </c>
      <c r="Y95" s="8">
        <v>1</v>
      </c>
      <c r="Z95" s="8">
        <v>1</v>
      </c>
      <c r="AA95" s="8">
        <v>1</v>
      </c>
      <c r="AB95" s="8">
        <v>1</v>
      </c>
      <c r="AC95" s="8">
        <v>1</v>
      </c>
      <c r="AD95" s="8" t="s">
        <v>136</v>
      </c>
      <c r="AE95" s="8" t="s">
        <v>136</v>
      </c>
      <c r="AF95" s="8">
        <v>1</v>
      </c>
      <c r="AG95" s="8">
        <v>1</v>
      </c>
      <c r="AH95" s="8">
        <v>1</v>
      </c>
      <c r="AI95" s="8">
        <v>1</v>
      </c>
      <c r="AJ95" s="8">
        <v>1</v>
      </c>
      <c r="AK95" s="10">
        <v>23</v>
      </c>
      <c r="AL95" s="11">
        <v>23</v>
      </c>
      <c r="AM95" s="13">
        <v>23</v>
      </c>
      <c r="AN95" s="13">
        <v>0</v>
      </c>
      <c r="AO95" s="7" t="e">
        <v>#N/A</v>
      </c>
    </row>
    <row r="96" spans="1:41">
      <c r="A96" s="8" t="s">
        <v>131</v>
      </c>
      <c r="B96" s="8" t="s">
        <v>273</v>
      </c>
      <c r="C96" s="8" t="s">
        <v>327</v>
      </c>
      <c r="D96" s="8" t="s">
        <v>328</v>
      </c>
      <c r="E96" s="8" t="s">
        <v>135</v>
      </c>
      <c r="F96" s="8">
        <v>1</v>
      </c>
      <c r="G96" s="8">
        <v>1</v>
      </c>
      <c r="H96" s="8">
        <v>1</v>
      </c>
      <c r="I96" s="8" t="s">
        <v>136</v>
      </c>
      <c r="J96" s="8" t="s">
        <v>136</v>
      </c>
      <c r="K96" s="8">
        <v>1</v>
      </c>
      <c r="L96" s="8">
        <v>1</v>
      </c>
      <c r="M96" s="8">
        <v>1</v>
      </c>
      <c r="N96" s="8">
        <v>1</v>
      </c>
      <c r="O96" s="8">
        <v>1</v>
      </c>
      <c r="P96" s="8" t="s">
        <v>136</v>
      </c>
      <c r="Q96" s="8" t="s">
        <v>136</v>
      </c>
      <c r="R96" s="8">
        <v>1</v>
      </c>
      <c r="S96" s="8">
        <v>1</v>
      </c>
      <c r="T96" s="8">
        <v>1</v>
      </c>
      <c r="U96" s="8">
        <v>1</v>
      </c>
      <c r="V96" s="8">
        <v>1</v>
      </c>
      <c r="W96" s="8" t="s">
        <v>136</v>
      </c>
      <c r="X96" s="8" t="s">
        <v>136</v>
      </c>
      <c r="Y96" s="8">
        <v>1</v>
      </c>
      <c r="Z96" s="8">
        <v>1</v>
      </c>
      <c r="AA96" s="8">
        <v>1</v>
      </c>
      <c r="AB96" s="8">
        <v>1</v>
      </c>
      <c r="AC96" s="8">
        <v>1</v>
      </c>
      <c r="AD96" s="8" t="s">
        <v>136</v>
      </c>
      <c r="AE96" s="8" t="s">
        <v>136</v>
      </c>
      <c r="AF96" s="8">
        <v>1</v>
      </c>
      <c r="AG96" s="8">
        <v>1</v>
      </c>
      <c r="AH96" s="8">
        <v>1</v>
      </c>
      <c r="AI96" s="8">
        <v>1</v>
      </c>
      <c r="AJ96" s="8">
        <v>1</v>
      </c>
      <c r="AK96" s="10">
        <v>23</v>
      </c>
      <c r="AL96" s="11">
        <v>23</v>
      </c>
      <c r="AM96" s="13">
        <v>23</v>
      </c>
      <c r="AN96" s="13">
        <v>0</v>
      </c>
      <c r="AO96" s="7" t="e">
        <v>#N/A</v>
      </c>
    </row>
    <row r="97" spans="1:41">
      <c r="A97" s="8" t="s">
        <v>131</v>
      </c>
      <c r="B97" s="8" t="s">
        <v>273</v>
      </c>
      <c r="C97" s="8" t="s">
        <v>329</v>
      </c>
      <c r="D97" s="8" t="s">
        <v>330</v>
      </c>
      <c r="E97" s="8" t="s">
        <v>135</v>
      </c>
      <c r="F97" s="8">
        <v>1</v>
      </c>
      <c r="G97" s="8">
        <v>1</v>
      </c>
      <c r="H97" s="8">
        <v>1</v>
      </c>
      <c r="I97" s="8" t="s">
        <v>136</v>
      </c>
      <c r="J97" s="8" t="s">
        <v>136</v>
      </c>
      <c r="K97" s="8">
        <v>1</v>
      </c>
      <c r="L97" s="8">
        <v>1</v>
      </c>
      <c r="M97" s="8">
        <v>1</v>
      </c>
      <c r="N97" s="8">
        <v>1</v>
      </c>
      <c r="O97" s="8">
        <v>1</v>
      </c>
      <c r="P97" s="8" t="s">
        <v>136</v>
      </c>
      <c r="Q97" s="8" t="s">
        <v>136</v>
      </c>
      <c r="R97" s="8">
        <v>1</v>
      </c>
      <c r="S97" s="8">
        <v>1</v>
      </c>
      <c r="T97" s="8">
        <v>1</v>
      </c>
      <c r="U97" s="8">
        <v>1</v>
      </c>
      <c r="V97" s="8">
        <v>1</v>
      </c>
      <c r="W97" s="8" t="s">
        <v>136</v>
      </c>
      <c r="X97" s="8" t="s">
        <v>136</v>
      </c>
      <c r="Y97" s="8">
        <v>1</v>
      </c>
      <c r="Z97" s="8">
        <v>1</v>
      </c>
      <c r="AA97" s="8">
        <v>1</v>
      </c>
      <c r="AB97" s="8">
        <v>1</v>
      </c>
      <c r="AC97" s="8">
        <v>1</v>
      </c>
      <c r="AD97" s="8" t="s">
        <v>136</v>
      </c>
      <c r="AE97" s="8" t="s">
        <v>136</v>
      </c>
      <c r="AF97" s="8">
        <v>1</v>
      </c>
      <c r="AG97" s="8">
        <v>1</v>
      </c>
      <c r="AH97" s="8">
        <v>1</v>
      </c>
      <c r="AI97" s="8">
        <v>1</v>
      </c>
      <c r="AJ97" s="8">
        <v>1</v>
      </c>
      <c r="AK97" s="10">
        <v>23</v>
      </c>
      <c r="AL97" s="11">
        <v>23</v>
      </c>
      <c r="AM97" s="13">
        <v>23</v>
      </c>
      <c r="AN97" s="13">
        <v>0</v>
      </c>
      <c r="AO97" s="7" t="e">
        <v>#N/A</v>
      </c>
    </row>
    <row r="98" spans="1:41">
      <c r="A98" s="8" t="s">
        <v>131</v>
      </c>
      <c r="B98" s="8" t="s">
        <v>273</v>
      </c>
      <c r="C98" s="8" t="s">
        <v>331</v>
      </c>
      <c r="D98" s="8" t="s">
        <v>332</v>
      </c>
      <c r="E98" s="8" t="s">
        <v>135</v>
      </c>
      <c r="F98" s="8">
        <v>1</v>
      </c>
      <c r="G98" s="8">
        <v>1</v>
      </c>
      <c r="H98" s="8">
        <v>1</v>
      </c>
      <c r="I98" s="8" t="s">
        <v>136</v>
      </c>
      <c r="J98" s="8" t="s">
        <v>136</v>
      </c>
      <c r="K98" s="8">
        <v>1</v>
      </c>
      <c r="L98" s="8">
        <v>1</v>
      </c>
      <c r="M98" s="8">
        <v>1</v>
      </c>
      <c r="N98" s="8">
        <v>1</v>
      </c>
      <c r="O98" s="8">
        <v>1</v>
      </c>
      <c r="P98" s="8" t="s">
        <v>136</v>
      </c>
      <c r="Q98" s="8" t="s">
        <v>136</v>
      </c>
      <c r="R98" s="8">
        <v>1</v>
      </c>
      <c r="S98" s="8">
        <v>1</v>
      </c>
      <c r="T98" s="8">
        <v>1</v>
      </c>
      <c r="U98" s="8">
        <v>1</v>
      </c>
      <c r="V98" s="8">
        <v>1</v>
      </c>
      <c r="W98" s="8" t="s">
        <v>136</v>
      </c>
      <c r="X98" s="8" t="s">
        <v>136</v>
      </c>
      <c r="Y98" s="8">
        <v>1</v>
      </c>
      <c r="Z98" s="8">
        <v>1</v>
      </c>
      <c r="AA98" s="8">
        <v>1</v>
      </c>
      <c r="AB98" s="8">
        <v>1</v>
      </c>
      <c r="AC98" s="8">
        <v>1</v>
      </c>
      <c r="AD98" s="8" t="s">
        <v>136</v>
      </c>
      <c r="AE98" s="8" t="s">
        <v>136</v>
      </c>
      <c r="AF98" s="8">
        <v>1</v>
      </c>
      <c r="AG98" s="8">
        <v>1</v>
      </c>
      <c r="AH98" s="8">
        <v>1</v>
      </c>
      <c r="AI98" s="8">
        <v>1</v>
      </c>
      <c r="AJ98" s="8">
        <v>1</v>
      </c>
      <c r="AK98" s="10">
        <v>23</v>
      </c>
      <c r="AL98" s="11">
        <v>23</v>
      </c>
      <c r="AM98" s="13">
        <v>23</v>
      </c>
      <c r="AN98" s="13">
        <v>0</v>
      </c>
      <c r="AO98" s="7" t="e">
        <v>#N/A</v>
      </c>
    </row>
    <row r="99" spans="1:41">
      <c r="A99" s="8" t="s">
        <v>131</v>
      </c>
      <c r="B99" s="8" t="s">
        <v>273</v>
      </c>
      <c r="C99" s="8" t="s">
        <v>333</v>
      </c>
      <c r="D99" s="8" t="s">
        <v>334</v>
      </c>
      <c r="E99" s="8" t="s">
        <v>135</v>
      </c>
      <c r="F99" s="8">
        <v>1</v>
      </c>
      <c r="G99" s="8">
        <v>1</v>
      </c>
      <c r="H99" s="8">
        <v>1</v>
      </c>
      <c r="I99" s="8" t="s">
        <v>136</v>
      </c>
      <c r="J99" s="8" t="s">
        <v>136</v>
      </c>
      <c r="K99" s="8">
        <v>1</v>
      </c>
      <c r="L99" s="8">
        <v>1</v>
      </c>
      <c r="M99" s="8">
        <v>1</v>
      </c>
      <c r="N99" s="8">
        <v>1</v>
      </c>
      <c r="O99" s="8">
        <v>1</v>
      </c>
      <c r="P99" s="8" t="s">
        <v>136</v>
      </c>
      <c r="Q99" s="8" t="s">
        <v>136</v>
      </c>
      <c r="R99" s="8">
        <v>1</v>
      </c>
      <c r="S99" s="8">
        <v>1</v>
      </c>
      <c r="T99" s="8">
        <v>1</v>
      </c>
      <c r="U99" s="8">
        <v>1</v>
      </c>
      <c r="V99" s="8">
        <v>1</v>
      </c>
      <c r="W99" s="8" t="s">
        <v>136</v>
      </c>
      <c r="X99" s="8" t="s">
        <v>136</v>
      </c>
      <c r="Y99" s="8">
        <v>1</v>
      </c>
      <c r="Z99" s="8">
        <v>1</v>
      </c>
      <c r="AA99" s="8">
        <v>1</v>
      </c>
      <c r="AB99" s="8">
        <v>1</v>
      </c>
      <c r="AC99" s="8">
        <v>1</v>
      </c>
      <c r="AD99" s="8" t="s">
        <v>136</v>
      </c>
      <c r="AE99" s="8" t="s">
        <v>136</v>
      </c>
      <c r="AF99" s="8">
        <v>1</v>
      </c>
      <c r="AG99" s="8">
        <v>1</v>
      </c>
      <c r="AH99" s="8">
        <v>1</v>
      </c>
      <c r="AI99" s="8">
        <v>1</v>
      </c>
      <c r="AJ99" s="8">
        <v>1</v>
      </c>
      <c r="AK99" s="10">
        <v>23</v>
      </c>
      <c r="AL99" s="11">
        <v>23</v>
      </c>
      <c r="AM99" s="13">
        <v>23</v>
      </c>
      <c r="AN99" s="13">
        <v>0</v>
      </c>
      <c r="AO99" s="7" t="e">
        <v>#N/A</v>
      </c>
    </row>
    <row r="100" spans="1:41">
      <c r="A100" s="8" t="s">
        <v>131</v>
      </c>
      <c r="B100" s="8" t="s">
        <v>273</v>
      </c>
      <c r="C100" s="8" t="s">
        <v>335</v>
      </c>
      <c r="D100" s="8" t="s">
        <v>336</v>
      </c>
      <c r="E100" s="8" t="s">
        <v>135</v>
      </c>
      <c r="F100" s="8">
        <v>1</v>
      </c>
      <c r="G100" s="8">
        <v>1</v>
      </c>
      <c r="H100" s="8">
        <v>1</v>
      </c>
      <c r="I100" s="8" t="s">
        <v>136</v>
      </c>
      <c r="J100" s="8" t="s">
        <v>136</v>
      </c>
      <c r="K100" s="8">
        <v>1</v>
      </c>
      <c r="L100" s="8">
        <v>1</v>
      </c>
      <c r="M100" s="8">
        <v>1</v>
      </c>
      <c r="N100" s="8">
        <v>1</v>
      </c>
      <c r="O100" s="8">
        <v>1</v>
      </c>
      <c r="P100" s="8" t="s">
        <v>136</v>
      </c>
      <c r="Q100" s="8" t="s">
        <v>136</v>
      </c>
      <c r="R100" s="8">
        <v>1</v>
      </c>
      <c r="S100" s="8">
        <v>1</v>
      </c>
      <c r="T100" s="8">
        <v>1</v>
      </c>
      <c r="U100" s="8">
        <v>1</v>
      </c>
      <c r="V100" s="8">
        <v>1</v>
      </c>
      <c r="W100" s="8" t="s">
        <v>136</v>
      </c>
      <c r="X100" s="8" t="s">
        <v>136</v>
      </c>
      <c r="Y100" s="8">
        <v>1</v>
      </c>
      <c r="Z100" s="8">
        <v>1</v>
      </c>
      <c r="AA100" s="8">
        <v>1</v>
      </c>
      <c r="AB100" s="8">
        <v>1</v>
      </c>
      <c r="AC100" s="8">
        <v>1</v>
      </c>
      <c r="AD100" s="8" t="s">
        <v>136</v>
      </c>
      <c r="AE100" s="8" t="s">
        <v>136</v>
      </c>
      <c r="AF100" s="8">
        <v>1</v>
      </c>
      <c r="AG100" s="8">
        <v>1</v>
      </c>
      <c r="AH100" s="8">
        <v>1</v>
      </c>
      <c r="AI100" s="8">
        <v>1</v>
      </c>
      <c r="AJ100" s="8">
        <v>1</v>
      </c>
      <c r="AK100" s="10">
        <v>23</v>
      </c>
      <c r="AL100" s="11">
        <v>23</v>
      </c>
      <c r="AM100" s="13">
        <v>23</v>
      </c>
      <c r="AN100" s="13">
        <v>0</v>
      </c>
      <c r="AO100" s="7" t="e">
        <v>#N/A</v>
      </c>
    </row>
    <row r="101" spans="1:41">
      <c r="A101" s="8" t="s">
        <v>131</v>
      </c>
      <c r="B101" s="8" t="s">
        <v>273</v>
      </c>
      <c r="C101" s="8" t="s">
        <v>337</v>
      </c>
      <c r="D101" s="8" t="s">
        <v>338</v>
      </c>
      <c r="E101" s="8" t="s">
        <v>135</v>
      </c>
      <c r="F101" s="8">
        <v>1</v>
      </c>
      <c r="G101" s="8">
        <v>1</v>
      </c>
      <c r="H101" s="8">
        <v>1</v>
      </c>
      <c r="I101" s="8" t="s">
        <v>136</v>
      </c>
      <c r="J101" s="8" t="s">
        <v>136</v>
      </c>
      <c r="K101" s="8">
        <v>1</v>
      </c>
      <c r="L101" s="8">
        <v>1</v>
      </c>
      <c r="M101" s="8">
        <v>1</v>
      </c>
      <c r="N101" s="8">
        <v>1</v>
      </c>
      <c r="O101" s="8">
        <v>1</v>
      </c>
      <c r="P101" s="8" t="s">
        <v>136</v>
      </c>
      <c r="Q101" s="8" t="s">
        <v>136</v>
      </c>
      <c r="R101" s="8">
        <v>1</v>
      </c>
      <c r="S101" s="8">
        <v>1</v>
      </c>
      <c r="T101" s="8">
        <v>1</v>
      </c>
      <c r="U101" s="8">
        <v>1</v>
      </c>
      <c r="V101" s="8">
        <v>1</v>
      </c>
      <c r="W101" s="8" t="s">
        <v>136</v>
      </c>
      <c r="X101" s="8" t="s">
        <v>136</v>
      </c>
      <c r="Y101" s="8">
        <v>1</v>
      </c>
      <c r="Z101" s="8">
        <v>1</v>
      </c>
      <c r="AA101" s="8">
        <v>1</v>
      </c>
      <c r="AB101" s="8">
        <v>1</v>
      </c>
      <c r="AC101" s="8">
        <v>1</v>
      </c>
      <c r="AD101" s="8" t="s">
        <v>136</v>
      </c>
      <c r="AE101" s="8" t="s">
        <v>136</v>
      </c>
      <c r="AF101" s="8">
        <v>1</v>
      </c>
      <c r="AG101" s="8">
        <v>1</v>
      </c>
      <c r="AH101" s="8">
        <v>1</v>
      </c>
      <c r="AI101" s="8">
        <v>1</v>
      </c>
      <c r="AJ101" s="8">
        <v>1</v>
      </c>
      <c r="AK101" s="10">
        <v>23</v>
      </c>
      <c r="AL101" s="11">
        <v>23</v>
      </c>
      <c r="AM101" s="13">
        <v>23</v>
      </c>
      <c r="AN101" s="13">
        <v>0</v>
      </c>
      <c r="AO101" s="7" t="e">
        <v>#N/A</v>
      </c>
    </row>
    <row r="102" spans="1:41">
      <c r="A102" s="8" t="s">
        <v>131</v>
      </c>
      <c r="B102" s="8" t="s">
        <v>273</v>
      </c>
      <c r="C102" s="8" t="s">
        <v>339</v>
      </c>
      <c r="D102" s="8" t="s">
        <v>340</v>
      </c>
      <c r="E102" s="8" t="s">
        <v>135</v>
      </c>
      <c r="F102" s="8">
        <v>1</v>
      </c>
      <c r="G102" s="8">
        <v>1</v>
      </c>
      <c r="H102" s="8">
        <v>1</v>
      </c>
      <c r="I102" s="8" t="s">
        <v>136</v>
      </c>
      <c r="J102" s="8" t="s">
        <v>136</v>
      </c>
      <c r="K102" s="8">
        <v>1</v>
      </c>
      <c r="L102" s="8">
        <v>1</v>
      </c>
      <c r="M102" s="8">
        <v>1</v>
      </c>
      <c r="N102" s="8">
        <v>1</v>
      </c>
      <c r="O102" s="8">
        <v>1</v>
      </c>
      <c r="P102" s="8" t="s">
        <v>136</v>
      </c>
      <c r="Q102" s="8" t="s">
        <v>136</v>
      </c>
      <c r="R102" s="8">
        <v>1</v>
      </c>
      <c r="S102" s="8">
        <v>1</v>
      </c>
      <c r="T102" s="8">
        <v>1</v>
      </c>
      <c r="U102" s="8">
        <v>1</v>
      </c>
      <c r="V102" s="8">
        <v>1</v>
      </c>
      <c r="W102" s="8" t="s">
        <v>136</v>
      </c>
      <c r="X102" s="8" t="s">
        <v>136</v>
      </c>
      <c r="Y102" s="8">
        <v>1</v>
      </c>
      <c r="Z102" s="8">
        <v>1</v>
      </c>
      <c r="AA102" s="8">
        <v>1</v>
      </c>
      <c r="AB102" s="8">
        <v>1</v>
      </c>
      <c r="AC102" s="8">
        <v>1</v>
      </c>
      <c r="AD102" s="8" t="s">
        <v>136</v>
      </c>
      <c r="AE102" s="8" t="s">
        <v>136</v>
      </c>
      <c r="AF102" s="8">
        <v>1</v>
      </c>
      <c r="AG102" s="8">
        <v>1</v>
      </c>
      <c r="AH102" s="8">
        <v>1</v>
      </c>
      <c r="AI102" s="8">
        <v>1</v>
      </c>
      <c r="AJ102" s="8">
        <v>1</v>
      </c>
      <c r="AK102" s="10">
        <v>23</v>
      </c>
      <c r="AL102" s="11">
        <v>23</v>
      </c>
      <c r="AM102" s="13">
        <v>23</v>
      </c>
      <c r="AN102" s="13">
        <v>0</v>
      </c>
      <c r="AO102" s="7" t="e">
        <v>#N/A</v>
      </c>
    </row>
    <row r="103" spans="1:41">
      <c r="A103" s="8" t="s">
        <v>131</v>
      </c>
      <c r="B103" s="8" t="s">
        <v>273</v>
      </c>
      <c r="C103" s="8" t="s">
        <v>341</v>
      </c>
      <c r="D103" s="8" t="s">
        <v>342</v>
      </c>
      <c r="E103" s="8" t="s">
        <v>135</v>
      </c>
      <c r="F103" s="8">
        <v>1</v>
      </c>
      <c r="G103" s="8">
        <v>1</v>
      </c>
      <c r="H103" s="8">
        <v>1</v>
      </c>
      <c r="I103" s="8" t="s">
        <v>136</v>
      </c>
      <c r="J103" s="8" t="s">
        <v>136</v>
      </c>
      <c r="K103" s="8">
        <v>1</v>
      </c>
      <c r="L103" s="8">
        <v>1</v>
      </c>
      <c r="M103" s="8">
        <v>1</v>
      </c>
      <c r="N103" s="8">
        <v>1</v>
      </c>
      <c r="O103" s="8">
        <v>1</v>
      </c>
      <c r="P103" s="8" t="s">
        <v>136</v>
      </c>
      <c r="Q103" s="8" t="s">
        <v>136</v>
      </c>
      <c r="R103" s="8">
        <v>1</v>
      </c>
      <c r="S103" s="8">
        <v>1</v>
      </c>
      <c r="T103" s="8">
        <v>1</v>
      </c>
      <c r="U103" s="8">
        <v>1</v>
      </c>
      <c r="V103" s="8">
        <v>1</v>
      </c>
      <c r="W103" s="8" t="s">
        <v>136</v>
      </c>
      <c r="X103" s="8" t="s">
        <v>136</v>
      </c>
      <c r="Y103" s="8">
        <v>1</v>
      </c>
      <c r="Z103" s="8">
        <v>1</v>
      </c>
      <c r="AA103" s="8">
        <v>1</v>
      </c>
      <c r="AB103" s="8">
        <v>1</v>
      </c>
      <c r="AC103" s="8">
        <v>1</v>
      </c>
      <c r="AD103" s="8" t="s">
        <v>136</v>
      </c>
      <c r="AE103" s="8" t="s">
        <v>136</v>
      </c>
      <c r="AF103" s="8">
        <v>1</v>
      </c>
      <c r="AG103" s="8">
        <v>1</v>
      </c>
      <c r="AH103" s="8">
        <v>1</v>
      </c>
      <c r="AI103" s="8">
        <v>1</v>
      </c>
      <c r="AJ103" s="8">
        <v>1</v>
      </c>
      <c r="AK103" s="10">
        <v>23</v>
      </c>
      <c r="AL103" s="11">
        <v>23</v>
      </c>
      <c r="AM103" s="13">
        <v>23</v>
      </c>
      <c r="AN103" s="13">
        <v>0</v>
      </c>
      <c r="AO103" s="7" t="e">
        <v>#N/A</v>
      </c>
    </row>
    <row r="104" spans="1:41">
      <c r="A104" s="8" t="s">
        <v>131</v>
      </c>
      <c r="B104" s="8" t="s">
        <v>273</v>
      </c>
      <c r="C104" s="8" t="s">
        <v>343</v>
      </c>
      <c r="D104" s="8" t="s">
        <v>344</v>
      </c>
      <c r="E104" s="8" t="s">
        <v>135</v>
      </c>
      <c r="F104" s="8">
        <v>1</v>
      </c>
      <c r="G104" s="8">
        <v>1</v>
      </c>
      <c r="H104" s="8">
        <v>1</v>
      </c>
      <c r="I104" s="8" t="s">
        <v>136</v>
      </c>
      <c r="J104" s="8" t="s">
        <v>136</v>
      </c>
      <c r="K104" s="8">
        <v>1</v>
      </c>
      <c r="L104" s="8">
        <v>1</v>
      </c>
      <c r="M104" s="8">
        <v>1</v>
      </c>
      <c r="N104" s="8">
        <v>1</v>
      </c>
      <c r="O104" s="8">
        <v>1</v>
      </c>
      <c r="P104" s="8" t="s">
        <v>136</v>
      </c>
      <c r="Q104" s="8" t="s">
        <v>136</v>
      </c>
      <c r="R104" s="8">
        <v>1</v>
      </c>
      <c r="S104" s="8">
        <v>1</v>
      </c>
      <c r="T104" s="8">
        <v>1</v>
      </c>
      <c r="U104" s="8">
        <v>1</v>
      </c>
      <c r="V104" s="8">
        <v>1</v>
      </c>
      <c r="W104" s="8" t="s">
        <v>136</v>
      </c>
      <c r="X104" s="8" t="s">
        <v>136</v>
      </c>
      <c r="Y104" s="8">
        <v>1</v>
      </c>
      <c r="Z104" s="8">
        <v>1</v>
      </c>
      <c r="AA104" s="8">
        <v>1</v>
      </c>
      <c r="AB104" s="8">
        <v>1</v>
      </c>
      <c r="AC104" s="8">
        <v>1</v>
      </c>
      <c r="AD104" s="8" t="s">
        <v>136</v>
      </c>
      <c r="AE104" s="8" t="s">
        <v>136</v>
      </c>
      <c r="AF104" s="8">
        <v>1</v>
      </c>
      <c r="AG104" s="8">
        <v>1</v>
      </c>
      <c r="AH104" s="8">
        <v>1</v>
      </c>
      <c r="AI104" s="8">
        <v>1</v>
      </c>
      <c r="AJ104" s="8">
        <v>1</v>
      </c>
      <c r="AK104" s="10">
        <v>23</v>
      </c>
      <c r="AL104" s="11">
        <v>23</v>
      </c>
      <c r="AM104" s="13">
        <v>23</v>
      </c>
      <c r="AN104" s="13">
        <v>0</v>
      </c>
      <c r="AO104" s="7" t="e">
        <v>#N/A</v>
      </c>
    </row>
    <row r="105" spans="1:41">
      <c r="A105" s="8" t="s">
        <v>131</v>
      </c>
      <c r="B105" s="8" t="s">
        <v>273</v>
      </c>
      <c r="C105" s="8" t="s">
        <v>345</v>
      </c>
      <c r="D105" s="8" t="s">
        <v>346</v>
      </c>
      <c r="E105" s="8" t="s">
        <v>135</v>
      </c>
      <c r="F105" s="8">
        <v>1</v>
      </c>
      <c r="G105" s="8">
        <v>1</v>
      </c>
      <c r="H105" s="8">
        <v>1</v>
      </c>
      <c r="I105" s="8" t="s">
        <v>136</v>
      </c>
      <c r="J105" s="8" t="s">
        <v>136</v>
      </c>
      <c r="K105" s="8">
        <v>1</v>
      </c>
      <c r="L105" s="8">
        <v>1</v>
      </c>
      <c r="M105" s="8">
        <v>1</v>
      </c>
      <c r="N105" s="8">
        <v>1</v>
      </c>
      <c r="O105" s="8">
        <v>1</v>
      </c>
      <c r="P105" s="8" t="s">
        <v>136</v>
      </c>
      <c r="Q105" s="8" t="s">
        <v>136</v>
      </c>
      <c r="R105" s="8">
        <v>1</v>
      </c>
      <c r="S105" s="8">
        <v>1</v>
      </c>
      <c r="T105" s="8">
        <v>1</v>
      </c>
      <c r="U105" s="8">
        <v>1</v>
      </c>
      <c r="V105" s="8">
        <v>1</v>
      </c>
      <c r="W105" s="8" t="s">
        <v>136</v>
      </c>
      <c r="X105" s="8" t="s">
        <v>136</v>
      </c>
      <c r="Y105" s="8">
        <v>1</v>
      </c>
      <c r="Z105" s="8">
        <v>1</v>
      </c>
      <c r="AA105" s="8">
        <v>1</v>
      </c>
      <c r="AB105" s="8">
        <v>1</v>
      </c>
      <c r="AC105" s="8">
        <v>1</v>
      </c>
      <c r="AD105" s="8" t="s">
        <v>136</v>
      </c>
      <c r="AE105" s="8" t="s">
        <v>136</v>
      </c>
      <c r="AF105" s="8">
        <v>1</v>
      </c>
      <c r="AG105" s="8">
        <v>1</v>
      </c>
      <c r="AH105" s="8">
        <v>1</v>
      </c>
      <c r="AI105" s="8">
        <v>1</v>
      </c>
      <c r="AJ105" s="8">
        <v>1</v>
      </c>
      <c r="AK105" s="10">
        <v>23</v>
      </c>
      <c r="AL105" s="11">
        <v>23</v>
      </c>
      <c r="AM105" s="13">
        <v>23</v>
      </c>
      <c r="AN105" s="13">
        <v>0</v>
      </c>
      <c r="AO105" s="7" t="e">
        <v>#N/A</v>
      </c>
    </row>
    <row r="106" spans="1:41">
      <c r="A106" s="8" t="s">
        <v>131</v>
      </c>
      <c r="B106" s="8" t="s">
        <v>273</v>
      </c>
      <c r="C106" s="8" t="s">
        <v>347</v>
      </c>
      <c r="D106" s="8" t="s">
        <v>348</v>
      </c>
      <c r="E106" s="8" t="s">
        <v>135</v>
      </c>
      <c r="F106" s="8">
        <v>1</v>
      </c>
      <c r="G106" s="8">
        <v>1</v>
      </c>
      <c r="H106" s="8">
        <v>1</v>
      </c>
      <c r="I106" s="8" t="s">
        <v>136</v>
      </c>
      <c r="J106" s="8" t="s">
        <v>136</v>
      </c>
      <c r="K106" s="8">
        <v>1</v>
      </c>
      <c r="L106" s="8">
        <v>1</v>
      </c>
      <c r="M106" s="8">
        <v>1</v>
      </c>
      <c r="N106" s="8">
        <v>1</v>
      </c>
      <c r="O106" s="8">
        <v>1</v>
      </c>
      <c r="P106" s="8" t="s">
        <v>136</v>
      </c>
      <c r="Q106" s="8" t="s">
        <v>136</v>
      </c>
      <c r="R106" s="8">
        <v>1</v>
      </c>
      <c r="S106" s="8">
        <v>1</v>
      </c>
      <c r="T106" s="8">
        <v>1</v>
      </c>
      <c r="U106" s="8">
        <v>1</v>
      </c>
      <c r="V106" s="8">
        <v>1</v>
      </c>
      <c r="W106" s="8" t="s">
        <v>136</v>
      </c>
      <c r="X106" s="8" t="s">
        <v>136</v>
      </c>
      <c r="Y106" s="8">
        <v>1</v>
      </c>
      <c r="Z106" s="8">
        <v>1</v>
      </c>
      <c r="AA106" s="8">
        <v>1</v>
      </c>
      <c r="AB106" s="8">
        <v>1</v>
      </c>
      <c r="AC106" s="8">
        <v>1</v>
      </c>
      <c r="AD106" s="8" t="s">
        <v>136</v>
      </c>
      <c r="AE106" s="8" t="s">
        <v>136</v>
      </c>
      <c r="AF106" s="8">
        <v>1</v>
      </c>
      <c r="AG106" s="8">
        <v>1</v>
      </c>
      <c r="AH106" s="8">
        <v>1</v>
      </c>
      <c r="AI106" s="8">
        <v>1</v>
      </c>
      <c r="AJ106" s="8">
        <v>1</v>
      </c>
      <c r="AK106" s="10">
        <v>23</v>
      </c>
      <c r="AL106" s="11">
        <v>23</v>
      </c>
      <c r="AM106" s="13">
        <v>23</v>
      </c>
      <c r="AN106" s="13">
        <v>0</v>
      </c>
      <c r="AO106" s="7" t="e">
        <v>#N/A</v>
      </c>
    </row>
    <row r="107" spans="1:41">
      <c r="A107" s="8" t="s">
        <v>131</v>
      </c>
      <c r="B107" s="8" t="s">
        <v>273</v>
      </c>
      <c r="C107" s="8" t="s">
        <v>349</v>
      </c>
      <c r="D107" s="8" t="s">
        <v>350</v>
      </c>
      <c r="E107" s="8" t="s">
        <v>135</v>
      </c>
      <c r="F107" s="8">
        <v>1</v>
      </c>
      <c r="G107" s="8">
        <v>1</v>
      </c>
      <c r="H107" s="8">
        <v>1</v>
      </c>
      <c r="I107" s="8" t="s">
        <v>136</v>
      </c>
      <c r="J107" s="8" t="s">
        <v>136</v>
      </c>
      <c r="K107" s="8">
        <v>1</v>
      </c>
      <c r="L107" s="8">
        <v>1</v>
      </c>
      <c r="M107" s="8">
        <v>1</v>
      </c>
      <c r="N107" s="8">
        <v>1</v>
      </c>
      <c r="O107" s="8">
        <v>1</v>
      </c>
      <c r="P107" s="8" t="s">
        <v>136</v>
      </c>
      <c r="Q107" s="8" t="s">
        <v>136</v>
      </c>
      <c r="R107" s="8">
        <v>1</v>
      </c>
      <c r="S107" s="8">
        <v>1</v>
      </c>
      <c r="T107" s="8">
        <v>1</v>
      </c>
      <c r="U107" s="8">
        <v>1</v>
      </c>
      <c r="V107" s="8">
        <v>1</v>
      </c>
      <c r="W107" s="8" t="s">
        <v>136</v>
      </c>
      <c r="X107" s="8" t="s">
        <v>136</v>
      </c>
      <c r="Y107" s="8">
        <v>1</v>
      </c>
      <c r="Z107" s="8">
        <v>1</v>
      </c>
      <c r="AA107" s="8">
        <v>1</v>
      </c>
      <c r="AB107" s="8">
        <v>1</v>
      </c>
      <c r="AC107" s="8">
        <v>1</v>
      </c>
      <c r="AD107" s="8" t="s">
        <v>136</v>
      </c>
      <c r="AE107" s="8" t="s">
        <v>136</v>
      </c>
      <c r="AF107" s="8">
        <v>1</v>
      </c>
      <c r="AG107" s="8">
        <v>1</v>
      </c>
      <c r="AH107" s="8">
        <v>1</v>
      </c>
      <c r="AI107" s="8">
        <v>1</v>
      </c>
      <c r="AJ107" s="8">
        <v>1</v>
      </c>
      <c r="AK107" s="10">
        <v>23</v>
      </c>
      <c r="AL107" s="11">
        <v>23</v>
      </c>
      <c r="AM107" s="13">
        <v>23</v>
      </c>
      <c r="AN107" s="13">
        <v>0</v>
      </c>
      <c r="AO107" s="7" t="e">
        <v>#N/A</v>
      </c>
    </row>
    <row r="108" spans="1:41">
      <c r="A108" s="8" t="s">
        <v>131</v>
      </c>
      <c r="B108" s="8" t="s">
        <v>273</v>
      </c>
      <c r="C108" s="8" t="s">
        <v>351</v>
      </c>
      <c r="D108" s="8" t="s">
        <v>352</v>
      </c>
      <c r="E108" s="8" t="s">
        <v>135</v>
      </c>
      <c r="F108" s="8">
        <v>1</v>
      </c>
      <c r="G108" s="8">
        <v>1</v>
      </c>
      <c r="H108" s="8">
        <v>1</v>
      </c>
      <c r="I108" s="8" t="s">
        <v>136</v>
      </c>
      <c r="J108" s="8" t="s">
        <v>136</v>
      </c>
      <c r="K108" s="8">
        <v>1</v>
      </c>
      <c r="L108" s="8">
        <v>1</v>
      </c>
      <c r="M108" s="8">
        <v>1</v>
      </c>
      <c r="N108" s="8">
        <v>1</v>
      </c>
      <c r="O108" s="8">
        <v>1</v>
      </c>
      <c r="P108" s="8" t="s">
        <v>136</v>
      </c>
      <c r="Q108" s="8" t="s">
        <v>136</v>
      </c>
      <c r="R108" s="8">
        <v>1</v>
      </c>
      <c r="S108" s="8">
        <v>1</v>
      </c>
      <c r="T108" s="8">
        <v>1</v>
      </c>
      <c r="U108" s="8">
        <v>1</v>
      </c>
      <c r="V108" s="8">
        <v>1</v>
      </c>
      <c r="W108" s="8" t="s">
        <v>136</v>
      </c>
      <c r="X108" s="8" t="s">
        <v>136</v>
      </c>
      <c r="Y108" s="8">
        <v>1</v>
      </c>
      <c r="Z108" s="8">
        <v>1</v>
      </c>
      <c r="AA108" s="8">
        <v>1</v>
      </c>
      <c r="AB108" s="8">
        <v>1</v>
      </c>
      <c r="AC108" s="8">
        <v>1</v>
      </c>
      <c r="AD108" s="8" t="s">
        <v>136</v>
      </c>
      <c r="AE108" s="8" t="s">
        <v>136</v>
      </c>
      <c r="AF108" s="8">
        <v>1</v>
      </c>
      <c r="AG108" s="8">
        <v>1</v>
      </c>
      <c r="AH108" s="8">
        <v>1</v>
      </c>
      <c r="AI108" s="8">
        <v>1</v>
      </c>
      <c r="AJ108" s="8">
        <v>1</v>
      </c>
      <c r="AK108" s="10">
        <v>23</v>
      </c>
      <c r="AL108" s="11">
        <v>23</v>
      </c>
      <c r="AM108" s="13">
        <v>23</v>
      </c>
      <c r="AN108" s="13">
        <v>0</v>
      </c>
      <c r="AO108" s="7" t="e">
        <v>#N/A</v>
      </c>
    </row>
    <row r="109" spans="1:41">
      <c r="A109" s="8" t="s">
        <v>131</v>
      </c>
      <c r="B109" s="8" t="s">
        <v>273</v>
      </c>
      <c r="C109" s="8" t="s">
        <v>353</v>
      </c>
      <c r="D109" s="8" t="s">
        <v>354</v>
      </c>
      <c r="E109" s="8" t="s">
        <v>135</v>
      </c>
      <c r="F109" s="8">
        <v>1</v>
      </c>
      <c r="G109" s="8">
        <v>1</v>
      </c>
      <c r="H109" s="8">
        <v>1</v>
      </c>
      <c r="I109" s="8" t="s">
        <v>136</v>
      </c>
      <c r="J109" s="8" t="s">
        <v>136</v>
      </c>
      <c r="K109" s="8">
        <v>1</v>
      </c>
      <c r="L109" s="8">
        <v>1</v>
      </c>
      <c r="M109" s="8">
        <v>1</v>
      </c>
      <c r="N109" s="8">
        <v>1</v>
      </c>
      <c r="O109" s="8">
        <v>1</v>
      </c>
      <c r="P109" s="8" t="s">
        <v>136</v>
      </c>
      <c r="Q109" s="8" t="s">
        <v>136</v>
      </c>
      <c r="R109" s="8">
        <v>1</v>
      </c>
      <c r="S109" s="8">
        <v>1</v>
      </c>
      <c r="T109" s="8">
        <v>1</v>
      </c>
      <c r="U109" s="8">
        <v>1</v>
      </c>
      <c r="V109" s="8">
        <v>1</v>
      </c>
      <c r="W109" s="8" t="s">
        <v>136</v>
      </c>
      <c r="X109" s="8" t="s">
        <v>136</v>
      </c>
      <c r="Y109" s="8">
        <v>1</v>
      </c>
      <c r="Z109" s="8">
        <v>1</v>
      </c>
      <c r="AA109" s="8">
        <v>1</v>
      </c>
      <c r="AB109" s="8">
        <v>1</v>
      </c>
      <c r="AC109" s="8">
        <v>1</v>
      </c>
      <c r="AD109" s="8" t="s">
        <v>136</v>
      </c>
      <c r="AE109" s="8" t="s">
        <v>136</v>
      </c>
      <c r="AF109" s="8">
        <v>1</v>
      </c>
      <c r="AG109" s="8">
        <v>1</v>
      </c>
      <c r="AH109" s="8">
        <v>1</v>
      </c>
      <c r="AI109" s="8">
        <v>1</v>
      </c>
      <c r="AJ109" s="8">
        <v>1</v>
      </c>
      <c r="AK109" s="10">
        <v>23</v>
      </c>
      <c r="AL109" s="11">
        <v>23</v>
      </c>
      <c r="AM109" s="13">
        <v>23</v>
      </c>
      <c r="AN109" s="13">
        <v>0</v>
      </c>
      <c r="AO109" s="7" t="e">
        <v>#N/A</v>
      </c>
    </row>
    <row r="110" spans="1:41">
      <c r="A110" s="8" t="s">
        <v>131</v>
      </c>
      <c r="B110" s="8" t="s">
        <v>273</v>
      </c>
      <c r="C110" s="8" t="s">
        <v>355</v>
      </c>
      <c r="D110" s="8" t="s">
        <v>356</v>
      </c>
      <c r="E110" s="8" t="s">
        <v>135</v>
      </c>
      <c r="F110" s="8">
        <v>1</v>
      </c>
      <c r="G110" s="8">
        <v>1</v>
      </c>
      <c r="H110" s="8">
        <v>1</v>
      </c>
      <c r="I110" s="8" t="s">
        <v>136</v>
      </c>
      <c r="J110" s="8" t="s">
        <v>136</v>
      </c>
      <c r="K110" s="8">
        <v>1</v>
      </c>
      <c r="L110" s="8">
        <v>1</v>
      </c>
      <c r="M110" s="8">
        <v>1</v>
      </c>
      <c r="N110" s="8">
        <v>1</v>
      </c>
      <c r="O110" s="8">
        <v>1</v>
      </c>
      <c r="P110" s="8" t="s">
        <v>136</v>
      </c>
      <c r="Q110" s="8" t="s">
        <v>136</v>
      </c>
      <c r="R110" s="8">
        <v>1</v>
      </c>
      <c r="S110" s="8">
        <v>1</v>
      </c>
      <c r="T110" s="8">
        <v>1</v>
      </c>
      <c r="U110" s="8">
        <v>1</v>
      </c>
      <c r="V110" s="8">
        <v>1</v>
      </c>
      <c r="W110" s="8" t="s">
        <v>136</v>
      </c>
      <c r="X110" s="8" t="s">
        <v>136</v>
      </c>
      <c r="Y110" s="8">
        <v>1</v>
      </c>
      <c r="Z110" s="8">
        <v>1</v>
      </c>
      <c r="AA110" s="8">
        <v>1</v>
      </c>
      <c r="AB110" s="8">
        <v>1</v>
      </c>
      <c r="AC110" s="8">
        <v>1</v>
      </c>
      <c r="AD110" s="8" t="s">
        <v>136</v>
      </c>
      <c r="AE110" s="8" t="s">
        <v>136</v>
      </c>
      <c r="AF110" s="8">
        <v>1</v>
      </c>
      <c r="AG110" s="8">
        <v>1</v>
      </c>
      <c r="AH110" s="8">
        <v>1</v>
      </c>
      <c r="AI110" s="8">
        <v>1</v>
      </c>
      <c r="AJ110" s="8">
        <v>1</v>
      </c>
      <c r="AK110" s="10">
        <v>23</v>
      </c>
      <c r="AL110" s="11">
        <v>23</v>
      </c>
      <c r="AM110" s="13">
        <v>23</v>
      </c>
      <c r="AN110" s="13">
        <v>0</v>
      </c>
      <c r="AO110" s="7" t="e">
        <v>#N/A</v>
      </c>
    </row>
    <row r="111" spans="1:41">
      <c r="A111" s="8" t="s">
        <v>131</v>
      </c>
      <c r="B111" s="8" t="s">
        <v>273</v>
      </c>
      <c r="C111" s="8" t="s">
        <v>357</v>
      </c>
      <c r="D111" s="8" t="s">
        <v>358</v>
      </c>
      <c r="E111" s="8" t="s">
        <v>135</v>
      </c>
      <c r="F111" s="8">
        <v>1</v>
      </c>
      <c r="G111" s="8">
        <v>1</v>
      </c>
      <c r="H111" s="8">
        <v>1</v>
      </c>
      <c r="I111" s="8" t="s">
        <v>136</v>
      </c>
      <c r="J111" s="8" t="s">
        <v>136</v>
      </c>
      <c r="K111" s="8">
        <v>1</v>
      </c>
      <c r="L111" s="8">
        <v>1</v>
      </c>
      <c r="M111" s="8">
        <v>1</v>
      </c>
      <c r="N111" s="8">
        <v>1</v>
      </c>
      <c r="O111" s="8">
        <v>1</v>
      </c>
      <c r="P111" s="8" t="s">
        <v>136</v>
      </c>
      <c r="Q111" s="8" t="s">
        <v>136</v>
      </c>
      <c r="R111" s="8">
        <v>1</v>
      </c>
      <c r="S111" s="8">
        <v>1</v>
      </c>
      <c r="T111" s="8">
        <v>1</v>
      </c>
      <c r="U111" s="8">
        <v>1</v>
      </c>
      <c r="V111" s="8">
        <v>1</v>
      </c>
      <c r="W111" s="8" t="s">
        <v>136</v>
      </c>
      <c r="X111" s="8" t="s">
        <v>136</v>
      </c>
      <c r="Y111" s="8">
        <v>1</v>
      </c>
      <c r="Z111" s="8">
        <v>1</v>
      </c>
      <c r="AA111" s="8">
        <v>1</v>
      </c>
      <c r="AB111" s="8">
        <v>1</v>
      </c>
      <c r="AC111" s="8">
        <v>1</v>
      </c>
      <c r="AD111" s="8" t="s">
        <v>136</v>
      </c>
      <c r="AE111" s="8" t="s">
        <v>136</v>
      </c>
      <c r="AF111" s="8">
        <v>1</v>
      </c>
      <c r="AG111" s="8">
        <v>1</v>
      </c>
      <c r="AH111" s="8">
        <v>1</v>
      </c>
      <c r="AI111" s="8">
        <v>1</v>
      </c>
      <c r="AJ111" s="8">
        <v>1</v>
      </c>
      <c r="AK111" s="10">
        <v>23</v>
      </c>
      <c r="AL111" s="11">
        <v>23</v>
      </c>
      <c r="AM111" s="13">
        <v>23</v>
      </c>
      <c r="AN111" s="13">
        <v>0</v>
      </c>
      <c r="AO111" s="7" t="e">
        <v>#N/A</v>
      </c>
    </row>
    <row r="112" spans="1:41">
      <c r="A112" s="8" t="s">
        <v>131</v>
      </c>
      <c r="B112" s="8" t="s">
        <v>273</v>
      </c>
      <c r="C112" s="8" t="s">
        <v>359</v>
      </c>
      <c r="D112" s="8" t="s">
        <v>360</v>
      </c>
      <c r="E112" s="8" t="s">
        <v>135</v>
      </c>
      <c r="F112" s="8">
        <v>1</v>
      </c>
      <c r="G112" s="8">
        <v>1</v>
      </c>
      <c r="H112" s="8">
        <v>1</v>
      </c>
      <c r="I112" s="8" t="s">
        <v>136</v>
      </c>
      <c r="J112" s="8" t="s">
        <v>136</v>
      </c>
      <c r="K112" s="8">
        <v>1</v>
      </c>
      <c r="L112" s="8">
        <v>1</v>
      </c>
      <c r="M112" s="8">
        <v>1</v>
      </c>
      <c r="N112" s="8">
        <v>1</v>
      </c>
      <c r="O112" s="8">
        <v>1</v>
      </c>
      <c r="P112" s="8" t="s">
        <v>136</v>
      </c>
      <c r="Q112" s="8" t="s">
        <v>136</v>
      </c>
      <c r="R112" s="8">
        <v>1</v>
      </c>
      <c r="S112" s="8">
        <v>1</v>
      </c>
      <c r="T112" s="8">
        <v>1</v>
      </c>
      <c r="U112" s="8">
        <v>1</v>
      </c>
      <c r="V112" s="8">
        <v>1</v>
      </c>
      <c r="W112" s="8" t="s">
        <v>136</v>
      </c>
      <c r="X112" s="8" t="s">
        <v>136</v>
      </c>
      <c r="Y112" s="8">
        <v>1</v>
      </c>
      <c r="Z112" s="8">
        <v>1</v>
      </c>
      <c r="AA112" s="8">
        <v>1</v>
      </c>
      <c r="AB112" s="8">
        <v>1</v>
      </c>
      <c r="AC112" s="8">
        <v>1</v>
      </c>
      <c r="AD112" s="8" t="s">
        <v>136</v>
      </c>
      <c r="AE112" s="8" t="s">
        <v>136</v>
      </c>
      <c r="AF112" s="8">
        <v>1</v>
      </c>
      <c r="AG112" s="8">
        <v>1</v>
      </c>
      <c r="AH112" s="8">
        <v>1</v>
      </c>
      <c r="AI112" s="8">
        <v>1</v>
      </c>
      <c r="AJ112" s="8">
        <v>1</v>
      </c>
      <c r="AK112" s="10">
        <v>23</v>
      </c>
      <c r="AL112" s="11">
        <v>23</v>
      </c>
      <c r="AM112" s="13">
        <v>23</v>
      </c>
      <c r="AN112" s="13">
        <v>0</v>
      </c>
      <c r="AO112" s="7" t="e">
        <v>#N/A</v>
      </c>
    </row>
    <row r="113" spans="1:41">
      <c r="A113" s="8" t="s">
        <v>131</v>
      </c>
      <c r="B113" s="8" t="s">
        <v>273</v>
      </c>
      <c r="C113" s="8" t="s">
        <v>361</v>
      </c>
      <c r="D113" s="8" t="s">
        <v>362</v>
      </c>
      <c r="E113" s="8" t="s">
        <v>135</v>
      </c>
      <c r="F113" s="8">
        <v>1</v>
      </c>
      <c r="G113" s="8">
        <v>1</v>
      </c>
      <c r="H113" s="8">
        <v>1</v>
      </c>
      <c r="I113" s="8" t="s">
        <v>136</v>
      </c>
      <c r="J113" s="8" t="s">
        <v>136</v>
      </c>
      <c r="K113" s="8">
        <v>1</v>
      </c>
      <c r="L113" s="8">
        <v>1</v>
      </c>
      <c r="M113" s="8">
        <v>1</v>
      </c>
      <c r="N113" s="8">
        <v>1</v>
      </c>
      <c r="O113" s="8">
        <v>1</v>
      </c>
      <c r="P113" s="8" t="s">
        <v>136</v>
      </c>
      <c r="Q113" s="8" t="s">
        <v>136</v>
      </c>
      <c r="R113" s="8">
        <v>1</v>
      </c>
      <c r="S113" s="8">
        <v>1</v>
      </c>
      <c r="T113" s="8">
        <v>1</v>
      </c>
      <c r="U113" s="8">
        <v>1</v>
      </c>
      <c r="V113" s="8">
        <v>1</v>
      </c>
      <c r="W113" s="8" t="s">
        <v>136</v>
      </c>
      <c r="X113" s="8" t="s">
        <v>136</v>
      </c>
      <c r="Y113" s="8">
        <v>1</v>
      </c>
      <c r="Z113" s="8">
        <v>1</v>
      </c>
      <c r="AA113" s="8">
        <v>1</v>
      </c>
      <c r="AB113" s="8">
        <v>1</v>
      </c>
      <c r="AC113" s="8">
        <v>1</v>
      </c>
      <c r="AD113" s="8" t="s">
        <v>136</v>
      </c>
      <c r="AE113" s="8" t="s">
        <v>136</v>
      </c>
      <c r="AF113" s="8">
        <v>1</v>
      </c>
      <c r="AG113" s="8">
        <v>1</v>
      </c>
      <c r="AH113" s="8">
        <v>1</v>
      </c>
      <c r="AI113" s="8">
        <v>1</v>
      </c>
      <c r="AJ113" s="8">
        <v>1</v>
      </c>
      <c r="AK113" s="10">
        <v>23</v>
      </c>
      <c r="AL113" s="11">
        <v>23</v>
      </c>
      <c r="AM113" s="13">
        <v>23</v>
      </c>
      <c r="AN113" s="13">
        <v>0</v>
      </c>
      <c r="AO113" s="7" t="e">
        <v>#N/A</v>
      </c>
    </row>
    <row r="114" spans="1:41">
      <c r="A114" s="8" t="s">
        <v>131</v>
      </c>
      <c r="B114" s="8" t="s">
        <v>273</v>
      </c>
      <c r="C114" s="8" t="s">
        <v>363</v>
      </c>
      <c r="D114" s="8" t="s">
        <v>364</v>
      </c>
      <c r="E114" s="8" t="s">
        <v>135</v>
      </c>
      <c r="F114" s="8">
        <v>1</v>
      </c>
      <c r="G114" s="8">
        <v>1</v>
      </c>
      <c r="H114" s="8">
        <v>1</v>
      </c>
      <c r="I114" s="8" t="s">
        <v>136</v>
      </c>
      <c r="J114" s="8" t="s">
        <v>136</v>
      </c>
      <c r="K114" s="8">
        <v>1</v>
      </c>
      <c r="L114" s="8">
        <v>1</v>
      </c>
      <c r="M114" s="8">
        <v>1</v>
      </c>
      <c r="N114" s="8">
        <v>1</v>
      </c>
      <c r="O114" s="8">
        <v>1</v>
      </c>
      <c r="P114" s="8" t="s">
        <v>136</v>
      </c>
      <c r="Q114" s="8" t="s">
        <v>136</v>
      </c>
      <c r="R114" s="8">
        <v>1</v>
      </c>
      <c r="S114" s="8">
        <v>1</v>
      </c>
      <c r="T114" s="8">
        <v>1</v>
      </c>
      <c r="U114" s="8">
        <v>1</v>
      </c>
      <c r="V114" s="8">
        <v>1</v>
      </c>
      <c r="W114" s="8" t="s">
        <v>136</v>
      </c>
      <c r="X114" s="8" t="s">
        <v>136</v>
      </c>
      <c r="Y114" s="8">
        <v>1</v>
      </c>
      <c r="Z114" s="8">
        <v>1</v>
      </c>
      <c r="AA114" s="8">
        <v>1</v>
      </c>
      <c r="AB114" s="8">
        <v>1</v>
      </c>
      <c r="AC114" s="8">
        <v>1</v>
      </c>
      <c r="AD114" s="8" t="s">
        <v>136</v>
      </c>
      <c r="AE114" s="8" t="s">
        <v>136</v>
      </c>
      <c r="AF114" s="8">
        <v>1</v>
      </c>
      <c r="AG114" s="8">
        <v>1</v>
      </c>
      <c r="AH114" s="8">
        <v>1</v>
      </c>
      <c r="AI114" s="8">
        <v>1</v>
      </c>
      <c r="AJ114" s="8">
        <v>1</v>
      </c>
      <c r="AK114" s="10">
        <v>23</v>
      </c>
      <c r="AL114" s="11">
        <v>23</v>
      </c>
      <c r="AM114" s="13">
        <v>23</v>
      </c>
      <c r="AN114" s="13">
        <v>0</v>
      </c>
      <c r="AO114" s="7" t="e">
        <v>#N/A</v>
      </c>
    </row>
    <row r="115" spans="1:41">
      <c r="A115" s="8" t="s">
        <v>131</v>
      </c>
      <c r="B115" s="8" t="s">
        <v>273</v>
      </c>
      <c r="C115" s="8" t="s">
        <v>365</v>
      </c>
      <c r="D115" s="8" t="s">
        <v>366</v>
      </c>
      <c r="E115" s="8" t="s">
        <v>135</v>
      </c>
      <c r="F115" s="8">
        <v>1</v>
      </c>
      <c r="G115" s="8">
        <v>1</v>
      </c>
      <c r="H115" s="8">
        <v>1</v>
      </c>
      <c r="I115" s="8" t="s">
        <v>136</v>
      </c>
      <c r="J115" s="8" t="s">
        <v>136</v>
      </c>
      <c r="K115" s="8">
        <v>1</v>
      </c>
      <c r="L115" s="8">
        <v>1</v>
      </c>
      <c r="M115" s="8">
        <v>1</v>
      </c>
      <c r="N115" s="8">
        <v>1</v>
      </c>
      <c r="O115" s="8">
        <v>1</v>
      </c>
      <c r="P115" s="8" t="s">
        <v>136</v>
      </c>
      <c r="Q115" s="8" t="s">
        <v>136</v>
      </c>
      <c r="R115" s="8">
        <v>1</v>
      </c>
      <c r="S115" s="8">
        <v>1</v>
      </c>
      <c r="T115" s="8">
        <v>1</v>
      </c>
      <c r="U115" s="8">
        <v>1</v>
      </c>
      <c r="V115" s="8">
        <v>1</v>
      </c>
      <c r="W115" s="8" t="s">
        <v>136</v>
      </c>
      <c r="X115" s="8" t="s">
        <v>136</v>
      </c>
      <c r="Y115" s="8">
        <v>1</v>
      </c>
      <c r="Z115" s="8">
        <v>1</v>
      </c>
      <c r="AA115" s="8">
        <v>1</v>
      </c>
      <c r="AB115" s="8">
        <v>1</v>
      </c>
      <c r="AC115" s="8">
        <v>1</v>
      </c>
      <c r="AD115" s="8" t="s">
        <v>136</v>
      </c>
      <c r="AE115" s="8" t="s">
        <v>136</v>
      </c>
      <c r="AF115" s="8">
        <v>1</v>
      </c>
      <c r="AG115" s="8">
        <v>1</v>
      </c>
      <c r="AH115" s="8">
        <v>1</v>
      </c>
      <c r="AI115" s="8">
        <v>1</v>
      </c>
      <c r="AJ115" s="8">
        <v>1</v>
      </c>
      <c r="AK115" s="10">
        <v>23</v>
      </c>
      <c r="AL115" s="11">
        <v>23</v>
      </c>
      <c r="AM115" s="13">
        <v>23</v>
      </c>
      <c r="AN115" s="13">
        <v>0</v>
      </c>
      <c r="AO115" s="7" t="e">
        <v>#N/A</v>
      </c>
    </row>
    <row r="116" spans="1:41">
      <c r="A116" s="8" t="s">
        <v>131</v>
      </c>
      <c r="B116" s="8" t="s">
        <v>273</v>
      </c>
      <c r="C116" s="8" t="s">
        <v>367</v>
      </c>
      <c r="D116" s="8" t="s">
        <v>368</v>
      </c>
      <c r="E116" s="8" t="s">
        <v>135</v>
      </c>
      <c r="F116" s="8">
        <v>1</v>
      </c>
      <c r="G116" s="8">
        <v>1</v>
      </c>
      <c r="H116" s="8">
        <v>1</v>
      </c>
      <c r="I116" s="8" t="s">
        <v>136</v>
      </c>
      <c r="J116" s="8" t="s">
        <v>136</v>
      </c>
      <c r="K116" s="8">
        <v>1</v>
      </c>
      <c r="L116" s="8">
        <v>1</v>
      </c>
      <c r="M116" s="8">
        <v>1</v>
      </c>
      <c r="N116" s="8">
        <v>1</v>
      </c>
      <c r="O116" s="8">
        <v>1</v>
      </c>
      <c r="P116" s="8" t="s">
        <v>136</v>
      </c>
      <c r="Q116" s="8" t="s">
        <v>136</v>
      </c>
      <c r="R116" s="8">
        <v>1</v>
      </c>
      <c r="S116" s="8">
        <v>1</v>
      </c>
      <c r="T116" s="8">
        <v>1</v>
      </c>
      <c r="U116" s="8">
        <v>1</v>
      </c>
      <c r="V116" s="8">
        <v>1</v>
      </c>
      <c r="W116" s="8" t="s">
        <v>136</v>
      </c>
      <c r="X116" s="8" t="s">
        <v>136</v>
      </c>
      <c r="Y116" s="8">
        <v>1</v>
      </c>
      <c r="Z116" s="8">
        <v>1</v>
      </c>
      <c r="AA116" s="8">
        <v>1</v>
      </c>
      <c r="AB116" s="8">
        <v>1</v>
      </c>
      <c r="AC116" s="8">
        <v>1</v>
      </c>
      <c r="AD116" s="8" t="s">
        <v>136</v>
      </c>
      <c r="AE116" s="8" t="s">
        <v>136</v>
      </c>
      <c r="AF116" s="8">
        <v>1</v>
      </c>
      <c r="AG116" s="8">
        <v>1</v>
      </c>
      <c r="AH116" s="8">
        <v>1</v>
      </c>
      <c r="AI116" s="8">
        <v>1</v>
      </c>
      <c r="AJ116" s="8">
        <v>1</v>
      </c>
      <c r="AK116" s="10">
        <v>23</v>
      </c>
      <c r="AL116" s="11">
        <v>23</v>
      </c>
      <c r="AM116" s="13">
        <v>23</v>
      </c>
      <c r="AN116" s="13">
        <v>0</v>
      </c>
      <c r="AO116" s="7" t="e">
        <v>#N/A</v>
      </c>
    </row>
    <row r="117" spans="1:41">
      <c r="A117" s="8" t="s">
        <v>131</v>
      </c>
      <c r="B117" s="8" t="s">
        <v>273</v>
      </c>
      <c r="C117" s="8" t="s">
        <v>369</v>
      </c>
      <c r="D117" s="8" t="s">
        <v>370</v>
      </c>
      <c r="E117" s="8" t="s">
        <v>135</v>
      </c>
      <c r="F117" s="8">
        <v>1</v>
      </c>
      <c r="G117" s="8">
        <v>1</v>
      </c>
      <c r="H117" s="8">
        <v>1</v>
      </c>
      <c r="I117" s="8" t="s">
        <v>136</v>
      </c>
      <c r="J117" s="8" t="s">
        <v>136</v>
      </c>
      <c r="K117" s="8">
        <v>1</v>
      </c>
      <c r="L117" s="8">
        <v>1</v>
      </c>
      <c r="M117" s="8">
        <v>1</v>
      </c>
      <c r="N117" s="8">
        <v>1</v>
      </c>
      <c r="O117" s="8">
        <v>1</v>
      </c>
      <c r="P117" s="8" t="s">
        <v>136</v>
      </c>
      <c r="Q117" s="8" t="s">
        <v>136</v>
      </c>
      <c r="R117" s="8">
        <v>1</v>
      </c>
      <c r="S117" s="8">
        <v>1</v>
      </c>
      <c r="T117" s="8">
        <v>1</v>
      </c>
      <c r="U117" s="8">
        <v>1</v>
      </c>
      <c r="V117" s="8">
        <v>1</v>
      </c>
      <c r="W117" s="8" t="s">
        <v>136</v>
      </c>
      <c r="X117" s="8" t="s">
        <v>136</v>
      </c>
      <c r="Y117" s="8">
        <v>1</v>
      </c>
      <c r="Z117" s="8">
        <v>1</v>
      </c>
      <c r="AA117" s="8">
        <v>1</v>
      </c>
      <c r="AB117" s="8">
        <v>1</v>
      </c>
      <c r="AC117" s="8">
        <v>1</v>
      </c>
      <c r="AD117" s="8" t="s">
        <v>136</v>
      </c>
      <c r="AE117" s="8" t="s">
        <v>136</v>
      </c>
      <c r="AF117" s="8">
        <v>1</v>
      </c>
      <c r="AG117" s="8">
        <v>1</v>
      </c>
      <c r="AH117" s="8">
        <v>1</v>
      </c>
      <c r="AI117" s="8">
        <v>1</v>
      </c>
      <c r="AJ117" s="8">
        <v>1</v>
      </c>
      <c r="AK117" s="10">
        <v>23</v>
      </c>
      <c r="AL117" s="11">
        <v>23</v>
      </c>
      <c r="AM117" s="13">
        <v>23</v>
      </c>
      <c r="AN117" s="13">
        <v>0</v>
      </c>
      <c r="AO117" s="7" t="e">
        <v>#N/A</v>
      </c>
    </row>
    <row r="118" spans="1:41">
      <c r="A118" s="8" t="s">
        <v>131</v>
      </c>
      <c r="B118" s="8" t="s">
        <v>273</v>
      </c>
      <c r="C118" s="8" t="s">
        <v>371</v>
      </c>
      <c r="D118" s="8" t="s">
        <v>372</v>
      </c>
      <c r="E118" s="8" t="s">
        <v>135</v>
      </c>
      <c r="F118" s="8">
        <v>0</v>
      </c>
      <c r="G118" s="8">
        <v>0</v>
      </c>
      <c r="H118" s="8">
        <v>0</v>
      </c>
      <c r="I118" s="8" t="s">
        <v>136</v>
      </c>
      <c r="J118" s="8" t="s">
        <v>136</v>
      </c>
      <c r="K118" s="8">
        <v>0</v>
      </c>
      <c r="L118" s="8">
        <v>0</v>
      </c>
      <c r="M118" s="8">
        <v>0</v>
      </c>
      <c r="N118" s="8">
        <v>0</v>
      </c>
      <c r="O118" s="8">
        <v>0</v>
      </c>
      <c r="P118" s="8" t="s">
        <v>136</v>
      </c>
      <c r="Q118" s="8" t="s">
        <v>136</v>
      </c>
      <c r="R118" s="8">
        <v>0</v>
      </c>
      <c r="S118" s="8">
        <v>0</v>
      </c>
      <c r="T118" s="8">
        <v>0</v>
      </c>
      <c r="U118" s="8">
        <v>0</v>
      </c>
      <c r="V118" s="8">
        <v>0</v>
      </c>
      <c r="W118" s="8" t="s">
        <v>136</v>
      </c>
      <c r="X118" s="8" t="s">
        <v>136</v>
      </c>
      <c r="Y118" s="8">
        <v>0</v>
      </c>
      <c r="Z118" s="8">
        <v>0</v>
      </c>
      <c r="AA118" s="8">
        <v>0</v>
      </c>
      <c r="AB118" s="8">
        <v>0</v>
      </c>
      <c r="AC118" s="8">
        <v>0</v>
      </c>
      <c r="AD118" s="8" t="s">
        <v>136</v>
      </c>
      <c r="AE118" s="8" t="s">
        <v>136</v>
      </c>
      <c r="AF118" s="8">
        <v>0</v>
      </c>
      <c r="AG118" s="8">
        <v>0</v>
      </c>
      <c r="AH118" s="8">
        <v>0</v>
      </c>
      <c r="AI118" s="8">
        <v>0</v>
      </c>
      <c r="AJ118" s="8">
        <v>0</v>
      </c>
      <c r="AK118" s="10">
        <v>23</v>
      </c>
      <c r="AL118" s="12">
        <v>0</v>
      </c>
      <c r="AM118" s="13">
        <v>0</v>
      </c>
      <c r="AN118" s="13">
        <v>0</v>
      </c>
      <c r="AO118" s="7" t="e">
        <v>#N/A</v>
      </c>
    </row>
    <row r="119" spans="1:41">
      <c r="A119" s="8" t="s">
        <v>131</v>
      </c>
      <c r="B119" s="8" t="s">
        <v>273</v>
      </c>
      <c r="C119" s="8" t="s">
        <v>373</v>
      </c>
      <c r="D119" s="8" t="s">
        <v>374</v>
      </c>
      <c r="E119" s="8" t="s">
        <v>135</v>
      </c>
      <c r="F119" s="8">
        <v>1</v>
      </c>
      <c r="G119" s="8">
        <v>1</v>
      </c>
      <c r="H119" s="8">
        <v>1</v>
      </c>
      <c r="I119" s="8" t="s">
        <v>136</v>
      </c>
      <c r="J119" s="8" t="s">
        <v>136</v>
      </c>
      <c r="K119" s="8">
        <v>1</v>
      </c>
      <c r="L119" s="8">
        <v>1</v>
      </c>
      <c r="M119" s="8">
        <v>1</v>
      </c>
      <c r="N119" s="8">
        <v>1</v>
      </c>
      <c r="O119" s="8">
        <v>1</v>
      </c>
      <c r="P119" s="8" t="s">
        <v>136</v>
      </c>
      <c r="Q119" s="8" t="s">
        <v>136</v>
      </c>
      <c r="R119" s="8">
        <v>1</v>
      </c>
      <c r="S119" s="8">
        <v>1</v>
      </c>
      <c r="T119" s="8">
        <v>1</v>
      </c>
      <c r="U119" s="8">
        <v>1</v>
      </c>
      <c r="V119" s="8">
        <v>1</v>
      </c>
      <c r="W119" s="8" t="s">
        <v>136</v>
      </c>
      <c r="X119" s="8" t="s">
        <v>136</v>
      </c>
      <c r="Y119" s="8">
        <v>1</v>
      </c>
      <c r="Z119" s="8">
        <v>1</v>
      </c>
      <c r="AA119" s="8">
        <v>1</v>
      </c>
      <c r="AB119" s="8">
        <v>1</v>
      </c>
      <c r="AC119" s="8">
        <v>1</v>
      </c>
      <c r="AD119" s="8" t="s">
        <v>136</v>
      </c>
      <c r="AE119" s="8" t="s">
        <v>136</v>
      </c>
      <c r="AF119" s="8">
        <v>1</v>
      </c>
      <c r="AG119" s="8">
        <v>1</v>
      </c>
      <c r="AH119" s="8">
        <v>1</v>
      </c>
      <c r="AI119" s="8">
        <v>1</v>
      </c>
      <c r="AJ119" s="8">
        <v>1</v>
      </c>
      <c r="AK119" s="10">
        <v>23</v>
      </c>
      <c r="AL119" s="11">
        <v>23</v>
      </c>
      <c r="AM119" s="13">
        <v>23</v>
      </c>
      <c r="AN119" s="13">
        <v>0</v>
      </c>
      <c r="AO119" s="7" t="e">
        <v>#N/A</v>
      </c>
    </row>
    <row r="120" spans="1:41">
      <c r="A120" s="8" t="s">
        <v>131</v>
      </c>
      <c r="B120" s="8" t="s">
        <v>273</v>
      </c>
      <c r="C120" s="8" t="s">
        <v>375</v>
      </c>
      <c r="D120" s="8" t="s">
        <v>376</v>
      </c>
      <c r="E120" s="8" t="s">
        <v>135</v>
      </c>
      <c r="F120" s="8">
        <v>1</v>
      </c>
      <c r="G120" s="8">
        <v>1</v>
      </c>
      <c r="H120" s="8">
        <v>1</v>
      </c>
      <c r="I120" s="8" t="s">
        <v>136</v>
      </c>
      <c r="J120" s="8" t="s">
        <v>136</v>
      </c>
      <c r="K120" s="8">
        <v>1</v>
      </c>
      <c r="L120" s="8">
        <v>1</v>
      </c>
      <c r="M120" s="8">
        <v>1</v>
      </c>
      <c r="N120" s="8">
        <v>1</v>
      </c>
      <c r="O120" s="8">
        <v>1</v>
      </c>
      <c r="P120" s="8" t="s">
        <v>136</v>
      </c>
      <c r="Q120" s="8" t="s">
        <v>136</v>
      </c>
      <c r="R120" s="8">
        <v>1</v>
      </c>
      <c r="S120" s="8">
        <v>1</v>
      </c>
      <c r="T120" s="8">
        <v>1</v>
      </c>
      <c r="U120" s="8">
        <v>1</v>
      </c>
      <c r="V120" s="8">
        <v>1</v>
      </c>
      <c r="W120" s="8" t="s">
        <v>136</v>
      </c>
      <c r="X120" s="8" t="s">
        <v>136</v>
      </c>
      <c r="Y120" s="8">
        <v>1</v>
      </c>
      <c r="Z120" s="8">
        <v>1</v>
      </c>
      <c r="AA120" s="8">
        <v>1</v>
      </c>
      <c r="AB120" s="8">
        <v>1</v>
      </c>
      <c r="AC120" s="8">
        <v>1</v>
      </c>
      <c r="AD120" s="8" t="s">
        <v>136</v>
      </c>
      <c r="AE120" s="8" t="s">
        <v>136</v>
      </c>
      <c r="AF120" s="8">
        <v>1</v>
      </c>
      <c r="AG120" s="8">
        <v>1</v>
      </c>
      <c r="AH120" s="8">
        <v>1</v>
      </c>
      <c r="AI120" s="8">
        <v>1</v>
      </c>
      <c r="AJ120" s="8">
        <v>1</v>
      </c>
      <c r="AK120" s="10">
        <v>23</v>
      </c>
      <c r="AL120" s="11">
        <v>23</v>
      </c>
      <c r="AM120" s="13">
        <v>23</v>
      </c>
      <c r="AN120" s="13">
        <v>0</v>
      </c>
      <c r="AO120" s="7" t="e">
        <v>#N/A</v>
      </c>
    </row>
    <row r="121" spans="1:41">
      <c r="A121" s="8" t="s">
        <v>131</v>
      </c>
      <c r="B121" s="8" t="s">
        <v>273</v>
      </c>
      <c r="C121" s="8" t="s">
        <v>377</v>
      </c>
      <c r="D121" s="8" t="s">
        <v>378</v>
      </c>
      <c r="E121" s="8" t="s">
        <v>135</v>
      </c>
      <c r="F121" s="8">
        <v>1</v>
      </c>
      <c r="G121" s="8">
        <v>1</v>
      </c>
      <c r="H121" s="8">
        <v>1</v>
      </c>
      <c r="I121" s="8" t="s">
        <v>136</v>
      </c>
      <c r="J121" s="8" t="s">
        <v>136</v>
      </c>
      <c r="K121" s="8">
        <v>1</v>
      </c>
      <c r="L121" s="8">
        <v>1</v>
      </c>
      <c r="M121" s="8">
        <v>1</v>
      </c>
      <c r="N121" s="8">
        <v>1</v>
      </c>
      <c r="O121" s="8">
        <v>1</v>
      </c>
      <c r="P121" s="8" t="s">
        <v>136</v>
      </c>
      <c r="Q121" s="8" t="s">
        <v>136</v>
      </c>
      <c r="R121" s="8">
        <v>1</v>
      </c>
      <c r="S121" s="8">
        <v>1</v>
      </c>
      <c r="T121" s="8">
        <v>1</v>
      </c>
      <c r="U121" s="8">
        <v>1</v>
      </c>
      <c r="V121" s="8">
        <v>1</v>
      </c>
      <c r="W121" s="8" t="s">
        <v>136</v>
      </c>
      <c r="X121" s="8" t="s">
        <v>136</v>
      </c>
      <c r="Y121" s="8">
        <v>1</v>
      </c>
      <c r="Z121" s="8">
        <v>1</v>
      </c>
      <c r="AA121" s="8">
        <v>1</v>
      </c>
      <c r="AB121" s="8">
        <v>1</v>
      </c>
      <c r="AC121" s="8">
        <v>1</v>
      </c>
      <c r="AD121" s="8" t="s">
        <v>136</v>
      </c>
      <c r="AE121" s="8" t="s">
        <v>136</v>
      </c>
      <c r="AF121" s="8">
        <v>1</v>
      </c>
      <c r="AG121" s="8">
        <v>1</v>
      </c>
      <c r="AH121" s="8">
        <v>1</v>
      </c>
      <c r="AI121" s="8">
        <v>1</v>
      </c>
      <c r="AJ121" s="8">
        <v>1</v>
      </c>
      <c r="AK121" s="10">
        <v>23</v>
      </c>
      <c r="AL121" s="11">
        <v>23</v>
      </c>
      <c r="AM121" s="13">
        <v>23</v>
      </c>
      <c r="AN121" s="13">
        <v>0</v>
      </c>
      <c r="AO121" s="7" t="e">
        <v>#N/A</v>
      </c>
    </row>
    <row r="122" spans="1:41">
      <c r="A122" s="8" t="s">
        <v>131</v>
      </c>
      <c r="B122" s="8" t="s">
        <v>273</v>
      </c>
      <c r="C122" s="8" t="s">
        <v>379</v>
      </c>
      <c r="D122" s="8" t="s">
        <v>380</v>
      </c>
      <c r="E122" s="8" t="s">
        <v>135</v>
      </c>
      <c r="F122" s="8">
        <v>1</v>
      </c>
      <c r="G122" s="8">
        <v>1</v>
      </c>
      <c r="H122" s="8">
        <v>1</v>
      </c>
      <c r="I122" s="8" t="s">
        <v>136</v>
      </c>
      <c r="J122" s="8" t="s">
        <v>136</v>
      </c>
      <c r="K122" s="8">
        <v>1</v>
      </c>
      <c r="L122" s="8">
        <v>1</v>
      </c>
      <c r="M122" s="8">
        <v>1</v>
      </c>
      <c r="N122" s="8">
        <v>1</v>
      </c>
      <c r="O122" s="8">
        <v>1</v>
      </c>
      <c r="P122" s="8" t="s">
        <v>136</v>
      </c>
      <c r="Q122" s="8" t="s">
        <v>136</v>
      </c>
      <c r="R122" s="8">
        <v>1</v>
      </c>
      <c r="S122" s="8">
        <v>1</v>
      </c>
      <c r="T122" s="8">
        <v>1</v>
      </c>
      <c r="U122" s="8">
        <v>1</v>
      </c>
      <c r="V122" s="8">
        <v>1</v>
      </c>
      <c r="W122" s="8" t="s">
        <v>136</v>
      </c>
      <c r="X122" s="8" t="s">
        <v>136</v>
      </c>
      <c r="Y122" s="8">
        <v>1</v>
      </c>
      <c r="Z122" s="8">
        <v>1</v>
      </c>
      <c r="AA122" s="8">
        <v>1</v>
      </c>
      <c r="AB122" s="8">
        <v>1</v>
      </c>
      <c r="AC122" s="8">
        <v>1</v>
      </c>
      <c r="AD122" s="8" t="s">
        <v>136</v>
      </c>
      <c r="AE122" s="8" t="s">
        <v>136</v>
      </c>
      <c r="AF122" s="8">
        <v>1</v>
      </c>
      <c r="AG122" s="8">
        <v>1</v>
      </c>
      <c r="AH122" s="8">
        <v>1</v>
      </c>
      <c r="AI122" s="8">
        <v>1</v>
      </c>
      <c r="AJ122" s="8">
        <v>1</v>
      </c>
      <c r="AK122" s="10">
        <v>23</v>
      </c>
      <c r="AL122" s="11">
        <v>23</v>
      </c>
      <c r="AM122" s="13">
        <v>23</v>
      </c>
      <c r="AN122" s="13">
        <v>0</v>
      </c>
      <c r="AO122" s="7" t="e">
        <v>#N/A</v>
      </c>
    </row>
    <row r="123" spans="1:41">
      <c r="A123" s="8" t="s">
        <v>131</v>
      </c>
      <c r="B123" s="8" t="s">
        <v>273</v>
      </c>
      <c r="C123" s="8" t="s">
        <v>381</v>
      </c>
      <c r="D123" s="8" t="s">
        <v>382</v>
      </c>
      <c r="E123" s="8" t="s">
        <v>135</v>
      </c>
      <c r="F123" s="8">
        <v>1</v>
      </c>
      <c r="G123" s="8">
        <v>1</v>
      </c>
      <c r="H123" s="8">
        <v>1</v>
      </c>
      <c r="I123" s="8" t="s">
        <v>136</v>
      </c>
      <c r="J123" s="8" t="s">
        <v>136</v>
      </c>
      <c r="K123" s="8">
        <v>1</v>
      </c>
      <c r="L123" s="8">
        <v>1</v>
      </c>
      <c r="M123" s="8">
        <v>1</v>
      </c>
      <c r="N123" s="8">
        <v>1</v>
      </c>
      <c r="O123" s="8">
        <v>1</v>
      </c>
      <c r="P123" s="8" t="s">
        <v>136</v>
      </c>
      <c r="Q123" s="8" t="s">
        <v>136</v>
      </c>
      <c r="R123" s="8">
        <v>1</v>
      </c>
      <c r="S123" s="8">
        <v>1</v>
      </c>
      <c r="T123" s="8">
        <v>1</v>
      </c>
      <c r="U123" s="8">
        <v>1</v>
      </c>
      <c r="V123" s="8">
        <v>1</v>
      </c>
      <c r="W123" s="8" t="s">
        <v>136</v>
      </c>
      <c r="X123" s="8" t="s">
        <v>136</v>
      </c>
      <c r="Y123" s="8">
        <v>1</v>
      </c>
      <c r="Z123" s="8">
        <v>1</v>
      </c>
      <c r="AA123" s="8">
        <v>1</v>
      </c>
      <c r="AB123" s="8">
        <v>1</v>
      </c>
      <c r="AC123" s="8">
        <v>1</v>
      </c>
      <c r="AD123" s="8" t="s">
        <v>136</v>
      </c>
      <c r="AE123" s="8" t="s">
        <v>136</v>
      </c>
      <c r="AF123" s="8">
        <v>1</v>
      </c>
      <c r="AG123" s="8">
        <v>1</v>
      </c>
      <c r="AH123" s="8">
        <v>1</v>
      </c>
      <c r="AI123" s="8">
        <v>1</v>
      </c>
      <c r="AJ123" s="8">
        <v>1</v>
      </c>
      <c r="AK123" s="10">
        <v>23</v>
      </c>
      <c r="AL123" s="11">
        <v>23</v>
      </c>
      <c r="AM123" s="13">
        <v>23</v>
      </c>
      <c r="AN123" s="13">
        <v>0</v>
      </c>
      <c r="AO123" s="7" t="e">
        <v>#N/A</v>
      </c>
    </row>
    <row r="124" spans="1:41">
      <c r="A124" s="8" t="s">
        <v>131</v>
      </c>
      <c r="B124" s="8" t="s">
        <v>383</v>
      </c>
      <c r="C124" s="8" t="s">
        <v>384</v>
      </c>
      <c r="D124" s="8" t="s">
        <v>385</v>
      </c>
      <c r="E124" s="8" t="s">
        <v>135</v>
      </c>
      <c r="F124" s="8">
        <v>1</v>
      </c>
      <c r="G124" s="8">
        <v>1</v>
      </c>
      <c r="H124" s="8">
        <v>1</v>
      </c>
      <c r="I124" s="8" t="s">
        <v>136</v>
      </c>
      <c r="J124" s="8" t="s">
        <v>136</v>
      </c>
      <c r="K124" s="8">
        <v>1</v>
      </c>
      <c r="L124" s="8">
        <v>1</v>
      </c>
      <c r="M124" s="8">
        <v>1</v>
      </c>
      <c r="N124" s="8">
        <v>1</v>
      </c>
      <c r="O124" s="8">
        <v>1</v>
      </c>
      <c r="P124" s="8" t="s">
        <v>136</v>
      </c>
      <c r="Q124" s="8" t="s">
        <v>136</v>
      </c>
      <c r="R124" s="8">
        <v>1</v>
      </c>
      <c r="S124" s="8">
        <v>1</v>
      </c>
      <c r="T124" s="8">
        <v>1</v>
      </c>
      <c r="U124" s="8">
        <v>1</v>
      </c>
      <c r="V124" s="8">
        <v>1</v>
      </c>
      <c r="W124" s="8" t="s">
        <v>136</v>
      </c>
      <c r="X124" s="8" t="s">
        <v>136</v>
      </c>
      <c r="Y124" s="8">
        <v>1</v>
      </c>
      <c r="Z124" s="8">
        <v>1</v>
      </c>
      <c r="AA124" s="8">
        <v>1</v>
      </c>
      <c r="AB124" s="8">
        <v>1</v>
      </c>
      <c r="AC124" s="8">
        <v>1</v>
      </c>
      <c r="AD124" s="8" t="s">
        <v>136</v>
      </c>
      <c r="AE124" s="8" t="s">
        <v>136</v>
      </c>
      <c r="AF124" s="8">
        <v>1</v>
      </c>
      <c r="AG124" s="8">
        <v>1</v>
      </c>
      <c r="AH124" s="8">
        <v>1</v>
      </c>
      <c r="AI124" s="8">
        <v>1</v>
      </c>
      <c r="AJ124" s="8">
        <v>1</v>
      </c>
      <c r="AK124" s="10">
        <v>23</v>
      </c>
      <c r="AL124" s="11">
        <v>23</v>
      </c>
      <c r="AM124" s="13">
        <v>23</v>
      </c>
      <c r="AN124" s="13">
        <v>0</v>
      </c>
      <c r="AO124" s="7" t="e">
        <v>#N/A</v>
      </c>
    </row>
    <row r="125" spans="1:41">
      <c r="A125" s="8" t="s">
        <v>131</v>
      </c>
      <c r="B125" s="8" t="s">
        <v>383</v>
      </c>
      <c r="C125" s="8" t="s">
        <v>386</v>
      </c>
      <c r="D125" s="8" t="s">
        <v>387</v>
      </c>
      <c r="E125" s="8" t="s">
        <v>135</v>
      </c>
      <c r="F125" s="8">
        <v>1</v>
      </c>
      <c r="G125" s="8">
        <v>1</v>
      </c>
      <c r="H125" s="8">
        <v>1</v>
      </c>
      <c r="I125" s="8" t="s">
        <v>136</v>
      </c>
      <c r="J125" s="8" t="s">
        <v>136</v>
      </c>
      <c r="K125" s="8">
        <v>1</v>
      </c>
      <c r="L125" s="8">
        <v>1</v>
      </c>
      <c r="M125" s="8">
        <v>1</v>
      </c>
      <c r="N125" s="8">
        <v>1</v>
      </c>
      <c r="O125" s="8">
        <v>1</v>
      </c>
      <c r="P125" s="8" t="s">
        <v>136</v>
      </c>
      <c r="Q125" s="8" t="s">
        <v>136</v>
      </c>
      <c r="R125" s="8">
        <v>1</v>
      </c>
      <c r="S125" s="8">
        <v>1</v>
      </c>
      <c r="T125" s="8">
        <v>1</v>
      </c>
      <c r="U125" s="8">
        <v>1</v>
      </c>
      <c r="V125" s="8">
        <v>1</v>
      </c>
      <c r="W125" s="8" t="s">
        <v>136</v>
      </c>
      <c r="X125" s="8" t="s">
        <v>136</v>
      </c>
      <c r="Y125" s="8">
        <v>1</v>
      </c>
      <c r="Z125" s="8">
        <v>1</v>
      </c>
      <c r="AA125" s="8">
        <v>1</v>
      </c>
      <c r="AB125" s="8">
        <v>1</v>
      </c>
      <c r="AC125" s="8">
        <v>1</v>
      </c>
      <c r="AD125" s="8" t="s">
        <v>136</v>
      </c>
      <c r="AE125" s="8" t="s">
        <v>136</v>
      </c>
      <c r="AF125" s="8">
        <v>1</v>
      </c>
      <c r="AG125" s="8">
        <v>1</v>
      </c>
      <c r="AH125" s="8">
        <v>1</v>
      </c>
      <c r="AI125" s="8">
        <v>1</v>
      </c>
      <c r="AJ125" s="8">
        <v>1</v>
      </c>
      <c r="AK125" s="10">
        <v>23</v>
      </c>
      <c r="AL125" s="11">
        <v>23</v>
      </c>
      <c r="AM125" s="13">
        <v>23</v>
      </c>
      <c r="AN125" s="13">
        <v>0</v>
      </c>
      <c r="AO125" s="7" t="e">
        <v>#N/A</v>
      </c>
    </row>
    <row r="126" spans="1:41">
      <c r="A126" s="8" t="s">
        <v>131</v>
      </c>
      <c r="B126" s="8" t="s">
        <v>383</v>
      </c>
      <c r="C126" s="8" t="s">
        <v>388</v>
      </c>
      <c r="D126" s="8" t="s">
        <v>389</v>
      </c>
      <c r="E126" s="8" t="s">
        <v>135</v>
      </c>
      <c r="F126" s="8">
        <v>1</v>
      </c>
      <c r="G126" s="8">
        <v>1</v>
      </c>
      <c r="H126" s="8">
        <v>1</v>
      </c>
      <c r="I126" s="8" t="s">
        <v>136</v>
      </c>
      <c r="J126" s="8" t="s">
        <v>136</v>
      </c>
      <c r="K126" s="8">
        <v>1</v>
      </c>
      <c r="L126" s="8">
        <v>1</v>
      </c>
      <c r="M126" s="8">
        <v>1</v>
      </c>
      <c r="N126" s="8">
        <v>1</v>
      </c>
      <c r="O126" s="8">
        <v>1</v>
      </c>
      <c r="P126" s="8" t="s">
        <v>136</v>
      </c>
      <c r="Q126" s="8" t="s">
        <v>136</v>
      </c>
      <c r="R126" s="8">
        <v>1</v>
      </c>
      <c r="S126" s="8">
        <v>1</v>
      </c>
      <c r="T126" s="8">
        <v>1</v>
      </c>
      <c r="U126" s="8">
        <v>1</v>
      </c>
      <c r="V126" s="8">
        <v>1</v>
      </c>
      <c r="W126" s="8" t="s">
        <v>136</v>
      </c>
      <c r="X126" s="8" t="s">
        <v>136</v>
      </c>
      <c r="Y126" s="8">
        <v>1</v>
      </c>
      <c r="Z126" s="8">
        <v>1</v>
      </c>
      <c r="AA126" s="8">
        <v>1</v>
      </c>
      <c r="AB126" s="8">
        <v>1</v>
      </c>
      <c r="AC126" s="8">
        <v>1</v>
      </c>
      <c r="AD126" s="8" t="s">
        <v>136</v>
      </c>
      <c r="AE126" s="8" t="s">
        <v>136</v>
      </c>
      <c r="AF126" s="8">
        <v>1</v>
      </c>
      <c r="AG126" s="8">
        <v>1</v>
      </c>
      <c r="AH126" s="8">
        <v>1</v>
      </c>
      <c r="AI126" s="8">
        <v>1</v>
      </c>
      <c r="AJ126" s="8">
        <v>1</v>
      </c>
      <c r="AK126" s="10">
        <v>23</v>
      </c>
      <c r="AL126" s="11">
        <v>23</v>
      </c>
      <c r="AM126" s="13">
        <v>23</v>
      </c>
      <c r="AN126" s="13">
        <v>0</v>
      </c>
      <c r="AO126" s="7" t="e">
        <v>#N/A</v>
      </c>
    </row>
    <row r="127" spans="1:41">
      <c r="A127" s="8" t="s">
        <v>131</v>
      </c>
      <c r="B127" s="8" t="s">
        <v>383</v>
      </c>
      <c r="C127" s="8" t="s">
        <v>390</v>
      </c>
      <c r="D127" s="8" t="s">
        <v>391</v>
      </c>
      <c r="E127" s="8" t="s">
        <v>135</v>
      </c>
      <c r="F127" s="8">
        <v>1</v>
      </c>
      <c r="G127" s="8">
        <v>1</v>
      </c>
      <c r="H127" s="8">
        <v>1</v>
      </c>
      <c r="I127" s="8" t="s">
        <v>136</v>
      </c>
      <c r="J127" s="8" t="s">
        <v>136</v>
      </c>
      <c r="K127" s="8">
        <v>1</v>
      </c>
      <c r="L127" s="8">
        <v>1</v>
      </c>
      <c r="M127" s="8">
        <v>1</v>
      </c>
      <c r="N127" s="8">
        <v>1</v>
      </c>
      <c r="O127" s="8">
        <v>1</v>
      </c>
      <c r="P127" s="8" t="s">
        <v>136</v>
      </c>
      <c r="Q127" s="8" t="s">
        <v>136</v>
      </c>
      <c r="R127" s="8">
        <v>1</v>
      </c>
      <c r="S127" s="8">
        <v>1</v>
      </c>
      <c r="T127" s="8">
        <v>1</v>
      </c>
      <c r="U127" s="8">
        <v>1</v>
      </c>
      <c r="V127" s="8">
        <v>1</v>
      </c>
      <c r="W127" s="8" t="s">
        <v>136</v>
      </c>
      <c r="X127" s="8" t="s">
        <v>136</v>
      </c>
      <c r="Y127" s="8">
        <v>1</v>
      </c>
      <c r="Z127" s="8">
        <v>1</v>
      </c>
      <c r="AA127" s="8">
        <v>1</v>
      </c>
      <c r="AB127" s="8">
        <v>1</v>
      </c>
      <c r="AC127" s="8">
        <v>1</v>
      </c>
      <c r="AD127" s="8" t="s">
        <v>136</v>
      </c>
      <c r="AE127" s="8" t="s">
        <v>136</v>
      </c>
      <c r="AF127" s="8">
        <v>1</v>
      </c>
      <c r="AG127" s="8">
        <v>1</v>
      </c>
      <c r="AH127" s="8">
        <v>1</v>
      </c>
      <c r="AI127" s="8">
        <v>1</v>
      </c>
      <c r="AJ127" s="8">
        <v>1</v>
      </c>
      <c r="AK127" s="10">
        <v>23</v>
      </c>
      <c r="AL127" s="11">
        <v>23</v>
      </c>
      <c r="AM127" s="13">
        <v>23</v>
      </c>
      <c r="AN127" s="13">
        <v>0</v>
      </c>
      <c r="AO127" s="7" t="e">
        <v>#N/A</v>
      </c>
    </row>
    <row r="128" spans="1:41">
      <c r="A128" s="8" t="s">
        <v>131</v>
      </c>
      <c r="B128" s="8" t="s">
        <v>383</v>
      </c>
      <c r="C128" s="8" t="s">
        <v>392</v>
      </c>
      <c r="D128" s="8" t="s">
        <v>393</v>
      </c>
      <c r="E128" s="8" t="s">
        <v>135</v>
      </c>
      <c r="F128" s="8">
        <v>1</v>
      </c>
      <c r="G128" s="8">
        <v>1</v>
      </c>
      <c r="H128" s="8">
        <v>1</v>
      </c>
      <c r="I128" s="8" t="s">
        <v>136</v>
      </c>
      <c r="J128" s="8" t="s">
        <v>136</v>
      </c>
      <c r="K128" s="8">
        <v>1</v>
      </c>
      <c r="L128" s="8">
        <v>1</v>
      </c>
      <c r="M128" s="8">
        <v>1</v>
      </c>
      <c r="N128" s="8">
        <v>1</v>
      </c>
      <c r="O128" s="8">
        <v>1</v>
      </c>
      <c r="P128" s="8" t="s">
        <v>136</v>
      </c>
      <c r="Q128" s="8" t="s">
        <v>136</v>
      </c>
      <c r="R128" s="8">
        <v>1</v>
      </c>
      <c r="S128" s="8">
        <v>1</v>
      </c>
      <c r="T128" s="8">
        <v>1</v>
      </c>
      <c r="U128" s="8">
        <v>1</v>
      </c>
      <c r="V128" s="8">
        <v>1</v>
      </c>
      <c r="W128" s="8" t="s">
        <v>136</v>
      </c>
      <c r="X128" s="8" t="s">
        <v>136</v>
      </c>
      <c r="Y128" s="8">
        <v>1</v>
      </c>
      <c r="Z128" s="8">
        <v>1</v>
      </c>
      <c r="AA128" s="8">
        <v>1</v>
      </c>
      <c r="AB128" s="8">
        <v>1</v>
      </c>
      <c r="AC128" s="8">
        <v>1</v>
      </c>
      <c r="AD128" s="8" t="s">
        <v>136</v>
      </c>
      <c r="AE128" s="8" t="s">
        <v>136</v>
      </c>
      <c r="AF128" s="8">
        <v>1</v>
      </c>
      <c r="AG128" s="8">
        <v>1</v>
      </c>
      <c r="AH128" s="8">
        <v>1</v>
      </c>
      <c r="AI128" s="8">
        <v>1</v>
      </c>
      <c r="AJ128" s="8">
        <v>1</v>
      </c>
      <c r="AK128" s="10">
        <v>23</v>
      </c>
      <c r="AL128" s="11">
        <v>23</v>
      </c>
      <c r="AM128" s="13">
        <v>23</v>
      </c>
      <c r="AN128" s="13">
        <v>0</v>
      </c>
      <c r="AO128" s="7" t="e">
        <v>#N/A</v>
      </c>
    </row>
    <row r="129" spans="1:41">
      <c r="A129" s="8" t="s">
        <v>131</v>
      </c>
      <c r="B129" s="8" t="s">
        <v>383</v>
      </c>
      <c r="C129" s="8" t="s">
        <v>394</v>
      </c>
      <c r="D129" s="8" t="s">
        <v>395</v>
      </c>
      <c r="E129" s="8" t="s">
        <v>135</v>
      </c>
      <c r="F129" s="8">
        <v>1</v>
      </c>
      <c r="G129" s="8">
        <v>1</v>
      </c>
      <c r="H129" s="8">
        <v>1</v>
      </c>
      <c r="I129" s="8" t="s">
        <v>136</v>
      </c>
      <c r="J129" s="8" t="s">
        <v>136</v>
      </c>
      <c r="K129" s="8">
        <v>1</v>
      </c>
      <c r="L129" s="8">
        <v>1</v>
      </c>
      <c r="M129" s="8">
        <v>1</v>
      </c>
      <c r="N129" s="8">
        <v>1</v>
      </c>
      <c r="O129" s="8">
        <v>1</v>
      </c>
      <c r="P129" s="8" t="s">
        <v>136</v>
      </c>
      <c r="Q129" s="8" t="s">
        <v>136</v>
      </c>
      <c r="R129" s="8">
        <v>1</v>
      </c>
      <c r="S129" s="8">
        <v>1</v>
      </c>
      <c r="T129" s="8">
        <v>1</v>
      </c>
      <c r="U129" s="8">
        <v>1</v>
      </c>
      <c r="V129" s="8">
        <v>1</v>
      </c>
      <c r="W129" s="8" t="s">
        <v>136</v>
      </c>
      <c r="X129" s="8" t="s">
        <v>136</v>
      </c>
      <c r="Y129" s="8">
        <v>1</v>
      </c>
      <c r="Z129" s="8">
        <v>1</v>
      </c>
      <c r="AA129" s="8">
        <v>1</v>
      </c>
      <c r="AB129" s="8">
        <v>1</v>
      </c>
      <c r="AC129" s="8">
        <v>1</v>
      </c>
      <c r="AD129" s="8" t="s">
        <v>136</v>
      </c>
      <c r="AE129" s="8" t="s">
        <v>136</v>
      </c>
      <c r="AF129" s="8">
        <v>1</v>
      </c>
      <c r="AG129" s="8">
        <v>1</v>
      </c>
      <c r="AH129" s="8">
        <v>1</v>
      </c>
      <c r="AI129" s="8">
        <v>1</v>
      </c>
      <c r="AJ129" s="8">
        <v>1</v>
      </c>
      <c r="AK129" s="10">
        <v>23</v>
      </c>
      <c r="AL129" s="11">
        <v>23</v>
      </c>
      <c r="AM129" s="13">
        <v>23</v>
      </c>
      <c r="AN129" s="13">
        <v>0</v>
      </c>
      <c r="AO129" s="7" t="e">
        <v>#N/A</v>
      </c>
    </row>
    <row r="130" spans="1:41">
      <c r="A130" s="8" t="s">
        <v>131</v>
      </c>
      <c r="B130" s="8" t="s">
        <v>383</v>
      </c>
      <c r="C130" s="8" t="s">
        <v>396</v>
      </c>
      <c r="D130" s="8" t="s">
        <v>397</v>
      </c>
      <c r="E130" s="8" t="s">
        <v>135</v>
      </c>
      <c r="F130" s="8">
        <v>1</v>
      </c>
      <c r="G130" s="8">
        <v>1</v>
      </c>
      <c r="H130" s="8">
        <v>1</v>
      </c>
      <c r="I130" s="8" t="s">
        <v>136</v>
      </c>
      <c r="J130" s="8" t="s">
        <v>136</v>
      </c>
      <c r="K130" s="8">
        <v>1</v>
      </c>
      <c r="L130" s="8">
        <v>1</v>
      </c>
      <c r="M130" s="8">
        <v>1</v>
      </c>
      <c r="N130" s="8">
        <v>1</v>
      </c>
      <c r="O130" s="8">
        <v>1</v>
      </c>
      <c r="P130" s="8" t="s">
        <v>136</v>
      </c>
      <c r="Q130" s="8" t="s">
        <v>136</v>
      </c>
      <c r="R130" s="8">
        <v>1</v>
      </c>
      <c r="S130" s="8">
        <v>1</v>
      </c>
      <c r="T130" s="8">
        <v>1</v>
      </c>
      <c r="U130" s="8">
        <v>1</v>
      </c>
      <c r="V130" s="8">
        <v>1</v>
      </c>
      <c r="W130" s="8" t="s">
        <v>136</v>
      </c>
      <c r="X130" s="8" t="s">
        <v>136</v>
      </c>
      <c r="Y130" s="8">
        <v>1</v>
      </c>
      <c r="Z130" s="8">
        <v>1</v>
      </c>
      <c r="AA130" s="8">
        <v>1</v>
      </c>
      <c r="AB130" s="8">
        <v>1</v>
      </c>
      <c r="AC130" s="8">
        <v>1</v>
      </c>
      <c r="AD130" s="8" t="s">
        <v>136</v>
      </c>
      <c r="AE130" s="8" t="s">
        <v>136</v>
      </c>
      <c r="AF130" s="8">
        <v>1</v>
      </c>
      <c r="AG130" s="8">
        <v>1</v>
      </c>
      <c r="AH130" s="8">
        <v>1</v>
      </c>
      <c r="AI130" s="8">
        <v>1</v>
      </c>
      <c r="AJ130" s="8">
        <v>1</v>
      </c>
      <c r="AK130" s="10">
        <v>23</v>
      </c>
      <c r="AL130" s="11">
        <v>23</v>
      </c>
      <c r="AM130" s="13">
        <v>23</v>
      </c>
      <c r="AN130" s="13">
        <v>0</v>
      </c>
      <c r="AO130" s="7" t="e">
        <v>#N/A</v>
      </c>
    </row>
    <row r="131" spans="1:41">
      <c r="A131" s="8" t="s">
        <v>131</v>
      </c>
      <c r="B131" s="8" t="s">
        <v>383</v>
      </c>
      <c r="C131" s="8" t="s">
        <v>398</v>
      </c>
      <c r="D131" s="8" t="s">
        <v>399</v>
      </c>
      <c r="E131" s="8" t="s">
        <v>135</v>
      </c>
      <c r="F131" s="8">
        <v>1</v>
      </c>
      <c r="G131" s="8">
        <v>1</v>
      </c>
      <c r="H131" s="8">
        <v>1</v>
      </c>
      <c r="I131" s="8" t="s">
        <v>136</v>
      </c>
      <c r="J131" s="8" t="s">
        <v>136</v>
      </c>
      <c r="K131" s="8">
        <v>1</v>
      </c>
      <c r="L131" s="8">
        <v>1</v>
      </c>
      <c r="M131" s="8">
        <v>1</v>
      </c>
      <c r="N131" s="8">
        <v>1</v>
      </c>
      <c r="O131" s="8">
        <v>1</v>
      </c>
      <c r="P131" s="8" t="s">
        <v>136</v>
      </c>
      <c r="Q131" s="8" t="s">
        <v>136</v>
      </c>
      <c r="R131" s="8">
        <v>1</v>
      </c>
      <c r="S131" s="8">
        <v>1</v>
      </c>
      <c r="T131" s="8">
        <v>1</v>
      </c>
      <c r="U131" s="8">
        <v>1</v>
      </c>
      <c r="V131" s="8">
        <v>1</v>
      </c>
      <c r="W131" s="8" t="s">
        <v>136</v>
      </c>
      <c r="X131" s="8" t="s">
        <v>136</v>
      </c>
      <c r="Y131" s="8">
        <v>1</v>
      </c>
      <c r="Z131" s="8">
        <v>1</v>
      </c>
      <c r="AA131" s="8">
        <v>1</v>
      </c>
      <c r="AB131" s="8">
        <v>1</v>
      </c>
      <c r="AC131" s="8">
        <v>1</v>
      </c>
      <c r="AD131" s="8" t="s">
        <v>136</v>
      </c>
      <c r="AE131" s="8" t="s">
        <v>136</v>
      </c>
      <c r="AF131" s="8">
        <v>1</v>
      </c>
      <c r="AG131" s="8">
        <v>1</v>
      </c>
      <c r="AH131" s="8">
        <v>1</v>
      </c>
      <c r="AI131" s="8">
        <v>1</v>
      </c>
      <c r="AJ131" s="8">
        <v>1</v>
      </c>
      <c r="AK131" s="10">
        <v>23</v>
      </c>
      <c r="AL131" s="11">
        <v>23</v>
      </c>
      <c r="AM131" s="13">
        <v>23</v>
      </c>
      <c r="AN131" s="13">
        <v>0</v>
      </c>
      <c r="AO131" s="7" t="e">
        <v>#N/A</v>
      </c>
    </row>
    <row r="132" spans="1:41">
      <c r="A132" s="8" t="s">
        <v>131</v>
      </c>
      <c r="B132" s="8" t="s">
        <v>383</v>
      </c>
      <c r="C132" s="8" t="s">
        <v>400</v>
      </c>
      <c r="D132" s="8" t="s">
        <v>401</v>
      </c>
      <c r="E132" s="8" t="s">
        <v>135</v>
      </c>
      <c r="F132" s="8">
        <v>1</v>
      </c>
      <c r="G132" s="8">
        <v>1</v>
      </c>
      <c r="H132" s="8">
        <v>1</v>
      </c>
      <c r="I132" s="8" t="s">
        <v>136</v>
      </c>
      <c r="J132" s="8" t="s">
        <v>136</v>
      </c>
      <c r="K132" s="8">
        <v>1</v>
      </c>
      <c r="L132" s="8">
        <v>1</v>
      </c>
      <c r="M132" s="8">
        <v>1</v>
      </c>
      <c r="N132" s="8">
        <v>1</v>
      </c>
      <c r="O132" s="8">
        <v>1</v>
      </c>
      <c r="P132" s="8" t="s">
        <v>136</v>
      </c>
      <c r="Q132" s="8" t="s">
        <v>136</v>
      </c>
      <c r="R132" s="8">
        <v>1</v>
      </c>
      <c r="S132" s="8">
        <v>1</v>
      </c>
      <c r="T132" s="8">
        <v>1</v>
      </c>
      <c r="U132" s="8">
        <v>1</v>
      </c>
      <c r="V132" s="8">
        <v>1</v>
      </c>
      <c r="W132" s="8" t="s">
        <v>136</v>
      </c>
      <c r="X132" s="8" t="s">
        <v>136</v>
      </c>
      <c r="Y132" s="8">
        <v>1</v>
      </c>
      <c r="Z132" s="8">
        <v>1</v>
      </c>
      <c r="AA132" s="8">
        <v>1</v>
      </c>
      <c r="AB132" s="8">
        <v>1</v>
      </c>
      <c r="AC132" s="8">
        <v>1</v>
      </c>
      <c r="AD132" s="8" t="s">
        <v>136</v>
      </c>
      <c r="AE132" s="8" t="s">
        <v>136</v>
      </c>
      <c r="AF132" s="8">
        <v>1</v>
      </c>
      <c r="AG132" s="8">
        <v>1</v>
      </c>
      <c r="AH132" s="8">
        <v>1</v>
      </c>
      <c r="AI132" s="8">
        <v>1</v>
      </c>
      <c r="AJ132" s="8">
        <v>1</v>
      </c>
      <c r="AK132" s="10">
        <v>23</v>
      </c>
      <c r="AL132" s="11">
        <v>23</v>
      </c>
      <c r="AM132" s="13">
        <v>23</v>
      </c>
      <c r="AN132" s="13">
        <v>0</v>
      </c>
      <c r="AO132" s="7" t="e">
        <v>#N/A</v>
      </c>
    </row>
    <row r="133" spans="1:41">
      <c r="A133" s="8" t="s">
        <v>131</v>
      </c>
      <c r="B133" s="8" t="s">
        <v>383</v>
      </c>
      <c r="C133" s="8" t="s">
        <v>402</v>
      </c>
      <c r="D133" s="8" t="s">
        <v>403</v>
      </c>
      <c r="E133" s="8" t="s">
        <v>135</v>
      </c>
      <c r="F133" s="8">
        <v>1</v>
      </c>
      <c r="G133" s="8">
        <v>1</v>
      </c>
      <c r="H133" s="8">
        <v>1</v>
      </c>
      <c r="I133" s="8" t="s">
        <v>136</v>
      </c>
      <c r="J133" s="8" t="s">
        <v>136</v>
      </c>
      <c r="K133" s="8">
        <v>1</v>
      </c>
      <c r="L133" s="8">
        <v>1</v>
      </c>
      <c r="M133" s="8">
        <v>1</v>
      </c>
      <c r="N133" s="8">
        <v>1</v>
      </c>
      <c r="O133" s="8">
        <v>1</v>
      </c>
      <c r="P133" s="8" t="s">
        <v>136</v>
      </c>
      <c r="Q133" s="8" t="s">
        <v>136</v>
      </c>
      <c r="R133" s="8">
        <v>1</v>
      </c>
      <c r="S133" s="8">
        <v>1</v>
      </c>
      <c r="T133" s="8">
        <v>1</v>
      </c>
      <c r="U133" s="8">
        <v>1</v>
      </c>
      <c r="V133" s="8">
        <v>1</v>
      </c>
      <c r="W133" s="8" t="s">
        <v>136</v>
      </c>
      <c r="X133" s="8" t="s">
        <v>136</v>
      </c>
      <c r="Y133" s="8">
        <v>1</v>
      </c>
      <c r="Z133" s="8">
        <v>1</v>
      </c>
      <c r="AA133" s="8">
        <v>1</v>
      </c>
      <c r="AB133" s="8">
        <v>1</v>
      </c>
      <c r="AC133" s="8">
        <v>1</v>
      </c>
      <c r="AD133" s="8" t="s">
        <v>136</v>
      </c>
      <c r="AE133" s="8" t="s">
        <v>136</v>
      </c>
      <c r="AF133" s="8">
        <v>1</v>
      </c>
      <c r="AG133" s="8">
        <v>1</v>
      </c>
      <c r="AH133" s="8">
        <v>1</v>
      </c>
      <c r="AI133" s="8">
        <v>1</v>
      </c>
      <c r="AJ133" s="8">
        <v>1</v>
      </c>
      <c r="AK133" s="10">
        <v>23</v>
      </c>
      <c r="AL133" s="11">
        <v>23</v>
      </c>
      <c r="AM133" s="13">
        <v>23</v>
      </c>
      <c r="AN133" s="13">
        <v>0</v>
      </c>
      <c r="AO133" s="7" t="e">
        <v>#N/A</v>
      </c>
    </row>
    <row r="134" spans="1:41">
      <c r="A134" s="8" t="s">
        <v>131</v>
      </c>
      <c r="B134" s="8" t="s">
        <v>383</v>
      </c>
      <c r="C134" s="8" t="s">
        <v>404</v>
      </c>
      <c r="D134" s="8" t="s">
        <v>405</v>
      </c>
      <c r="E134" s="8" t="s">
        <v>135</v>
      </c>
      <c r="F134" s="8">
        <v>1</v>
      </c>
      <c r="G134" s="8">
        <v>1</v>
      </c>
      <c r="H134" s="8">
        <v>1</v>
      </c>
      <c r="I134" s="8" t="s">
        <v>136</v>
      </c>
      <c r="J134" s="8" t="s">
        <v>136</v>
      </c>
      <c r="K134" s="8">
        <v>1</v>
      </c>
      <c r="L134" s="8">
        <v>1</v>
      </c>
      <c r="M134" s="8">
        <v>1</v>
      </c>
      <c r="N134" s="8">
        <v>1</v>
      </c>
      <c r="O134" s="8">
        <v>1</v>
      </c>
      <c r="P134" s="8" t="s">
        <v>136</v>
      </c>
      <c r="Q134" s="8" t="s">
        <v>136</v>
      </c>
      <c r="R134" s="8">
        <v>1</v>
      </c>
      <c r="S134" s="8">
        <v>1</v>
      </c>
      <c r="T134" s="8">
        <v>1</v>
      </c>
      <c r="U134" s="8">
        <v>1</v>
      </c>
      <c r="V134" s="8">
        <v>1</v>
      </c>
      <c r="W134" s="8" t="s">
        <v>136</v>
      </c>
      <c r="X134" s="8" t="s">
        <v>136</v>
      </c>
      <c r="Y134" s="8">
        <v>1</v>
      </c>
      <c r="Z134" s="8">
        <v>1</v>
      </c>
      <c r="AA134" s="8">
        <v>1</v>
      </c>
      <c r="AB134" s="8">
        <v>1</v>
      </c>
      <c r="AC134" s="8">
        <v>1</v>
      </c>
      <c r="AD134" s="8" t="s">
        <v>136</v>
      </c>
      <c r="AE134" s="8" t="s">
        <v>136</v>
      </c>
      <c r="AF134" s="8">
        <v>1</v>
      </c>
      <c r="AG134" s="8">
        <v>1</v>
      </c>
      <c r="AH134" s="8">
        <v>1</v>
      </c>
      <c r="AI134" s="8">
        <v>1</v>
      </c>
      <c r="AJ134" s="8">
        <v>1</v>
      </c>
      <c r="AK134" s="10">
        <v>23</v>
      </c>
      <c r="AL134" s="11">
        <v>23</v>
      </c>
      <c r="AM134" s="13">
        <v>23</v>
      </c>
      <c r="AN134" s="13">
        <v>0</v>
      </c>
      <c r="AO134" s="7" t="e">
        <v>#N/A</v>
      </c>
    </row>
    <row r="135" spans="1:41">
      <c r="A135" s="8" t="s">
        <v>131</v>
      </c>
      <c r="B135" s="8" t="s">
        <v>383</v>
      </c>
      <c r="C135" s="8" t="s">
        <v>406</v>
      </c>
      <c r="D135" s="8" t="s">
        <v>407</v>
      </c>
      <c r="E135" s="8" t="s">
        <v>135</v>
      </c>
      <c r="F135" s="8">
        <v>1</v>
      </c>
      <c r="G135" s="8">
        <v>1</v>
      </c>
      <c r="H135" s="8">
        <v>1</v>
      </c>
      <c r="I135" s="8" t="s">
        <v>136</v>
      </c>
      <c r="J135" s="8" t="s">
        <v>136</v>
      </c>
      <c r="K135" s="8">
        <v>1</v>
      </c>
      <c r="L135" s="8">
        <v>1</v>
      </c>
      <c r="M135" s="8">
        <v>1</v>
      </c>
      <c r="N135" s="8">
        <v>1</v>
      </c>
      <c r="O135" s="8">
        <v>1</v>
      </c>
      <c r="P135" s="8" t="s">
        <v>136</v>
      </c>
      <c r="Q135" s="8" t="s">
        <v>136</v>
      </c>
      <c r="R135" s="8">
        <v>1</v>
      </c>
      <c r="S135" s="8">
        <v>1</v>
      </c>
      <c r="T135" s="8">
        <v>1</v>
      </c>
      <c r="U135" s="8">
        <v>1</v>
      </c>
      <c r="V135" s="8">
        <v>1</v>
      </c>
      <c r="W135" s="8" t="s">
        <v>136</v>
      </c>
      <c r="X135" s="8" t="s">
        <v>136</v>
      </c>
      <c r="Y135" s="8">
        <v>1</v>
      </c>
      <c r="Z135" s="8">
        <v>1</v>
      </c>
      <c r="AA135" s="8">
        <v>1</v>
      </c>
      <c r="AB135" s="8">
        <v>1</v>
      </c>
      <c r="AC135" s="8">
        <v>1</v>
      </c>
      <c r="AD135" s="8" t="s">
        <v>136</v>
      </c>
      <c r="AE135" s="8" t="s">
        <v>136</v>
      </c>
      <c r="AF135" s="8">
        <v>1</v>
      </c>
      <c r="AG135" s="8">
        <v>1</v>
      </c>
      <c r="AH135" s="8">
        <v>1</v>
      </c>
      <c r="AI135" s="8">
        <v>1</v>
      </c>
      <c r="AJ135" s="8">
        <v>1</v>
      </c>
      <c r="AK135" s="10">
        <v>23</v>
      </c>
      <c r="AL135" s="11">
        <v>23</v>
      </c>
      <c r="AM135" s="13">
        <v>23</v>
      </c>
      <c r="AN135" s="13">
        <v>0</v>
      </c>
      <c r="AO135" s="7" t="e">
        <v>#N/A</v>
      </c>
    </row>
    <row r="136" spans="1:41">
      <c r="A136" s="8" t="s">
        <v>131</v>
      </c>
      <c r="B136" s="8" t="s">
        <v>383</v>
      </c>
      <c r="C136" s="8" t="s">
        <v>408</v>
      </c>
      <c r="D136" s="8" t="s">
        <v>409</v>
      </c>
      <c r="E136" s="8" t="s">
        <v>135</v>
      </c>
      <c r="F136" s="8">
        <v>1</v>
      </c>
      <c r="G136" s="8">
        <v>1</v>
      </c>
      <c r="H136" s="8">
        <v>1</v>
      </c>
      <c r="I136" s="8" t="s">
        <v>136</v>
      </c>
      <c r="J136" s="8" t="s">
        <v>136</v>
      </c>
      <c r="K136" s="8">
        <v>1</v>
      </c>
      <c r="L136" s="8">
        <v>1</v>
      </c>
      <c r="M136" s="8">
        <v>1</v>
      </c>
      <c r="N136" s="8">
        <v>1</v>
      </c>
      <c r="O136" s="8">
        <v>1</v>
      </c>
      <c r="P136" s="8" t="s">
        <v>136</v>
      </c>
      <c r="Q136" s="8" t="s">
        <v>136</v>
      </c>
      <c r="R136" s="8">
        <v>1</v>
      </c>
      <c r="S136" s="8">
        <v>1</v>
      </c>
      <c r="T136" s="8">
        <v>1</v>
      </c>
      <c r="U136" s="8">
        <v>1</v>
      </c>
      <c r="V136" s="8">
        <v>1</v>
      </c>
      <c r="W136" s="8" t="s">
        <v>136</v>
      </c>
      <c r="X136" s="8" t="s">
        <v>136</v>
      </c>
      <c r="Y136" s="8">
        <v>1</v>
      </c>
      <c r="Z136" s="8">
        <v>1</v>
      </c>
      <c r="AA136" s="8">
        <v>1</v>
      </c>
      <c r="AB136" s="8">
        <v>1</v>
      </c>
      <c r="AC136" s="8">
        <v>1</v>
      </c>
      <c r="AD136" s="8" t="s">
        <v>136</v>
      </c>
      <c r="AE136" s="8" t="s">
        <v>136</v>
      </c>
      <c r="AF136" s="8">
        <v>1</v>
      </c>
      <c r="AG136" s="8">
        <v>1</v>
      </c>
      <c r="AH136" s="8">
        <v>1</v>
      </c>
      <c r="AI136" s="8">
        <v>1</v>
      </c>
      <c r="AJ136" s="8">
        <v>1</v>
      </c>
      <c r="AK136" s="10">
        <v>23</v>
      </c>
      <c r="AL136" s="11">
        <v>23</v>
      </c>
      <c r="AM136" s="13">
        <v>23</v>
      </c>
      <c r="AN136" s="13">
        <v>0</v>
      </c>
      <c r="AO136" s="7" t="e">
        <v>#N/A</v>
      </c>
    </row>
    <row r="137" spans="1:41">
      <c r="A137" s="8" t="s">
        <v>131</v>
      </c>
      <c r="B137" s="8" t="s">
        <v>383</v>
      </c>
      <c r="C137" s="8" t="s">
        <v>410</v>
      </c>
      <c r="D137" s="8" t="s">
        <v>411</v>
      </c>
      <c r="E137" s="8" t="s">
        <v>135</v>
      </c>
      <c r="F137" s="8">
        <v>1</v>
      </c>
      <c r="G137" s="8">
        <v>1</v>
      </c>
      <c r="H137" s="8">
        <v>1</v>
      </c>
      <c r="I137" s="8" t="s">
        <v>136</v>
      </c>
      <c r="J137" s="8" t="s">
        <v>136</v>
      </c>
      <c r="K137" s="8">
        <v>1</v>
      </c>
      <c r="L137" s="8">
        <v>1</v>
      </c>
      <c r="M137" s="8">
        <v>1</v>
      </c>
      <c r="N137" s="8">
        <v>1</v>
      </c>
      <c r="O137" s="8">
        <v>1</v>
      </c>
      <c r="P137" s="8" t="s">
        <v>136</v>
      </c>
      <c r="Q137" s="8" t="s">
        <v>136</v>
      </c>
      <c r="R137" s="8">
        <v>1</v>
      </c>
      <c r="S137" s="8">
        <v>1</v>
      </c>
      <c r="T137" s="8">
        <v>1</v>
      </c>
      <c r="U137" s="8">
        <v>1</v>
      </c>
      <c r="V137" s="8">
        <v>1</v>
      </c>
      <c r="W137" s="8" t="s">
        <v>136</v>
      </c>
      <c r="X137" s="8" t="s">
        <v>136</v>
      </c>
      <c r="Y137" s="8">
        <v>1</v>
      </c>
      <c r="Z137" s="8">
        <v>1</v>
      </c>
      <c r="AA137" s="8">
        <v>1</v>
      </c>
      <c r="AB137" s="8">
        <v>1</v>
      </c>
      <c r="AC137" s="8">
        <v>1</v>
      </c>
      <c r="AD137" s="8" t="s">
        <v>136</v>
      </c>
      <c r="AE137" s="8" t="s">
        <v>136</v>
      </c>
      <c r="AF137" s="8">
        <v>1</v>
      </c>
      <c r="AG137" s="8">
        <v>1</v>
      </c>
      <c r="AH137" s="8">
        <v>1</v>
      </c>
      <c r="AI137" s="8">
        <v>1</v>
      </c>
      <c r="AJ137" s="8">
        <v>1</v>
      </c>
      <c r="AK137" s="10">
        <v>23</v>
      </c>
      <c r="AL137" s="11">
        <v>23</v>
      </c>
      <c r="AM137" s="13">
        <v>23</v>
      </c>
      <c r="AN137" s="13">
        <v>0</v>
      </c>
      <c r="AO137" s="7" t="e">
        <v>#N/A</v>
      </c>
    </row>
    <row r="138" spans="1:41">
      <c r="A138" s="8" t="s">
        <v>131</v>
      </c>
      <c r="B138" s="8" t="s">
        <v>383</v>
      </c>
      <c r="C138" s="8" t="s">
        <v>412</v>
      </c>
      <c r="D138" s="8" t="s">
        <v>413</v>
      </c>
      <c r="E138" s="8" t="s">
        <v>135</v>
      </c>
      <c r="F138" s="8">
        <v>1</v>
      </c>
      <c r="G138" s="8">
        <v>1</v>
      </c>
      <c r="H138" s="8">
        <v>1</v>
      </c>
      <c r="I138" s="8" t="s">
        <v>136</v>
      </c>
      <c r="J138" s="8" t="s">
        <v>136</v>
      </c>
      <c r="K138" s="8">
        <v>1</v>
      </c>
      <c r="L138" s="8">
        <v>1</v>
      </c>
      <c r="M138" s="8">
        <v>1</v>
      </c>
      <c r="N138" s="8">
        <v>1</v>
      </c>
      <c r="O138" s="8">
        <v>1</v>
      </c>
      <c r="P138" s="8" t="s">
        <v>136</v>
      </c>
      <c r="Q138" s="8" t="s">
        <v>136</v>
      </c>
      <c r="R138" s="8">
        <v>1</v>
      </c>
      <c r="S138" s="8">
        <v>1</v>
      </c>
      <c r="T138" s="8">
        <v>1</v>
      </c>
      <c r="U138" s="8">
        <v>1</v>
      </c>
      <c r="V138" s="8">
        <v>1</v>
      </c>
      <c r="W138" s="8" t="s">
        <v>136</v>
      </c>
      <c r="X138" s="8" t="s">
        <v>136</v>
      </c>
      <c r="Y138" s="8">
        <v>1</v>
      </c>
      <c r="Z138" s="8">
        <v>1</v>
      </c>
      <c r="AA138" s="8">
        <v>1</v>
      </c>
      <c r="AB138" s="8">
        <v>1</v>
      </c>
      <c r="AC138" s="8">
        <v>1</v>
      </c>
      <c r="AD138" s="8" t="s">
        <v>136</v>
      </c>
      <c r="AE138" s="8" t="s">
        <v>136</v>
      </c>
      <c r="AF138" s="8">
        <v>1</v>
      </c>
      <c r="AG138" s="8">
        <v>1</v>
      </c>
      <c r="AH138" s="8">
        <v>1</v>
      </c>
      <c r="AI138" s="8">
        <v>1</v>
      </c>
      <c r="AJ138" s="8">
        <v>1</v>
      </c>
      <c r="AK138" s="10">
        <v>23</v>
      </c>
      <c r="AL138" s="11">
        <v>23</v>
      </c>
      <c r="AM138" s="13">
        <v>23</v>
      </c>
      <c r="AN138" s="13">
        <v>0</v>
      </c>
      <c r="AO138" s="7" t="e">
        <v>#N/A</v>
      </c>
    </row>
    <row r="139" spans="1:41">
      <c r="A139" s="8" t="s">
        <v>131</v>
      </c>
      <c r="B139" s="8" t="s">
        <v>383</v>
      </c>
      <c r="C139" s="8" t="s">
        <v>414</v>
      </c>
      <c r="D139" s="8" t="s">
        <v>415</v>
      </c>
      <c r="E139" s="8" t="s">
        <v>135</v>
      </c>
      <c r="F139" s="8">
        <v>1</v>
      </c>
      <c r="G139" s="8">
        <v>1</v>
      </c>
      <c r="H139" s="8">
        <v>1</v>
      </c>
      <c r="I139" s="8" t="s">
        <v>136</v>
      </c>
      <c r="J139" s="8" t="s">
        <v>136</v>
      </c>
      <c r="K139" s="8">
        <v>1</v>
      </c>
      <c r="L139" s="8">
        <v>1</v>
      </c>
      <c r="M139" s="8">
        <v>1</v>
      </c>
      <c r="N139" s="8">
        <v>1</v>
      </c>
      <c r="O139" s="8">
        <v>1</v>
      </c>
      <c r="P139" s="8" t="s">
        <v>136</v>
      </c>
      <c r="Q139" s="8" t="s">
        <v>136</v>
      </c>
      <c r="R139" s="8">
        <v>1</v>
      </c>
      <c r="S139" s="8">
        <v>1</v>
      </c>
      <c r="T139" s="8">
        <v>1</v>
      </c>
      <c r="U139" s="8">
        <v>1</v>
      </c>
      <c r="V139" s="8">
        <v>1</v>
      </c>
      <c r="W139" s="8" t="s">
        <v>136</v>
      </c>
      <c r="X139" s="8" t="s">
        <v>136</v>
      </c>
      <c r="Y139" s="8">
        <v>1</v>
      </c>
      <c r="Z139" s="8">
        <v>1</v>
      </c>
      <c r="AA139" s="8">
        <v>1</v>
      </c>
      <c r="AB139" s="8">
        <v>1</v>
      </c>
      <c r="AC139" s="8">
        <v>1</v>
      </c>
      <c r="AD139" s="8" t="s">
        <v>136</v>
      </c>
      <c r="AE139" s="8" t="s">
        <v>136</v>
      </c>
      <c r="AF139" s="8">
        <v>1</v>
      </c>
      <c r="AG139" s="8">
        <v>1</v>
      </c>
      <c r="AH139" s="8">
        <v>1</v>
      </c>
      <c r="AI139" s="8">
        <v>1</v>
      </c>
      <c r="AJ139" s="8">
        <v>1</v>
      </c>
      <c r="AK139" s="10">
        <v>23</v>
      </c>
      <c r="AL139" s="11">
        <v>23</v>
      </c>
      <c r="AM139" s="13">
        <v>23</v>
      </c>
      <c r="AN139" s="13">
        <v>0</v>
      </c>
      <c r="AO139" s="7" t="e">
        <v>#N/A</v>
      </c>
    </row>
    <row r="140" spans="1:41">
      <c r="A140" s="8" t="s">
        <v>131</v>
      </c>
      <c r="B140" s="8" t="s">
        <v>383</v>
      </c>
      <c r="C140" s="8" t="s">
        <v>416</v>
      </c>
      <c r="D140" s="8" t="s">
        <v>417</v>
      </c>
      <c r="E140" s="8" t="s">
        <v>135</v>
      </c>
      <c r="F140" s="8">
        <v>1</v>
      </c>
      <c r="G140" s="8">
        <v>1</v>
      </c>
      <c r="H140" s="8">
        <v>1</v>
      </c>
      <c r="I140" s="8" t="s">
        <v>136</v>
      </c>
      <c r="J140" s="8" t="s">
        <v>136</v>
      </c>
      <c r="K140" s="8">
        <v>1</v>
      </c>
      <c r="L140" s="8">
        <v>1</v>
      </c>
      <c r="M140" s="8">
        <v>1</v>
      </c>
      <c r="N140" s="8">
        <v>1</v>
      </c>
      <c r="O140" s="8">
        <v>1</v>
      </c>
      <c r="P140" s="8" t="s">
        <v>136</v>
      </c>
      <c r="Q140" s="8" t="s">
        <v>136</v>
      </c>
      <c r="R140" s="8">
        <v>1</v>
      </c>
      <c r="S140" s="8">
        <v>1</v>
      </c>
      <c r="T140" s="8">
        <v>1</v>
      </c>
      <c r="U140" s="8">
        <v>1</v>
      </c>
      <c r="V140" s="8">
        <v>1</v>
      </c>
      <c r="W140" s="8" t="s">
        <v>136</v>
      </c>
      <c r="X140" s="8" t="s">
        <v>136</v>
      </c>
      <c r="Y140" s="8">
        <v>1</v>
      </c>
      <c r="Z140" s="8">
        <v>1</v>
      </c>
      <c r="AA140" s="8">
        <v>1</v>
      </c>
      <c r="AB140" s="8">
        <v>1</v>
      </c>
      <c r="AC140" s="8">
        <v>1</v>
      </c>
      <c r="AD140" s="8" t="s">
        <v>136</v>
      </c>
      <c r="AE140" s="8" t="s">
        <v>136</v>
      </c>
      <c r="AF140" s="8">
        <v>1</v>
      </c>
      <c r="AG140" s="8">
        <v>1</v>
      </c>
      <c r="AH140" s="8">
        <v>1</v>
      </c>
      <c r="AI140" s="8">
        <v>1</v>
      </c>
      <c r="AJ140" s="8">
        <v>1</v>
      </c>
      <c r="AK140" s="10">
        <v>23</v>
      </c>
      <c r="AL140" s="11">
        <v>23</v>
      </c>
      <c r="AM140" s="13">
        <v>23</v>
      </c>
      <c r="AN140" s="13">
        <v>0</v>
      </c>
      <c r="AO140" s="7" t="e">
        <v>#N/A</v>
      </c>
    </row>
    <row r="141" spans="1:41">
      <c r="A141" s="8" t="s">
        <v>131</v>
      </c>
      <c r="B141" s="8" t="s">
        <v>383</v>
      </c>
      <c r="C141" s="8" t="s">
        <v>418</v>
      </c>
      <c r="D141" s="8" t="s">
        <v>419</v>
      </c>
      <c r="E141" s="8" t="s">
        <v>135</v>
      </c>
      <c r="F141" s="8">
        <v>1</v>
      </c>
      <c r="G141" s="8">
        <v>1</v>
      </c>
      <c r="H141" s="8">
        <v>1</v>
      </c>
      <c r="I141" s="8" t="s">
        <v>136</v>
      </c>
      <c r="J141" s="8" t="s">
        <v>136</v>
      </c>
      <c r="K141" s="8">
        <v>1</v>
      </c>
      <c r="L141" s="8">
        <v>1</v>
      </c>
      <c r="M141" s="8">
        <v>1</v>
      </c>
      <c r="N141" s="8">
        <v>1</v>
      </c>
      <c r="O141" s="8">
        <v>1</v>
      </c>
      <c r="P141" s="8" t="s">
        <v>136</v>
      </c>
      <c r="Q141" s="8" t="s">
        <v>136</v>
      </c>
      <c r="R141" s="8">
        <v>1</v>
      </c>
      <c r="S141" s="8">
        <v>1</v>
      </c>
      <c r="T141" s="8">
        <v>1</v>
      </c>
      <c r="U141" s="8">
        <v>1</v>
      </c>
      <c r="V141" s="8">
        <v>1</v>
      </c>
      <c r="W141" s="8" t="s">
        <v>136</v>
      </c>
      <c r="X141" s="8" t="s">
        <v>136</v>
      </c>
      <c r="Y141" s="8">
        <v>1</v>
      </c>
      <c r="Z141" s="8">
        <v>1</v>
      </c>
      <c r="AA141" s="8">
        <v>1</v>
      </c>
      <c r="AB141" s="8">
        <v>1</v>
      </c>
      <c r="AC141" s="8">
        <v>1</v>
      </c>
      <c r="AD141" s="8" t="s">
        <v>136</v>
      </c>
      <c r="AE141" s="8" t="s">
        <v>136</v>
      </c>
      <c r="AF141" s="8">
        <v>1</v>
      </c>
      <c r="AG141" s="8">
        <v>1</v>
      </c>
      <c r="AH141" s="8">
        <v>1</v>
      </c>
      <c r="AI141" s="8">
        <v>1</v>
      </c>
      <c r="AJ141" s="8">
        <v>1</v>
      </c>
      <c r="AK141" s="10">
        <v>23</v>
      </c>
      <c r="AL141" s="11">
        <v>23</v>
      </c>
      <c r="AM141" s="13">
        <v>23</v>
      </c>
      <c r="AN141" s="13">
        <v>0</v>
      </c>
      <c r="AO141" s="7" t="e">
        <v>#N/A</v>
      </c>
    </row>
    <row r="142" spans="1:41">
      <c r="A142" s="8" t="s">
        <v>131</v>
      </c>
      <c r="B142" s="8" t="s">
        <v>383</v>
      </c>
      <c r="C142" s="8" t="s">
        <v>420</v>
      </c>
      <c r="D142" s="8" t="s">
        <v>421</v>
      </c>
      <c r="E142" s="8" t="s">
        <v>135</v>
      </c>
      <c r="F142" s="8">
        <v>1</v>
      </c>
      <c r="G142" s="8">
        <v>1</v>
      </c>
      <c r="H142" s="8">
        <v>1</v>
      </c>
      <c r="I142" s="8" t="s">
        <v>136</v>
      </c>
      <c r="J142" s="8" t="s">
        <v>136</v>
      </c>
      <c r="K142" s="8">
        <v>1</v>
      </c>
      <c r="L142" s="8">
        <v>1</v>
      </c>
      <c r="M142" s="8">
        <v>1</v>
      </c>
      <c r="N142" s="8">
        <v>1</v>
      </c>
      <c r="O142" s="8">
        <v>1</v>
      </c>
      <c r="P142" s="8" t="s">
        <v>136</v>
      </c>
      <c r="Q142" s="8" t="s">
        <v>136</v>
      </c>
      <c r="R142" s="8">
        <v>1</v>
      </c>
      <c r="S142" s="8">
        <v>1</v>
      </c>
      <c r="T142" s="8">
        <v>1</v>
      </c>
      <c r="U142" s="8">
        <v>1</v>
      </c>
      <c r="V142" s="8">
        <v>1</v>
      </c>
      <c r="W142" s="8" t="s">
        <v>136</v>
      </c>
      <c r="X142" s="8" t="s">
        <v>136</v>
      </c>
      <c r="Y142" s="8">
        <v>1</v>
      </c>
      <c r="Z142" s="8">
        <v>1</v>
      </c>
      <c r="AA142" s="8">
        <v>1</v>
      </c>
      <c r="AB142" s="8">
        <v>1</v>
      </c>
      <c r="AC142" s="8">
        <v>1</v>
      </c>
      <c r="AD142" s="8" t="s">
        <v>136</v>
      </c>
      <c r="AE142" s="8" t="s">
        <v>136</v>
      </c>
      <c r="AF142" s="8">
        <v>1</v>
      </c>
      <c r="AG142" s="8">
        <v>1</v>
      </c>
      <c r="AH142" s="8">
        <v>1</v>
      </c>
      <c r="AI142" s="8">
        <v>1</v>
      </c>
      <c r="AJ142" s="8">
        <v>1</v>
      </c>
      <c r="AK142" s="10">
        <v>23</v>
      </c>
      <c r="AL142" s="11">
        <v>23</v>
      </c>
      <c r="AM142" s="13">
        <v>23</v>
      </c>
      <c r="AN142" s="13">
        <v>0</v>
      </c>
      <c r="AO142" s="7" t="e">
        <v>#N/A</v>
      </c>
    </row>
    <row r="143" spans="1:41">
      <c r="A143" s="8" t="s">
        <v>131</v>
      </c>
      <c r="B143" s="8" t="s">
        <v>383</v>
      </c>
      <c r="C143" s="8" t="s">
        <v>422</v>
      </c>
      <c r="D143" s="8" t="s">
        <v>423</v>
      </c>
      <c r="E143" s="8" t="s">
        <v>135</v>
      </c>
      <c r="F143" s="8">
        <v>1</v>
      </c>
      <c r="G143" s="8">
        <v>1</v>
      </c>
      <c r="H143" s="8">
        <v>1</v>
      </c>
      <c r="I143" s="8" t="s">
        <v>136</v>
      </c>
      <c r="J143" s="8" t="s">
        <v>136</v>
      </c>
      <c r="K143" s="8">
        <v>1</v>
      </c>
      <c r="L143" s="8">
        <v>1</v>
      </c>
      <c r="M143" s="8">
        <v>1</v>
      </c>
      <c r="N143" s="8">
        <v>1</v>
      </c>
      <c r="O143" s="8">
        <v>1</v>
      </c>
      <c r="P143" s="8" t="s">
        <v>136</v>
      </c>
      <c r="Q143" s="8" t="s">
        <v>136</v>
      </c>
      <c r="R143" s="8">
        <v>1</v>
      </c>
      <c r="S143" s="8">
        <v>1</v>
      </c>
      <c r="T143" s="8">
        <v>1</v>
      </c>
      <c r="U143" s="8">
        <v>1</v>
      </c>
      <c r="V143" s="8">
        <v>1</v>
      </c>
      <c r="W143" s="8" t="s">
        <v>136</v>
      </c>
      <c r="X143" s="8" t="s">
        <v>136</v>
      </c>
      <c r="Y143" s="8">
        <v>1</v>
      </c>
      <c r="Z143" s="8">
        <v>1</v>
      </c>
      <c r="AA143" s="8">
        <v>1</v>
      </c>
      <c r="AB143" s="8">
        <v>1</v>
      </c>
      <c r="AC143" s="8">
        <v>1</v>
      </c>
      <c r="AD143" s="8" t="s">
        <v>136</v>
      </c>
      <c r="AE143" s="8" t="s">
        <v>136</v>
      </c>
      <c r="AF143" s="8">
        <v>1</v>
      </c>
      <c r="AG143" s="8">
        <v>1</v>
      </c>
      <c r="AH143" s="8">
        <v>1</v>
      </c>
      <c r="AI143" s="8">
        <v>1</v>
      </c>
      <c r="AJ143" s="8">
        <v>1</v>
      </c>
      <c r="AK143" s="10">
        <v>23</v>
      </c>
      <c r="AL143" s="11">
        <v>23</v>
      </c>
      <c r="AM143" s="13">
        <v>23</v>
      </c>
      <c r="AN143" s="13">
        <v>0</v>
      </c>
      <c r="AO143" s="7" t="e">
        <v>#N/A</v>
      </c>
    </row>
    <row r="144" spans="1:41">
      <c r="A144" s="8" t="s">
        <v>131</v>
      </c>
      <c r="B144" s="8" t="s">
        <v>383</v>
      </c>
      <c r="C144" s="8" t="s">
        <v>424</v>
      </c>
      <c r="D144" s="8" t="s">
        <v>425</v>
      </c>
      <c r="E144" s="8" t="s">
        <v>135</v>
      </c>
      <c r="F144" s="8">
        <v>1</v>
      </c>
      <c r="G144" s="8">
        <v>1</v>
      </c>
      <c r="H144" s="8">
        <v>1</v>
      </c>
      <c r="I144" s="8" t="s">
        <v>136</v>
      </c>
      <c r="J144" s="8" t="s">
        <v>136</v>
      </c>
      <c r="K144" s="8">
        <v>1</v>
      </c>
      <c r="L144" s="8">
        <v>1</v>
      </c>
      <c r="M144" s="8">
        <v>1</v>
      </c>
      <c r="N144" s="8">
        <v>1</v>
      </c>
      <c r="O144" s="8">
        <v>1</v>
      </c>
      <c r="P144" s="8" t="s">
        <v>136</v>
      </c>
      <c r="Q144" s="8" t="s">
        <v>136</v>
      </c>
      <c r="R144" s="8">
        <v>1</v>
      </c>
      <c r="S144" s="8">
        <v>1</v>
      </c>
      <c r="T144" s="8">
        <v>1</v>
      </c>
      <c r="U144" s="8">
        <v>1</v>
      </c>
      <c r="V144" s="8">
        <v>1</v>
      </c>
      <c r="W144" s="8" t="s">
        <v>136</v>
      </c>
      <c r="X144" s="8" t="s">
        <v>136</v>
      </c>
      <c r="Y144" s="8">
        <v>1</v>
      </c>
      <c r="Z144" s="8">
        <v>1</v>
      </c>
      <c r="AA144" s="8">
        <v>1</v>
      </c>
      <c r="AB144" s="8">
        <v>1</v>
      </c>
      <c r="AC144" s="8">
        <v>1</v>
      </c>
      <c r="AD144" s="8" t="s">
        <v>136</v>
      </c>
      <c r="AE144" s="8" t="s">
        <v>136</v>
      </c>
      <c r="AF144" s="8">
        <v>1</v>
      </c>
      <c r="AG144" s="8">
        <v>1</v>
      </c>
      <c r="AH144" s="8">
        <v>1</v>
      </c>
      <c r="AI144" s="8">
        <v>1</v>
      </c>
      <c r="AJ144" s="8">
        <v>1</v>
      </c>
      <c r="AK144" s="10">
        <v>23</v>
      </c>
      <c r="AL144" s="11">
        <v>23</v>
      </c>
      <c r="AM144" s="13">
        <v>23</v>
      </c>
      <c r="AN144" s="13">
        <v>0</v>
      </c>
      <c r="AO144" s="7" t="e">
        <v>#N/A</v>
      </c>
    </row>
    <row r="145" spans="1:41">
      <c r="A145" s="8" t="s">
        <v>131</v>
      </c>
      <c r="B145" s="8" t="s">
        <v>383</v>
      </c>
      <c r="C145" s="8" t="s">
        <v>426</v>
      </c>
      <c r="D145" s="8" t="s">
        <v>427</v>
      </c>
      <c r="E145" s="8" t="s">
        <v>135</v>
      </c>
      <c r="F145" s="8">
        <v>1</v>
      </c>
      <c r="G145" s="8">
        <v>1</v>
      </c>
      <c r="H145" s="8">
        <v>1</v>
      </c>
      <c r="I145" s="8" t="s">
        <v>136</v>
      </c>
      <c r="J145" s="8" t="s">
        <v>136</v>
      </c>
      <c r="K145" s="8">
        <v>1</v>
      </c>
      <c r="L145" s="8">
        <v>1</v>
      </c>
      <c r="M145" s="8">
        <v>1</v>
      </c>
      <c r="N145" s="8">
        <v>1</v>
      </c>
      <c r="O145" s="8">
        <v>1</v>
      </c>
      <c r="P145" s="8" t="s">
        <v>136</v>
      </c>
      <c r="Q145" s="8" t="s">
        <v>136</v>
      </c>
      <c r="R145" s="8">
        <v>1</v>
      </c>
      <c r="S145" s="8">
        <v>1</v>
      </c>
      <c r="T145" s="8">
        <v>1</v>
      </c>
      <c r="U145" s="8">
        <v>1</v>
      </c>
      <c r="V145" s="8">
        <v>1</v>
      </c>
      <c r="W145" s="8" t="s">
        <v>136</v>
      </c>
      <c r="X145" s="8" t="s">
        <v>136</v>
      </c>
      <c r="Y145" s="8">
        <v>1</v>
      </c>
      <c r="Z145" s="8">
        <v>1</v>
      </c>
      <c r="AA145" s="8">
        <v>1</v>
      </c>
      <c r="AB145" s="8">
        <v>1</v>
      </c>
      <c r="AC145" s="8">
        <v>1</v>
      </c>
      <c r="AD145" s="8" t="s">
        <v>136</v>
      </c>
      <c r="AE145" s="8" t="s">
        <v>136</v>
      </c>
      <c r="AF145" s="8">
        <v>1</v>
      </c>
      <c r="AG145" s="8">
        <v>1</v>
      </c>
      <c r="AH145" s="8">
        <v>1</v>
      </c>
      <c r="AI145" s="8">
        <v>1</v>
      </c>
      <c r="AJ145" s="8">
        <v>1</v>
      </c>
      <c r="AK145" s="10">
        <v>23</v>
      </c>
      <c r="AL145" s="11">
        <v>23</v>
      </c>
      <c r="AM145" s="13">
        <v>23</v>
      </c>
      <c r="AN145" s="13">
        <v>0</v>
      </c>
      <c r="AO145" s="7" t="e">
        <v>#N/A</v>
      </c>
    </row>
    <row r="146" spans="1:41">
      <c r="A146" s="8" t="s">
        <v>131</v>
      </c>
      <c r="B146" s="8" t="s">
        <v>383</v>
      </c>
      <c r="C146" s="8" t="s">
        <v>428</v>
      </c>
      <c r="D146" s="8" t="s">
        <v>429</v>
      </c>
      <c r="E146" s="8" t="s">
        <v>135</v>
      </c>
      <c r="F146" s="8">
        <v>1</v>
      </c>
      <c r="G146" s="8">
        <v>1</v>
      </c>
      <c r="H146" s="8">
        <v>1</v>
      </c>
      <c r="I146" s="8" t="s">
        <v>136</v>
      </c>
      <c r="J146" s="8" t="s">
        <v>136</v>
      </c>
      <c r="K146" s="8">
        <v>1</v>
      </c>
      <c r="L146" s="8">
        <v>1</v>
      </c>
      <c r="M146" s="8">
        <v>1</v>
      </c>
      <c r="N146" s="8">
        <v>1</v>
      </c>
      <c r="O146" s="8">
        <v>1</v>
      </c>
      <c r="P146" s="8" t="s">
        <v>136</v>
      </c>
      <c r="Q146" s="8" t="s">
        <v>136</v>
      </c>
      <c r="R146" s="8">
        <v>1</v>
      </c>
      <c r="S146" s="8">
        <v>1</v>
      </c>
      <c r="T146" s="8">
        <v>1</v>
      </c>
      <c r="U146" s="8">
        <v>1</v>
      </c>
      <c r="V146" s="8">
        <v>1</v>
      </c>
      <c r="W146" s="8" t="s">
        <v>136</v>
      </c>
      <c r="X146" s="8" t="s">
        <v>136</v>
      </c>
      <c r="Y146" s="8">
        <v>1</v>
      </c>
      <c r="Z146" s="8">
        <v>1</v>
      </c>
      <c r="AA146" s="8">
        <v>1</v>
      </c>
      <c r="AB146" s="8">
        <v>1</v>
      </c>
      <c r="AC146" s="8">
        <v>1</v>
      </c>
      <c r="AD146" s="8" t="s">
        <v>136</v>
      </c>
      <c r="AE146" s="8" t="s">
        <v>136</v>
      </c>
      <c r="AF146" s="8">
        <v>1</v>
      </c>
      <c r="AG146" s="8">
        <v>1</v>
      </c>
      <c r="AH146" s="8">
        <v>1</v>
      </c>
      <c r="AI146" s="8">
        <v>1</v>
      </c>
      <c r="AJ146" s="8">
        <v>1</v>
      </c>
      <c r="AK146" s="10">
        <v>23</v>
      </c>
      <c r="AL146" s="11">
        <v>23</v>
      </c>
      <c r="AM146" s="13">
        <v>23</v>
      </c>
      <c r="AN146" s="13">
        <v>0</v>
      </c>
      <c r="AO146" s="7" t="e">
        <v>#N/A</v>
      </c>
    </row>
    <row r="147" spans="1:41">
      <c r="A147" s="8" t="s">
        <v>131</v>
      </c>
      <c r="B147" s="8" t="s">
        <v>383</v>
      </c>
      <c r="C147" s="8" t="s">
        <v>430</v>
      </c>
      <c r="D147" s="8" t="s">
        <v>431</v>
      </c>
      <c r="E147" s="8" t="s">
        <v>135</v>
      </c>
      <c r="F147" s="8">
        <v>1</v>
      </c>
      <c r="G147" s="8">
        <v>1</v>
      </c>
      <c r="H147" s="8">
        <v>1</v>
      </c>
      <c r="I147" s="8" t="s">
        <v>136</v>
      </c>
      <c r="J147" s="8" t="s">
        <v>136</v>
      </c>
      <c r="K147" s="8">
        <v>1</v>
      </c>
      <c r="L147" s="8">
        <v>1</v>
      </c>
      <c r="M147" s="8">
        <v>1</v>
      </c>
      <c r="N147" s="8">
        <v>1</v>
      </c>
      <c r="O147" s="8">
        <v>1</v>
      </c>
      <c r="P147" s="8" t="s">
        <v>136</v>
      </c>
      <c r="Q147" s="8" t="s">
        <v>136</v>
      </c>
      <c r="R147" s="8">
        <v>1</v>
      </c>
      <c r="S147" s="8">
        <v>1</v>
      </c>
      <c r="T147" s="8">
        <v>1</v>
      </c>
      <c r="U147" s="8">
        <v>1</v>
      </c>
      <c r="V147" s="8">
        <v>1</v>
      </c>
      <c r="W147" s="8" t="s">
        <v>136</v>
      </c>
      <c r="X147" s="8" t="s">
        <v>136</v>
      </c>
      <c r="Y147" s="8">
        <v>1</v>
      </c>
      <c r="Z147" s="8">
        <v>1</v>
      </c>
      <c r="AA147" s="8">
        <v>1</v>
      </c>
      <c r="AB147" s="8">
        <v>1</v>
      </c>
      <c r="AC147" s="8">
        <v>1</v>
      </c>
      <c r="AD147" s="8" t="s">
        <v>136</v>
      </c>
      <c r="AE147" s="8" t="s">
        <v>136</v>
      </c>
      <c r="AF147" s="8">
        <v>1</v>
      </c>
      <c r="AG147" s="8">
        <v>1</v>
      </c>
      <c r="AH147" s="8">
        <v>1</v>
      </c>
      <c r="AI147" s="8">
        <v>1</v>
      </c>
      <c r="AJ147" s="8">
        <v>1</v>
      </c>
      <c r="AK147" s="10">
        <v>23</v>
      </c>
      <c r="AL147" s="11">
        <v>23</v>
      </c>
      <c r="AM147" s="13">
        <v>23</v>
      </c>
      <c r="AN147" s="13">
        <v>0</v>
      </c>
      <c r="AO147" s="7" t="e">
        <v>#N/A</v>
      </c>
    </row>
    <row r="148" spans="1:41">
      <c r="A148" s="8" t="s">
        <v>131</v>
      </c>
      <c r="B148" s="8" t="s">
        <v>383</v>
      </c>
      <c r="C148" s="8" t="s">
        <v>432</v>
      </c>
      <c r="D148" s="8" t="s">
        <v>433</v>
      </c>
      <c r="E148" s="8" t="s">
        <v>135</v>
      </c>
      <c r="F148" s="8">
        <v>1</v>
      </c>
      <c r="G148" s="8">
        <v>1</v>
      </c>
      <c r="H148" s="8">
        <v>1</v>
      </c>
      <c r="I148" s="8" t="s">
        <v>136</v>
      </c>
      <c r="J148" s="8" t="s">
        <v>136</v>
      </c>
      <c r="K148" s="8">
        <v>1</v>
      </c>
      <c r="L148" s="8">
        <v>1</v>
      </c>
      <c r="M148" s="8">
        <v>1</v>
      </c>
      <c r="N148" s="8">
        <v>1</v>
      </c>
      <c r="O148" s="8">
        <v>1</v>
      </c>
      <c r="P148" s="8" t="s">
        <v>136</v>
      </c>
      <c r="Q148" s="8" t="s">
        <v>136</v>
      </c>
      <c r="R148" s="8">
        <v>1</v>
      </c>
      <c r="S148" s="8">
        <v>1</v>
      </c>
      <c r="T148" s="8">
        <v>1</v>
      </c>
      <c r="U148" s="8">
        <v>1</v>
      </c>
      <c r="V148" s="8">
        <v>1</v>
      </c>
      <c r="W148" s="8" t="s">
        <v>136</v>
      </c>
      <c r="X148" s="8" t="s">
        <v>136</v>
      </c>
      <c r="Y148" s="8">
        <v>1</v>
      </c>
      <c r="Z148" s="8">
        <v>1</v>
      </c>
      <c r="AA148" s="8">
        <v>1</v>
      </c>
      <c r="AB148" s="8">
        <v>1</v>
      </c>
      <c r="AC148" s="8">
        <v>1</v>
      </c>
      <c r="AD148" s="8" t="s">
        <v>136</v>
      </c>
      <c r="AE148" s="8" t="s">
        <v>136</v>
      </c>
      <c r="AF148" s="8">
        <v>1</v>
      </c>
      <c r="AG148" s="8">
        <v>1</v>
      </c>
      <c r="AH148" s="8">
        <v>1</v>
      </c>
      <c r="AI148" s="8">
        <v>1</v>
      </c>
      <c r="AJ148" s="8">
        <v>1</v>
      </c>
      <c r="AK148" s="10">
        <v>23</v>
      </c>
      <c r="AL148" s="11">
        <v>23</v>
      </c>
      <c r="AM148" s="13">
        <v>23</v>
      </c>
      <c r="AN148" s="13">
        <v>0</v>
      </c>
      <c r="AO148" s="7" t="e">
        <v>#N/A</v>
      </c>
    </row>
    <row r="149" spans="1:41">
      <c r="A149" s="8" t="s">
        <v>131</v>
      </c>
      <c r="B149" s="8" t="s">
        <v>383</v>
      </c>
      <c r="C149" s="8" t="s">
        <v>434</v>
      </c>
      <c r="D149" s="8" t="s">
        <v>435</v>
      </c>
      <c r="E149" s="8" t="s">
        <v>135</v>
      </c>
      <c r="F149" s="8">
        <v>1</v>
      </c>
      <c r="G149" s="8">
        <v>1</v>
      </c>
      <c r="H149" s="8">
        <v>1</v>
      </c>
      <c r="I149" s="8" t="s">
        <v>136</v>
      </c>
      <c r="J149" s="8" t="s">
        <v>136</v>
      </c>
      <c r="K149" s="8">
        <v>1</v>
      </c>
      <c r="L149" s="8">
        <v>1</v>
      </c>
      <c r="M149" s="8">
        <v>1</v>
      </c>
      <c r="N149" s="8">
        <v>1</v>
      </c>
      <c r="O149" s="8">
        <v>1</v>
      </c>
      <c r="P149" s="8" t="s">
        <v>136</v>
      </c>
      <c r="Q149" s="8" t="s">
        <v>136</v>
      </c>
      <c r="R149" s="8">
        <v>1</v>
      </c>
      <c r="S149" s="8">
        <v>1</v>
      </c>
      <c r="T149" s="8">
        <v>1</v>
      </c>
      <c r="U149" s="8">
        <v>1</v>
      </c>
      <c r="V149" s="8">
        <v>1</v>
      </c>
      <c r="W149" s="8" t="s">
        <v>136</v>
      </c>
      <c r="X149" s="8" t="s">
        <v>136</v>
      </c>
      <c r="Y149" s="8">
        <v>1</v>
      </c>
      <c r="Z149" s="8">
        <v>1</v>
      </c>
      <c r="AA149" s="8">
        <v>1</v>
      </c>
      <c r="AB149" s="8">
        <v>1</v>
      </c>
      <c r="AC149" s="8">
        <v>1</v>
      </c>
      <c r="AD149" s="8" t="s">
        <v>136</v>
      </c>
      <c r="AE149" s="8" t="s">
        <v>136</v>
      </c>
      <c r="AF149" s="8">
        <v>1</v>
      </c>
      <c r="AG149" s="8">
        <v>1</v>
      </c>
      <c r="AH149" s="8">
        <v>1</v>
      </c>
      <c r="AI149" s="8">
        <v>1</v>
      </c>
      <c r="AJ149" s="8">
        <v>1</v>
      </c>
      <c r="AK149" s="10">
        <v>23</v>
      </c>
      <c r="AL149" s="11">
        <v>23</v>
      </c>
      <c r="AM149" s="13">
        <v>23</v>
      </c>
      <c r="AN149" s="13">
        <v>0</v>
      </c>
      <c r="AO149" s="7" t="e">
        <v>#N/A</v>
      </c>
    </row>
    <row r="150" spans="1:41">
      <c r="A150" s="8" t="s">
        <v>131</v>
      </c>
      <c r="B150" s="8" t="s">
        <v>383</v>
      </c>
      <c r="C150" s="8" t="s">
        <v>436</v>
      </c>
      <c r="D150" s="8" t="s">
        <v>437</v>
      </c>
      <c r="E150" s="8" t="s">
        <v>135</v>
      </c>
      <c r="F150" s="8">
        <v>1</v>
      </c>
      <c r="G150" s="8">
        <v>1</v>
      </c>
      <c r="H150" s="8">
        <v>1</v>
      </c>
      <c r="I150" s="8" t="s">
        <v>136</v>
      </c>
      <c r="J150" s="8" t="s">
        <v>136</v>
      </c>
      <c r="K150" s="8">
        <v>1</v>
      </c>
      <c r="L150" s="8">
        <v>1</v>
      </c>
      <c r="M150" s="8">
        <v>1</v>
      </c>
      <c r="N150" s="8">
        <v>1</v>
      </c>
      <c r="O150" s="8">
        <v>1</v>
      </c>
      <c r="P150" s="8" t="s">
        <v>136</v>
      </c>
      <c r="Q150" s="8" t="s">
        <v>136</v>
      </c>
      <c r="R150" s="8">
        <v>1</v>
      </c>
      <c r="S150" s="8">
        <v>1</v>
      </c>
      <c r="T150" s="8">
        <v>1</v>
      </c>
      <c r="U150" s="8">
        <v>1</v>
      </c>
      <c r="V150" s="8">
        <v>1</v>
      </c>
      <c r="W150" s="8" t="s">
        <v>136</v>
      </c>
      <c r="X150" s="8" t="s">
        <v>136</v>
      </c>
      <c r="Y150" s="8">
        <v>1</v>
      </c>
      <c r="Z150" s="8">
        <v>1</v>
      </c>
      <c r="AA150" s="8">
        <v>1</v>
      </c>
      <c r="AB150" s="8">
        <v>1</v>
      </c>
      <c r="AC150" s="8">
        <v>1</v>
      </c>
      <c r="AD150" s="8" t="s">
        <v>136</v>
      </c>
      <c r="AE150" s="8" t="s">
        <v>136</v>
      </c>
      <c r="AF150" s="8">
        <v>1</v>
      </c>
      <c r="AG150" s="8">
        <v>1</v>
      </c>
      <c r="AH150" s="8">
        <v>1</v>
      </c>
      <c r="AI150" s="8">
        <v>1</v>
      </c>
      <c r="AJ150" s="8">
        <v>1</v>
      </c>
      <c r="AK150" s="10">
        <v>23</v>
      </c>
      <c r="AL150" s="11">
        <v>23</v>
      </c>
      <c r="AM150" s="13">
        <v>23</v>
      </c>
      <c r="AN150" s="13">
        <v>0</v>
      </c>
      <c r="AO150" s="7" t="e">
        <v>#N/A</v>
      </c>
    </row>
    <row r="151" spans="1:41">
      <c r="A151" s="8" t="s">
        <v>131</v>
      </c>
      <c r="B151" s="8" t="s">
        <v>383</v>
      </c>
      <c r="C151" s="8" t="s">
        <v>438</v>
      </c>
      <c r="D151" s="8" t="s">
        <v>439</v>
      </c>
      <c r="E151" s="8" t="s">
        <v>135</v>
      </c>
      <c r="F151" s="8">
        <v>1</v>
      </c>
      <c r="G151" s="8">
        <v>1</v>
      </c>
      <c r="H151" s="8">
        <v>1</v>
      </c>
      <c r="I151" s="8" t="s">
        <v>136</v>
      </c>
      <c r="J151" s="8" t="s">
        <v>136</v>
      </c>
      <c r="K151" s="8">
        <v>1</v>
      </c>
      <c r="L151" s="8">
        <v>1</v>
      </c>
      <c r="M151" s="8">
        <v>1</v>
      </c>
      <c r="N151" s="8">
        <v>1</v>
      </c>
      <c r="O151" s="8">
        <v>1</v>
      </c>
      <c r="P151" s="8" t="s">
        <v>136</v>
      </c>
      <c r="Q151" s="8" t="s">
        <v>136</v>
      </c>
      <c r="R151" s="8">
        <v>1</v>
      </c>
      <c r="S151" s="8">
        <v>1</v>
      </c>
      <c r="T151" s="8">
        <v>1</v>
      </c>
      <c r="U151" s="8">
        <v>1</v>
      </c>
      <c r="V151" s="8">
        <v>1</v>
      </c>
      <c r="W151" s="8" t="s">
        <v>136</v>
      </c>
      <c r="X151" s="8" t="s">
        <v>136</v>
      </c>
      <c r="Y151" s="8">
        <v>1</v>
      </c>
      <c r="Z151" s="8">
        <v>1</v>
      </c>
      <c r="AA151" s="8">
        <v>1</v>
      </c>
      <c r="AB151" s="8">
        <v>1</v>
      </c>
      <c r="AC151" s="8">
        <v>1</v>
      </c>
      <c r="AD151" s="8" t="s">
        <v>136</v>
      </c>
      <c r="AE151" s="8" t="s">
        <v>136</v>
      </c>
      <c r="AF151" s="8">
        <v>1</v>
      </c>
      <c r="AG151" s="8">
        <v>1</v>
      </c>
      <c r="AH151" s="8">
        <v>1</v>
      </c>
      <c r="AI151" s="8">
        <v>1</v>
      </c>
      <c r="AJ151" s="8">
        <v>1</v>
      </c>
      <c r="AK151" s="10">
        <v>23</v>
      </c>
      <c r="AL151" s="11">
        <v>23</v>
      </c>
      <c r="AM151" s="13">
        <v>23</v>
      </c>
      <c r="AN151" s="13">
        <v>0</v>
      </c>
      <c r="AO151" s="7" t="e">
        <v>#N/A</v>
      </c>
    </row>
    <row r="152" spans="1:41">
      <c r="A152" s="8" t="s">
        <v>131</v>
      </c>
      <c r="B152" s="8" t="s">
        <v>383</v>
      </c>
      <c r="C152" s="8" t="s">
        <v>440</v>
      </c>
      <c r="D152" s="8" t="s">
        <v>441</v>
      </c>
      <c r="E152" s="8" t="s">
        <v>135</v>
      </c>
      <c r="F152" s="8">
        <v>0</v>
      </c>
      <c r="G152" s="8">
        <v>0</v>
      </c>
      <c r="H152" s="8">
        <v>0</v>
      </c>
      <c r="I152" s="8" t="s">
        <v>136</v>
      </c>
      <c r="J152" s="8" t="s">
        <v>136</v>
      </c>
      <c r="K152" s="8">
        <v>0</v>
      </c>
      <c r="L152" s="8">
        <v>0</v>
      </c>
      <c r="M152" s="8">
        <v>0</v>
      </c>
      <c r="N152" s="8">
        <v>0</v>
      </c>
      <c r="O152" s="8">
        <v>0</v>
      </c>
      <c r="P152" s="8" t="s">
        <v>136</v>
      </c>
      <c r="Q152" s="8" t="s">
        <v>136</v>
      </c>
      <c r="R152" s="8">
        <v>0</v>
      </c>
      <c r="S152" s="8">
        <v>0</v>
      </c>
      <c r="T152" s="8">
        <v>0</v>
      </c>
      <c r="U152" s="8">
        <v>0</v>
      </c>
      <c r="V152" s="8">
        <v>0</v>
      </c>
      <c r="W152" s="8" t="s">
        <v>136</v>
      </c>
      <c r="X152" s="8" t="s">
        <v>136</v>
      </c>
      <c r="Y152" s="8">
        <v>0</v>
      </c>
      <c r="Z152" s="8">
        <v>0</v>
      </c>
      <c r="AA152" s="8">
        <v>0</v>
      </c>
      <c r="AB152" s="8">
        <v>0</v>
      </c>
      <c r="AC152" s="8">
        <v>0</v>
      </c>
      <c r="AD152" s="8" t="s">
        <v>136</v>
      </c>
      <c r="AE152" s="8" t="s">
        <v>136</v>
      </c>
      <c r="AF152" s="8">
        <v>0</v>
      </c>
      <c r="AG152" s="8">
        <v>0</v>
      </c>
      <c r="AH152" s="8">
        <v>0</v>
      </c>
      <c r="AI152" s="8">
        <v>0</v>
      </c>
      <c r="AJ152" s="8">
        <v>0</v>
      </c>
      <c r="AK152" s="10">
        <v>23</v>
      </c>
      <c r="AL152" s="12">
        <v>0</v>
      </c>
      <c r="AM152" s="13">
        <v>0</v>
      </c>
      <c r="AN152" s="13">
        <v>0</v>
      </c>
      <c r="AO152" s="7" t="e">
        <v>#N/A</v>
      </c>
    </row>
    <row r="153" spans="1:41">
      <c r="A153" s="8" t="s">
        <v>131</v>
      </c>
      <c r="B153" s="8" t="s">
        <v>383</v>
      </c>
      <c r="C153" s="8" t="s">
        <v>442</v>
      </c>
      <c r="D153" s="8" t="s">
        <v>443</v>
      </c>
      <c r="E153" s="8" t="s">
        <v>135</v>
      </c>
      <c r="F153" s="8">
        <v>1</v>
      </c>
      <c r="G153" s="8">
        <v>1</v>
      </c>
      <c r="H153" s="8">
        <v>1</v>
      </c>
      <c r="I153" s="8" t="s">
        <v>136</v>
      </c>
      <c r="J153" s="8" t="s">
        <v>136</v>
      </c>
      <c r="K153" s="8">
        <v>1</v>
      </c>
      <c r="L153" s="8">
        <v>1</v>
      </c>
      <c r="M153" s="8">
        <v>1</v>
      </c>
      <c r="N153" s="8">
        <v>1</v>
      </c>
      <c r="O153" s="8">
        <v>1</v>
      </c>
      <c r="P153" s="8" t="s">
        <v>136</v>
      </c>
      <c r="Q153" s="8" t="s">
        <v>136</v>
      </c>
      <c r="R153" s="8">
        <v>1</v>
      </c>
      <c r="S153" s="8">
        <v>1</v>
      </c>
      <c r="T153" s="8">
        <v>1</v>
      </c>
      <c r="U153" s="8">
        <v>1</v>
      </c>
      <c r="V153" s="8">
        <v>1</v>
      </c>
      <c r="W153" s="8" t="s">
        <v>136</v>
      </c>
      <c r="X153" s="8" t="s">
        <v>136</v>
      </c>
      <c r="Y153" s="8">
        <v>1</v>
      </c>
      <c r="Z153" s="8">
        <v>1</v>
      </c>
      <c r="AA153" s="8">
        <v>1</v>
      </c>
      <c r="AB153" s="8">
        <v>1</v>
      </c>
      <c r="AC153" s="8">
        <v>1</v>
      </c>
      <c r="AD153" s="8" t="s">
        <v>136</v>
      </c>
      <c r="AE153" s="8" t="s">
        <v>136</v>
      </c>
      <c r="AF153" s="8">
        <v>1</v>
      </c>
      <c r="AG153" s="8">
        <v>1</v>
      </c>
      <c r="AH153" s="8">
        <v>1</v>
      </c>
      <c r="AI153" s="8">
        <v>1</v>
      </c>
      <c r="AJ153" s="8">
        <v>1</v>
      </c>
      <c r="AK153" s="10">
        <v>23</v>
      </c>
      <c r="AL153" s="11">
        <v>23</v>
      </c>
      <c r="AM153" s="13">
        <v>23</v>
      </c>
      <c r="AN153" s="13">
        <v>0</v>
      </c>
      <c r="AO153" s="7" t="e">
        <v>#N/A</v>
      </c>
    </row>
    <row r="154" spans="1:41">
      <c r="A154" s="8" t="s">
        <v>131</v>
      </c>
      <c r="B154" s="8" t="s">
        <v>383</v>
      </c>
      <c r="C154" s="8" t="s">
        <v>444</v>
      </c>
      <c r="D154" s="8" t="s">
        <v>445</v>
      </c>
      <c r="E154" s="8" t="s">
        <v>135</v>
      </c>
      <c r="F154" s="8">
        <v>1</v>
      </c>
      <c r="G154" s="8">
        <v>1</v>
      </c>
      <c r="H154" s="8">
        <v>1</v>
      </c>
      <c r="I154" s="8" t="s">
        <v>136</v>
      </c>
      <c r="J154" s="8" t="s">
        <v>136</v>
      </c>
      <c r="K154" s="8">
        <v>1</v>
      </c>
      <c r="L154" s="8">
        <v>1</v>
      </c>
      <c r="M154" s="8">
        <v>1</v>
      </c>
      <c r="N154" s="8">
        <v>1</v>
      </c>
      <c r="O154" s="8">
        <v>1</v>
      </c>
      <c r="P154" s="8" t="s">
        <v>136</v>
      </c>
      <c r="Q154" s="8" t="s">
        <v>136</v>
      </c>
      <c r="R154" s="8">
        <v>1</v>
      </c>
      <c r="S154" s="8">
        <v>1</v>
      </c>
      <c r="T154" s="8">
        <v>1</v>
      </c>
      <c r="U154" s="8">
        <v>1</v>
      </c>
      <c r="V154" s="8">
        <v>1</v>
      </c>
      <c r="W154" s="8" t="s">
        <v>136</v>
      </c>
      <c r="X154" s="8" t="s">
        <v>136</v>
      </c>
      <c r="Y154" s="8">
        <v>1</v>
      </c>
      <c r="Z154" s="8">
        <v>1</v>
      </c>
      <c r="AA154" s="8">
        <v>1</v>
      </c>
      <c r="AB154" s="8">
        <v>1</v>
      </c>
      <c r="AC154" s="8">
        <v>1</v>
      </c>
      <c r="AD154" s="8" t="s">
        <v>136</v>
      </c>
      <c r="AE154" s="8" t="s">
        <v>136</v>
      </c>
      <c r="AF154" s="8">
        <v>1</v>
      </c>
      <c r="AG154" s="8">
        <v>1</v>
      </c>
      <c r="AH154" s="8">
        <v>1</v>
      </c>
      <c r="AI154" s="8">
        <v>1</v>
      </c>
      <c r="AJ154" s="8">
        <v>1</v>
      </c>
      <c r="AK154" s="10">
        <v>23</v>
      </c>
      <c r="AL154" s="11">
        <v>23</v>
      </c>
      <c r="AM154" s="13">
        <v>23</v>
      </c>
      <c r="AN154" s="13">
        <v>0</v>
      </c>
      <c r="AO154" s="7" t="e">
        <v>#N/A</v>
      </c>
    </row>
    <row r="155" spans="1:41">
      <c r="A155" s="8" t="s">
        <v>131</v>
      </c>
      <c r="B155" s="8" t="s">
        <v>383</v>
      </c>
      <c r="C155" s="8" t="s">
        <v>446</v>
      </c>
      <c r="D155" s="8" t="s">
        <v>447</v>
      </c>
      <c r="E155" s="8" t="s">
        <v>135</v>
      </c>
      <c r="F155" s="8">
        <v>1</v>
      </c>
      <c r="G155" s="8">
        <v>1</v>
      </c>
      <c r="H155" s="8">
        <v>1</v>
      </c>
      <c r="I155" s="8" t="s">
        <v>136</v>
      </c>
      <c r="J155" s="8" t="s">
        <v>136</v>
      </c>
      <c r="K155" s="8">
        <v>1</v>
      </c>
      <c r="L155" s="8">
        <v>1</v>
      </c>
      <c r="M155" s="8">
        <v>1</v>
      </c>
      <c r="N155" s="8">
        <v>1</v>
      </c>
      <c r="O155" s="8">
        <v>1</v>
      </c>
      <c r="P155" s="8" t="s">
        <v>136</v>
      </c>
      <c r="Q155" s="8" t="s">
        <v>136</v>
      </c>
      <c r="R155" s="8">
        <v>1</v>
      </c>
      <c r="S155" s="8">
        <v>1</v>
      </c>
      <c r="T155" s="8">
        <v>1</v>
      </c>
      <c r="U155" s="8">
        <v>1</v>
      </c>
      <c r="V155" s="8">
        <v>1</v>
      </c>
      <c r="W155" s="8" t="s">
        <v>136</v>
      </c>
      <c r="X155" s="8" t="s">
        <v>136</v>
      </c>
      <c r="Y155" s="8">
        <v>1</v>
      </c>
      <c r="Z155" s="8">
        <v>1</v>
      </c>
      <c r="AA155" s="8">
        <v>1</v>
      </c>
      <c r="AB155" s="8">
        <v>1</v>
      </c>
      <c r="AC155" s="8">
        <v>1</v>
      </c>
      <c r="AD155" s="8" t="s">
        <v>136</v>
      </c>
      <c r="AE155" s="8" t="s">
        <v>136</v>
      </c>
      <c r="AF155" s="8">
        <v>1</v>
      </c>
      <c r="AG155" s="8">
        <v>1</v>
      </c>
      <c r="AH155" s="8">
        <v>1</v>
      </c>
      <c r="AI155" s="8">
        <v>1</v>
      </c>
      <c r="AJ155" s="8">
        <v>1</v>
      </c>
      <c r="AK155" s="10">
        <v>23</v>
      </c>
      <c r="AL155" s="11">
        <v>23</v>
      </c>
      <c r="AM155" s="13">
        <v>23</v>
      </c>
      <c r="AN155" s="13">
        <v>0</v>
      </c>
      <c r="AO155" s="7" t="e">
        <v>#N/A</v>
      </c>
    </row>
    <row r="156" spans="1:41">
      <c r="A156" s="8" t="s">
        <v>131</v>
      </c>
      <c r="B156" s="8" t="s">
        <v>383</v>
      </c>
      <c r="C156" s="8" t="s">
        <v>448</v>
      </c>
      <c r="D156" s="8" t="s">
        <v>449</v>
      </c>
      <c r="E156" s="8" t="s">
        <v>135</v>
      </c>
      <c r="F156" s="8">
        <v>1</v>
      </c>
      <c r="G156" s="8">
        <v>1</v>
      </c>
      <c r="H156" s="8">
        <v>1</v>
      </c>
      <c r="I156" s="8" t="s">
        <v>136</v>
      </c>
      <c r="J156" s="8" t="s">
        <v>136</v>
      </c>
      <c r="K156" s="8">
        <v>1</v>
      </c>
      <c r="L156" s="8">
        <v>1</v>
      </c>
      <c r="M156" s="8">
        <v>1</v>
      </c>
      <c r="N156" s="8">
        <v>1</v>
      </c>
      <c r="O156" s="8">
        <v>1</v>
      </c>
      <c r="P156" s="8" t="s">
        <v>136</v>
      </c>
      <c r="Q156" s="8" t="s">
        <v>136</v>
      </c>
      <c r="R156" s="8">
        <v>1</v>
      </c>
      <c r="S156" s="8">
        <v>1</v>
      </c>
      <c r="T156" s="8">
        <v>1</v>
      </c>
      <c r="U156" s="8">
        <v>1</v>
      </c>
      <c r="V156" s="8">
        <v>1</v>
      </c>
      <c r="W156" s="8" t="s">
        <v>136</v>
      </c>
      <c r="X156" s="8" t="s">
        <v>136</v>
      </c>
      <c r="Y156" s="8">
        <v>1</v>
      </c>
      <c r="Z156" s="8">
        <v>1</v>
      </c>
      <c r="AA156" s="8">
        <v>1</v>
      </c>
      <c r="AB156" s="8">
        <v>1</v>
      </c>
      <c r="AC156" s="8">
        <v>1</v>
      </c>
      <c r="AD156" s="8" t="s">
        <v>136</v>
      </c>
      <c r="AE156" s="8" t="s">
        <v>136</v>
      </c>
      <c r="AF156" s="8">
        <v>1</v>
      </c>
      <c r="AG156" s="8">
        <v>1</v>
      </c>
      <c r="AH156" s="8">
        <v>1</v>
      </c>
      <c r="AI156" s="8">
        <v>1</v>
      </c>
      <c r="AJ156" s="8">
        <v>1</v>
      </c>
      <c r="AK156" s="10">
        <v>23</v>
      </c>
      <c r="AL156" s="11">
        <v>23</v>
      </c>
      <c r="AM156" s="13">
        <v>23</v>
      </c>
      <c r="AN156" s="13">
        <v>0</v>
      </c>
      <c r="AO156" s="7" t="e">
        <v>#N/A</v>
      </c>
    </row>
    <row r="157" spans="1:41">
      <c r="A157" s="8" t="s">
        <v>131</v>
      </c>
      <c r="B157" s="8" t="s">
        <v>383</v>
      </c>
      <c r="C157" s="8" t="s">
        <v>450</v>
      </c>
      <c r="D157" s="8" t="s">
        <v>451</v>
      </c>
      <c r="E157" s="8" t="s">
        <v>135</v>
      </c>
      <c r="F157" s="8">
        <v>1</v>
      </c>
      <c r="G157" s="8">
        <v>1</v>
      </c>
      <c r="H157" s="8">
        <v>1</v>
      </c>
      <c r="I157" s="8" t="s">
        <v>136</v>
      </c>
      <c r="J157" s="8" t="s">
        <v>136</v>
      </c>
      <c r="K157" s="8">
        <v>1</v>
      </c>
      <c r="L157" s="8">
        <v>1</v>
      </c>
      <c r="M157" s="8">
        <v>1</v>
      </c>
      <c r="N157" s="8">
        <v>1</v>
      </c>
      <c r="O157" s="8">
        <v>1</v>
      </c>
      <c r="P157" s="8" t="s">
        <v>136</v>
      </c>
      <c r="Q157" s="8" t="s">
        <v>136</v>
      </c>
      <c r="R157" s="8">
        <v>1</v>
      </c>
      <c r="S157" s="8">
        <v>1</v>
      </c>
      <c r="T157" s="8">
        <v>1</v>
      </c>
      <c r="U157" s="8">
        <v>1</v>
      </c>
      <c r="V157" s="8">
        <v>1</v>
      </c>
      <c r="W157" s="8" t="s">
        <v>136</v>
      </c>
      <c r="X157" s="8" t="s">
        <v>136</v>
      </c>
      <c r="Y157" s="8">
        <v>1</v>
      </c>
      <c r="Z157" s="8">
        <v>1</v>
      </c>
      <c r="AA157" s="8">
        <v>1</v>
      </c>
      <c r="AB157" s="8">
        <v>1</v>
      </c>
      <c r="AC157" s="8">
        <v>1</v>
      </c>
      <c r="AD157" s="8" t="s">
        <v>136</v>
      </c>
      <c r="AE157" s="8" t="s">
        <v>136</v>
      </c>
      <c r="AF157" s="8">
        <v>1</v>
      </c>
      <c r="AG157" s="8">
        <v>1</v>
      </c>
      <c r="AH157" s="8">
        <v>1</v>
      </c>
      <c r="AI157" s="8">
        <v>1</v>
      </c>
      <c r="AJ157" s="8">
        <v>1</v>
      </c>
      <c r="AK157" s="10">
        <v>23</v>
      </c>
      <c r="AL157" s="11">
        <v>23</v>
      </c>
      <c r="AM157" s="13">
        <v>23</v>
      </c>
      <c r="AN157" s="13">
        <v>0</v>
      </c>
      <c r="AO157" s="7" t="e">
        <v>#N/A</v>
      </c>
    </row>
    <row r="158" spans="1:41">
      <c r="A158" s="8" t="s">
        <v>131</v>
      </c>
      <c r="B158" s="8" t="s">
        <v>383</v>
      </c>
      <c r="C158" s="8" t="s">
        <v>452</v>
      </c>
      <c r="D158" s="8" t="s">
        <v>453</v>
      </c>
      <c r="E158" s="8" t="s">
        <v>135</v>
      </c>
      <c r="F158" s="8">
        <v>1</v>
      </c>
      <c r="G158" s="8">
        <v>1</v>
      </c>
      <c r="H158" s="8">
        <v>1</v>
      </c>
      <c r="I158" s="8" t="s">
        <v>136</v>
      </c>
      <c r="J158" s="8" t="s">
        <v>136</v>
      </c>
      <c r="K158" s="8">
        <v>1</v>
      </c>
      <c r="L158" s="8">
        <v>1</v>
      </c>
      <c r="M158" s="8">
        <v>1</v>
      </c>
      <c r="N158" s="8">
        <v>1</v>
      </c>
      <c r="O158" s="8">
        <v>1</v>
      </c>
      <c r="P158" s="8" t="s">
        <v>136</v>
      </c>
      <c r="Q158" s="8" t="s">
        <v>136</v>
      </c>
      <c r="R158" s="8">
        <v>1</v>
      </c>
      <c r="S158" s="8">
        <v>1</v>
      </c>
      <c r="T158" s="8">
        <v>1</v>
      </c>
      <c r="U158" s="8">
        <v>1</v>
      </c>
      <c r="V158" s="8">
        <v>1</v>
      </c>
      <c r="W158" s="8" t="s">
        <v>136</v>
      </c>
      <c r="X158" s="8" t="s">
        <v>136</v>
      </c>
      <c r="Y158" s="8">
        <v>1</v>
      </c>
      <c r="Z158" s="8">
        <v>1</v>
      </c>
      <c r="AA158" s="8">
        <v>1</v>
      </c>
      <c r="AB158" s="8">
        <v>1</v>
      </c>
      <c r="AC158" s="8">
        <v>1</v>
      </c>
      <c r="AD158" s="8" t="s">
        <v>136</v>
      </c>
      <c r="AE158" s="8" t="s">
        <v>136</v>
      </c>
      <c r="AF158" s="8">
        <v>1</v>
      </c>
      <c r="AG158" s="8">
        <v>1</v>
      </c>
      <c r="AH158" s="8">
        <v>1</v>
      </c>
      <c r="AI158" s="8">
        <v>1</v>
      </c>
      <c r="AJ158" s="8">
        <v>1</v>
      </c>
      <c r="AK158" s="10">
        <v>23</v>
      </c>
      <c r="AL158" s="11">
        <v>23</v>
      </c>
      <c r="AM158" s="13">
        <v>23</v>
      </c>
      <c r="AN158" s="13">
        <v>0</v>
      </c>
      <c r="AO158" s="7" t="e">
        <v>#N/A</v>
      </c>
    </row>
    <row r="159" spans="1:41">
      <c r="A159" s="8" t="s">
        <v>131</v>
      </c>
      <c r="B159" s="8" t="s">
        <v>383</v>
      </c>
      <c r="C159" s="8" t="s">
        <v>454</v>
      </c>
      <c r="D159" s="8" t="s">
        <v>455</v>
      </c>
      <c r="E159" s="8" t="s">
        <v>135</v>
      </c>
      <c r="F159" s="8">
        <v>1</v>
      </c>
      <c r="G159" s="8">
        <v>1</v>
      </c>
      <c r="H159" s="8">
        <v>1</v>
      </c>
      <c r="I159" s="8" t="s">
        <v>136</v>
      </c>
      <c r="J159" s="8" t="s">
        <v>136</v>
      </c>
      <c r="K159" s="8">
        <v>1</v>
      </c>
      <c r="L159" s="8">
        <v>1</v>
      </c>
      <c r="M159" s="8">
        <v>1</v>
      </c>
      <c r="N159" s="8">
        <v>1</v>
      </c>
      <c r="O159" s="8">
        <v>1</v>
      </c>
      <c r="P159" s="8" t="s">
        <v>136</v>
      </c>
      <c r="Q159" s="8" t="s">
        <v>136</v>
      </c>
      <c r="R159" s="8">
        <v>1</v>
      </c>
      <c r="S159" s="8">
        <v>1</v>
      </c>
      <c r="T159" s="8">
        <v>1</v>
      </c>
      <c r="U159" s="8">
        <v>1</v>
      </c>
      <c r="V159" s="8">
        <v>1</v>
      </c>
      <c r="W159" s="8" t="s">
        <v>136</v>
      </c>
      <c r="X159" s="8" t="s">
        <v>136</v>
      </c>
      <c r="Y159" s="8">
        <v>1</v>
      </c>
      <c r="Z159" s="8">
        <v>1</v>
      </c>
      <c r="AA159" s="8">
        <v>1</v>
      </c>
      <c r="AB159" s="8">
        <v>1</v>
      </c>
      <c r="AC159" s="8">
        <v>1</v>
      </c>
      <c r="AD159" s="8" t="s">
        <v>136</v>
      </c>
      <c r="AE159" s="8" t="s">
        <v>136</v>
      </c>
      <c r="AF159" s="8">
        <v>1</v>
      </c>
      <c r="AG159" s="8">
        <v>1</v>
      </c>
      <c r="AH159" s="8">
        <v>1</v>
      </c>
      <c r="AI159" s="8">
        <v>1</v>
      </c>
      <c r="AJ159" s="8">
        <v>1</v>
      </c>
      <c r="AK159" s="10">
        <v>23</v>
      </c>
      <c r="AL159" s="11">
        <v>23</v>
      </c>
      <c r="AM159" s="13">
        <v>23</v>
      </c>
      <c r="AN159" s="13">
        <v>0</v>
      </c>
      <c r="AO159" s="7" t="e">
        <v>#N/A</v>
      </c>
    </row>
    <row r="160" spans="1:41">
      <c r="A160" s="8" t="s">
        <v>131</v>
      </c>
      <c r="B160" s="8" t="s">
        <v>383</v>
      </c>
      <c r="C160" s="8" t="s">
        <v>456</v>
      </c>
      <c r="D160" s="8" t="s">
        <v>457</v>
      </c>
      <c r="E160" s="8" t="s">
        <v>135</v>
      </c>
      <c r="F160" s="8">
        <v>1</v>
      </c>
      <c r="G160" s="8">
        <v>1</v>
      </c>
      <c r="H160" s="8">
        <v>1</v>
      </c>
      <c r="I160" s="8" t="s">
        <v>136</v>
      </c>
      <c r="J160" s="8" t="s">
        <v>136</v>
      </c>
      <c r="K160" s="8">
        <v>1</v>
      </c>
      <c r="L160" s="8">
        <v>1</v>
      </c>
      <c r="M160" s="8">
        <v>1</v>
      </c>
      <c r="N160" s="8">
        <v>1</v>
      </c>
      <c r="O160" s="8">
        <v>1</v>
      </c>
      <c r="P160" s="8" t="s">
        <v>136</v>
      </c>
      <c r="Q160" s="8" t="s">
        <v>136</v>
      </c>
      <c r="R160" s="8">
        <v>1</v>
      </c>
      <c r="S160" s="8">
        <v>1</v>
      </c>
      <c r="T160" s="8">
        <v>1</v>
      </c>
      <c r="U160" s="8">
        <v>1</v>
      </c>
      <c r="V160" s="8">
        <v>1</v>
      </c>
      <c r="W160" s="8" t="s">
        <v>136</v>
      </c>
      <c r="X160" s="8" t="s">
        <v>136</v>
      </c>
      <c r="Y160" s="8">
        <v>1</v>
      </c>
      <c r="Z160" s="8">
        <v>1</v>
      </c>
      <c r="AA160" s="8">
        <v>1</v>
      </c>
      <c r="AB160" s="8">
        <v>1</v>
      </c>
      <c r="AC160" s="8">
        <v>1</v>
      </c>
      <c r="AD160" s="8" t="s">
        <v>136</v>
      </c>
      <c r="AE160" s="8" t="s">
        <v>136</v>
      </c>
      <c r="AF160" s="8">
        <v>1</v>
      </c>
      <c r="AG160" s="8">
        <v>1</v>
      </c>
      <c r="AH160" s="8">
        <v>1</v>
      </c>
      <c r="AI160" s="8">
        <v>1</v>
      </c>
      <c r="AJ160" s="8">
        <v>1</v>
      </c>
      <c r="AK160" s="10">
        <v>23</v>
      </c>
      <c r="AL160" s="11">
        <v>23</v>
      </c>
      <c r="AM160" s="13">
        <v>23</v>
      </c>
      <c r="AN160" s="13">
        <v>0</v>
      </c>
      <c r="AO160" s="7" t="e">
        <v>#N/A</v>
      </c>
    </row>
    <row r="161" spans="1:41">
      <c r="A161" s="8" t="s">
        <v>131</v>
      </c>
      <c r="B161" s="8" t="s">
        <v>383</v>
      </c>
      <c r="C161" s="8" t="s">
        <v>458</v>
      </c>
      <c r="D161" s="8" t="s">
        <v>459</v>
      </c>
      <c r="E161" s="8" t="s">
        <v>135</v>
      </c>
      <c r="F161" s="8">
        <v>1</v>
      </c>
      <c r="G161" s="8">
        <v>1</v>
      </c>
      <c r="H161" s="8">
        <v>1</v>
      </c>
      <c r="I161" s="8" t="s">
        <v>136</v>
      </c>
      <c r="J161" s="8" t="s">
        <v>136</v>
      </c>
      <c r="K161" s="8">
        <v>1</v>
      </c>
      <c r="L161" s="8">
        <v>1</v>
      </c>
      <c r="M161" s="8">
        <v>1</v>
      </c>
      <c r="N161" s="8">
        <v>1</v>
      </c>
      <c r="O161" s="8">
        <v>1</v>
      </c>
      <c r="P161" s="8" t="s">
        <v>136</v>
      </c>
      <c r="Q161" s="8" t="s">
        <v>136</v>
      </c>
      <c r="R161" s="8">
        <v>1</v>
      </c>
      <c r="S161" s="8">
        <v>1</v>
      </c>
      <c r="T161" s="8">
        <v>1</v>
      </c>
      <c r="U161" s="8">
        <v>1</v>
      </c>
      <c r="V161" s="8">
        <v>1</v>
      </c>
      <c r="W161" s="8" t="s">
        <v>136</v>
      </c>
      <c r="X161" s="8" t="s">
        <v>136</v>
      </c>
      <c r="Y161" s="8">
        <v>1</v>
      </c>
      <c r="Z161" s="8">
        <v>1</v>
      </c>
      <c r="AA161" s="8">
        <v>1</v>
      </c>
      <c r="AB161" s="8">
        <v>1</v>
      </c>
      <c r="AC161" s="8">
        <v>1</v>
      </c>
      <c r="AD161" s="8" t="s">
        <v>136</v>
      </c>
      <c r="AE161" s="8" t="s">
        <v>136</v>
      </c>
      <c r="AF161" s="8">
        <v>1</v>
      </c>
      <c r="AG161" s="8">
        <v>1</v>
      </c>
      <c r="AH161" s="8">
        <v>1</v>
      </c>
      <c r="AI161" s="8">
        <v>1</v>
      </c>
      <c r="AJ161" s="8">
        <v>1</v>
      </c>
      <c r="AK161" s="10">
        <v>23</v>
      </c>
      <c r="AL161" s="11">
        <v>23</v>
      </c>
      <c r="AM161" s="13">
        <v>23</v>
      </c>
      <c r="AN161" s="13">
        <v>0</v>
      </c>
      <c r="AO161" s="7" t="e">
        <v>#N/A</v>
      </c>
    </row>
    <row r="162" spans="1:41">
      <c r="A162" s="8" t="s">
        <v>131</v>
      </c>
      <c r="B162" s="8" t="s">
        <v>383</v>
      </c>
      <c r="C162" s="8" t="s">
        <v>460</v>
      </c>
      <c r="D162" s="8" t="s">
        <v>461</v>
      </c>
      <c r="E162" s="8" t="s">
        <v>135</v>
      </c>
      <c r="F162" s="8">
        <v>1</v>
      </c>
      <c r="G162" s="8">
        <v>1</v>
      </c>
      <c r="H162" s="8">
        <v>1</v>
      </c>
      <c r="I162" s="8" t="s">
        <v>136</v>
      </c>
      <c r="J162" s="8" t="s">
        <v>136</v>
      </c>
      <c r="K162" s="8">
        <v>1</v>
      </c>
      <c r="L162" s="8">
        <v>1</v>
      </c>
      <c r="M162" s="8">
        <v>1</v>
      </c>
      <c r="N162" s="8">
        <v>1</v>
      </c>
      <c r="O162" s="8">
        <v>1</v>
      </c>
      <c r="P162" s="8" t="s">
        <v>136</v>
      </c>
      <c r="Q162" s="8" t="s">
        <v>136</v>
      </c>
      <c r="R162" s="8">
        <v>1</v>
      </c>
      <c r="S162" s="8">
        <v>1</v>
      </c>
      <c r="T162" s="8">
        <v>1</v>
      </c>
      <c r="U162" s="8">
        <v>1</v>
      </c>
      <c r="V162" s="8">
        <v>1</v>
      </c>
      <c r="W162" s="8" t="s">
        <v>136</v>
      </c>
      <c r="X162" s="8" t="s">
        <v>136</v>
      </c>
      <c r="Y162" s="8">
        <v>1</v>
      </c>
      <c r="Z162" s="8">
        <v>1</v>
      </c>
      <c r="AA162" s="8">
        <v>1</v>
      </c>
      <c r="AB162" s="8">
        <v>1</v>
      </c>
      <c r="AC162" s="8">
        <v>1</v>
      </c>
      <c r="AD162" s="8" t="s">
        <v>136</v>
      </c>
      <c r="AE162" s="8" t="s">
        <v>136</v>
      </c>
      <c r="AF162" s="8">
        <v>1</v>
      </c>
      <c r="AG162" s="8">
        <v>1</v>
      </c>
      <c r="AH162" s="8">
        <v>1</v>
      </c>
      <c r="AI162" s="8">
        <v>1</v>
      </c>
      <c r="AJ162" s="8">
        <v>1</v>
      </c>
      <c r="AK162" s="10">
        <v>23</v>
      </c>
      <c r="AL162" s="11">
        <v>23</v>
      </c>
      <c r="AM162" s="13">
        <v>23</v>
      </c>
      <c r="AN162" s="13">
        <v>0</v>
      </c>
      <c r="AO162" s="7" t="e">
        <v>#N/A</v>
      </c>
    </row>
    <row r="163" spans="1:41">
      <c r="A163" s="8" t="s">
        <v>131</v>
      </c>
      <c r="B163" s="8" t="s">
        <v>383</v>
      </c>
      <c r="C163" s="8" t="s">
        <v>462</v>
      </c>
      <c r="D163" s="8" t="s">
        <v>463</v>
      </c>
      <c r="E163" s="8" t="s">
        <v>135</v>
      </c>
      <c r="F163" s="8">
        <v>1</v>
      </c>
      <c r="G163" s="8">
        <v>1</v>
      </c>
      <c r="H163" s="8">
        <v>1</v>
      </c>
      <c r="I163" s="8" t="s">
        <v>136</v>
      </c>
      <c r="J163" s="8" t="s">
        <v>136</v>
      </c>
      <c r="K163" s="8">
        <v>1</v>
      </c>
      <c r="L163" s="8">
        <v>1</v>
      </c>
      <c r="M163" s="8">
        <v>1</v>
      </c>
      <c r="N163" s="8">
        <v>1</v>
      </c>
      <c r="O163" s="8">
        <v>1</v>
      </c>
      <c r="P163" s="8" t="s">
        <v>136</v>
      </c>
      <c r="Q163" s="8" t="s">
        <v>136</v>
      </c>
      <c r="R163" s="8">
        <v>1</v>
      </c>
      <c r="S163" s="8">
        <v>1</v>
      </c>
      <c r="T163" s="8">
        <v>1</v>
      </c>
      <c r="U163" s="8">
        <v>1</v>
      </c>
      <c r="V163" s="8">
        <v>1</v>
      </c>
      <c r="W163" s="8" t="s">
        <v>136</v>
      </c>
      <c r="X163" s="8" t="s">
        <v>136</v>
      </c>
      <c r="Y163" s="8">
        <v>1</v>
      </c>
      <c r="Z163" s="8">
        <v>1</v>
      </c>
      <c r="AA163" s="8">
        <v>1</v>
      </c>
      <c r="AB163" s="8">
        <v>1</v>
      </c>
      <c r="AC163" s="8">
        <v>1</v>
      </c>
      <c r="AD163" s="8" t="s">
        <v>136</v>
      </c>
      <c r="AE163" s="8" t="s">
        <v>136</v>
      </c>
      <c r="AF163" s="8">
        <v>1</v>
      </c>
      <c r="AG163" s="8">
        <v>1</v>
      </c>
      <c r="AH163" s="8">
        <v>1</v>
      </c>
      <c r="AI163" s="8">
        <v>1</v>
      </c>
      <c r="AJ163" s="8">
        <v>1</v>
      </c>
      <c r="AK163" s="10">
        <v>23</v>
      </c>
      <c r="AL163" s="11">
        <v>23</v>
      </c>
      <c r="AM163" s="13">
        <v>23</v>
      </c>
      <c r="AN163" s="13">
        <v>0</v>
      </c>
      <c r="AO163" s="7" t="e">
        <v>#N/A</v>
      </c>
    </row>
    <row r="164" spans="1:41">
      <c r="A164" s="8" t="s">
        <v>131</v>
      </c>
      <c r="B164" s="8" t="s">
        <v>383</v>
      </c>
      <c r="C164" s="8" t="s">
        <v>464</v>
      </c>
      <c r="D164" s="8" t="s">
        <v>465</v>
      </c>
      <c r="E164" s="8" t="s">
        <v>135</v>
      </c>
      <c r="F164" s="8">
        <v>1</v>
      </c>
      <c r="G164" s="8">
        <v>1</v>
      </c>
      <c r="H164" s="8">
        <v>1</v>
      </c>
      <c r="I164" s="8" t="s">
        <v>136</v>
      </c>
      <c r="J164" s="8" t="s">
        <v>136</v>
      </c>
      <c r="K164" s="8">
        <v>1</v>
      </c>
      <c r="L164" s="8">
        <v>1</v>
      </c>
      <c r="M164" s="8">
        <v>1</v>
      </c>
      <c r="N164" s="8">
        <v>1</v>
      </c>
      <c r="O164" s="8">
        <v>1</v>
      </c>
      <c r="P164" s="8" t="s">
        <v>136</v>
      </c>
      <c r="Q164" s="8" t="s">
        <v>136</v>
      </c>
      <c r="R164" s="8">
        <v>1</v>
      </c>
      <c r="S164" s="8">
        <v>1</v>
      </c>
      <c r="T164" s="8">
        <v>1</v>
      </c>
      <c r="U164" s="8">
        <v>1</v>
      </c>
      <c r="V164" s="8">
        <v>1</v>
      </c>
      <c r="W164" s="8" t="s">
        <v>136</v>
      </c>
      <c r="X164" s="8" t="s">
        <v>136</v>
      </c>
      <c r="Y164" s="8">
        <v>1</v>
      </c>
      <c r="Z164" s="8">
        <v>1</v>
      </c>
      <c r="AA164" s="8">
        <v>1</v>
      </c>
      <c r="AB164" s="8">
        <v>1</v>
      </c>
      <c r="AC164" s="8">
        <v>1</v>
      </c>
      <c r="AD164" s="8" t="s">
        <v>136</v>
      </c>
      <c r="AE164" s="8" t="s">
        <v>136</v>
      </c>
      <c r="AF164" s="8">
        <v>1</v>
      </c>
      <c r="AG164" s="8">
        <v>1</v>
      </c>
      <c r="AH164" s="8">
        <v>1</v>
      </c>
      <c r="AI164" s="8">
        <v>1</v>
      </c>
      <c r="AJ164" s="8">
        <v>1</v>
      </c>
      <c r="AK164" s="10">
        <v>23</v>
      </c>
      <c r="AL164" s="11">
        <v>23</v>
      </c>
      <c r="AM164" s="13">
        <v>23</v>
      </c>
      <c r="AN164" s="13">
        <v>0</v>
      </c>
      <c r="AO164" s="7" t="e">
        <v>#N/A</v>
      </c>
    </row>
    <row r="165" spans="1:41">
      <c r="A165" s="8" t="s">
        <v>131</v>
      </c>
      <c r="B165" s="8" t="s">
        <v>383</v>
      </c>
      <c r="C165" s="8" t="s">
        <v>466</v>
      </c>
      <c r="D165" s="8" t="s">
        <v>467</v>
      </c>
      <c r="E165" s="8" t="s">
        <v>135</v>
      </c>
      <c r="F165" s="8">
        <v>1</v>
      </c>
      <c r="G165" s="8">
        <v>1</v>
      </c>
      <c r="H165" s="8">
        <v>1</v>
      </c>
      <c r="I165" s="8" t="s">
        <v>136</v>
      </c>
      <c r="J165" s="8" t="s">
        <v>136</v>
      </c>
      <c r="K165" s="8">
        <v>1</v>
      </c>
      <c r="L165" s="8">
        <v>1</v>
      </c>
      <c r="M165" s="8">
        <v>1</v>
      </c>
      <c r="N165" s="8">
        <v>1</v>
      </c>
      <c r="O165" s="8">
        <v>1</v>
      </c>
      <c r="P165" s="8" t="s">
        <v>136</v>
      </c>
      <c r="Q165" s="8" t="s">
        <v>136</v>
      </c>
      <c r="R165" s="8">
        <v>1</v>
      </c>
      <c r="S165" s="8">
        <v>1</v>
      </c>
      <c r="T165" s="8">
        <v>1</v>
      </c>
      <c r="U165" s="8">
        <v>1</v>
      </c>
      <c r="V165" s="8">
        <v>1</v>
      </c>
      <c r="W165" s="8" t="s">
        <v>136</v>
      </c>
      <c r="X165" s="8" t="s">
        <v>136</v>
      </c>
      <c r="Y165" s="8">
        <v>1</v>
      </c>
      <c r="Z165" s="8">
        <v>1</v>
      </c>
      <c r="AA165" s="8">
        <v>1</v>
      </c>
      <c r="AB165" s="8">
        <v>1</v>
      </c>
      <c r="AC165" s="8">
        <v>1</v>
      </c>
      <c r="AD165" s="8" t="s">
        <v>136</v>
      </c>
      <c r="AE165" s="8" t="s">
        <v>136</v>
      </c>
      <c r="AF165" s="8">
        <v>1</v>
      </c>
      <c r="AG165" s="8">
        <v>1</v>
      </c>
      <c r="AH165" s="8">
        <v>1</v>
      </c>
      <c r="AI165" s="8">
        <v>1</v>
      </c>
      <c r="AJ165" s="8">
        <v>1</v>
      </c>
      <c r="AK165" s="10">
        <v>23</v>
      </c>
      <c r="AL165" s="11">
        <v>23</v>
      </c>
      <c r="AM165" s="13">
        <v>23</v>
      </c>
      <c r="AN165" s="13">
        <v>0</v>
      </c>
      <c r="AO165" s="7" t="e">
        <v>#N/A</v>
      </c>
    </row>
    <row r="166" spans="1:41">
      <c r="A166" s="8" t="s">
        <v>131</v>
      </c>
      <c r="B166" s="8" t="s">
        <v>383</v>
      </c>
      <c r="C166" s="8" t="s">
        <v>468</v>
      </c>
      <c r="D166" s="8" t="s">
        <v>469</v>
      </c>
      <c r="E166" s="8" t="s">
        <v>135</v>
      </c>
      <c r="F166" s="8">
        <v>1</v>
      </c>
      <c r="G166" s="8">
        <v>1</v>
      </c>
      <c r="H166" s="8">
        <v>1</v>
      </c>
      <c r="I166" s="8" t="s">
        <v>136</v>
      </c>
      <c r="J166" s="8" t="s">
        <v>136</v>
      </c>
      <c r="K166" s="8">
        <v>1</v>
      </c>
      <c r="L166" s="8">
        <v>1</v>
      </c>
      <c r="M166" s="8">
        <v>1</v>
      </c>
      <c r="N166" s="8">
        <v>1</v>
      </c>
      <c r="O166" s="8">
        <v>1</v>
      </c>
      <c r="P166" s="8" t="s">
        <v>136</v>
      </c>
      <c r="Q166" s="8" t="s">
        <v>136</v>
      </c>
      <c r="R166" s="8">
        <v>1</v>
      </c>
      <c r="S166" s="8">
        <v>1</v>
      </c>
      <c r="T166" s="8">
        <v>1</v>
      </c>
      <c r="U166" s="8">
        <v>1</v>
      </c>
      <c r="V166" s="8">
        <v>1</v>
      </c>
      <c r="W166" s="8" t="s">
        <v>136</v>
      </c>
      <c r="X166" s="8" t="s">
        <v>136</v>
      </c>
      <c r="Y166" s="8">
        <v>1</v>
      </c>
      <c r="Z166" s="8">
        <v>1</v>
      </c>
      <c r="AA166" s="8">
        <v>1</v>
      </c>
      <c r="AB166" s="8">
        <v>1</v>
      </c>
      <c r="AC166" s="8">
        <v>1</v>
      </c>
      <c r="AD166" s="8" t="s">
        <v>136</v>
      </c>
      <c r="AE166" s="8" t="s">
        <v>136</v>
      </c>
      <c r="AF166" s="8">
        <v>1</v>
      </c>
      <c r="AG166" s="8">
        <v>1</v>
      </c>
      <c r="AH166" s="8">
        <v>1</v>
      </c>
      <c r="AI166" s="8">
        <v>1</v>
      </c>
      <c r="AJ166" s="8">
        <v>1</v>
      </c>
      <c r="AK166" s="10">
        <v>23</v>
      </c>
      <c r="AL166" s="11">
        <v>23</v>
      </c>
      <c r="AM166" s="13">
        <v>23</v>
      </c>
      <c r="AN166" s="13">
        <v>0</v>
      </c>
      <c r="AO166" s="7" t="e">
        <v>#N/A</v>
      </c>
    </row>
    <row r="167" spans="1:41">
      <c r="A167" s="8" t="s">
        <v>131</v>
      </c>
      <c r="B167" s="8" t="s">
        <v>383</v>
      </c>
      <c r="C167" s="8" t="s">
        <v>470</v>
      </c>
      <c r="D167" s="8" t="s">
        <v>471</v>
      </c>
      <c r="E167" s="8" t="s">
        <v>135</v>
      </c>
      <c r="F167" s="8">
        <v>1</v>
      </c>
      <c r="G167" s="8">
        <v>1</v>
      </c>
      <c r="H167" s="8">
        <v>1</v>
      </c>
      <c r="I167" s="8" t="s">
        <v>136</v>
      </c>
      <c r="J167" s="8" t="s">
        <v>136</v>
      </c>
      <c r="K167" s="8">
        <v>1</v>
      </c>
      <c r="L167" s="8">
        <v>1</v>
      </c>
      <c r="M167" s="8">
        <v>1</v>
      </c>
      <c r="N167" s="8">
        <v>1</v>
      </c>
      <c r="O167" s="8">
        <v>1</v>
      </c>
      <c r="P167" s="8" t="s">
        <v>136</v>
      </c>
      <c r="Q167" s="8" t="s">
        <v>136</v>
      </c>
      <c r="R167" s="8">
        <v>1</v>
      </c>
      <c r="S167" s="8">
        <v>1</v>
      </c>
      <c r="T167" s="8">
        <v>1</v>
      </c>
      <c r="U167" s="8">
        <v>1</v>
      </c>
      <c r="V167" s="8">
        <v>1</v>
      </c>
      <c r="W167" s="8" t="s">
        <v>136</v>
      </c>
      <c r="X167" s="8" t="s">
        <v>136</v>
      </c>
      <c r="Y167" s="8">
        <v>1</v>
      </c>
      <c r="Z167" s="8">
        <v>1</v>
      </c>
      <c r="AA167" s="8">
        <v>1</v>
      </c>
      <c r="AB167" s="8">
        <v>1</v>
      </c>
      <c r="AC167" s="8">
        <v>1</v>
      </c>
      <c r="AD167" s="8" t="s">
        <v>136</v>
      </c>
      <c r="AE167" s="8" t="s">
        <v>136</v>
      </c>
      <c r="AF167" s="8">
        <v>1</v>
      </c>
      <c r="AG167" s="8">
        <v>1</v>
      </c>
      <c r="AH167" s="8">
        <v>1</v>
      </c>
      <c r="AI167" s="8">
        <v>1</v>
      </c>
      <c r="AJ167" s="8">
        <v>1</v>
      </c>
      <c r="AK167" s="10">
        <v>23</v>
      </c>
      <c r="AL167" s="11">
        <v>23</v>
      </c>
      <c r="AM167" s="13">
        <v>23</v>
      </c>
      <c r="AN167" s="13">
        <v>0</v>
      </c>
      <c r="AO167" s="7" t="e">
        <v>#N/A</v>
      </c>
    </row>
    <row r="168" spans="1:41">
      <c r="A168" s="8" t="s">
        <v>131</v>
      </c>
      <c r="B168" s="8" t="s">
        <v>383</v>
      </c>
      <c r="C168" s="8" t="s">
        <v>472</v>
      </c>
      <c r="D168" s="8" t="s">
        <v>473</v>
      </c>
      <c r="E168" s="8" t="s">
        <v>135</v>
      </c>
      <c r="F168" s="8">
        <v>1</v>
      </c>
      <c r="G168" s="8">
        <v>1</v>
      </c>
      <c r="H168" s="8">
        <v>1</v>
      </c>
      <c r="I168" s="8" t="s">
        <v>136</v>
      </c>
      <c r="J168" s="8" t="s">
        <v>136</v>
      </c>
      <c r="K168" s="8">
        <v>1</v>
      </c>
      <c r="L168" s="8">
        <v>1</v>
      </c>
      <c r="M168" s="8">
        <v>1</v>
      </c>
      <c r="N168" s="8">
        <v>1</v>
      </c>
      <c r="O168" s="8">
        <v>1</v>
      </c>
      <c r="P168" s="8" t="s">
        <v>136</v>
      </c>
      <c r="Q168" s="8" t="s">
        <v>136</v>
      </c>
      <c r="R168" s="8">
        <v>1</v>
      </c>
      <c r="S168" s="8">
        <v>1</v>
      </c>
      <c r="T168" s="8">
        <v>1</v>
      </c>
      <c r="U168" s="8">
        <v>1</v>
      </c>
      <c r="V168" s="8">
        <v>1</v>
      </c>
      <c r="W168" s="8" t="s">
        <v>136</v>
      </c>
      <c r="X168" s="8" t="s">
        <v>136</v>
      </c>
      <c r="Y168" s="8">
        <v>1</v>
      </c>
      <c r="Z168" s="8">
        <v>1</v>
      </c>
      <c r="AA168" s="8">
        <v>1</v>
      </c>
      <c r="AB168" s="8">
        <v>1</v>
      </c>
      <c r="AC168" s="8">
        <v>1</v>
      </c>
      <c r="AD168" s="8" t="s">
        <v>136</v>
      </c>
      <c r="AE168" s="8" t="s">
        <v>136</v>
      </c>
      <c r="AF168" s="8">
        <v>1</v>
      </c>
      <c r="AG168" s="8">
        <v>1</v>
      </c>
      <c r="AH168" s="8">
        <v>1</v>
      </c>
      <c r="AI168" s="8">
        <v>1</v>
      </c>
      <c r="AJ168" s="8">
        <v>1</v>
      </c>
      <c r="AK168" s="10">
        <v>23</v>
      </c>
      <c r="AL168" s="11">
        <v>23</v>
      </c>
      <c r="AM168" s="13">
        <v>23</v>
      </c>
      <c r="AN168" s="13">
        <v>0</v>
      </c>
      <c r="AO168" s="7" t="e">
        <v>#N/A</v>
      </c>
    </row>
    <row r="169" spans="1:41">
      <c r="A169" s="8" t="s">
        <v>131</v>
      </c>
      <c r="B169" s="8" t="s">
        <v>383</v>
      </c>
      <c r="C169" s="8" t="s">
        <v>474</v>
      </c>
      <c r="D169" s="8" t="s">
        <v>475</v>
      </c>
      <c r="E169" s="8" t="s">
        <v>135</v>
      </c>
      <c r="F169" s="8">
        <v>1</v>
      </c>
      <c r="G169" s="8">
        <v>1</v>
      </c>
      <c r="H169" s="8">
        <v>1</v>
      </c>
      <c r="I169" s="8" t="s">
        <v>136</v>
      </c>
      <c r="J169" s="8" t="s">
        <v>136</v>
      </c>
      <c r="K169" s="8">
        <v>1</v>
      </c>
      <c r="L169" s="8">
        <v>1</v>
      </c>
      <c r="M169" s="8">
        <v>1</v>
      </c>
      <c r="N169" s="8">
        <v>1</v>
      </c>
      <c r="O169" s="8">
        <v>1</v>
      </c>
      <c r="P169" s="8" t="s">
        <v>136</v>
      </c>
      <c r="Q169" s="8" t="s">
        <v>136</v>
      </c>
      <c r="R169" s="8">
        <v>1</v>
      </c>
      <c r="S169" s="8">
        <v>1</v>
      </c>
      <c r="T169" s="8">
        <v>1</v>
      </c>
      <c r="U169" s="8">
        <v>1</v>
      </c>
      <c r="V169" s="8">
        <v>1</v>
      </c>
      <c r="W169" s="8" t="s">
        <v>136</v>
      </c>
      <c r="X169" s="8" t="s">
        <v>136</v>
      </c>
      <c r="Y169" s="8">
        <v>1</v>
      </c>
      <c r="Z169" s="8">
        <v>1</v>
      </c>
      <c r="AA169" s="8">
        <v>1</v>
      </c>
      <c r="AB169" s="8">
        <v>1</v>
      </c>
      <c r="AC169" s="8">
        <v>1</v>
      </c>
      <c r="AD169" s="8" t="s">
        <v>136</v>
      </c>
      <c r="AE169" s="8" t="s">
        <v>136</v>
      </c>
      <c r="AF169" s="8">
        <v>1</v>
      </c>
      <c r="AG169" s="8">
        <v>1</v>
      </c>
      <c r="AH169" s="8">
        <v>1</v>
      </c>
      <c r="AI169" s="8">
        <v>1</v>
      </c>
      <c r="AJ169" s="8">
        <v>1</v>
      </c>
      <c r="AK169" s="10">
        <v>23</v>
      </c>
      <c r="AL169" s="11">
        <v>23</v>
      </c>
      <c r="AM169" s="13">
        <v>23</v>
      </c>
      <c r="AN169" s="13">
        <v>0</v>
      </c>
      <c r="AO169" s="7" t="e">
        <v>#N/A</v>
      </c>
    </row>
    <row r="170" spans="1:41">
      <c r="A170" s="8" t="s">
        <v>131</v>
      </c>
      <c r="B170" s="8" t="s">
        <v>383</v>
      </c>
      <c r="C170" s="8" t="s">
        <v>476</v>
      </c>
      <c r="D170" s="8" t="s">
        <v>477</v>
      </c>
      <c r="E170" s="8" t="s">
        <v>135</v>
      </c>
      <c r="F170" s="8">
        <v>1</v>
      </c>
      <c r="G170" s="8">
        <v>1</v>
      </c>
      <c r="H170" s="8">
        <v>1</v>
      </c>
      <c r="I170" s="8" t="s">
        <v>136</v>
      </c>
      <c r="J170" s="8" t="s">
        <v>136</v>
      </c>
      <c r="K170" s="8">
        <v>1</v>
      </c>
      <c r="L170" s="8">
        <v>1</v>
      </c>
      <c r="M170" s="8">
        <v>1</v>
      </c>
      <c r="N170" s="8">
        <v>1</v>
      </c>
      <c r="O170" s="8">
        <v>1</v>
      </c>
      <c r="P170" s="8" t="s">
        <v>136</v>
      </c>
      <c r="Q170" s="8" t="s">
        <v>136</v>
      </c>
      <c r="R170" s="8">
        <v>1</v>
      </c>
      <c r="S170" s="8">
        <v>1</v>
      </c>
      <c r="T170" s="8">
        <v>1</v>
      </c>
      <c r="U170" s="8">
        <v>1</v>
      </c>
      <c r="V170" s="8">
        <v>1</v>
      </c>
      <c r="W170" s="8" t="s">
        <v>136</v>
      </c>
      <c r="X170" s="8" t="s">
        <v>136</v>
      </c>
      <c r="Y170" s="8">
        <v>1</v>
      </c>
      <c r="Z170" s="8">
        <v>1</v>
      </c>
      <c r="AA170" s="8">
        <v>1</v>
      </c>
      <c r="AB170" s="8">
        <v>1</v>
      </c>
      <c r="AC170" s="8">
        <v>1</v>
      </c>
      <c r="AD170" s="8" t="s">
        <v>136</v>
      </c>
      <c r="AE170" s="8" t="s">
        <v>136</v>
      </c>
      <c r="AF170" s="8">
        <v>1</v>
      </c>
      <c r="AG170" s="8">
        <v>1</v>
      </c>
      <c r="AH170" s="8">
        <v>1</v>
      </c>
      <c r="AI170" s="8">
        <v>1</v>
      </c>
      <c r="AJ170" s="8">
        <v>1</v>
      </c>
      <c r="AK170" s="10">
        <v>23</v>
      </c>
      <c r="AL170" s="11">
        <v>23</v>
      </c>
      <c r="AM170" s="13">
        <v>23</v>
      </c>
      <c r="AN170" s="13">
        <v>0</v>
      </c>
      <c r="AO170" s="7" t="e">
        <v>#N/A</v>
      </c>
    </row>
    <row r="171" spans="1:41">
      <c r="A171" s="8" t="s">
        <v>131</v>
      </c>
      <c r="B171" s="8" t="s">
        <v>383</v>
      </c>
      <c r="C171" s="8" t="s">
        <v>478</v>
      </c>
      <c r="D171" s="8" t="s">
        <v>479</v>
      </c>
      <c r="E171" s="8" t="s">
        <v>135</v>
      </c>
      <c r="F171" s="8">
        <v>1</v>
      </c>
      <c r="G171" s="8">
        <v>1</v>
      </c>
      <c r="H171" s="8">
        <v>1</v>
      </c>
      <c r="I171" s="8" t="s">
        <v>136</v>
      </c>
      <c r="J171" s="8" t="s">
        <v>136</v>
      </c>
      <c r="K171" s="8">
        <v>1</v>
      </c>
      <c r="L171" s="8">
        <v>1</v>
      </c>
      <c r="M171" s="8">
        <v>1</v>
      </c>
      <c r="N171" s="8">
        <v>1</v>
      </c>
      <c r="O171" s="8">
        <v>1</v>
      </c>
      <c r="P171" s="8" t="s">
        <v>136</v>
      </c>
      <c r="Q171" s="8" t="s">
        <v>136</v>
      </c>
      <c r="R171" s="8">
        <v>1</v>
      </c>
      <c r="S171" s="8">
        <v>1</v>
      </c>
      <c r="T171" s="8">
        <v>1</v>
      </c>
      <c r="U171" s="8">
        <v>1</v>
      </c>
      <c r="V171" s="8">
        <v>1</v>
      </c>
      <c r="W171" s="8" t="s">
        <v>136</v>
      </c>
      <c r="X171" s="8" t="s">
        <v>136</v>
      </c>
      <c r="Y171" s="8">
        <v>1</v>
      </c>
      <c r="Z171" s="8">
        <v>1</v>
      </c>
      <c r="AA171" s="8">
        <v>1</v>
      </c>
      <c r="AB171" s="8">
        <v>1</v>
      </c>
      <c r="AC171" s="8">
        <v>1</v>
      </c>
      <c r="AD171" s="8" t="s">
        <v>136</v>
      </c>
      <c r="AE171" s="8" t="s">
        <v>136</v>
      </c>
      <c r="AF171" s="8">
        <v>1</v>
      </c>
      <c r="AG171" s="8">
        <v>1</v>
      </c>
      <c r="AH171" s="8">
        <v>1</v>
      </c>
      <c r="AI171" s="8">
        <v>1</v>
      </c>
      <c r="AJ171" s="8">
        <v>1</v>
      </c>
      <c r="AK171" s="10">
        <v>23</v>
      </c>
      <c r="AL171" s="11">
        <v>23</v>
      </c>
      <c r="AM171" s="13">
        <v>23</v>
      </c>
      <c r="AN171" s="13">
        <v>0</v>
      </c>
      <c r="AO171" s="7" t="e">
        <v>#N/A</v>
      </c>
    </row>
    <row r="172" spans="1:41">
      <c r="A172" s="8" t="s">
        <v>131</v>
      </c>
      <c r="B172" s="8" t="s">
        <v>383</v>
      </c>
      <c r="C172" s="8" t="s">
        <v>480</v>
      </c>
      <c r="D172" s="8" t="s">
        <v>481</v>
      </c>
      <c r="E172" s="8" t="s">
        <v>135</v>
      </c>
      <c r="F172" s="8">
        <v>1</v>
      </c>
      <c r="G172" s="8">
        <v>1</v>
      </c>
      <c r="H172" s="8">
        <v>1</v>
      </c>
      <c r="I172" s="8" t="s">
        <v>136</v>
      </c>
      <c r="J172" s="8" t="s">
        <v>136</v>
      </c>
      <c r="K172" s="8">
        <v>1</v>
      </c>
      <c r="L172" s="8">
        <v>1</v>
      </c>
      <c r="M172" s="8">
        <v>1</v>
      </c>
      <c r="N172" s="8">
        <v>1</v>
      </c>
      <c r="O172" s="8">
        <v>1</v>
      </c>
      <c r="P172" s="8" t="s">
        <v>136</v>
      </c>
      <c r="Q172" s="8" t="s">
        <v>136</v>
      </c>
      <c r="R172" s="8">
        <v>1</v>
      </c>
      <c r="S172" s="8">
        <v>1</v>
      </c>
      <c r="T172" s="8">
        <v>1</v>
      </c>
      <c r="U172" s="8">
        <v>1</v>
      </c>
      <c r="V172" s="8">
        <v>1</v>
      </c>
      <c r="W172" s="8" t="s">
        <v>136</v>
      </c>
      <c r="X172" s="8" t="s">
        <v>136</v>
      </c>
      <c r="Y172" s="8">
        <v>1</v>
      </c>
      <c r="Z172" s="8">
        <v>1</v>
      </c>
      <c r="AA172" s="8">
        <v>1</v>
      </c>
      <c r="AB172" s="8">
        <v>1</v>
      </c>
      <c r="AC172" s="8">
        <v>1</v>
      </c>
      <c r="AD172" s="8" t="s">
        <v>136</v>
      </c>
      <c r="AE172" s="8" t="s">
        <v>136</v>
      </c>
      <c r="AF172" s="8">
        <v>1</v>
      </c>
      <c r="AG172" s="8">
        <v>1</v>
      </c>
      <c r="AH172" s="8">
        <v>1</v>
      </c>
      <c r="AI172" s="8">
        <v>1</v>
      </c>
      <c r="AJ172" s="8">
        <v>1</v>
      </c>
      <c r="AK172" s="10">
        <v>23</v>
      </c>
      <c r="AL172" s="11">
        <v>23</v>
      </c>
      <c r="AM172" s="13">
        <v>23</v>
      </c>
      <c r="AN172" s="13">
        <v>0</v>
      </c>
      <c r="AO172" s="7" t="e">
        <v>#N/A</v>
      </c>
    </row>
    <row r="173" spans="1:41">
      <c r="A173" s="8" t="s">
        <v>131</v>
      </c>
      <c r="B173" s="8" t="s">
        <v>383</v>
      </c>
      <c r="C173" s="8" t="s">
        <v>482</v>
      </c>
      <c r="D173" s="8" t="s">
        <v>483</v>
      </c>
      <c r="E173" s="8" t="s">
        <v>135</v>
      </c>
      <c r="F173" s="8">
        <v>1</v>
      </c>
      <c r="G173" s="8">
        <v>1</v>
      </c>
      <c r="H173" s="8">
        <v>1</v>
      </c>
      <c r="I173" s="8" t="s">
        <v>136</v>
      </c>
      <c r="J173" s="8" t="s">
        <v>136</v>
      </c>
      <c r="K173" s="8">
        <v>1</v>
      </c>
      <c r="L173" s="8">
        <v>1</v>
      </c>
      <c r="M173" s="8">
        <v>1</v>
      </c>
      <c r="N173" s="8">
        <v>1</v>
      </c>
      <c r="O173" s="8">
        <v>1</v>
      </c>
      <c r="P173" s="8" t="s">
        <v>136</v>
      </c>
      <c r="Q173" s="8" t="s">
        <v>136</v>
      </c>
      <c r="R173" s="8">
        <v>1</v>
      </c>
      <c r="S173" s="8">
        <v>1</v>
      </c>
      <c r="T173" s="8">
        <v>1</v>
      </c>
      <c r="U173" s="8">
        <v>1</v>
      </c>
      <c r="V173" s="8">
        <v>1</v>
      </c>
      <c r="W173" s="8" t="s">
        <v>136</v>
      </c>
      <c r="X173" s="8" t="s">
        <v>136</v>
      </c>
      <c r="Y173" s="8">
        <v>1</v>
      </c>
      <c r="Z173" s="8">
        <v>1</v>
      </c>
      <c r="AA173" s="8">
        <v>1</v>
      </c>
      <c r="AB173" s="8">
        <v>1</v>
      </c>
      <c r="AC173" s="8">
        <v>1</v>
      </c>
      <c r="AD173" s="8" t="s">
        <v>136</v>
      </c>
      <c r="AE173" s="8" t="s">
        <v>136</v>
      </c>
      <c r="AF173" s="8">
        <v>1</v>
      </c>
      <c r="AG173" s="8">
        <v>1</v>
      </c>
      <c r="AH173" s="8">
        <v>1</v>
      </c>
      <c r="AI173" s="8">
        <v>1</v>
      </c>
      <c r="AJ173" s="8">
        <v>1</v>
      </c>
      <c r="AK173" s="10">
        <v>23</v>
      </c>
      <c r="AL173" s="11">
        <v>23</v>
      </c>
      <c r="AM173" s="13">
        <v>23</v>
      </c>
      <c r="AN173" s="13">
        <v>0</v>
      </c>
      <c r="AO173" s="7" t="e">
        <v>#N/A</v>
      </c>
    </row>
    <row r="174" spans="1:41">
      <c r="A174" s="8" t="s">
        <v>131</v>
      </c>
      <c r="B174" s="8" t="s">
        <v>383</v>
      </c>
      <c r="C174" s="8" t="s">
        <v>484</v>
      </c>
      <c r="D174" s="8" t="s">
        <v>485</v>
      </c>
      <c r="E174" s="8" t="s">
        <v>135</v>
      </c>
      <c r="F174" s="8">
        <v>1</v>
      </c>
      <c r="G174" s="8">
        <v>1</v>
      </c>
      <c r="H174" s="8">
        <v>1</v>
      </c>
      <c r="I174" s="8" t="s">
        <v>136</v>
      </c>
      <c r="J174" s="8" t="s">
        <v>136</v>
      </c>
      <c r="K174" s="8">
        <v>1</v>
      </c>
      <c r="L174" s="8">
        <v>1</v>
      </c>
      <c r="M174" s="8">
        <v>1</v>
      </c>
      <c r="N174" s="8">
        <v>1</v>
      </c>
      <c r="O174" s="8">
        <v>1</v>
      </c>
      <c r="P174" s="8" t="s">
        <v>136</v>
      </c>
      <c r="Q174" s="8" t="s">
        <v>136</v>
      </c>
      <c r="R174" s="8">
        <v>1</v>
      </c>
      <c r="S174" s="8">
        <v>1</v>
      </c>
      <c r="T174" s="8">
        <v>1</v>
      </c>
      <c r="U174" s="8">
        <v>1</v>
      </c>
      <c r="V174" s="8">
        <v>1</v>
      </c>
      <c r="W174" s="8" t="s">
        <v>136</v>
      </c>
      <c r="X174" s="8" t="s">
        <v>136</v>
      </c>
      <c r="Y174" s="8">
        <v>1</v>
      </c>
      <c r="Z174" s="8">
        <v>1</v>
      </c>
      <c r="AA174" s="8">
        <v>1</v>
      </c>
      <c r="AB174" s="8">
        <v>1</v>
      </c>
      <c r="AC174" s="8">
        <v>1</v>
      </c>
      <c r="AD174" s="8" t="s">
        <v>136</v>
      </c>
      <c r="AE174" s="8" t="s">
        <v>136</v>
      </c>
      <c r="AF174" s="8">
        <v>1</v>
      </c>
      <c r="AG174" s="8">
        <v>1</v>
      </c>
      <c r="AH174" s="8">
        <v>1</v>
      </c>
      <c r="AI174" s="8">
        <v>1</v>
      </c>
      <c r="AJ174" s="8">
        <v>1</v>
      </c>
      <c r="AK174" s="10">
        <v>23</v>
      </c>
      <c r="AL174" s="11">
        <v>23</v>
      </c>
      <c r="AM174" s="13">
        <v>23</v>
      </c>
      <c r="AN174" s="13">
        <v>0</v>
      </c>
      <c r="AO174" s="7" t="e">
        <v>#N/A</v>
      </c>
    </row>
    <row r="175" spans="1:41">
      <c r="A175" s="8" t="s">
        <v>131</v>
      </c>
      <c r="B175" s="8" t="s">
        <v>383</v>
      </c>
      <c r="C175" s="8" t="s">
        <v>486</v>
      </c>
      <c r="D175" s="8" t="s">
        <v>487</v>
      </c>
      <c r="E175" s="8" t="s">
        <v>135</v>
      </c>
      <c r="F175" s="8">
        <v>1</v>
      </c>
      <c r="G175" s="8">
        <v>1</v>
      </c>
      <c r="H175" s="8">
        <v>1</v>
      </c>
      <c r="I175" s="8" t="s">
        <v>136</v>
      </c>
      <c r="J175" s="8" t="s">
        <v>136</v>
      </c>
      <c r="K175" s="8">
        <v>1</v>
      </c>
      <c r="L175" s="8">
        <v>1</v>
      </c>
      <c r="M175" s="8">
        <v>1</v>
      </c>
      <c r="N175" s="8">
        <v>1</v>
      </c>
      <c r="O175" s="8">
        <v>1</v>
      </c>
      <c r="P175" s="8" t="s">
        <v>136</v>
      </c>
      <c r="Q175" s="8" t="s">
        <v>136</v>
      </c>
      <c r="R175" s="8">
        <v>1</v>
      </c>
      <c r="S175" s="8">
        <v>1</v>
      </c>
      <c r="T175" s="8">
        <v>1</v>
      </c>
      <c r="U175" s="8">
        <v>1</v>
      </c>
      <c r="V175" s="8">
        <v>1</v>
      </c>
      <c r="W175" s="8" t="s">
        <v>136</v>
      </c>
      <c r="X175" s="8" t="s">
        <v>136</v>
      </c>
      <c r="Y175" s="8">
        <v>1</v>
      </c>
      <c r="Z175" s="8">
        <v>1</v>
      </c>
      <c r="AA175" s="8">
        <v>1</v>
      </c>
      <c r="AB175" s="8">
        <v>1</v>
      </c>
      <c r="AC175" s="8">
        <v>1</v>
      </c>
      <c r="AD175" s="8" t="s">
        <v>136</v>
      </c>
      <c r="AE175" s="8" t="s">
        <v>136</v>
      </c>
      <c r="AF175" s="8">
        <v>1</v>
      </c>
      <c r="AG175" s="8">
        <v>1</v>
      </c>
      <c r="AH175" s="8">
        <v>1</v>
      </c>
      <c r="AI175" s="8">
        <v>1</v>
      </c>
      <c r="AJ175" s="8">
        <v>1</v>
      </c>
      <c r="AK175" s="10">
        <v>23</v>
      </c>
      <c r="AL175" s="11">
        <v>23</v>
      </c>
      <c r="AM175" s="13">
        <v>23</v>
      </c>
      <c r="AN175" s="13">
        <v>0</v>
      </c>
      <c r="AO175" s="7" t="e">
        <v>#N/A</v>
      </c>
    </row>
    <row r="176" spans="1:41">
      <c r="A176" s="8" t="s">
        <v>131</v>
      </c>
      <c r="B176" s="8" t="s">
        <v>383</v>
      </c>
      <c r="C176" s="8" t="s">
        <v>488</v>
      </c>
      <c r="D176" s="8" t="s">
        <v>489</v>
      </c>
      <c r="E176" s="8" t="s">
        <v>135</v>
      </c>
      <c r="F176" s="8">
        <v>1</v>
      </c>
      <c r="G176" s="8">
        <v>1</v>
      </c>
      <c r="H176" s="8">
        <v>1</v>
      </c>
      <c r="I176" s="8" t="s">
        <v>136</v>
      </c>
      <c r="J176" s="8" t="s">
        <v>136</v>
      </c>
      <c r="K176" s="8">
        <v>1</v>
      </c>
      <c r="L176" s="8">
        <v>1</v>
      </c>
      <c r="M176" s="8">
        <v>1</v>
      </c>
      <c r="N176" s="8">
        <v>1</v>
      </c>
      <c r="O176" s="8">
        <v>1</v>
      </c>
      <c r="P176" s="8" t="s">
        <v>136</v>
      </c>
      <c r="Q176" s="8" t="s">
        <v>136</v>
      </c>
      <c r="R176" s="8">
        <v>1</v>
      </c>
      <c r="S176" s="8">
        <v>1</v>
      </c>
      <c r="T176" s="8">
        <v>1</v>
      </c>
      <c r="U176" s="8">
        <v>1</v>
      </c>
      <c r="V176" s="8">
        <v>1</v>
      </c>
      <c r="W176" s="8" t="s">
        <v>136</v>
      </c>
      <c r="X176" s="8" t="s">
        <v>136</v>
      </c>
      <c r="Y176" s="8">
        <v>1</v>
      </c>
      <c r="Z176" s="8">
        <v>1</v>
      </c>
      <c r="AA176" s="8">
        <v>1</v>
      </c>
      <c r="AB176" s="8">
        <v>1</v>
      </c>
      <c r="AC176" s="8">
        <v>1</v>
      </c>
      <c r="AD176" s="8" t="s">
        <v>136</v>
      </c>
      <c r="AE176" s="8" t="s">
        <v>136</v>
      </c>
      <c r="AF176" s="8">
        <v>1</v>
      </c>
      <c r="AG176" s="8">
        <v>1</v>
      </c>
      <c r="AH176" s="8">
        <v>1</v>
      </c>
      <c r="AI176" s="8">
        <v>1</v>
      </c>
      <c r="AJ176" s="8">
        <v>1</v>
      </c>
      <c r="AK176" s="10">
        <v>23</v>
      </c>
      <c r="AL176" s="11">
        <v>23</v>
      </c>
      <c r="AM176" s="13">
        <v>23</v>
      </c>
      <c r="AN176" s="13">
        <v>0</v>
      </c>
      <c r="AO176" s="7" t="e">
        <v>#N/A</v>
      </c>
    </row>
    <row r="177" spans="1:41">
      <c r="A177" s="8" t="s">
        <v>131</v>
      </c>
      <c r="B177" s="8" t="s">
        <v>383</v>
      </c>
      <c r="C177" s="8" t="s">
        <v>490</v>
      </c>
      <c r="D177" s="8" t="s">
        <v>491</v>
      </c>
      <c r="E177" s="8" t="s">
        <v>135</v>
      </c>
      <c r="F177" s="8">
        <v>1</v>
      </c>
      <c r="G177" s="8">
        <v>1</v>
      </c>
      <c r="H177" s="8">
        <v>1</v>
      </c>
      <c r="I177" s="8" t="s">
        <v>136</v>
      </c>
      <c r="J177" s="8" t="s">
        <v>136</v>
      </c>
      <c r="K177" s="8">
        <v>1</v>
      </c>
      <c r="L177" s="8">
        <v>1</v>
      </c>
      <c r="M177" s="8">
        <v>1</v>
      </c>
      <c r="N177" s="8">
        <v>1</v>
      </c>
      <c r="O177" s="8">
        <v>1</v>
      </c>
      <c r="P177" s="8" t="s">
        <v>136</v>
      </c>
      <c r="Q177" s="8" t="s">
        <v>136</v>
      </c>
      <c r="R177" s="8">
        <v>1</v>
      </c>
      <c r="S177" s="8">
        <v>1</v>
      </c>
      <c r="T177" s="8">
        <v>1</v>
      </c>
      <c r="U177" s="8">
        <v>1</v>
      </c>
      <c r="V177" s="8">
        <v>1</v>
      </c>
      <c r="W177" s="8" t="s">
        <v>136</v>
      </c>
      <c r="X177" s="8" t="s">
        <v>136</v>
      </c>
      <c r="Y177" s="8">
        <v>1</v>
      </c>
      <c r="Z177" s="8">
        <v>1</v>
      </c>
      <c r="AA177" s="8">
        <v>1</v>
      </c>
      <c r="AB177" s="8">
        <v>1</v>
      </c>
      <c r="AC177" s="8">
        <v>1</v>
      </c>
      <c r="AD177" s="8" t="s">
        <v>136</v>
      </c>
      <c r="AE177" s="8" t="s">
        <v>136</v>
      </c>
      <c r="AF177" s="8">
        <v>1</v>
      </c>
      <c r="AG177" s="8">
        <v>1</v>
      </c>
      <c r="AH177" s="8">
        <v>1</v>
      </c>
      <c r="AI177" s="8">
        <v>1</v>
      </c>
      <c r="AJ177" s="8">
        <v>1</v>
      </c>
      <c r="AK177" s="10">
        <v>23</v>
      </c>
      <c r="AL177" s="11">
        <v>23</v>
      </c>
      <c r="AM177" s="13">
        <v>23</v>
      </c>
      <c r="AN177" s="13">
        <v>0</v>
      </c>
      <c r="AO177" s="7" t="e">
        <v>#N/A</v>
      </c>
    </row>
    <row r="178" spans="1:41">
      <c r="A178" s="8" t="s">
        <v>131</v>
      </c>
      <c r="B178" s="8" t="s">
        <v>383</v>
      </c>
      <c r="C178" s="8" t="s">
        <v>492</v>
      </c>
      <c r="D178" s="8" t="s">
        <v>493</v>
      </c>
      <c r="E178" s="8" t="s">
        <v>135</v>
      </c>
      <c r="F178" s="8">
        <v>1</v>
      </c>
      <c r="G178" s="8">
        <v>1</v>
      </c>
      <c r="H178" s="8">
        <v>1</v>
      </c>
      <c r="I178" s="8" t="s">
        <v>136</v>
      </c>
      <c r="J178" s="8" t="s">
        <v>136</v>
      </c>
      <c r="K178" s="8">
        <v>1</v>
      </c>
      <c r="L178" s="8">
        <v>1</v>
      </c>
      <c r="M178" s="8">
        <v>1</v>
      </c>
      <c r="N178" s="8">
        <v>1</v>
      </c>
      <c r="O178" s="8">
        <v>1</v>
      </c>
      <c r="P178" s="8" t="s">
        <v>136</v>
      </c>
      <c r="Q178" s="8" t="s">
        <v>136</v>
      </c>
      <c r="R178" s="8">
        <v>1</v>
      </c>
      <c r="S178" s="8">
        <v>1</v>
      </c>
      <c r="T178" s="8">
        <v>1</v>
      </c>
      <c r="U178" s="8">
        <v>1</v>
      </c>
      <c r="V178" s="8">
        <v>1</v>
      </c>
      <c r="W178" s="8" t="s">
        <v>136</v>
      </c>
      <c r="X178" s="8" t="s">
        <v>136</v>
      </c>
      <c r="Y178" s="8">
        <v>1</v>
      </c>
      <c r="Z178" s="8">
        <v>1</v>
      </c>
      <c r="AA178" s="8">
        <v>1</v>
      </c>
      <c r="AB178" s="8">
        <v>1</v>
      </c>
      <c r="AC178" s="8">
        <v>1</v>
      </c>
      <c r="AD178" s="8" t="s">
        <v>136</v>
      </c>
      <c r="AE178" s="8" t="s">
        <v>136</v>
      </c>
      <c r="AF178" s="8">
        <v>1</v>
      </c>
      <c r="AG178" s="8">
        <v>1</v>
      </c>
      <c r="AH178" s="8">
        <v>1</v>
      </c>
      <c r="AI178" s="8">
        <v>1</v>
      </c>
      <c r="AJ178" s="8">
        <v>1</v>
      </c>
      <c r="AK178" s="10">
        <v>23</v>
      </c>
      <c r="AL178" s="11">
        <v>23</v>
      </c>
      <c r="AM178" s="13">
        <v>23</v>
      </c>
      <c r="AN178" s="13">
        <v>0</v>
      </c>
      <c r="AO178" s="7" t="e">
        <v>#N/A</v>
      </c>
    </row>
    <row r="179" spans="1:41">
      <c r="A179" s="8" t="s">
        <v>131</v>
      </c>
      <c r="B179" s="8" t="s">
        <v>494</v>
      </c>
      <c r="C179" s="8" t="s">
        <v>495</v>
      </c>
      <c r="D179" s="8" t="s">
        <v>496</v>
      </c>
      <c r="E179" s="8" t="s">
        <v>135</v>
      </c>
      <c r="F179" s="9">
        <v>1</v>
      </c>
      <c r="G179" s="8">
        <v>1</v>
      </c>
      <c r="H179" s="8">
        <v>1</v>
      </c>
      <c r="I179" s="8" t="s">
        <v>136</v>
      </c>
      <c r="J179" s="8" t="s">
        <v>136</v>
      </c>
      <c r="K179" s="8">
        <v>1</v>
      </c>
      <c r="L179" s="8">
        <v>1</v>
      </c>
      <c r="M179" s="8">
        <v>1</v>
      </c>
      <c r="N179" s="8">
        <v>1</v>
      </c>
      <c r="O179" s="8">
        <v>1</v>
      </c>
      <c r="P179" s="8" t="s">
        <v>136</v>
      </c>
      <c r="Q179" s="8" t="s">
        <v>136</v>
      </c>
      <c r="R179" s="8">
        <v>1</v>
      </c>
      <c r="S179" s="8">
        <v>1</v>
      </c>
      <c r="T179" s="8">
        <v>1</v>
      </c>
      <c r="U179" s="8">
        <v>1</v>
      </c>
      <c r="V179" s="8">
        <v>1</v>
      </c>
      <c r="W179" s="8" t="s">
        <v>136</v>
      </c>
      <c r="X179" s="8" t="s">
        <v>136</v>
      </c>
      <c r="Y179" s="8">
        <v>1</v>
      </c>
      <c r="Z179" s="8">
        <v>1</v>
      </c>
      <c r="AA179" s="8">
        <v>1</v>
      </c>
      <c r="AB179" s="8">
        <v>1</v>
      </c>
      <c r="AC179" s="8">
        <v>1</v>
      </c>
      <c r="AD179" s="8" t="s">
        <v>136</v>
      </c>
      <c r="AE179" s="8" t="s">
        <v>136</v>
      </c>
      <c r="AF179" s="8">
        <v>1</v>
      </c>
      <c r="AG179" s="8">
        <v>1</v>
      </c>
      <c r="AH179" s="8">
        <v>1</v>
      </c>
      <c r="AI179" s="8">
        <v>1</v>
      </c>
      <c r="AJ179" s="8">
        <v>1</v>
      </c>
      <c r="AK179" s="10">
        <v>23</v>
      </c>
      <c r="AL179" s="11">
        <v>23</v>
      </c>
      <c r="AM179" s="13">
        <v>23</v>
      </c>
      <c r="AN179" s="13">
        <v>0</v>
      </c>
      <c r="AO179" s="7" t="e">
        <v>#N/A</v>
      </c>
    </row>
    <row r="180" spans="1:41">
      <c r="A180" s="8" t="s">
        <v>131</v>
      </c>
      <c r="B180" s="8" t="s">
        <v>494</v>
      </c>
      <c r="C180" s="8" t="s">
        <v>497</v>
      </c>
      <c r="D180" s="8" t="s">
        <v>498</v>
      </c>
      <c r="E180" s="8" t="s">
        <v>135</v>
      </c>
      <c r="F180" s="8">
        <v>1</v>
      </c>
      <c r="G180" s="8">
        <v>1</v>
      </c>
      <c r="H180" s="8">
        <v>1</v>
      </c>
      <c r="I180" s="8" t="s">
        <v>136</v>
      </c>
      <c r="J180" s="8" t="s">
        <v>136</v>
      </c>
      <c r="K180" s="8">
        <v>1</v>
      </c>
      <c r="L180" s="8">
        <v>1</v>
      </c>
      <c r="M180" s="8">
        <v>1</v>
      </c>
      <c r="N180" s="8">
        <v>1</v>
      </c>
      <c r="O180" s="8">
        <v>1</v>
      </c>
      <c r="P180" s="8" t="s">
        <v>136</v>
      </c>
      <c r="Q180" s="8" t="s">
        <v>136</v>
      </c>
      <c r="R180" s="8">
        <v>1</v>
      </c>
      <c r="S180" s="8">
        <v>1</v>
      </c>
      <c r="T180" s="8">
        <v>1</v>
      </c>
      <c r="U180" s="8">
        <v>1</v>
      </c>
      <c r="V180" s="8">
        <v>1</v>
      </c>
      <c r="W180" s="8" t="s">
        <v>136</v>
      </c>
      <c r="X180" s="8" t="s">
        <v>136</v>
      </c>
      <c r="Y180" s="8">
        <v>1</v>
      </c>
      <c r="Z180" s="8">
        <v>1</v>
      </c>
      <c r="AA180" s="8">
        <v>1</v>
      </c>
      <c r="AB180" s="8">
        <v>1</v>
      </c>
      <c r="AC180" s="8">
        <v>1</v>
      </c>
      <c r="AD180" s="8" t="s">
        <v>136</v>
      </c>
      <c r="AE180" s="8" t="s">
        <v>136</v>
      </c>
      <c r="AF180" s="8">
        <v>1</v>
      </c>
      <c r="AG180" s="8">
        <v>1</v>
      </c>
      <c r="AH180" s="8">
        <v>1</v>
      </c>
      <c r="AI180" s="8">
        <v>1</v>
      </c>
      <c r="AJ180" s="8">
        <v>1</v>
      </c>
      <c r="AK180" s="10">
        <v>23</v>
      </c>
      <c r="AL180" s="11">
        <v>23</v>
      </c>
      <c r="AM180" s="13">
        <v>23</v>
      </c>
      <c r="AN180" s="13">
        <v>0</v>
      </c>
      <c r="AO180" s="7" t="e">
        <v>#N/A</v>
      </c>
    </row>
    <row r="181" spans="1:41">
      <c r="A181" s="8" t="s">
        <v>131</v>
      </c>
      <c r="B181" s="8" t="s">
        <v>494</v>
      </c>
      <c r="C181" s="8" t="s">
        <v>499</v>
      </c>
      <c r="D181" s="8" t="s">
        <v>500</v>
      </c>
      <c r="E181" s="8" t="s">
        <v>135</v>
      </c>
      <c r="F181" s="8">
        <v>1</v>
      </c>
      <c r="G181" s="8">
        <v>1</v>
      </c>
      <c r="H181" s="8">
        <v>1</v>
      </c>
      <c r="I181" s="8" t="s">
        <v>136</v>
      </c>
      <c r="J181" s="8" t="s">
        <v>136</v>
      </c>
      <c r="K181" s="8">
        <v>1</v>
      </c>
      <c r="L181" s="8">
        <v>1</v>
      </c>
      <c r="M181" s="8">
        <v>1</v>
      </c>
      <c r="N181" s="8">
        <v>1</v>
      </c>
      <c r="O181" s="8">
        <v>1</v>
      </c>
      <c r="P181" s="8" t="s">
        <v>136</v>
      </c>
      <c r="Q181" s="8" t="s">
        <v>136</v>
      </c>
      <c r="R181" s="8">
        <v>1</v>
      </c>
      <c r="S181" s="8">
        <v>1</v>
      </c>
      <c r="T181" s="8">
        <v>1</v>
      </c>
      <c r="U181" s="8">
        <v>1</v>
      </c>
      <c r="V181" s="8">
        <v>1</v>
      </c>
      <c r="W181" s="8" t="s">
        <v>136</v>
      </c>
      <c r="X181" s="8" t="s">
        <v>136</v>
      </c>
      <c r="Y181" s="8">
        <v>1</v>
      </c>
      <c r="Z181" s="8">
        <v>1</v>
      </c>
      <c r="AA181" s="8">
        <v>1</v>
      </c>
      <c r="AB181" s="8">
        <v>1</v>
      </c>
      <c r="AC181" s="8">
        <v>1</v>
      </c>
      <c r="AD181" s="8" t="s">
        <v>136</v>
      </c>
      <c r="AE181" s="8" t="s">
        <v>136</v>
      </c>
      <c r="AF181" s="8">
        <v>1</v>
      </c>
      <c r="AG181" s="8">
        <v>1</v>
      </c>
      <c r="AH181" s="8">
        <v>1</v>
      </c>
      <c r="AI181" s="8">
        <v>1</v>
      </c>
      <c r="AJ181" s="8">
        <v>1</v>
      </c>
      <c r="AK181" s="10">
        <v>23</v>
      </c>
      <c r="AL181" s="11">
        <v>23</v>
      </c>
      <c r="AM181" s="13">
        <v>23</v>
      </c>
      <c r="AN181" s="13">
        <v>0</v>
      </c>
      <c r="AO181" s="7" t="e">
        <v>#N/A</v>
      </c>
    </row>
    <row r="182" spans="1:41">
      <c r="A182" s="8" t="s">
        <v>131</v>
      </c>
      <c r="B182" s="8" t="s">
        <v>494</v>
      </c>
      <c r="C182" s="8" t="s">
        <v>501</v>
      </c>
      <c r="D182" s="8" t="s">
        <v>502</v>
      </c>
      <c r="E182" s="8" t="s">
        <v>135</v>
      </c>
      <c r="F182" s="8">
        <v>1</v>
      </c>
      <c r="G182" s="8">
        <v>1</v>
      </c>
      <c r="H182" s="8">
        <v>1</v>
      </c>
      <c r="I182" s="8" t="s">
        <v>136</v>
      </c>
      <c r="J182" s="8" t="s">
        <v>136</v>
      </c>
      <c r="K182" s="8">
        <v>1</v>
      </c>
      <c r="L182" s="8">
        <v>1</v>
      </c>
      <c r="M182" s="8">
        <v>1</v>
      </c>
      <c r="N182" s="8">
        <v>1</v>
      </c>
      <c r="O182" s="8">
        <v>1</v>
      </c>
      <c r="P182" s="8" t="s">
        <v>136</v>
      </c>
      <c r="Q182" s="8" t="s">
        <v>136</v>
      </c>
      <c r="R182" s="8">
        <v>1</v>
      </c>
      <c r="S182" s="8">
        <v>1</v>
      </c>
      <c r="T182" s="8">
        <v>1</v>
      </c>
      <c r="U182" s="8">
        <v>1</v>
      </c>
      <c r="V182" s="8">
        <v>1</v>
      </c>
      <c r="W182" s="8" t="s">
        <v>136</v>
      </c>
      <c r="X182" s="8" t="s">
        <v>136</v>
      </c>
      <c r="Y182" s="8">
        <v>1</v>
      </c>
      <c r="Z182" s="8">
        <v>1</v>
      </c>
      <c r="AA182" s="8">
        <v>1</v>
      </c>
      <c r="AB182" s="8">
        <v>1</v>
      </c>
      <c r="AC182" s="8">
        <v>1</v>
      </c>
      <c r="AD182" s="8" t="s">
        <v>136</v>
      </c>
      <c r="AE182" s="8" t="s">
        <v>136</v>
      </c>
      <c r="AF182" s="8">
        <v>1</v>
      </c>
      <c r="AG182" s="8">
        <v>1</v>
      </c>
      <c r="AH182" s="8">
        <v>1</v>
      </c>
      <c r="AI182" s="8">
        <v>1</v>
      </c>
      <c r="AJ182" s="8">
        <v>1</v>
      </c>
      <c r="AK182" s="10">
        <v>23</v>
      </c>
      <c r="AL182" s="11">
        <v>23</v>
      </c>
      <c r="AM182" s="13">
        <v>23</v>
      </c>
      <c r="AN182" s="13">
        <v>0</v>
      </c>
      <c r="AO182" s="7" t="e">
        <v>#N/A</v>
      </c>
    </row>
    <row r="183" spans="1:41">
      <c r="A183" s="8" t="s">
        <v>131</v>
      </c>
      <c r="B183" s="8" t="s">
        <v>494</v>
      </c>
      <c r="C183" s="8" t="s">
        <v>503</v>
      </c>
      <c r="D183" s="8" t="s">
        <v>504</v>
      </c>
      <c r="E183" s="8" t="s">
        <v>135</v>
      </c>
      <c r="F183" s="8">
        <v>1</v>
      </c>
      <c r="G183" s="8">
        <v>1</v>
      </c>
      <c r="H183" s="8">
        <v>1</v>
      </c>
      <c r="I183" s="8" t="s">
        <v>136</v>
      </c>
      <c r="J183" s="8" t="s">
        <v>136</v>
      </c>
      <c r="K183" s="8">
        <v>1</v>
      </c>
      <c r="L183" s="8">
        <v>1</v>
      </c>
      <c r="M183" s="8">
        <v>1</v>
      </c>
      <c r="N183" s="8">
        <v>1</v>
      </c>
      <c r="O183" s="8">
        <v>1</v>
      </c>
      <c r="P183" s="8" t="s">
        <v>136</v>
      </c>
      <c r="Q183" s="8" t="s">
        <v>136</v>
      </c>
      <c r="R183" s="8">
        <v>1</v>
      </c>
      <c r="S183" s="8">
        <v>1</v>
      </c>
      <c r="T183" s="8">
        <v>1</v>
      </c>
      <c r="U183" s="8">
        <v>1</v>
      </c>
      <c r="V183" s="8">
        <v>1</v>
      </c>
      <c r="W183" s="8" t="s">
        <v>136</v>
      </c>
      <c r="X183" s="8" t="s">
        <v>136</v>
      </c>
      <c r="Y183" s="8">
        <v>1</v>
      </c>
      <c r="Z183" s="8">
        <v>1</v>
      </c>
      <c r="AA183" s="8">
        <v>1</v>
      </c>
      <c r="AB183" s="8">
        <v>1</v>
      </c>
      <c r="AC183" s="8">
        <v>1</v>
      </c>
      <c r="AD183" s="8" t="s">
        <v>136</v>
      </c>
      <c r="AE183" s="8" t="s">
        <v>136</v>
      </c>
      <c r="AF183" s="8">
        <v>1</v>
      </c>
      <c r="AG183" s="8">
        <v>1</v>
      </c>
      <c r="AH183" s="8">
        <v>1</v>
      </c>
      <c r="AI183" s="8">
        <v>1</v>
      </c>
      <c r="AJ183" s="8">
        <v>1</v>
      </c>
      <c r="AK183" s="10">
        <v>23</v>
      </c>
      <c r="AL183" s="11">
        <v>23</v>
      </c>
      <c r="AM183" s="13">
        <v>23</v>
      </c>
      <c r="AN183" s="13">
        <v>0</v>
      </c>
      <c r="AO183" s="7" t="e">
        <v>#N/A</v>
      </c>
    </row>
    <row r="184" spans="1:41">
      <c r="A184" s="8" t="s">
        <v>131</v>
      </c>
      <c r="B184" s="8" t="s">
        <v>494</v>
      </c>
      <c r="C184" s="8" t="s">
        <v>505</v>
      </c>
      <c r="D184" s="8" t="s">
        <v>506</v>
      </c>
      <c r="E184" s="8" t="s">
        <v>135</v>
      </c>
      <c r="F184" s="8">
        <v>1</v>
      </c>
      <c r="G184" s="8">
        <v>1</v>
      </c>
      <c r="H184" s="8">
        <v>1</v>
      </c>
      <c r="I184" s="8" t="s">
        <v>136</v>
      </c>
      <c r="J184" s="8" t="s">
        <v>136</v>
      </c>
      <c r="K184" s="8">
        <v>1</v>
      </c>
      <c r="L184" s="8">
        <v>1</v>
      </c>
      <c r="M184" s="8">
        <v>1</v>
      </c>
      <c r="N184" s="8">
        <v>1</v>
      </c>
      <c r="O184" s="8">
        <v>1</v>
      </c>
      <c r="P184" s="8" t="s">
        <v>136</v>
      </c>
      <c r="Q184" s="8" t="s">
        <v>136</v>
      </c>
      <c r="R184" s="8">
        <v>1</v>
      </c>
      <c r="S184" s="8">
        <v>1</v>
      </c>
      <c r="T184" s="8">
        <v>1</v>
      </c>
      <c r="U184" s="8">
        <v>1</v>
      </c>
      <c r="V184" s="8">
        <v>1</v>
      </c>
      <c r="W184" s="8" t="s">
        <v>136</v>
      </c>
      <c r="X184" s="8" t="s">
        <v>136</v>
      </c>
      <c r="Y184" s="8">
        <v>1</v>
      </c>
      <c r="Z184" s="8">
        <v>1</v>
      </c>
      <c r="AA184" s="8">
        <v>1</v>
      </c>
      <c r="AB184" s="8">
        <v>1</v>
      </c>
      <c r="AC184" s="8">
        <v>1</v>
      </c>
      <c r="AD184" s="8" t="s">
        <v>136</v>
      </c>
      <c r="AE184" s="8" t="s">
        <v>136</v>
      </c>
      <c r="AF184" s="8">
        <v>1</v>
      </c>
      <c r="AG184" s="9">
        <v>1</v>
      </c>
      <c r="AH184" s="8">
        <v>1</v>
      </c>
      <c r="AI184" s="8">
        <v>1</v>
      </c>
      <c r="AJ184" s="8">
        <v>1</v>
      </c>
      <c r="AK184" s="10">
        <v>23</v>
      </c>
      <c r="AL184" s="11">
        <v>23</v>
      </c>
      <c r="AM184" s="13">
        <v>23</v>
      </c>
      <c r="AN184" s="13">
        <v>0</v>
      </c>
      <c r="AO184" s="7" t="e">
        <v>#N/A</v>
      </c>
    </row>
    <row r="185" spans="1:41">
      <c r="A185" s="8" t="s">
        <v>131</v>
      </c>
      <c r="B185" s="8" t="s">
        <v>494</v>
      </c>
      <c r="C185" s="8" t="s">
        <v>507</v>
      </c>
      <c r="D185" s="8" t="s">
        <v>508</v>
      </c>
      <c r="E185" s="8" t="s">
        <v>135</v>
      </c>
      <c r="F185" s="8">
        <v>1</v>
      </c>
      <c r="G185" s="8">
        <v>1</v>
      </c>
      <c r="H185" s="8">
        <v>1</v>
      </c>
      <c r="I185" s="8" t="s">
        <v>136</v>
      </c>
      <c r="J185" s="8" t="s">
        <v>136</v>
      </c>
      <c r="K185" s="8">
        <v>1</v>
      </c>
      <c r="L185" s="8">
        <v>1</v>
      </c>
      <c r="M185" s="8">
        <v>1</v>
      </c>
      <c r="N185" s="8">
        <v>1</v>
      </c>
      <c r="O185" s="8">
        <v>1</v>
      </c>
      <c r="P185" s="8" t="s">
        <v>136</v>
      </c>
      <c r="Q185" s="8" t="s">
        <v>136</v>
      </c>
      <c r="R185" s="8">
        <v>1</v>
      </c>
      <c r="S185" s="8">
        <v>1</v>
      </c>
      <c r="T185" s="8">
        <v>1</v>
      </c>
      <c r="U185" s="8">
        <v>1</v>
      </c>
      <c r="V185" s="8">
        <v>1</v>
      </c>
      <c r="W185" s="8" t="s">
        <v>136</v>
      </c>
      <c r="X185" s="8" t="s">
        <v>136</v>
      </c>
      <c r="Y185" s="8">
        <v>1</v>
      </c>
      <c r="Z185" s="8">
        <v>1</v>
      </c>
      <c r="AA185" s="8">
        <v>1</v>
      </c>
      <c r="AB185" s="8">
        <v>1</v>
      </c>
      <c r="AC185" s="8">
        <v>1</v>
      </c>
      <c r="AD185" s="8" t="s">
        <v>136</v>
      </c>
      <c r="AE185" s="8" t="s">
        <v>136</v>
      </c>
      <c r="AF185" s="8">
        <v>1</v>
      </c>
      <c r="AG185" s="8">
        <v>1</v>
      </c>
      <c r="AH185" s="8">
        <v>1</v>
      </c>
      <c r="AI185" s="8">
        <v>1</v>
      </c>
      <c r="AJ185" s="8">
        <v>1</v>
      </c>
      <c r="AK185" s="10">
        <v>23</v>
      </c>
      <c r="AL185" s="11">
        <v>23</v>
      </c>
      <c r="AM185" s="13">
        <v>23</v>
      </c>
      <c r="AN185" s="13">
        <v>0</v>
      </c>
      <c r="AO185" s="7" t="e">
        <v>#N/A</v>
      </c>
    </row>
    <row r="186" spans="1:41">
      <c r="A186" s="8" t="s">
        <v>131</v>
      </c>
      <c r="B186" s="8" t="s">
        <v>494</v>
      </c>
      <c r="C186" s="8" t="s">
        <v>509</v>
      </c>
      <c r="D186" s="8" t="s">
        <v>510</v>
      </c>
      <c r="E186" s="8" t="s">
        <v>135</v>
      </c>
      <c r="F186" s="8">
        <v>1</v>
      </c>
      <c r="G186" s="8">
        <v>1</v>
      </c>
      <c r="H186" s="8">
        <v>1</v>
      </c>
      <c r="I186" s="8" t="s">
        <v>136</v>
      </c>
      <c r="J186" s="8" t="s">
        <v>136</v>
      </c>
      <c r="K186" s="8">
        <v>1</v>
      </c>
      <c r="L186" s="8">
        <v>1</v>
      </c>
      <c r="M186" s="8">
        <v>1</v>
      </c>
      <c r="N186" s="8">
        <v>1</v>
      </c>
      <c r="O186" s="8">
        <v>1</v>
      </c>
      <c r="P186" s="8" t="s">
        <v>136</v>
      </c>
      <c r="Q186" s="8" t="s">
        <v>136</v>
      </c>
      <c r="R186" s="8">
        <v>1</v>
      </c>
      <c r="S186" s="8">
        <v>1</v>
      </c>
      <c r="T186" s="8">
        <v>1</v>
      </c>
      <c r="U186" s="8">
        <v>1</v>
      </c>
      <c r="V186" s="8">
        <v>1</v>
      </c>
      <c r="W186" s="8" t="s">
        <v>136</v>
      </c>
      <c r="X186" s="8" t="s">
        <v>136</v>
      </c>
      <c r="Y186" s="8">
        <v>1</v>
      </c>
      <c r="Z186" s="8">
        <v>1</v>
      </c>
      <c r="AA186" s="8">
        <v>1</v>
      </c>
      <c r="AB186" s="8">
        <v>1</v>
      </c>
      <c r="AC186" s="8">
        <v>1</v>
      </c>
      <c r="AD186" s="8" t="s">
        <v>136</v>
      </c>
      <c r="AE186" s="8" t="s">
        <v>136</v>
      </c>
      <c r="AF186" s="8">
        <v>1</v>
      </c>
      <c r="AG186" s="8">
        <v>1</v>
      </c>
      <c r="AH186" s="8">
        <v>1</v>
      </c>
      <c r="AI186" s="8">
        <v>1</v>
      </c>
      <c r="AJ186" s="8">
        <v>1</v>
      </c>
      <c r="AK186" s="10">
        <v>23</v>
      </c>
      <c r="AL186" s="11">
        <v>23</v>
      </c>
      <c r="AM186" s="13">
        <v>23</v>
      </c>
      <c r="AN186" s="13">
        <v>0</v>
      </c>
      <c r="AO186" s="7" t="e">
        <v>#N/A</v>
      </c>
    </row>
    <row r="187" spans="1:41">
      <c r="A187" s="8" t="s">
        <v>131</v>
      </c>
      <c r="B187" s="8" t="s">
        <v>494</v>
      </c>
      <c r="C187" s="8" t="s">
        <v>511</v>
      </c>
      <c r="D187" s="8" t="s">
        <v>512</v>
      </c>
      <c r="E187" s="8" t="s">
        <v>135</v>
      </c>
      <c r="F187" s="9">
        <v>1</v>
      </c>
      <c r="G187" s="8">
        <v>1</v>
      </c>
      <c r="H187" s="8">
        <v>1</v>
      </c>
      <c r="I187" s="8" t="s">
        <v>136</v>
      </c>
      <c r="J187" s="8" t="s">
        <v>136</v>
      </c>
      <c r="K187" s="8">
        <v>1</v>
      </c>
      <c r="L187" s="8">
        <v>1</v>
      </c>
      <c r="M187" s="8">
        <v>1</v>
      </c>
      <c r="N187" s="8">
        <v>1</v>
      </c>
      <c r="O187" s="8">
        <v>1</v>
      </c>
      <c r="P187" s="8" t="s">
        <v>136</v>
      </c>
      <c r="Q187" s="8" t="s">
        <v>136</v>
      </c>
      <c r="R187" s="8">
        <v>1</v>
      </c>
      <c r="S187" s="8">
        <v>1</v>
      </c>
      <c r="T187" s="8">
        <v>1</v>
      </c>
      <c r="U187" s="8">
        <v>1</v>
      </c>
      <c r="V187" s="8">
        <v>1</v>
      </c>
      <c r="W187" s="8" t="s">
        <v>136</v>
      </c>
      <c r="X187" s="8" t="s">
        <v>136</v>
      </c>
      <c r="Y187" s="8">
        <v>1</v>
      </c>
      <c r="Z187" s="8">
        <v>1</v>
      </c>
      <c r="AA187" s="8">
        <v>1</v>
      </c>
      <c r="AB187" s="8">
        <v>1</v>
      </c>
      <c r="AC187" s="8">
        <v>1</v>
      </c>
      <c r="AD187" s="8" t="s">
        <v>136</v>
      </c>
      <c r="AE187" s="8" t="s">
        <v>136</v>
      </c>
      <c r="AF187" s="8">
        <v>1</v>
      </c>
      <c r="AG187" s="8">
        <v>1</v>
      </c>
      <c r="AH187" s="8">
        <v>1</v>
      </c>
      <c r="AI187" s="8">
        <v>1</v>
      </c>
      <c r="AJ187" s="8">
        <v>1</v>
      </c>
      <c r="AK187" s="10">
        <v>23</v>
      </c>
      <c r="AL187" s="11">
        <v>23</v>
      </c>
      <c r="AM187" s="13">
        <v>23</v>
      </c>
      <c r="AN187" s="13">
        <v>0</v>
      </c>
      <c r="AO187" s="7" t="e">
        <v>#N/A</v>
      </c>
    </row>
    <row r="188" spans="1:41">
      <c r="A188" s="8" t="s">
        <v>131</v>
      </c>
      <c r="B188" s="8" t="s">
        <v>494</v>
      </c>
      <c r="C188" s="8" t="s">
        <v>513</v>
      </c>
      <c r="D188" s="8" t="s">
        <v>514</v>
      </c>
      <c r="E188" s="8" t="s">
        <v>135</v>
      </c>
      <c r="F188" s="8">
        <v>1</v>
      </c>
      <c r="G188" s="8">
        <v>1</v>
      </c>
      <c r="H188" s="8">
        <v>1</v>
      </c>
      <c r="I188" s="8" t="s">
        <v>136</v>
      </c>
      <c r="J188" s="8" t="s">
        <v>136</v>
      </c>
      <c r="K188" s="8">
        <v>1</v>
      </c>
      <c r="L188" s="8">
        <v>1</v>
      </c>
      <c r="M188" s="8">
        <v>1</v>
      </c>
      <c r="N188" s="8">
        <v>1</v>
      </c>
      <c r="O188" s="8">
        <v>1</v>
      </c>
      <c r="P188" s="8" t="s">
        <v>136</v>
      </c>
      <c r="Q188" s="8" t="s">
        <v>136</v>
      </c>
      <c r="R188" s="8">
        <v>1</v>
      </c>
      <c r="S188" s="8">
        <v>1</v>
      </c>
      <c r="T188" s="8">
        <v>1</v>
      </c>
      <c r="U188" s="8">
        <v>1</v>
      </c>
      <c r="V188" s="8">
        <v>1</v>
      </c>
      <c r="W188" s="8" t="s">
        <v>136</v>
      </c>
      <c r="X188" s="8" t="s">
        <v>136</v>
      </c>
      <c r="Y188" s="8">
        <v>1</v>
      </c>
      <c r="Z188" s="8">
        <v>1</v>
      </c>
      <c r="AA188" s="8">
        <v>1</v>
      </c>
      <c r="AB188" s="8">
        <v>1</v>
      </c>
      <c r="AC188" s="8">
        <v>1</v>
      </c>
      <c r="AD188" s="8" t="s">
        <v>136</v>
      </c>
      <c r="AE188" s="8" t="s">
        <v>136</v>
      </c>
      <c r="AF188" s="8">
        <v>1</v>
      </c>
      <c r="AG188" s="8">
        <v>1</v>
      </c>
      <c r="AH188" s="8">
        <v>1</v>
      </c>
      <c r="AI188" s="8">
        <v>1</v>
      </c>
      <c r="AJ188" s="8">
        <v>1</v>
      </c>
      <c r="AK188" s="10">
        <v>23</v>
      </c>
      <c r="AL188" s="11">
        <v>23</v>
      </c>
      <c r="AM188" s="13">
        <v>23</v>
      </c>
      <c r="AN188" s="13">
        <v>0</v>
      </c>
      <c r="AO188" s="7" t="e">
        <v>#N/A</v>
      </c>
    </row>
    <row r="189" spans="1:41">
      <c r="A189" s="8" t="s">
        <v>131</v>
      </c>
      <c r="B189" s="8" t="s">
        <v>494</v>
      </c>
      <c r="C189" s="8" t="s">
        <v>515</v>
      </c>
      <c r="D189" s="8" t="s">
        <v>516</v>
      </c>
      <c r="E189" s="8" t="s">
        <v>135</v>
      </c>
      <c r="F189" s="8">
        <v>1</v>
      </c>
      <c r="G189" s="8">
        <v>1</v>
      </c>
      <c r="H189" s="8">
        <v>1</v>
      </c>
      <c r="I189" s="8" t="s">
        <v>136</v>
      </c>
      <c r="J189" s="8" t="s">
        <v>136</v>
      </c>
      <c r="K189" s="8">
        <v>1</v>
      </c>
      <c r="L189" s="8">
        <v>1</v>
      </c>
      <c r="M189" s="8">
        <v>1</v>
      </c>
      <c r="N189" s="8">
        <v>1</v>
      </c>
      <c r="O189" s="8">
        <v>1</v>
      </c>
      <c r="P189" s="8" t="s">
        <v>136</v>
      </c>
      <c r="Q189" s="8" t="s">
        <v>136</v>
      </c>
      <c r="R189" s="8">
        <v>1</v>
      </c>
      <c r="S189" s="8">
        <v>1</v>
      </c>
      <c r="T189" s="8">
        <v>1</v>
      </c>
      <c r="U189" s="8">
        <v>1</v>
      </c>
      <c r="V189" s="8">
        <v>1</v>
      </c>
      <c r="W189" s="8" t="s">
        <v>136</v>
      </c>
      <c r="X189" s="8" t="s">
        <v>136</v>
      </c>
      <c r="Y189" s="8">
        <v>1</v>
      </c>
      <c r="Z189" s="8">
        <v>1</v>
      </c>
      <c r="AA189" s="8">
        <v>1</v>
      </c>
      <c r="AB189" s="8">
        <v>1</v>
      </c>
      <c r="AC189" s="8">
        <v>1</v>
      </c>
      <c r="AD189" s="8" t="s">
        <v>136</v>
      </c>
      <c r="AE189" s="8" t="s">
        <v>136</v>
      </c>
      <c r="AF189" s="8">
        <v>1</v>
      </c>
      <c r="AG189" s="8">
        <v>1</v>
      </c>
      <c r="AH189" s="8">
        <v>1</v>
      </c>
      <c r="AI189" s="8">
        <v>1</v>
      </c>
      <c r="AJ189" s="8">
        <v>1</v>
      </c>
      <c r="AK189" s="10">
        <v>23</v>
      </c>
      <c r="AL189" s="11">
        <v>23</v>
      </c>
      <c r="AM189" s="13">
        <v>23</v>
      </c>
      <c r="AN189" s="13">
        <v>0</v>
      </c>
      <c r="AO189" s="7" t="e">
        <v>#N/A</v>
      </c>
    </row>
    <row r="190" spans="1:41">
      <c r="A190" s="8" t="s">
        <v>131</v>
      </c>
      <c r="B190" s="8" t="s">
        <v>494</v>
      </c>
      <c r="C190" s="8" t="s">
        <v>517</v>
      </c>
      <c r="D190" s="8" t="s">
        <v>518</v>
      </c>
      <c r="E190" s="8" t="s">
        <v>135</v>
      </c>
      <c r="F190" s="8">
        <v>1</v>
      </c>
      <c r="G190" s="8">
        <v>1</v>
      </c>
      <c r="H190" s="8">
        <v>1</v>
      </c>
      <c r="I190" s="8" t="s">
        <v>136</v>
      </c>
      <c r="J190" s="8" t="s">
        <v>136</v>
      </c>
      <c r="K190" s="8">
        <v>1</v>
      </c>
      <c r="L190" s="8">
        <v>1</v>
      </c>
      <c r="M190" s="8">
        <v>1</v>
      </c>
      <c r="N190" s="8">
        <v>1</v>
      </c>
      <c r="O190" s="8">
        <v>1</v>
      </c>
      <c r="P190" s="8" t="s">
        <v>136</v>
      </c>
      <c r="Q190" s="8" t="s">
        <v>136</v>
      </c>
      <c r="R190" s="8">
        <v>1</v>
      </c>
      <c r="S190" s="8">
        <v>1</v>
      </c>
      <c r="T190" s="8">
        <v>1</v>
      </c>
      <c r="U190" s="8">
        <v>1</v>
      </c>
      <c r="V190" s="8">
        <v>1</v>
      </c>
      <c r="W190" s="8" t="s">
        <v>136</v>
      </c>
      <c r="X190" s="8" t="s">
        <v>136</v>
      </c>
      <c r="Y190" s="8">
        <v>1</v>
      </c>
      <c r="Z190" s="8">
        <v>1</v>
      </c>
      <c r="AA190" s="8">
        <v>1</v>
      </c>
      <c r="AB190" s="8">
        <v>1</v>
      </c>
      <c r="AC190" s="8">
        <v>1</v>
      </c>
      <c r="AD190" s="8" t="s">
        <v>136</v>
      </c>
      <c r="AE190" s="8" t="s">
        <v>136</v>
      </c>
      <c r="AF190" s="8">
        <v>1</v>
      </c>
      <c r="AG190" s="8">
        <v>1</v>
      </c>
      <c r="AH190" s="8">
        <v>1</v>
      </c>
      <c r="AI190" s="8">
        <v>1</v>
      </c>
      <c r="AJ190" s="8">
        <v>1</v>
      </c>
      <c r="AK190" s="10">
        <v>23</v>
      </c>
      <c r="AL190" s="11">
        <v>23</v>
      </c>
      <c r="AM190" s="13">
        <v>23</v>
      </c>
      <c r="AN190" s="13">
        <v>0</v>
      </c>
      <c r="AO190" s="7" t="e">
        <v>#N/A</v>
      </c>
    </row>
    <row r="191" spans="1:41">
      <c r="A191" s="8" t="s">
        <v>131</v>
      </c>
      <c r="B191" s="8" t="s">
        <v>494</v>
      </c>
      <c r="C191" s="8" t="s">
        <v>519</v>
      </c>
      <c r="D191" s="8" t="s">
        <v>520</v>
      </c>
      <c r="E191" s="8" t="s">
        <v>135</v>
      </c>
      <c r="F191" s="8">
        <v>1</v>
      </c>
      <c r="G191" s="8">
        <v>1</v>
      </c>
      <c r="H191" s="8">
        <v>1</v>
      </c>
      <c r="I191" s="8" t="s">
        <v>136</v>
      </c>
      <c r="J191" s="8" t="s">
        <v>136</v>
      </c>
      <c r="K191" s="8">
        <v>1</v>
      </c>
      <c r="L191" s="8">
        <v>1</v>
      </c>
      <c r="M191" s="8">
        <v>1</v>
      </c>
      <c r="N191" s="8">
        <v>1</v>
      </c>
      <c r="O191" s="8">
        <v>1</v>
      </c>
      <c r="P191" s="8" t="s">
        <v>136</v>
      </c>
      <c r="Q191" s="8" t="s">
        <v>136</v>
      </c>
      <c r="R191" s="8">
        <v>1</v>
      </c>
      <c r="S191" s="8">
        <v>1</v>
      </c>
      <c r="T191" s="8">
        <v>1</v>
      </c>
      <c r="U191" s="8">
        <v>1</v>
      </c>
      <c r="V191" s="8">
        <v>1</v>
      </c>
      <c r="W191" s="8" t="s">
        <v>136</v>
      </c>
      <c r="X191" s="8" t="s">
        <v>136</v>
      </c>
      <c r="Y191" s="8">
        <v>1</v>
      </c>
      <c r="Z191" s="8">
        <v>1</v>
      </c>
      <c r="AA191" s="8">
        <v>1</v>
      </c>
      <c r="AB191" s="8">
        <v>1</v>
      </c>
      <c r="AC191" s="8">
        <v>1</v>
      </c>
      <c r="AD191" s="8" t="s">
        <v>136</v>
      </c>
      <c r="AE191" s="8" t="s">
        <v>136</v>
      </c>
      <c r="AF191" s="8">
        <v>1</v>
      </c>
      <c r="AG191" s="8">
        <v>1</v>
      </c>
      <c r="AH191" s="8">
        <v>1</v>
      </c>
      <c r="AI191" s="8">
        <v>1</v>
      </c>
      <c r="AJ191" s="8">
        <v>1</v>
      </c>
      <c r="AK191" s="10">
        <v>23</v>
      </c>
      <c r="AL191" s="11">
        <v>23</v>
      </c>
      <c r="AM191" s="13">
        <v>23</v>
      </c>
      <c r="AN191" s="13">
        <v>0</v>
      </c>
      <c r="AO191" s="7" t="e">
        <v>#N/A</v>
      </c>
    </row>
    <row r="192" spans="1:41">
      <c r="A192" s="8" t="s">
        <v>131</v>
      </c>
      <c r="B192" s="8" t="s">
        <v>494</v>
      </c>
      <c r="C192" s="8" t="s">
        <v>521</v>
      </c>
      <c r="D192" s="8" t="s">
        <v>522</v>
      </c>
      <c r="E192" s="8" t="s">
        <v>135</v>
      </c>
      <c r="F192" s="8">
        <v>1</v>
      </c>
      <c r="G192" s="8">
        <v>1</v>
      </c>
      <c r="H192" s="8">
        <v>1</v>
      </c>
      <c r="I192" s="8" t="s">
        <v>136</v>
      </c>
      <c r="J192" s="8" t="s">
        <v>136</v>
      </c>
      <c r="K192" s="8">
        <v>1</v>
      </c>
      <c r="L192" s="8">
        <v>1</v>
      </c>
      <c r="M192" s="8">
        <v>1</v>
      </c>
      <c r="N192" s="8">
        <v>1</v>
      </c>
      <c r="O192" s="8">
        <v>1</v>
      </c>
      <c r="P192" s="8" t="s">
        <v>136</v>
      </c>
      <c r="Q192" s="8" t="s">
        <v>136</v>
      </c>
      <c r="R192" s="8">
        <v>1</v>
      </c>
      <c r="S192" s="8">
        <v>1</v>
      </c>
      <c r="T192" s="8">
        <v>1</v>
      </c>
      <c r="U192" s="8">
        <v>1</v>
      </c>
      <c r="V192" s="8">
        <v>1</v>
      </c>
      <c r="W192" s="8" t="s">
        <v>136</v>
      </c>
      <c r="X192" s="8" t="s">
        <v>136</v>
      </c>
      <c r="Y192" s="8">
        <v>1</v>
      </c>
      <c r="Z192" s="8">
        <v>1</v>
      </c>
      <c r="AA192" s="8">
        <v>1</v>
      </c>
      <c r="AB192" s="8">
        <v>1</v>
      </c>
      <c r="AC192" s="8">
        <v>1</v>
      </c>
      <c r="AD192" s="8" t="s">
        <v>136</v>
      </c>
      <c r="AE192" s="8" t="s">
        <v>136</v>
      </c>
      <c r="AF192" s="8">
        <v>1</v>
      </c>
      <c r="AG192" s="8">
        <v>1</v>
      </c>
      <c r="AH192" s="8">
        <v>1</v>
      </c>
      <c r="AI192" s="9">
        <v>1</v>
      </c>
      <c r="AJ192" s="8">
        <v>1</v>
      </c>
      <c r="AK192" s="10">
        <v>23</v>
      </c>
      <c r="AL192" s="11">
        <v>23</v>
      </c>
      <c r="AM192" s="13">
        <v>23</v>
      </c>
      <c r="AN192" s="13">
        <v>0</v>
      </c>
      <c r="AO192" s="7" t="e">
        <v>#N/A</v>
      </c>
    </row>
    <row r="193" spans="1:41">
      <c r="A193" s="8" t="s">
        <v>131</v>
      </c>
      <c r="B193" s="8" t="s">
        <v>494</v>
      </c>
      <c r="C193" s="8" t="s">
        <v>523</v>
      </c>
      <c r="D193" s="8" t="s">
        <v>524</v>
      </c>
      <c r="E193" s="8" t="s">
        <v>135</v>
      </c>
      <c r="F193" s="8">
        <v>1</v>
      </c>
      <c r="G193" s="8">
        <v>1</v>
      </c>
      <c r="H193" s="8">
        <v>1</v>
      </c>
      <c r="I193" s="8" t="s">
        <v>136</v>
      </c>
      <c r="J193" s="8" t="s">
        <v>136</v>
      </c>
      <c r="K193" s="8">
        <v>1</v>
      </c>
      <c r="L193" s="8">
        <v>1</v>
      </c>
      <c r="M193" s="8">
        <v>1</v>
      </c>
      <c r="N193" s="8">
        <v>1</v>
      </c>
      <c r="O193" s="8">
        <v>1</v>
      </c>
      <c r="P193" s="8" t="s">
        <v>136</v>
      </c>
      <c r="Q193" s="8" t="s">
        <v>136</v>
      </c>
      <c r="R193" s="8">
        <v>1</v>
      </c>
      <c r="S193" s="8">
        <v>1</v>
      </c>
      <c r="T193" s="8">
        <v>1</v>
      </c>
      <c r="U193" s="8">
        <v>1</v>
      </c>
      <c r="V193" s="8">
        <v>1</v>
      </c>
      <c r="W193" s="8" t="s">
        <v>136</v>
      </c>
      <c r="X193" s="8" t="s">
        <v>136</v>
      </c>
      <c r="Y193" s="8">
        <v>1</v>
      </c>
      <c r="Z193" s="8">
        <v>1</v>
      </c>
      <c r="AA193" s="8">
        <v>1</v>
      </c>
      <c r="AB193" s="8">
        <v>1</v>
      </c>
      <c r="AC193" s="8">
        <v>1</v>
      </c>
      <c r="AD193" s="8" t="s">
        <v>136</v>
      </c>
      <c r="AE193" s="8" t="s">
        <v>136</v>
      </c>
      <c r="AF193" s="9">
        <v>1</v>
      </c>
      <c r="AG193" s="8">
        <v>1</v>
      </c>
      <c r="AH193" s="9">
        <v>1</v>
      </c>
      <c r="AI193" s="8">
        <v>1</v>
      </c>
      <c r="AJ193" s="8">
        <v>1</v>
      </c>
      <c r="AK193" s="10">
        <v>23</v>
      </c>
      <c r="AL193" s="11">
        <v>23</v>
      </c>
      <c r="AM193" s="13">
        <v>23</v>
      </c>
      <c r="AN193" s="13">
        <v>0</v>
      </c>
      <c r="AO193" s="7" t="e">
        <v>#N/A</v>
      </c>
    </row>
    <row r="194" spans="1:41">
      <c r="A194" s="8" t="s">
        <v>131</v>
      </c>
      <c r="B194" s="8" t="s">
        <v>494</v>
      </c>
      <c r="C194" s="8" t="s">
        <v>525</v>
      </c>
      <c r="D194" s="8" t="s">
        <v>526</v>
      </c>
      <c r="E194" s="8" t="s">
        <v>135</v>
      </c>
      <c r="F194" s="8">
        <v>1</v>
      </c>
      <c r="G194" s="8">
        <v>1</v>
      </c>
      <c r="H194" s="8">
        <v>1</v>
      </c>
      <c r="I194" s="8" t="s">
        <v>136</v>
      </c>
      <c r="J194" s="8" t="s">
        <v>136</v>
      </c>
      <c r="K194" s="8">
        <v>1</v>
      </c>
      <c r="L194" s="8">
        <v>1</v>
      </c>
      <c r="M194" s="8">
        <v>1</v>
      </c>
      <c r="N194" s="8">
        <v>1</v>
      </c>
      <c r="O194" s="8">
        <v>1</v>
      </c>
      <c r="P194" s="8" t="s">
        <v>136</v>
      </c>
      <c r="Q194" s="8" t="s">
        <v>136</v>
      </c>
      <c r="R194" s="8">
        <v>1</v>
      </c>
      <c r="S194" s="8">
        <v>1</v>
      </c>
      <c r="T194" s="8">
        <v>1</v>
      </c>
      <c r="U194" s="8">
        <v>1</v>
      </c>
      <c r="V194" s="8">
        <v>1</v>
      </c>
      <c r="W194" s="8" t="s">
        <v>136</v>
      </c>
      <c r="X194" s="8" t="s">
        <v>136</v>
      </c>
      <c r="Y194" s="8">
        <v>1</v>
      </c>
      <c r="Z194" s="8">
        <v>1</v>
      </c>
      <c r="AA194" s="8">
        <v>1</v>
      </c>
      <c r="AB194" s="8">
        <v>1</v>
      </c>
      <c r="AC194" s="8">
        <v>1</v>
      </c>
      <c r="AD194" s="8" t="s">
        <v>136</v>
      </c>
      <c r="AE194" s="8" t="s">
        <v>136</v>
      </c>
      <c r="AF194" s="8">
        <v>1</v>
      </c>
      <c r="AG194" s="8">
        <v>1</v>
      </c>
      <c r="AH194" s="8">
        <v>1</v>
      </c>
      <c r="AI194" s="8">
        <v>1</v>
      </c>
      <c r="AJ194" s="8">
        <v>1</v>
      </c>
      <c r="AK194" s="10">
        <v>23</v>
      </c>
      <c r="AL194" s="11">
        <v>23</v>
      </c>
      <c r="AM194" s="13">
        <v>23</v>
      </c>
      <c r="AN194" s="13">
        <v>0</v>
      </c>
      <c r="AO194" s="7" t="e">
        <v>#N/A</v>
      </c>
    </row>
    <row r="195" spans="1:41">
      <c r="A195" s="8" t="s">
        <v>131</v>
      </c>
      <c r="B195" s="8" t="s">
        <v>494</v>
      </c>
      <c r="C195" s="8" t="s">
        <v>527</v>
      </c>
      <c r="D195" s="8" t="s">
        <v>528</v>
      </c>
      <c r="E195" s="8" t="s">
        <v>135</v>
      </c>
      <c r="F195" s="8">
        <v>1</v>
      </c>
      <c r="G195" s="8">
        <v>1</v>
      </c>
      <c r="H195" s="8">
        <v>1</v>
      </c>
      <c r="I195" s="8" t="s">
        <v>136</v>
      </c>
      <c r="J195" s="8" t="s">
        <v>136</v>
      </c>
      <c r="K195" s="8">
        <v>1</v>
      </c>
      <c r="L195" s="8">
        <v>1</v>
      </c>
      <c r="M195" s="8">
        <v>1</v>
      </c>
      <c r="N195" s="8">
        <v>1</v>
      </c>
      <c r="O195" s="8">
        <v>1</v>
      </c>
      <c r="P195" s="8" t="s">
        <v>136</v>
      </c>
      <c r="Q195" s="8" t="s">
        <v>136</v>
      </c>
      <c r="R195" s="8">
        <v>1</v>
      </c>
      <c r="S195" s="8">
        <v>1</v>
      </c>
      <c r="T195" s="8">
        <v>1</v>
      </c>
      <c r="U195" s="8">
        <v>1</v>
      </c>
      <c r="V195" s="8">
        <v>1</v>
      </c>
      <c r="W195" s="8" t="s">
        <v>136</v>
      </c>
      <c r="X195" s="8" t="s">
        <v>136</v>
      </c>
      <c r="Y195" s="8">
        <v>1</v>
      </c>
      <c r="Z195" s="8">
        <v>1</v>
      </c>
      <c r="AA195" s="8">
        <v>1</v>
      </c>
      <c r="AB195" s="8">
        <v>1</v>
      </c>
      <c r="AC195" s="8">
        <v>1</v>
      </c>
      <c r="AD195" s="8" t="s">
        <v>136</v>
      </c>
      <c r="AE195" s="8" t="s">
        <v>136</v>
      </c>
      <c r="AF195" s="8">
        <v>1</v>
      </c>
      <c r="AG195" s="8">
        <v>1</v>
      </c>
      <c r="AH195" s="8">
        <v>1</v>
      </c>
      <c r="AI195" s="8">
        <v>1</v>
      </c>
      <c r="AJ195" s="8">
        <v>1</v>
      </c>
      <c r="AK195" s="10">
        <v>23</v>
      </c>
      <c r="AL195" s="11">
        <v>23</v>
      </c>
      <c r="AM195" s="13">
        <v>23</v>
      </c>
      <c r="AN195" s="13">
        <v>0</v>
      </c>
      <c r="AO195" s="7" t="e">
        <v>#N/A</v>
      </c>
    </row>
    <row r="196" spans="1:41">
      <c r="A196" s="8" t="s">
        <v>131</v>
      </c>
      <c r="B196" s="8" t="s">
        <v>494</v>
      </c>
      <c r="C196" s="8" t="s">
        <v>529</v>
      </c>
      <c r="D196" s="8" t="s">
        <v>530</v>
      </c>
      <c r="E196" s="8" t="s">
        <v>135</v>
      </c>
      <c r="F196" s="8">
        <v>1</v>
      </c>
      <c r="G196" s="8">
        <v>1</v>
      </c>
      <c r="H196" s="8">
        <v>1</v>
      </c>
      <c r="I196" s="8" t="s">
        <v>136</v>
      </c>
      <c r="J196" s="8" t="s">
        <v>136</v>
      </c>
      <c r="K196" s="8">
        <v>1</v>
      </c>
      <c r="L196" s="8">
        <v>1</v>
      </c>
      <c r="M196" s="8">
        <v>1</v>
      </c>
      <c r="N196" s="8">
        <v>1</v>
      </c>
      <c r="O196" s="8">
        <v>1</v>
      </c>
      <c r="P196" s="8" t="s">
        <v>136</v>
      </c>
      <c r="Q196" s="8" t="s">
        <v>136</v>
      </c>
      <c r="R196" s="8">
        <v>1</v>
      </c>
      <c r="S196" s="8">
        <v>1</v>
      </c>
      <c r="T196" s="8">
        <v>1</v>
      </c>
      <c r="U196" s="8">
        <v>1</v>
      </c>
      <c r="V196" s="8">
        <v>1</v>
      </c>
      <c r="W196" s="8" t="s">
        <v>136</v>
      </c>
      <c r="X196" s="8" t="s">
        <v>136</v>
      </c>
      <c r="Y196" s="8">
        <v>1</v>
      </c>
      <c r="Z196" s="8">
        <v>1</v>
      </c>
      <c r="AA196" s="8">
        <v>1</v>
      </c>
      <c r="AB196" s="8">
        <v>1</v>
      </c>
      <c r="AC196" s="8">
        <v>1</v>
      </c>
      <c r="AD196" s="8" t="s">
        <v>136</v>
      </c>
      <c r="AE196" s="8" t="s">
        <v>136</v>
      </c>
      <c r="AF196" s="8">
        <v>1</v>
      </c>
      <c r="AG196" s="8">
        <v>1</v>
      </c>
      <c r="AH196" s="8">
        <v>1</v>
      </c>
      <c r="AI196" s="8">
        <v>1</v>
      </c>
      <c r="AJ196" s="8">
        <v>1</v>
      </c>
      <c r="AK196" s="10">
        <v>23</v>
      </c>
      <c r="AL196" s="11">
        <v>23</v>
      </c>
      <c r="AM196" s="13">
        <v>23</v>
      </c>
      <c r="AN196" s="13">
        <v>0</v>
      </c>
      <c r="AO196" s="7" t="e">
        <v>#N/A</v>
      </c>
    </row>
    <row r="197" spans="1:41">
      <c r="A197" s="8" t="s">
        <v>131</v>
      </c>
      <c r="B197" s="8" t="s">
        <v>494</v>
      </c>
      <c r="C197" s="8" t="s">
        <v>531</v>
      </c>
      <c r="D197" s="8" t="s">
        <v>532</v>
      </c>
      <c r="E197" s="8" t="s">
        <v>135</v>
      </c>
      <c r="F197" s="8">
        <v>1</v>
      </c>
      <c r="G197" s="8">
        <v>1</v>
      </c>
      <c r="H197" s="8">
        <v>1</v>
      </c>
      <c r="I197" s="8" t="s">
        <v>136</v>
      </c>
      <c r="J197" s="8" t="s">
        <v>136</v>
      </c>
      <c r="K197" s="8">
        <v>1</v>
      </c>
      <c r="L197" s="8">
        <v>1</v>
      </c>
      <c r="M197" s="8">
        <v>1</v>
      </c>
      <c r="N197" s="8">
        <v>1</v>
      </c>
      <c r="O197" s="8">
        <v>1</v>
      </c>
      <c r="P197" s="8" t="s">
        <v>136</v>
      </c>
      <c r="Q197" s="8" t="s">
        <v>136</v>
      </c>
      <c r="R197" s="8">
        <v>1</v>
      </c>
      <c r="S197" s="8">
        <v>1</v>
      </c>
      <c r="T197" s="8">
        <v>1</v>
      </c>
      <c r="U197" s="8">
        <v>1</v>
      </c>
      <c r="V197" s="8">
        <v>1</v>
      </c>
      <c r="W197" s="8" t="s">
        <v>136</v>
      </c>
      <c r="X197" s="8" t="s">
        <v>136</v>
      </c>
      <c r="Y197" s="8">
        <v>1</v>
      </c>
      <c r="Z197" s="8">
        <v>1</v>
      </c>
      <c r="AA197" s="8">
        <v>1</v>
      </c>
      <c r="AB197" s="8">
        <v>1</v>
      </c>
      <c r="AC197" s="8">
        <v>1</v>
      </c>
      <c r="AD197" s="8" t="s">
        <v>136</v>
      </c>
      <c r="AE197" s="8" t="s">
        <v>136</v>
      </c>
      <c r="AF197" s="8">
        <v>1</v>
      </c>
      <c r="AG197" s="8">
        <v>1</v>
      </c>
      <c r="AH197" s="8">
        <v>1</v>
      </c>
      <c r="AI197" s="8">
        <v>1</v>
      </c>
      <c r="AJ197" s="8">
        <v>1</v>
      </c>
      <c r="AK197" s="10">
        <v>23</v>
      </c>
      <c r="AL197" s="11">
        <v>23</v>
      </c>
      <c r="AM197" s="13">
        <v>23</v>
      </c>
      <c r="AN197" s="13">
        <v>0</v>
      </c>
      <c r="AO197" s="7" t="e">
        <v>#N/A</v>
      </c>
    </row>
    <row r="198" spans="1:41">
      <c r="A198" s="8" t="s">
        <v>131</v>
      </c>
      <c r="B198" s="8" t="s">
        <v>533</v>
      </c>
      <c r="C198" s="8" t="s">
        <v>534</v>
      </c>
      <c r="D198" s="8" t="s">
        <v>535</v>
      </c>
      <c r="E198" s="8" t="s">
        <v>135</v>
      </c>
      <c r="F198" s="8">
        <v>1</v>
      </c>
      <c r="G198" s="8">
        <v>1</v>
      </c>
      <c r="H198" s="8">
        <v>1</v>
      </c>
      <c r="I198" s="8" t="s">
        <v>136</v>
      </c>
      <c r="J198" s="8" t="s">
        <v>136</v>
      </c>
      <c r="K198" s="8">
        <v>1</v>
      </c>
      <c r="L198" s="8">
        <v>1</v>
      </c>
      <c r="M198" s="8">
        <v>1</v>
      </c>
      <c r="N198" s="8">
        <v>1</v>
      </c>
      <c r="O198" s="8">
        <v>1</v>
      </c>
      <c r="P198" s="8" t="s">
        <v>136</v>
      </c>
      <c r="Q198" s="8" t="s">
        <v>136</v>
      </c>
      <c r="R198" s="8">
        <v>1</v>
      </c>
      <c r="S198" s="8">
        <v>1</v>
      </c>
      <c r="T198" s="8">
        <v>1</v>
      </c>
      <c r="U198" s="8">
        <v>1</v>
      </c>
      <c r="V198" s="8">
        <v>1</v>
      </c>
      <c r="W198" s="8" t="s">
        <v>136</v>
      </c>
      <c r="X198" s="8" t="s">
        <v>136</v>
      </c>
      <c r="Y198" s="8">
        <v>1</v>
      </c>
      <c r="Z198" s="8">
        <v>1</v>
      </c>
      <c r="AA198" s="8">
        <v>1</v>
      </c>
      <c r="AB198" s="8">
        <v>1</v>
      </c>
      <c r="AC198" s="8">
        <v>1</v>
      </c>
      <c r="AD198" s="8" t="s">
        <v>136</v>
      </c>
      <c r="AE198" s="8" t="s">
        <v>136</v>
      </c>
      <c r="AF198" s="8">
        <v>1</v>
      </c>
      <c r="AG198" s="8">
        <v>1</v>
      </c>
      <c r="AH198" s="8">
        <v>1</v>
      </c>
      <c r="AI198" s="8">
        <v>1</v>
      </c>
      <c r="AJ198" s="8">
        <v>1</v>
      </c>
      <c r="AK198" s="10">
        <v>23</v>
      </c>
      <c r="AL198" s="11">
        <v>23</v>
      </c>
      <c r="AM198" s="13">
        <v>23</v>
      </c>
      <c r="AN198" s="13">
        <v>0</v>
      </c>
      <c r="AO198" s="7" t="e">
        <v>#N/A</v>
      </c>
    </row>
    <row r="199" spans="1:41">
      <c r="A199" s="8" t="s">
        <v>131</v>
      </c>
      <c r="B199" s="8" t="s">
        <v>533</v>
      </c>
      <c r="C199" s="8" t="s">
        <v>536</v>
      </c>
      <c r="D199" s="8" t="s">
        <v>537</v>
      </c>
      <c r="E199" s="8" t="s">
        <v>135</v>
      </c>
      <c r="F199" s="8">
        <v>1</v>
      </c>
      <c r="G199" s="8">
        <v>1</v>
      </c>
      <c r="H199" s="8">
        <v>1</v>
      </c>
      <c r="I199" s="8" t="s">
        <v>136</v>
      </c>
      <c r="J199" s="8" t="s">
        <v>136</v>
      </c>
      <c r="K199" s="8">
        <v>1</v>
      </c>
      <c r="L199" s="8">
        <v>1</v>
      </c>
      <c r="M199" s="8">
        <v>1</v>
      </c>
      <c r="N199" s="8">
        <v>1</v>
      </c>
      <c r="O199" s="8">
        <v>1</v>
      </c>
      <c r="P199" s="8" t="s">
        <v>136</v>
      </c>
      <c r="Q199" s="8" t="s">
        <v>136</v>
      </c>
      <c r="R199" s="8">
        <v>1</v>
      </c>
      <c r="S199" s="8">
        <v>1</v>
      </c>
      <c r="T199" s="8">
        <v>1</v>
      </c>
      <c r="U199" s="8">
        <v>1</v>
      </c>
      <c r="V199" s="8">
        <v>1</v>
      </c>
      <c r="W199" s="8" t="s">
        <v>136</v>
      </c>
      <c r="X199" s="8" t="s">
        <v>136</v>
      </c>
      <c r="Y199" s="8">
        <v>1</v>
      </c>
      <c r="Z199" s="8">
        <v>1</v>
      </c>
      <c r="AA199" s="8">
        <v>1</v>
      </c>
      <c r="AB199" s="8">
        <v>1</v>
      </c>
      <c r="AC199" s="8">
        <v>1</v>
      </c>
      <c r="AD199" s="8" t="s">
        <v>136</v>
      </c>
      <c r="AE199" s="8" t="s">
        <v>136</v>
      </c>
      <c r="AF199" s="8">
        <v>1</v>
      </c>
      <c r="AG199" s="8">
        <v>1</v>
      </c>
      <c r="AH199" s="8">
        <v>1</v>
      </c>
      <c r="AI199" s="8">
        <v>1</v>
      </c>
      <c r="AJ199" s="8">
        <v>1</v>
      </c>
      <c r="AK199" s="10">
        <v>23</v>
      </c>
      <c r="AL199" s="11">
        <v>23</v>
      </c>
      <c r="AM199" s="13">
        <v>23</v>
      </c>
      <c r="AN199" s="13">
        <v>0</v>
      </c>
      <c r="AO199" s="7" t="e">
        <v>#N/A</v>
      </c>
    </row>
    <row r="200" spans="1:41">
      <c r="A200" s="8" t="s">
        <v>131</v>
      </c>
      <c r="B200" s="8" t="s">
        <v>533</v>
      </c>
      <c r="C200" s="8" t="s">
        <v>538</v>
      </c>
      <c r="D200" s="8" t="s">
        <v>539</v>
      </c>
      <c r="E200" s="8" t="s">
        <v>135</v>
      </c>
      <c r="F200" s="8">
        <v>1</v>
      </c>
      <c r="G200" s="8">
        <v>1</v>
      </c>
      <c r="H200" s="8">
        <v>1</v>
      </c>
      <c r="I200" s="8" t="s">
        <v>136</v>
      </c>
      <c r="J200" s="8" t="s">
        <v>136</v>
      </c>
      <c r="K200" s="8">
        <v>1</v>
      </c>
      <c r="L200" s="8">
        <v>1</v>
      </c>
      <c r="M200" s="8">
        <v>1</v>
      </c>
      <c r="N200" s="8">
        <v>1</v>
      </c>
      <c r="O200" s="8">
        <v>1</v>
      </c>
      <c r="P200" s="8" t="s">
        <v>136</v>
      </c>
      <c r="Q200" s="8" t="s">
        <v>136</v>
      </c>
      <c r="R200" s="8">
        <v>1</v>
      </c>
      <c r="S200" s="8">
        <v>1</v>
      </c>
      <c r="T200" s="8">
        <v>1</v>
      </c>
      <c r="U200" s="8">
        <v>1</v>
      </c>
      <c r="V200" s="8">
        <v>1</v>
      </c>
      <c r="W200" s="8" t="s">
        <v>136</v>
      </c>
      <c r="X200" s="8" t="s">
        <v>136</v>
      </c>
      <c r="Y200" s="8">
        <v>1</v>
      </c>
      <c r="Z200" s="8">
        <v>1</v>
      </c>
      <c r="AA200" s="8">
        <v>1</v>
      </c>
      <c r="AB200" s="8">
        <v>1</v>
      </c>
      <c r="AC200" s="8">
        <v>1</v>
      </c>
      <c r="AD200" s="8" t="s">
        <v>136</v>
      </c>
      <c r="AE200" s="8" t="s">
        <v>136</v>
      </c>
      <c r="AF200" s="8">
        <v>1</v>
      </c>
      <c r="AG200" s="8">
        <v>1</v>
      </c>
      <c r="AH200" s="8">
        <v>1</v>
      </c>
      <c r="AI200" s="8">
        <v>1</v>
      </c>
      <c r="AJ200" s="8">
        <v>1</v>
      </c>
      <c r="AK200" s="10">
        <v>23</v>
      </c>
      <c r="AL200" s="11">
        <v>23</v>
      </c>
      <c r="AM200" s="13">
        <v>23</v>
      </c>
      <c r="AN200" s="13">
        <v>0</v>
      </c>
      <c r="AO200" s="7" t="e">
        <v>#N/A</v>
      </c>
    </row>
    <row r="201" spans="1:41">
      <c r="A201" s="8" t="s">
        <v>131</v>
      </c>
      <c r="B201" s="8" t="s">
        <v>533</v>
      </c>
      <c r="C201" s="8" t="s">
        <v>540</v>
      </c>
      <c r="D201" s="8" t="s">
        <v>541</v>
      </c>
      <c r="E201" s="8" t="s">
        <v>135</v>
      </c>
      <c r="F201" s="8">
        <v>1</v>
      </c>
      <c r="G201" s="8">
        <v>1</v>
      </c>
      <c r="H201" s="8">
        <v>1</v>
      </c>
      <c r="I201" s="8" t="s">
        <v>136</v>
      </c>
      <c r="J201" s="8" t="s">
        <v>136</v>
      </c>
      <c r="K201" s="8">
        <v>1</v>
      </c>
      <c r="L201" s="8">
        <v>1</v>
      </c>
      <c r="M201" s="8">
        <v>1</v>
      </c>
      <c r="N201" s="8">
        <v>1</v>
      </c>
      <c r="O201" s="8">
        <v>1</v>
      </c>
      <c r="P201" s="8" t="s">
        <v>136</v>
      </c>
      <c r="Q201" s="8" t="s">
        <v>136</v>
      </c>
      <c r="R201" s="8">
        <v>1</v>
      </c>
      <c r="S201" s="8">
        <v>1</v>
      </c>
      <c r="T201" s="8">
        <v>1</v>
      </c>
      <c r="U201" s="8">
        <v>1</v>
      </c>
      <c r="V201" s="8">
        <v>1</v>
      </c>
      <c r="W201" s="8" t="s">
        <v>136</v>
      </c>
      <c r="X201" s="8" t="s">
        <v>136</v>
      </c>
      <c r="Y201" s="8">
        <v>1</v>
      </c>
      <c r="Z201" s="8">
        <v>1</v>
      </c>
      <c r="AA201" s="8">
        <v>1</v>
      </c>
      <c r="AB201" s="8">
        <v>1</v>
      </c>
      <c r="AC201" s="8">
        <v>1</v>
      </c>
      <c r="AD201" s="8" t="s">
        <v>136</v>
      </c>
      <c r="AE201" s="8" t="s">
        <v>136</v>
      </c>
      <c r="AF201" s="8">
        <v>1</v>
      </c>
      <c r="AG201" s="8">
        <v>1</v>
      </c>
      <c r="AH201" s="8">
        <v>1</v>
      </c>
      <c r="AI201" s="8">
        <v>1</v>
      </c>
      <c r="AJ201" s="8">
        <v>1</v>
      </c>
      <c r="AK201" s="10">
        <v>23</v>
      </c>
      <c r="AL201" s="11">
        <v>23</v>
      </c>
      <c r="AM201" s="13">
        <v>23</v>
      </c>
      <c r="AN201" s="13">
        <v>0</v>
      </c>
      <c r="AO201" s="7" t="e">
        <v>#N/A</v>
      </c>
    </row>
    <row r="202" spans="1:41">
      <c r="A202" s="8" t="s">
        <v>131</v>
      </c>
      <c r="B202" s="8" t="s">
        <v>533</v>
      </c>
      <c r="C202" s="8" t="s">
        <v>542</v>
      </c>
      <c r="D202" s="8" t="s">
        <v>543</v>
      </c>
      <c r="E202" s="8" t="s">
        <v>135</v>
      </c>
      <c r="F202" s="8">
        <v>1</v>
      </c>
      <c r="G202" s="8">
        <v>1</v>
      </c>
      <c r="H202" s="8">
        <v>1</v>
      </c>
      <c r="I202" s="8" t="s">
        <v>136</v>
      </c>
      <c r="J202" s="8" t="s">
        <v>136</v>
      </c>
      <c r="K202" s="8">
        <v>1</v>
      </c>
      <c r="L202" s="8">
        <v>1</v>
      </c>
      <c r="M202" s="8">
        <v>1</v>
      </c>
      <c r="N202" s="8">
        <v>1</v>
      </c>
      <c r="O202" s="8">
        <v>1</v>
      </c>
      <c r="P202" s="8" t="s">
        <v>136</v>
      </c>
      <c r="Q202" s="8" t="s">
        <v>136</v>
      </c>
      <c r="R202" s="8">
        <v>1</v>
      </c>
      <c r="S202" s="8">
        <v>1</v>
      </c>
      <c r="T202" s="8">
        <v>1</v>
      </c>
      <c r="U202" s="8">
        <v>1</v>
      </c>
      <c r="V202" s="8">
        <v>1</v>
      </c>
      <c r="W202" s="8" t="s">
        <v>136</v>
      </c>
      <c r="X202" s="8" t="s">
        <v>136</v>
      </c>
      <c r="Y202" s="8">
        <v>1</v>
      </c>
      <c r="Z202" s="8">
        <v>1</v>
      </c>
      <c r="AA202" s="8">
        <v>1</v>
      </c>
      <c r="AB202" s="8">
        <v>1</v>
      </c>
      <c r="AC202" s="8">
        <v>1</v>
      </c>
      <c r="AD202" s="8" t="s">
        <v>136</v>
      </c>
      <c r="AE202" s="8" t="s">
        <v>136</v>
      </c>
      <c r="AF202" s="8">
        <v>1</v>
      </c>
      <c r="AG202" s="8">
        <v>1</v>
      </c>
      <c r="AH202" s="8">
        <v>1</v>
      </c>
      <c r="AI202" s="8">
        <v>1</v>
      </c>
      <c r="AJ202" s="8">
        <v>1</v>
      </c>
      <c r="AK202" s="10">
        <v>23</v>
      </c>
      <c r="AL202" s="11">
        <v>23</v>
      </c>
      <c r="AM202" s="13">
        <v>23</v>
      </c>
      <c r="AN202" s="13">
        <v>0</v>
      </c>
      <c r="AO202" s="7" t="e">
        <v>#N/A</v>
      </c>
    </row>
    <row r="203" spans="1:41">
      <c r="A203" s="8" t="s">
        <v>131</v>
      </c>
      <c r="B203" s="8" t="s">
        <v>533</v>
      </c>
      <c r="C203" s="8" t="s">
        <v>544</v>
      </c>
      <c r="D203" s="8" t="s">
        <v>545</v>
      </c>
      <c r="E203" s="8" t="s">
        <v>135</v>
      </c>
      <c r="F203" s="8">
        <v>1</v>
      </c>
      <c r="G203" s="8">
        <v>1</v>
      </c>
      <c r="H203" s="8">
        <v>1</v>
      </c>
      <c r="I203" s="8" t="s">
        <v>136</v>
      </c>
      <c r="J203" s="8" t="s">
        <v>136</v>
      </c>
      <c r="K203" s="8">
        <v>1</v>
      </c>
      <c r="L203" s="8">
        <v>1</v>
      </c>
      <c r="M203" s="8">
        <v>1</v>
      </c>
      <c r="N203" s="8">
        <v>1</v>
      </c>
      <c r="O203" s="8">
        <v>1</v>
      </c>
      <c r="P203" s="8" t="s">
        <v>136</v>
      </c>
      <c r="Q203" s="8" t="s">
        <v>136</v>
      </c>
      <c r="R203" s="8">
        <v>1</v>
      </c>
      <c r="S203" s="8">
        <v>1</v>
      </c>
      <c r="T203" s="8">
        <v>1</v>
      </c>
      <c r="U203" s="8">
        <v>1</v>
      </c>
      <c r="V203" s="8">
        <v>1</v>
      </c>
      <c r="W203" s="8" t="s">
        <v>136</v>
      </c>
      <c r="X203" s="8" t="s">
        <v>136</v>
      </c>
      <c r="Y203" s="8">
        <v>1</v>
      </c>
      <c r="Z203" s="8">
        <v>1</v>
      </c>
      <c r="AA203" s="8">
        <v>1</v>
      </c>
      <c r="AB203" s="8">
        <v>1</v>
      </c>
      <c r="AC203" s="8">
        <v>1</v>
      </c>
      <c r="AD203" s="8" t="s">
        <v>136</v>
      </c>
      <c r="AE203" s="8" t="s">
        <v>136</v>
      </c>
      <c r="AF203" s="8">
        <v>1</v>
      </c>
      <c r="AG203" s="8">
        <v>1</v>
      </c>
      <c r="AH203" s="8">
        <v>1</v>
      </c>
      <c r="AI203" s="8">
        <v>1</v>
      </c>
      <c r="AJ203" s="8">
        <v>1</v>
      </c>
      <c r="AK203" s="10">
        <v>23</v>
      </c>
      <c r="AL203" s="11">
        <v>23</v>
      </c>
      <c r="AM203" s="13">
        <v>23</v>
      </c>
      <c r="AN203" s="13">
        <v>0</v>
      </c>
      <c r="AO203" s="7" t="e">
        <v>#N/A</v>
      </c>
    </row>
    <row r="204" spans="1:41">
      <c r="A204" s="8" t="s">
        <v>131</v>
      </c>
      <c r="B204" s="8" t="s">
        <v>533</v>
      </c>
      <c r="C204" s="8" t="s">
        <v>546</v>
      </c>
      <c r="D204" s="8" t="s">
        <v>547</v>
      </c>
      <c r="E204" s="8" t="s">
        <v>135</v>
      </c>
      <c r="F204" s="8">
        <v>1</v>
      </c>
      <c r="G204" s="8">
        <v>1</v>
      </c>
      <c r="H204" s="8">
        <v>1</v>
      </c>
      <c r="I204" s="8" t="s">
        <v>136</v>
      </c>
      <c r="J204" s="8" t="s">
        <v>136</v>
      </c>
      <c r="K204" s="8">
        <v>1</v>
      </c>
      <c r="L204" s="8">
        <v>1</v>
      </c>
      <c r="M204" s="8">
        <v>1</v>
      </c>
      <c r="N204" s="8">
        <v>1</v>
      </c>
      <c r="O204" s="8">
        <v>1</v>
      </c>
      <c r="P204" s="8" t="s">
        <v>136</v>
      </c>
      <c r="Q204" s="8" t="s">
        <v>136</v>
      </c>
      <c r="R204" s="8">
        <v>1</v>
      </c>
      <c r="S204" s="8">
        <v>1</v>
      </c>
      <c r="T204" s="8">
        <v>1</v>
      </c>
      <c r="U204" s="8">
        <v>1</v>
      </c>
      <c r="V204" s="8">
        <v>1</v>
      </c>
      <c r="W204" s="8" t="s">
        <v>136</v>
      </c>
      <c r="X204" s="8" t="s">
        <v>136</v>
      </c>
      <c r="Y204" s="8">
        <v>1</v>
      </c>
      <c r="Z204" s="8">
        <v>1</v>
      </c>
      <c r="AA204" s="8">
        <v>1</v>
      </c>
      <c r="AB204" s="8">
        <v>1</v>
      </c>
      <c r="AC204" s="8">
        <v>1</v>
      </c>
      <c r="AD204" s="8" t="s">
        <v>136</v>
      </c>
      <c r="AE204" s="8" t="s">
        <v>136</v>
      </c>
      <c r="AF204" s="8">
        <v>1</v>
      </c>
      <c r="AG204" s="8">
        <v>1</v>
      </c>
      <c r="AH204" s="8">
        <v>1</v>
      </c>
      <c r="AI204" s="8">
        <v>1</v>
      </c>
      <c r="AJ204" s="8">
        <v>1</v>
      </c>
      <c r="AK204" s="10">
        <v>23</v>
      </c>
      <c r="AL204" s="11">
        <v>23</v>
      </c>
      <c r="AM204" s="13">
        <v>23</v>
      </c>
      <c r="AN204" s="13">
        <v>0</v>
      </c>
      <c r="AO204" s="7" t="e">
        <v>#N/A</v>
      </c>
    </row>
    <row r="205" spans="1:41">
      <c r="A205" s="8" t="s">
        <v>131</v>
      </c>
      <c r="B205" s="8" t="s">
        <v>533</v>
      </c>
      <c r="C205" s="8" t="s">
        <v>548</v>
      </c>
      <c r="D205" s="8" t="s">
        <v>549</v>
      </c>
      <c r="E205" s="8" t="s">
        <v>135</v>
      </c>
      <c r="F205" s="8">
        <v>1</v>
      </c>
      <c r="G205" s="8">
        <v>1</v>
      </c>
      <c r="H205" s="8">
        <v>1</v>
      </c>
      <c r="I205" s="8" t="s">
        <v>136</v>
      </c>
      <c r="J205" s="8" t="s">
        <v>136</v>
      </c>
      <c r="K205" s="8">
        <v>1</v>
      </c>
      <c r="L205" s="8">
        <v>1</v>
      </c>
      <c r="M205" s="8">
        <v>1</v>
      </c>
      <c r="N205" s="8">
        <v>1</v>
      </c>
      <c r="O205" s="8">
        <v>1</v>
      </c>
      <c r="P205" s="8" t="s">
        <v>136</v>
      </c>
      <c r="Q205" s="8" t="s">
        <v>136</v>
      </c>
      <c r="R205" s="8">
        <v>1</v>
      </c>
      <c r="S205" s="8">
        <v>1</v>
      </c>
      <c r="T205" s="8">
        <v>1</v>
      </c>
      <c r="U205" s="8">
        <v>1</v>
      </c>
      <c r="V205" s="8">
        <v>1</v>
      </c>
      <c r="W205" s="8" t="s">
        <v>136</v>
      </c>
      <c r="X205" s="8" t="s">
        <v>136</v>
      </c>
      <c r="Y205" s="8">
        <v>1</v>
      </c>
      <c r="Z205" s="8">
        <v>1</v>
      </c>
      <c r="AA205" s="8">
        <v>1</v>
      </c>
      <c r="AB205" s="8">
        <v>1</v>
      </c>
      <c r="AC205" s="8">
        <v>1</v>
      </c>
      <c r="AD205" s="8" t="s">
        <v>136</v>
      </c>
      <c r="AE205" s="8" t="s">
        <v>136</v>
      </c>
      <c r="AF205" s="8">
        <v>1</v>
      </c>
      <c r="AG205" s="8">
        <v>1</v>
      </c>
      <c r="AH205" s="8">
        <v>1</v>
      </c>
      <c r="AI205" s="8">
        <v>1</v>
      </c>
      <c r="AJ205" s="8">
        <v>1</v>
      </c>
      <c r="AK205" s="10">
        <v>23</v>
      </c>
      <c r="AL205" s="11">
        <v>23</v>
      </c>
      <c r="AM205" s="13">
        <v>23</v>
      </c>
      <c r="AN205" s="13">
        <v>0</v>
      </c>
      <c r="AO205" s="7" t="e">
        <v>#N/A</v>
      </c>
    </row>
    <row r="206" spans="1:41">
      <c r="A206" s="8" t="s">
        <v>131</v>
      </c>
      <c r="B206" s="8" t="s">
        <v>533</v>
      </c>
      <c r="C206" s="8" t="s">
        <v>550</v>
      </c>
      <c r="D206" s="8" t="s">
        <v>551</v>
      </c>
      <c r="E206" s="8" t="s">
        <v>135</v>
      </c>
      <c r="F206" s="8">
        <v>1</v>
      </c>
      <c r="G206" s="8">
        <v>1</v>
      </c>
      <c r="H206" s="8">
        <v>1</v>
      </c>
      <c r="I206" s="8" t="s">
        <v>136</v>
      </c>
      <c r="J206" s="8" t="s">
        <v>136</v>
      </c>
      <c r="K206" s="8">
        <v>1</v>
      </c>
      <c r="L206" s="8">
        <v>1</v>
      </c>
      <c r="M206" s="8">
        <v>1</v>
      </c>
      <c r="N206" s="8">
        <v>1</v>
      </c>
      <c r="O206" s="8">
        <v>1</v>
      </c>
      <c r="P206" s="8" t="s">
        <v>136</v>
      </c>
      <c r="Q206" s="8" t="s">
        <v>136</v>
      </c>
      <c r="R206" s="8">
        <v>1</v>
      </c>
      <c r="S206" s="8">
        <v>1</v>
      </c>
      <c r="T206" s="8">
        <v>1</v>
      </c>
      <c r="U206" s="8">
        <v>1</v>
      </c>
      <c r="V206" s="8">
        <v>1</v>
      </c>
      <c r="W206" s="8" t="s">
        <v>136</v>
      </c>
      <c r="X206" s="8" t="s">
        <v>136</v>
      </c>
      <c r="Y206" s="8">
        <v>1</v>
      </c>
      <c r="Z206" s="8">
        <v>1</v>
      </c>
      <c r="AA206" s="8">
        <v>1</v>
      </c>
      <c r="AB206" s="8">
        <v>1</v>
      </c>
      <c r="AC206" s="8">
        <v>1</v>
      </c>
      <c r="AD206" s="8" t="s">
        <v>136</v>
      </c>
      <c r="AE206" s="8" t="s">
        <v>136</v>
      </c>
      <c r="AF206" s="8">
        <v>1</v>
      </c>
      <c r="AG206" s="8">
        <v>1</v>
      </c>
      <c r="AH206" s="8">
        <v>1</v>
      </c>
      <c r="AI206" s="8">
        <v>1</v>
      </c>
      <c r="AJ206" s="8">
        <v>1</v>
      </c>
      <c r="AK206" s="10">
        <v>23</v>
      </c>
      <c r="AL206" s="11">
        <v>23</v>
      </c>
      <c r="AM206" s="13">
        <v>23</v>
      </c>
      <c r="AN206" s="13">
        <v>0</v>
      </c>
      <c r="AO206" s="7" t="e">
        <v>#N/A</v>
      </c>
    </row>
    <row r="207" spans="1:41">
      <c r="A207" s="8" t="s">
        <v>131</v>
      </c>
      <c r="B207" s="8" t="s">
        <v>533</v>
      </c>
      <c r="C207" s="8" t="s">
        <v>552</v>
      </c>
      <c r="D207" s="8" t="s">
        <v>553</v>
      </c>
      <c r="E207" s="8" t="s">
        <v>135</v>
      </c>
      <c r="F207" s="8">
        <v>1</v>
      </c>
      <c r="G207" s="8">
        <v>1</v>
      </c>
      <c r="H207" s="8">
        <v>1</v>
      </c>
      <c r="I207" s="8" t="s">
        <v>136</v>
      </c>
      <c r="J207" s="8" t="s">
        <v>136</v>
      </c>
      <c r="K207" s="8">
        <v>1</v>
      </c>
      <c r="L207" s="8">
        <v>1</v>
      </c>
      <c r="M207" s="8">
        <v>1</v>
      </c>
      <c r="N207" s="8">
        <v>1</v>
      </c>
      <c r="O207" s="8">
        <v>1</v>
      </c>
      <c r="P207" s="8" t="s">
        <v>136</v>
      </c>
      <c r="Q207" s="8" t="s">
        <v>136</v>
      </c>
      <c r="R207" s="8">
        <v>1</v>
      </c>
      <c r="S207" s="8">
        <v>1</v>
      </c>
      <c r="T207" s="8">
        <v>1</v>
      </c>
      <c r="U207" s="8">
        <v>1</v>
      </c>
      <c r="V207" s="8">
        <v>1</v>
      </c>
      <c r="W207" s="8" t="s">
        <v>136</v>
      </c>
      <c r="X207" s="8" t="s">
        <v>136</v>
      </c>
      <c r="Y207" s="8">
        <v>1</v>
      </c>
      <c r="Z207" s="8">
        <v>1</v>
      </c>
      <c r="AA207" s="8">
        <v>1</v>
      </c>
      <c r="AB207" s="8">
        <v>1</v>
      </c>
      <c r="AC207" s="8">
        <v>1</v>
      </c>
      <c r="AD207" s="8" t="s">
        <v>136</v>
      </c>
      <c r="AE207" s="8" t="s">
        <v>136</v>
      </c>
      <c r="AF207" s="8">
        <v>1</v>
      </c>
      <c r="AG207" s="8">
        <v>1</v>
      </c>
      <c r="AH207" s="8">
        <v>1</v>
      </c>
      <c r="AI207" s="8">
        <v>1</v>
      </c>
      <c r="AJ207" s="8">
        <v>1</v>
      </c>
      <c r="AK207" s="10">
        <v>23</v>
      </c>
      <c r="AL207" s="11">
        <v>23</v>
      </c>
      <c r="AM207" s="13">
        <v>23</v>
      </c>
      <c r="AN207" s="13">
        <v>0</v>
      </c>
      <c r="AO207" s="7" t="e">
        <v>#N/A</v>
      </c>
    </row>
    <row r="208" spans="1:41">
      <c r="A208" s="8" t="s">
        <v>131</v>
      </c>
      <c r="B208" s="8" t="s">
        <v>533</v>
      </c>
      <c r="C208" s="8" t="s">
        <v>554</v>
      </c>
      <c r="D208" s="8" t="s">
        <v>555</v>
      </c>
      <c r="E208" s="8" t="s">
        <v>135</v>
      </c>
      <c r="F208" s="8">
        <v>1</v>
      </c>
      <c r="G208" s="8">
        <v>1</v>
      </c>
      <c r="H208" s="8">
        <v>1</v>
      </c>
      <c r="I208" s="8" t="s">
        <v>136</v>
      </c>
      <c r="J208" s="8" t="s">
        <v>136</v>
      </c>
      <c r="K208" s="8">
        <v>1</v>
      </c>
      <c r="L208" s="8">
        <v>1</v>
      </c>
      <c r="M208" s="8">
        <v>1</v>
      </c>
      <c r="N208" s="8">
        <v>1</v>
      </c>
      <c r="O208" s="8">
        <v>1</v>
      </c>
      <c r="P208" s="8" t="s">
        <v>136</v>
      </c>
      <c r="Q208" s="8" t="s">
        <v>136</v>
      </c>
      <c r="R208" s="8">
        <v>1</v>
      </c>
      <c r="S208" s="8">
        <v>1</v>
      </c>
      <c r="T208" s="8">
        <v>1</v>
      </c>
      <c r="U208" s="8">
        <v>1</v>
      </c>
      <c r="V208" s="8">
        <v>1</v>
      </c>
      <c r="W208" s="8" t="s">
        <v>136</v>
      </c>
      <c r="X208" s="8" t="s">
        <v>136</v>
      </c>
      <c r="Y208" s="8">
        <v>1</v>
      </c>
      <c r="Z208" s="8">
        <v>1</v>
      </c>
      <c r="AA208" s="8">
        <v>1</v>
      </c>
      <c r="AB208" s="8">
        <v>1</v>
      </c>
      <c r="AC208" s="8">
        <v>1</v>
      </c>
      <c r="AD208" s="8" t="s">
        <v>136</v>
      </c>
      <c r="AE208" s="8" t="s">
        <v>136</v>
      </c>
      <c r="AF208" s="8">
        <v>1</v>
      </c>
      <c r="AG208" s="8">
        <v>1</v>
      </c>
      <c r="AH208" s="8">
        <v>1</v>
      </c>
      <c r="AI208" s="8">
        <v>1</v>
      </c>
      <c r="AJ208" s="8">
        <v>1</v>
      </c>
      <c r="AK208" s="10">
        <v>23</v>
      </c>
      <c r="AL208" s="11">
        <v>23</v>
      </c>
      <c r="AM208" s="13">
        <v>23</v>
      </c>
      <c r="AN208" s="13">
        <v>0</v>
      </c>
      <c r="AO208" s="7" t="e">
        <v>#N/A</v>
      </c>
    </row>
    <row r="209" spans="1:41">
      <c r="A209" s="8" t="s">
        <v>131</v>
      </c>
      <c r="B209" s="8" t="s">
        <v>533</v>
      </c>
      <c r="C209" s="8" t="s">
        <v>556</v>
      </c>
      <c r="D209" s="8" t="s">
        <v>557</v>
      </c>
      <c r="E209" s="8" t="s">
        <v>135</v>
      </c>
      <c r="F209" s="8">
        <v>1</v>
      </c>
      <c r="G209" s="8">
        <v>1</v>
      </c>
      <c r="H209" s="8">
        <v>1</v>
      </c>
      <c r="I209" s="8" t="s">
        <v>136</v>
      </c>
      <c r="J209" s="8" t="s">
        <v>136</v>
      </c>
      <c r="K209" s="8">
        <v>1</v>
      </c>
      <c r="L209" s="8">
        <v>1</v>
      </c>
      <c r="M209" s="8">
        <v>1</v>
      </c>
      <c r="N209" s="8">
        <v>1</v>
      </c>
      <c r="O209" s="8">
        <v>1</v>
      </c>
      <c r="P209" s="8" t="s">
        <v>136</v>
      </c>
      <c r="Q209" s="8" t="s">
        <v>136</v>
      </c>
      <c r="R209" s="8">
        <v>1</v>
      </c>
      <c r="S209" s="8">
        <v>1</v>
      </c>
      <c r="T209" s="8">
        <v>1</v>
      </c>
      <c r="U209" s="8">
        <v>1</v>
      </c>
      <c r="V209" s="8">
        <v>1</v>
      </c>
      <c r="W209" s="8" t="s">
        <v>136</v>
      </c>
      <c r="X209" s="8" t="s">
        <v>136</v>
      </c>
      <c r="Y209" s="8">
        <v>1</v>
      </c>
      <c r="Z209" s="8">
        <v>1</v>
      </c>
      <c r="AA209" s="8">
        <v>1</v>
      </c>
      <c r="AB209" s="8">
        <v>1</v>
      </c>
      <c r="AC209" s="8">
        <v>1</v>
      </c>
      <c r="AD209" s="8" t="s">
        <v>136</v>
      </c>
      <c r="AE209" s="8" t="s">
        <v>136</v>
      </c>
      <c r="AF209" s="8">
        <v>1</v>
      </c>
      <c r="AG209" s="8">
        <v>1</v>
      </c>
      <c r="AH209" s="8">
        <v>1</v>
      </c>
      <c r="AI209" s="8">
        <v>1</v>
      </c>
      <c r="AJ209" s="8">
        <v>1</v>
      </c>
      <c r="AK209" s="10">
        <v>23</v>
      </c>
      <c r="AL209" s="11">
        <v>23</v>
      </c>
      <c r="AM209" s="13">
        <v>23</v>
      </c>
      <c r="AN209" s="13">
        <v>0</v>
      </c>
      <c r="AO209" s="7" t="e">
        <v>#N/A</v>
      </c>
    </row>
    <row r="210" spans="1:41">
      <c r="A210" s="8" t="s">
        <v>131</v>
      </c>
      <c r="B210" s="8" t="s">
        <v>533</v>
      </c>
      <c r="C210" s="8" t="s">
        <v>558</v>
      </c>
      <c r="D210" s="8" t="s">
        <v>559</v>
      </c>
      <c r="E210" s="8" t="s">
        <v>135</v>
      </c>
      <c r="F210" s="8">
        <v>1</v>
      </c>
      <c r="G210" s="8">
        <v>1</v>
      </c>
      <c r="H210" s="8">
        <v>1</v>
      </c>
      <c r="I210" s="8" t="s">
        <v>136</v>
      </c>
      <c r="J210" s="8" t="s">
        <v>136</v>
      </c>
      <c r="K210" s="8">
        <v>1</v>
      </c>
      <c r="L210" s="8">
        <v>1</v>
      </c>
      <c r="M210" s="8">
        <v>1</v>
      </c>
      <c r="N210" s="8">
        <v>1</v>
      </c>
      <c r="O210" s="8">
        <v>1</v>
      </c>
      <c r="P210" s="8" t="s">
        <v>136</v>
      </c>
      <c r="Q210" s="8" t="s">
        <v>136</v>
      </c>
      <c r="R210" s="8">
        <v>1</v>
      </c>
      <c r="S210" s="8">
        <v>1</v>
      </c>
      <c r="T210" s="8">
        <v>1</v>
      </c>
      <c r="U210" s="8">
        <v>1</v>
      </c>
      <c r="V210" s="8">
        <v>1</v>
      </c>
      <c r="W210" s="8" t="s">
        <v>136</v>
      </c>
      <c r="X210" s="8" t="s">
        <v>136</v>
      </c>
      <c r="Y210" s="8">
        <v>1</v>
      </c>
      <c r="Z210" s="8">
        <v>1</v>
      </c>
      <c r="AA210" s="8">
        <v>1</v>
      </c>
      <c r="AB210" s="8">
        <v>1</v>
      </c>
      <c r="AC210" s="8">
        <v>1</v>
      </c>
      <c r="AD210" s="8" t="s">
        <v>136</v>
      </c>
      <c r="AE210" s="8" t="s">
        <v>136</v>
      </c>
      <c r="AF210" s="8">
        <v>1</v>
      </c>
      <c r="AG210" s="8">
        <v>1</v>
      </c>
      <c r="AH210" s="8">
        <v>1</v>
      </c>
      <c r="AI210" s="8">
        <v>1</v>
      </c>
      <c r="AJ210" s="8">
        <v>1</v>
      </c>
      <c r="AK210" s="10">
        <v>23</v>
      </c>
      <c r="AL210" s="11">
        <v>23</v>
      </c>
      <c r="AM210" s="13">
        <v>23</v>
      </c>
      <c r="AN210" s="13">
        <v>0</v>
      </c>
      <c r="AO210" s="7" t="e">
        <v>#N/A</v>
      </c>
    </row>
    <row r="211" spans="1:41">
      <c r="A211" s="8" t="s">
        <v>131</v>
      </c>
      <c r="B211" s="8" t="s">
        <v>533</v>
      </c>
      <c r="C211" s="8" t="s">
        <v>560</v>
      </c>
      <c r="D211" s="8" t="s">
        <v>561</v>
      </c>
      <c r="E211" s="8" t="s">
        <v>135</v>
      </c>
      <c r="F211" s="8">
        <v>1</v>
      </c>
      <c r="G211" s="8">
        <v>1</v>
      </c>
      <c r="H211" s="8">
        <v>1</v>
      </c>
      <c r="I211" s="8" t="s">
        <v>136</v>
      </c>
      <c r="J211" s="8" t="s">
        <v>136</v>
      </c>
      <c r="K211" s="8">
        <v>1</v>
      </c>
      <c r="L211" s="8">
        <v>1</v>
      </c>
      <c r="M211" s="8">
        <v>1</v>
      </c>
      <c r="N211" s="8">
        <v>1</v>
      </c>
      <c r="O211" s="8">
        <v>1</v>
      </c>
      <c r="P211" s="8" t="s">
        <v>136</v>
      </c>
      <c r="Q211" s="8" t="s">
        <v>136</v>
      </c>
      <c r="R211" s="8">
        <v>1</v>
      </c>
      <c r="S211" s="8">
        <v>1</v>
      </c>
      <c r="T211" s="8">
        <v>1</v>
      </c>
      <c r="U211" s="8">
        <v>1</v>
      </c>
      <c r="V211" s="8">
        <v>1</v>
      </c>
      <c r="W211" s="8" t="s">
        <v>136</v>
      </c>
      <c r="X211" s="8" t="s">
        <v>136</v>
      </c>
      <c r="Y211" s="8">
        <v>1</v>
      </c>
      <c r="Z211" s="8">
        <v>1</v>
      </c>
      <c r="AA211" s="8">
        <v>1</v>
      </c>
      <c r="AB211" s="8">
        <v>1</v>
      </c>
      <c r="AC211" s="8">
        <v>1</v>
      </c>
      <c r="AD211" s="8" t="s">
        <v>136</v>
      </c>
      <c r="AE211" s="8" t="s">
        <v>136</v>
      </c>
      <c r="AF211" s="8">
        <v>1</v>
      </c>
      <c r="AG211" s="8">
        <v>1</v>
      </c>
      <c r="AH211" s="8">
        <v>1</v>
      </c>
      <c r="AI211" s="8">
        <v>1</v>
      </c>
      <c r="AJ211" s="8">
        <v>1</v>
      </c>
      <c r="AK211" s="10">
        <v>23</v>
      </c>
      <c r="AL211" s="11">
        <v>23</v>
      </c>
      <c r="AM211" s="13">
        <v>23</v>
      </c>
      <c r="AN211" s="13">
        <v>0</v>
      </c>
      <c r="AO211" s="7" t="e">
        <v>#N/A</v>
      </c>
    </row>
    <row r="212" spans="1:41">
      <c r="A212" s="8" t="s">
        <v>131</v>
      </c>
      <c r="B212" s="8" t="s">
        <v>533</v>
      </c>
      <c r="C212" s="8" t="s">
        <v>562</v>
      </c>
      <c r="D212" s="8" t="s">
        <v>563</v>
      </c>
      <c r="E212" s="8" t="s">
        <v>135</v>
      </c>
      <c r="F212" s="8">
        <v>1</v>
      </c>
      <c r="G212" s="8">
        <v>1</v>
      </c>
      <c r="H212" s="8">
        <v>1</v>
      </c>
      <c r="I212" s="8" t="s">
        <v>136</v>
      </c>
      <c r="J212" s="8" t="s">
        <v>136</v>
      </c>
      <c r="K212" s="8">
        <v>1</v>
      </c>
      <c r="L212" s="8">
        <v>1</v>
      </c>
      <c r="M212" s="8">
        <v>1</v>
      </c>
      <c r="N212" s="8">
        <v>1</v>
      </c>
      <c r="O212" s="8">
        <v>1</v>
      </c>
      <c r="P212" s="8" t="s">
        <v>136</v>
      </c>
      <c r="Q212" s="8" t="s">
        <v>136</v>
      </c>
      <c r="R212" s="8">
        <v>1</v>
      </c>
      <c r="S212" s="8">
        <v>1</v>
      </c>
      <c r="T212" s="8">
        <v>1</v>
      </c>
      <c r="U212" s="8">
        <v>1</v>
      </c>
      <c r="V212" s="8">
        <v>1</v>
      </c>
      <c r="W212" s="8" t="s">
        <v>136</v>
      </c>
      <c r="X212" s="8" t="s">
        <v>136</v>
      </c>
      <c r="Y212" s="8">
        <v>1</v>
      </c>
      <c r="Z212" s="8">
        <v>1</v>
      </c>
      <c r="AA212" s="8">
        <v>1</v>
      </c>
      <c r="AB212" s="8">
        <v>1</v>
      </c>
      <c r="AC212" s="8">
        <v>1</v>
      </c>
      <c r="AD212" s="8" t="s">
        <v>136</v>
      </c>
      <c r="AE212" s="8" t="s">
        <v>136</v>
      </c>
      <c r="AF212" s="8">
        <v>1</v>
      </c>
      <c r="AG212" s="8">
        <v>1</v>
      </c>
      <c r="AH212" s="8">
        <v>1</v>
      </c>
      <c r="AI212" s="8">
        <v>1</v>
      </c>
      <c r="AJ212" s="8">
        <v>1</v>
      </c>
      <c r="AK212" s="10">
        <v>23</v>
      </c>
      <c r="AL212" s="11">
        <v>23</v>
      </c>
      <c r="AM212" s="13">
        <v>23</v>
      </c>
      <c r="AN212" s="13">
        <v>0</v>
      </c>
      <c r="AO212" s="7" t="e">
        <v>#N/A</v>
      </c>
    </row>
    <row r="213" spans="1:41">
      <c r="A213" s="8" t="s">
        <v>131</v>
      </c>
      <c r="B213" s="8" t="s">
        <v>533</v>
      </c>
      <c r="C213" s="8" t="s">
        <v>564</v>
      </c>
      <c r="D213" s="8" t="s">
        <v>565</v>
      </c>
      <c r="E213" s="8" t="s">
        <v>135</v>
      </c>
      <c r="F213" s="8">
        <v>1</v>
      </c>
      <c r="G213" s="8">
        <v>1</v>
      </c>
      <c r="H213" s="8">
        <v>1</v>
      </c>
      <c r="I213" s="8" t="s">
        <v>136</v>
      </c>
      <c r="J213" s="8" t="s">
        <v>136</v>
      </c>
      <c r="K213" s="8">
        <v>1</v>
      </c>
      <c r="L213" s="8">
        <v>1</v>
      </c>
      <c r="M213" s="8">
        <v>1</v>
      </c>
      <c r="N213" s="8">
        <v>1</v>
      </c>
      <c r="O213" s="8">
        <v>1</v>
      </c>
      <c r="P213" s="8" t="s">
        <v>136</v>
      </c>
      <c r="Q213" s="8" t="s">
        <v>136</v>
      </c>
      <c r="R213" s="8">
        <v>1</v>
      </c>
      <c r="S213" s="8">
        <v>1</v>
      </c>
      <c r="T213" s="8">
        <v>1</v>
      </c>
      <c r="U213" s="8">
        <v>1</v>
      </c>
      <c r="V213" s="8">
        <v>1</v>
      </c>
      <c r="W213" s="8" t="s">
        <v>136</v>
      </c>
      <c r="X213" s="8" t="s">
        <v>136</v>
      </c>
      <c r="Y213" s="8">
        <v>1</v>
      </c>
      <c r="Z213" s="8">
        <v>1</v>
      </c>
      <c r="AA213" s="8">
        <v>1</v>
      </c>
      <c r="AB213" s="8">
        <v>1</v>
      </c>
      <c r="AC213" s="8">
        <v>1</v>
      </c>
      <c r="AD213" s="8" t="s">
        <v>136</v>
      </c>
      <c r="AE213" s="8" t="s">
        <v>136</v>
      </c>
      <c r="AF213" s="8">
        <v>1</v>
      </c>
      <c r="AG213" s="8">
        <v>1</v>
      </c>
      <c r="AH213" s="8">
        <v>1</v>
      </c>
      <c r="AI213" s="8">
        <v>1</v>
      </c>
      <c r="AJ213" s="8">
        <v>1</v>
      </c>
      <c r="AK213" s="10">
        <v>23</v>
      </c>
      <c r="AL213" s="11">
        <v>23</v>
      </c>
      <c r="AM213" s="13">
        <v>23</v>
      </c>
      <c r="AN213" s="13">
        <v>0</v>
      </c>
      <c r="AO213" s="7" t="e">
        <v>#N/A</v>
      </c>
    </row>
    <row r="214" spans="1:41">
      <c r="A214" s="8" t="s">
        <v>131</v>
      </c>
      <c r="B214" s="8" t="s">
        <v>533</v>
      </c>
      <c r="C214" s="8" t="s">
        <v>566</v>
      </c>
      <c r="D214" s="8" t="s">
        <v>567</v>
      </c>
      <c r="E214" s="8" t="s">
        <v>135</v>
      </c>
      <c r="F214" s="8">
        <v>1</v>
      </c>
      <c r="G214" s="8">
        <v>1</v>
      </c>
      <c r="H214" s="8">
        <v>1</v>
      </c>
      <c r="I214" s="8" t="s">
        <v>136</v>
      </c>
      <c r="J214" s="8" t="s">
        <v>136</v>
      </c>
      <c r="K214" s="8">
        <v>1</v>
      </c>
      <c r="L214" s="8">
        <v>1</v>
      </c>
      <c r="M214" s="8">
        <v>1</v>
      </c>
      <c r="N214" s="8">
        <v>1</v>
      </c>
      <c r="O214" s="8">
        <v>1</v>
      </c>
      <c r="P214" s="8" t="s">
        <v>136</v>
      </c>
      <c r="Q214" s="8" t="s">
        <v>136</v>
      </c>
      <c r="R214" s="8">
        <v>1</v>
      </c>
      <c r="S214" s="8">
        <v>1</v>
      </c>
      <c r="T214" s="8">
        <v>1</v>
      </c>
      <c r="U214" s="8">
        <v>1</v>
      </c>
      <c r="V214" s="8">
        <v>1</v>
      </c>
      <c r="W214" s="8" t="s">
        <v>136</v>
      </c>
      <c r="X214" s="8" t="s">
        <v>136</v>
      </c>
      <c r="Y214" s="8">
        <v>1</v>
      </c>
      <c r="Z214" s="8">
        <v>1</v>
      </c>
      <c r="AA214" s="8">
        <v>1</v>
      </c>
      <c r="AB214" s="8">
        <v>1</v>
      </c>
      <c r="AC214" s="8">
        <v>1</v>
      </c>
      <c r="AD214" s="8" t="s">
        <v>136</v>
      </c>
      <c r="AE214" s="8" t="s">
        <v>136</v>
      </c>
      <c r="AF214" s="8">
        <v>1</v>
      </c>
      <c r="AG214" s="8">
        <v>1</v>
      </c>
      <c r="AH214" s="8">
        <v>1</v>
      </c>
      <c r="AI214" s="8">
        <v>1</v>
      </c>
      <c r="AJ214" s="8">
        <v>1</v>
      </c>
      <c r="AK214" s="10">
        <v>23</v>
      </c>
      <c r="AL214" s="11">
        <v>23</v>
      </c>
      <c r="AM214" s="13">
        <v>23</v>
      </c>
      <c r="AN214" s="13">
        <v>0</v>
      </c>
      <c r="AO214" s="7" t="e">
        <v>#N/A</v>
      </c>
    </row>
    <row r="215" spans="1:41">
      <c r="A215" s="8" t="s">
        <v>131</v>
      </c>
      <c r="B215" s="8" t="s">
        <v>533</v>
      </c>
      <c r="C215" s="8" t="s">
        <v>568</v>
      </c>
      <c r="D215" s="8" t="s">
        <v>569</v>
      </c>
      <c r="E215" s="8" t="s">
        <v>135</v>
      </c>
      <c r="F215" s="8">
        <v>1</v>
      </c>
      <c r="G215" s="8">
        <v>1</v>
      </c>
      <c r="H215" s="8">
        <v>1</v>
      </c>
      <c r="I215" s="8" t="s">
        <v>136</v>
      </c>
      <c r="J215" s="8" t="s">
        <v>136</v>
      </c>
      <c r="K215" s="8">
        <v>1</v>
      </c>
      <c r="L215" s="8">
        <v>1</v>
      </c>
      <c r="M215" s="8">
        <v>1</v>
      </c>
      <c r="N215" s="8">
        <v>1</v>
      </c>
      <c r="O215" s="8">
        <v>1</v>
      </c>
      <c r="P215" s="8" t="s">
        <v>136</v>
      </c>
      <c r="Q215" s="8" t="s">
        <v>136</v>
      </c>
      <c r="R215" s="8">
        <v>1</v>
      </c>
      <c r="S215" s="8">
        <v>1</v>
      </c>
      <c r="T215" s="8">
        <v>1</v>
      </c>
      <c r="U215" s="8">
        <v>1</v>
      </c>
      <c r="V215" s="8">
        <v>1</v>
      </c>
      <c r="W215" s="8" t="s">
        <v>136</v>
      </c>
      <c r="X215" s="8" t="s">
        <v>136</v>
      </c>
      <c r="Y215" s="8">
        <v>1</v>
      </c>
      <c r="Z215" s="8">
        <v>1</v>
      </c>
      <c r="AA215" s="8">
        <v>1</v>
      </c>
      <c r="AB215" s="8">
        <v>1</v>
      </c>
      <c r="AC215" s="8">
        <v>1</v>
      </c>
      <c r="AD215" s="8" t="s">
        <v>136</v>
      </c>
      <c r="AE215" s="8" t="s">
        <v>136</v>
      </c>
      <c r="AF215" s="8">
        <v>1</v>
      </c>
      <c r="AG215" s="8">
        <v>1</v>
      </c>
      <c r="AH215" s="8">
        <v>1</v>
      </c>
      <c r="AI215" s="8">
        <v>1</v>
      </c>
      <c r="AJ215" s="8">
        <v>1</v>
      </c>
      <c r="AK215" s="10">
        <v>23</v>
      </c>
      <c r="AL215" s="11">
        <v>23</v>
      </c>
      <c r="AM215" s="13">
        <v>23</v>
      </c>
      <c r="AN215" s="13">
        <v>0</v>
      </c>
      <c r="AO215" s="7" t="e">
        <v>#N/A</v>
      </c>
    </row>
    <row r="216" spans="1:41">
      <c r="A216" s="8" t="s">
        <v>131</v>
      </c>
      <c r="B216" s="8" t="s">
        <v>533</v>
      </c>
      <c r="C216" s="8" t="s">
        <v>570</v>
      </c>
      <c r="D216" s="8" t="s">
        <v>571</v>
      </c>
      <c r="E216" s="8" t="s">
        <v>135</v>
      </c>
      <c r="F216" s="8">
        <v>1</v>
      </c>
      <c r="G216" s="8">
        <v>1</v>
      </c>
      <c r="H216" s="8">
        <v>1</v>
      </c>
      <c r="I216" s="8" t="s">
        <v>136</v>
      </c>
      <c r="J216" s="8" t="s">
        <v>136</v>
      </c>
      <c r="K216" s="8">
        <v>1</v>
      </c>
      <c r="L216" s="8">
        <v>1</v>
      </c>
      <c r="M216" s="8">
        <v>1</v>
      </c>
      <c r="N216" s="8">
        <v>1</v>
      </c>
      <c r="O216" s="8">
        <v>1</v>
      </c>
      <c r="P216" s="8" t="s">
        <v>136</v>
      </c>
      <c r="Q216" s="8" t="s">
        <v>136</v>
      </c>
      <c r="R216" s="8">
        <v>1</v>
      </c>
      <c r="S216" s="8">
        <v>1</v>
      </c>
      <c r="T216" s="8">
        <v>1</v>
      </c>
      <c r="U216" s="8">
        <v>1</v>
      </c>
      <c r="V216" s="8">
        <v>1</v>
      </c>
      <c r="W216" s="8" t="s">
        <v>136</v>
      </c>
      <c r="X216" s="8" t="s">
        <v>136</v>
      </c>
      <c r="Y216" s="8">
        <v>1</v>
      </c>
      <c r="Z216" s="8">
        <v>1</v>
      </c>
      <c r="AA216" s="8">
        <v>1</v>
      </c>
      <c r="AB216" s="8">
        <v>1</v>
      </c>
      <c r="AC216" s="8">
        <v>1</v>
      </c>
      <c r="AD216" s="8" t="s">
        <v>136</v>
      </c>
      <c r="AE216" s="8" t="s">
        <v>136</v>
      </c>
      <c r="AF216" s="8">
        <v>1</v>
      </c>
      <c r="AG216" s="8">
        <v>1</v>
      </c>
      <c r="AH216" s="8">
        <v>1</v>
      </c>
      <c r="AI216" s="8">
        <v>1</v>
      </c>
      <c r="AJ216" s="8">
        <v>1</v>
      </c>
      <c r="AK216" s="10">
        <v>23</v>
      </c>
      <c r="AL216" s="11">
        <v>23</v>
      </c>
      <c r="AM216" s="13">
        <v>23</v>
      </c>
      <c r="AN216" s="13">
        <v>0</v>
      </c>
      <c r="AO216" s="7" t="e">
        <v>#N/A</v>
      </c>
    </row>
    <row r="217" spans="1:41">
      <c r="A217" s="8" t="s">
        <v>131</v>
      </c>
      <c r="B217" s="8" t="s">
        <v>533</v>
      </c>
      <c r="C217" s="8" t="s">
        <v>572</v>
      </c>
      <c r="D217" s="8" t="s">
        <v>573</v>
      </c>
      <c r="E217" s="8" t="s">
        <v>135</v>
      </c>
      <c r="F217" s="8">
        <v>1</v>
      </c>
      <c r="G217" s="8">
        <v>1</v>
      </c>
      <c r="H217" s="8">
        <v>1</v>
      </c>
      <c r="I217" s="8" t="s">
        <v>136</v>
      </c>
      <c r="J217" s="8" t="s">
        <v>136</v>
      </c>
      <c r="K217" s="8">
        <v>1</v>
      </c>
      <c r="L217" s="8">
        <v>1</v>
      </c>
      <c r="M217" s="8">
        <v>1</v>
      </c>
      <c r="N217" s="8">
        <v>1</v>
      </c>
      <c r="O217" s="8">
        <v>1</v>
      </c>
      <c r="P217" s="8" t="s">
        <v>136</v>
      </c>
      <c r="Q217" s="8" t="s">
        <v>136</v>
      </c>
      <c r="R217" s="8">
        <v>1</v>
      </c>
      <c r="S217" s="8">
        <v>1</v>
      </c>
      <c r="T217" s="8">
        <v>1</v>
      </c>
      <c r="U217" s="8">
        <v>1</v>
      </c>
      <c r="V217" s="8">
        <v>1</v>
      </c>
      <c r="W217" s="8" t="s">
        <v>136</v>
      </c>
      <c r="X217" s="8" t="s">
        <v>136</v>
      </c>
      <c r="Y217" s="8">
        <v>1</v>
      </c>
      <c r="Z217" s="8">
        <v>1</v>
      </c>
      <c r="AA217" s="8">
        <v>1</v>
      </c>
      <c r="AB217" s="8">
        <v>1</v>
      </c>
      <c r="AC217" s="8">
        <v>1</v>
      </c>
      <c r="AD217" s="8" t="s">
        <v>136</v>
      </c>
      <c r="AE217" s="8" t="s">
        <v>136</v>
      </c>
      <c r="AF217" s="8">
        <v>1</v>
      </c>
      <c r="AG217" s="8">
        <v>1</v>
      </c>
      <c r="AH217" s="8">
        <v>1</v>
      </c>
      <c r="AI217" s="8">
        <v>1</v>
      </c>
      <c r="AJ217" s="8">
        <v>1</v>
      </c>
      <c r="AK217" s="10">
        <v>23</v>
      </c>
      <c r="AL217" s="11">
        <v>23</v>
      </c>
      <c r="AM217" s="13">
        <v>23</v>
      </c>
      <c r="AN217" s="13">
        <v>0</v>
      </c>
      <c r="AO217" s="7" t="e">
        <v>#N/A</v>
      </c>
    </row>
    <row r="218" spans="1:41">
      <c r="A218" s="8" t="s">
        <v>131</v>
      </c>
      <c r="B218" s="8" t="s">
        <v>533</v>
      </c>
      <c r="C218" s="8" t="s">
        <v>574</v>
      </c>
      <c r="D218" s="8" t="s">
        <v>575</v>
      </c>
      <c r="E218" s="8" t="s">
        <v>135</v>
      </c>
      <c r="F218" s="8">
        <v>1</v>
      </c>
      <c r="G218" s="8">
        <v>1</v>
      </c>
      <c r="H218" s="8">
        <v>1</v>
      </c>
      <c r="I218" s="8" t="s">
        <v>136</v>
      </c>
      <c r="J218" s="8" t="s">
        <v>136</v>
      </c>
      <c r="K218" s="8">
        <v>1</v>
      </c>
      <c r="L218" s="8">
        <v>1</v>
      </c>
      <c r="M218" s="8">
        <v>1</v>
      </c>
      <c r="N218" s="8">
        <v>1</v>
      </c>
      <c r="O218" s="8">
        <v>1</v>
      </c>
      <c r="P218" s="8" t="s">
        <v>136</v>
      </c>
      <c r="Q218" s="8" t="s">
        <v>136</v>
      </c>
      <c r="R218" s="8">
        <v>1</v>
      </c>
      <c r="S218" s="8">
        <v>1</v>
      </c>
      <c r="T218" s="8">
        <v>1</v>
      </c>
      <c r="U218" s="8">
        <v>1</v>
      </c>
      <c r="V218" s="8">
        <v>1</v>
      </c>
      <c r="W218" s="8" t="s">
        <v>136</v>
      </c>
      <c r="X218" s="8" t="s">
        <v>136</v>
      </c>
      <c r="Y218" s="8">
        <v>1</v>
      </c>
      <c r="Z218" s="8">
        <v>1</v>
      </c>
      <c r="AA218" s="8">
        <v>1</v>
      </c>
      <c r="AB218" s="8">
        <v>1</v>
      </c>
      <c r="AC218" s="8">
        <v>1</v>
      </c>
      <c r="AD218" s="8" t="s">
        <v>136</v>
      </c>
      <c r="AE218" s="8" t="s">
        <v>136</v>
      </c>
      <c r="AF218" s="8">
        <v>1</v>
      </c>
      <c r="AG218" s="8">
        <v>1</v>
      </c>
      <c r="AH218" s="8">
        <v>1</v>
      </c>
      <c r="AI218" s="8">
        <v>1</v>
      </c>
      <c r="AJ218" s="8">
        <v>1</v>
      </c>
      <c r="AK218" s="10">
        <v>23</v>
      </c>
      <c r="AL218" s="11">
        <v>23</v>
      </c>
      <c r="AM218" s="13">
        <v>23</v>
      </c>
      <c r="AN218" s="13">
        <v>0</v>
      </c>
      <c r="AO218" s="7" t="e">
        <v>#N/A</v>
      </c>
    </row>
    <row r="219" spans="1:41">
      <c r="A219" s="8" t="s">
        <v>131</v>
      </c>
      <c r="B219" s="8" t="s">
        <v>533</v>
      </c>
      <c r="C219" s="8" t="s">
        <v>576</v>
      </c>
      <c r="D219" s="8" t="s">
        <v>577</v>
      </c>
      <c r="E219" s="8" t="s">
        <v>135</v>
      </c>
      <c r="F219" s="8">
        <v>1</v>
      </c>
      <c r="G219" s="8">
        <v>1</v>
      </c>
      <c r="H219" s="8">
        <v>1</v>
      </c>
      <c r="I219" s="8" t="s">
        <v>136</v>
      </c>
      <c r="J219" s="8" t="s">
        <v>136</v>
      </c>
      <c r="K219" s="8">
        <v>1</v>
      </c>
      <c r="L219" s="8">
        <v>1</v>
      </c>
      <c r="M219" s="8">
        <v>1</v>
      </c>
      <c r="N219" s="8">
        <v>1</v>
      </c>
      <c r="O219" s="8">
        <v>1</v>
      </c>
      <c r="P219" s="8" t="s">
        <v>136</v>
      </c>
      <c r="Q219" s="8" t="s">
        <v>136</v>
      </c>
      <c r="R219" s="8">
        <v>1</v>
      </c>
      <c r="S219" s="8">
        <v>1</v>
      </c>
      <c r="T219" s="8">
        <v>1</v>
      </c>
      <c r="U219" s="8">
        <v>1</v>
      </c>
      <c r="V219" s="8">
        <v>1</v>
      </c>
      <c r="W219" s="8" t="s">
        <v>136</v>
      </c>
      <c r="X219" s="8" t="s">
        <v>136</v>
      </c>
      <c r="Y219" s="8">
        <v>1</v>
      </c>
      <c r="Z219" s="8">
        <v>1</v>
      </c>
      <c r="AA219" s="8">
        <v>1</v>
      </c>
      <c r="AB219" s="8">
        <v>1</v>
      </c>
      <c r="AC219" s="8">
        <v>1</v>
      </c>
      <c r="AD219" s="8" t="s">
        <v>136</v>
      </c>
      <c r="AE219" s="8" t="s">
        <v>136</v>
      </c>
      <c r="AF219" s="8">
        <v>1</v>
      </c>
      <c r="AG219" s="8">
        <v>1</v>
      </c>
      <c r="AH219" s="8">
        <v>1</v>
      </c>
      <c r="AI219" s="8">
        <v>1</v>
      </c>
      <c r="AJ219" s="8">
        <v>1</v>
      </c>
      <c r="AK219" s="10">
        <v>23</v>
      </c>
      <c r="AL219" s="11">
        <v>23</v>
      </c>
      <c r="AM219" s="13">
        <v>23</v>
      </c>
      <c r="AN219" s="13">
        <v>0</v>
      </c>
      <c r="AO219" s="7" t="e">
        <v>#N/A</v>
      </c>
    </row>
    <row r="220" spans="1:41">
      <c r="A220" s="8" t="s">
        <v>131</v>
      </c>
      <c r="B220" s="8" t="s">
        <v>533</v>
      </c>
      <c r="C220" s="8" t="s">
        <v>578</v>
      </c>
      <c r="D220" s="8" t="s">
        <v>579</v>
      </c>
      <c r="E220" s="8" t="s">
        <v>135</v>
      </c>
      <c r="F220" s="8">
        <v>1</v>
      </c>
      <c r="G220" s="8">
        <v>1</v>
      </c>
      <c r="H220" s="8">
        <v>1</v>
      </c>
      <c r="I220" s="8" t="s">
        <v>136</v>
      </c>
      <c r="J220" s="8" t="s">
        <v>136</v>
      </c>
      <c r="K220" s="8">
        <v>1</v>
      </c>
      <c r="L220" s="8">
        <v>1</v>
      </c>
      <c r="M220" s="8">
        <v>1</v>
      </c>
      <c r="N220" s="8">
        <v>1</v>
      </c>
      <c r="O220" s="8">
        <v>1</v>
      </c>
      <c r="P220" s="8" t="s">
        <v>136</v>
      </c>
      <c r="Q220" s="8" t="s">
        <v>136</v>
      </c>
      <c r="R220" s="8">
        <v>1</v>
      </c>
      <c r="S220" s="8">
        <v>1</v>
      </c>
      <c r="T220" s="8">
        <v>1</v>
      </c>
      <c r="U220" s="8">
        <v>1</v>
      </c>
      <c r="V220" s="8">
        <v>1</v>
      </c>
      <c r="W220" s="8" t="s">
        <v>136</v>
      </c>
      <c r="X220" s="8" t="s">
        <v>136</v>
      </c>
      <c r="Y220" s="8">
        <v>1</v>
      </c>
      <c r="Z220" s="8">
        <v>1</v>
      </c>
      <c r="AA220" s="8">
        <v>1</v>
      </c>
      <c r="AB220" s="8">
        <v>1</v>
      </c>
      <c r="AC220" s="8">
        <v>1</v>
      </c>
      <c r="AD220" s="8" t="s">
        <v>136</v>
      </c>
      <c r="AE220" s="8" t="s">
        <v>136</v>
      </c>
      <c r="AF220" s="8">
        <v>1</v>
      </c>
      <c r="AG220" s="8">
        <v>1</v>
      </c>
      <c r="AH220" s="8">
        <v>1</v>
      </c>
      <c r="AI220" s="8">
        <v>1</v>
      </c>
      <c r="AJ220" s="8">
        <v>1</v>
      </c>
      <c r="AK220" s="10">
        <v>23</v>
      </c>
      <c r="AL220" s="11">
        <v>23</v>
      </c>
      <c r="AM220" s="13">
        <v>23</v>
      </c>
      <c r="AN220" s="13">
        <v>0</v>
      </c>
      <c r="AO220" s="7" t="e">
        <v>#N/A</v>
      </c>
    </row>
    <row r="221" spans="1:41">
      <c r="A221" s="8" t="s">
        <v>131</v>
      </c>
      <c r="B221" s="8" t="s">
        <v>533</v>
      </c>
      <c r="C221" s="8" t="s">
        <v>580</v>
      </c>
      <c r="D221" s="8" t="s">
        <v>581</v>
      </c>
      <c r="E221" s="8" t="s">
        <v>135</v>
      </c>
      <c r="F221" s="8">
        <v>1</v>
      </c>
      <c r="G221" s="8">
        <v>1</v>
      </c>
      <c r="H221" s="8">
        <v>1</v>
      </c>
      <c r="I221" s="8" t="s">
        <v>136</v>
      </c>
      <c r="J221" s="8" t="s">
        <v>136</v>
      </c>
      <c r="K221" s="8">
        <v>1</v>
      </c>
      <c r="L221" s="8">
        <v>1</v>
      </c>
      <c r="M221" s="8">
        <v>1</v>
      </c>
      <c r="N221" s="8">
        <v>1</v>
      </c>
      <c r="O221" s="8">
        <v>1</v>
      </c>
      <c r="P221" s="8" t="s">
        <v>136</v>
      </c>
      <c r="Q221" s="8" t="s">
        <v>136</v>
      </c>
      <c r="R221" s="8">
        <v>1</v>
      </c>
      <c r="S221" s="8">
        <v>1</v>
      </c>
      <c r="T221" s="8">
        <v>1</v>
      </c>
      <c r="U221" s="8">
        <v>1</v>
      </c>
      <c r="V221" s="8">
        <v>1</v>
      </c>
      <c r="W221" s="8" t="s">
        <v>136</v>
      </c>
      <c r="X221" s="8" t="s">
        <v>136</v>
      </c>
      <c r="Y221" s="8">
        <v>1</v>
      </c>
      <c r="Z221" s="8">
        <v>1</v>
      </c>
      <c r="AA221" s="8">
        <v>1</v>
      </c>
      <c r="AB221" s="8">
        <v>1</v>
      </c>
      <c r="AC221" s="8">
        <v>1</v>
      </c>
      <c r="AD221" s="8" t="s">
        <v>136</v>
      </c>
      <c r="AE221" s="8" t="s">
        <v>136</v>
      </c>
      <c r="AF221" s="8">
        <v>1</v>
      </c>
      <c r="AG221" s="8">
        <v>1</v>
      </c>
      <c r="AH221" s="8">
        <v>1</v>
      </c>
      <c r="AI221" s="8">
        <v>1</v>
      </c>
      <c r="AJ221" s="8">
        <v>1</v>
      </c>
      <c r="AK221" s="10">
        <v>23</v>
      </c>
      <c r="AL221" s="11">
        <v>23</v>
      </c>
      <c r="AM221" s="13">
        <v>23</v>
      </c>
      <c r="AN221" s="13">
        <v>0</v>
      </c>
      <c r="AO221" s="7" t="e">
        <v>#N/A</v>
      </c>
    </row>
    <row r="222" spans="1:41">
      <c r="A222" s="8" t="s">
        <v>131</v>
      </c>
      <c r="B222" s="8" t="s">
        <v>533</v>
      </c>
      <c r="C222" s="8" t="s">
        <v>582</v>
      </c>
      <c r="D222" s="8" t="s">
        <v>583</v>
      </c>
      <c r="E222" s="8" t="s">
        <v>135</v>
      </c>
      <c r="F222" s="8">
        <v>1</v>
      </c>
      <c r="G222" s="8">
        <v>1</v>
      </c>
      <c r="H222" s="8">
        <v>1</v>
      </c>
      <c r="I222" s="8" t="s">
        <v>136</v>
      </c>
      <c r="J222" s="8" t="s">
        <v>136</v>
      </c>
      <c r="K222" s="8">
        <v>1</v>
      </c>
      <c r="L222" s="8">
        <v>1</v>
      </c>
      <c r="M222" s="8">
        <v>1</v>
      </c>
      <c r="N222" s="8">
        <v>1</v>
      </c>
      <c r="O222" s="8">
        <v>1</v>
      </c>
      <c r="P222" s="8" t="s">
        <v>136</v>
      </c>
      <c r="Q222" s="8" t="s">
        <v>136</v>
      </c>
      <c r="R222" s="8">
        <v>1</v>
      </c>
      <c r="S222" s="8">
        <v>1</v>
      </c>
      <c r="T222" s="8">
        <v>1</v>
      </c>
      <c r="U222" s="8">
        <v>1</v>
      </c>
      <c r="V222" s="8">
        <v>1</v>
      </c>
      <c r="W222" s="8" t="s">
        <v>136</v>
      </c>
      <c r="X222" s="8" t="s">
        <v>136</v>
      </c>
      <c r="Y222" s="8">
        <v>1</v>
      </c>
      <c r="Z222" s="8">
        <v>1</v>
      </c>
      <c r="AA222" s="8">
        <v>1</v>
      </c>
      <c r="AB222" s="8">
        <v>1</v>
      </c>
      <c r="AC222" s="8">
        <v>1</v>
      </c>
      <c r="AD222" s="8" t="s">
        <v>136</v>
      </c>
      <c r="AE222" s="8" t="s">
        <v>136</v>
      </c>
      <c r="AF222" s="8">
        <v>1</v>
      </c>
      <c r="AG222" s="8">
        <v>1</v>
      </c>
      <c r="AH222" s="8">
        <v>1</v>
      </c>
      <c r="AI222" s="8">
        <v>1</v>
      </c>
      <c r="AJ222" s="8">
        <v>1</v>
      </c>
      <c r="AK222" s="10">
        <v>23</v>
      </c>
      <c r="AL222" s="11">
        <v>23</v>
      </c>
      <c r="AM222" s="13">
        <v>23</v>
      </c>
      <c r="AN222" s="13">
        <v>0</v>
      </c>
      <c r="AO222" s="7" t="e">
        <v>#N/A</v>
      </c>
    </row>
    <row r="223" spans="1:41">
      <c r="A223" s="8" t="s">
        <v>131</v>
      </c>
      <c r="B223" s="8" t="s">
        <v>533</v>
      </c>
      <c r="C223" s="8" t="s">
        <v>584</v>
      </c>
      <c r="D223" s="8" t="s">
        <v>585</v>
      </c>
      <c r="E223" s="8" t="s">
        <v>135</v>
      </c>
      <c r="F223" s="8">
        <v>1</v>
      </c>
      <c r="G223" s="8">
        <v>1</v>
      </c>
      <c r="H223" s="8">
        <v>1</v>
      </c>
      <c r="I223" s="8" t="s">
        <v>136</v>
      </c>
      <c r="J223" s="8" t="s">
        <v>136</v>
      </c>
      <c r="K223" s="8">
        <v>1</v>
      </c>
      <c r="L223" s="8">
        <v>1</v>
      </c>
      <c r="M223" s="8">
        <v>1</v>
      </c>
      <c r="N223" s="8">
        <v>1</v>
      </c>
      <c r="O223" s="8">
        <v>1</v>
      </c>
      <c r="P223" s="8" t="s">
        <v>136</v>
      </c>
      <c r="Q223" s="8" t="s">
        <v>136</v>
      </c>
      <c r="R223" s="8">
        <v>1</v>
      </c>
      <c r="S223" s="8">
        <v>1</v>
      </c>
      <c r="T223" s="8">
        <v>1</v>
      </c>
      <c r="U223" s="8">
        <v>1</v>
      </c>
      <c r="V223" s="8">
        <v>1</v>
      </c>
      <c r="W223" s="8" t="s">
        <v>136</v>
      </c>
      <c r="X223" s="8" t="s">
        <v>136</v>
      </c>
      <c r="Y223" s="8">
        <v>1</v>
      </c>
      <c r="Z223" s="8">
        <v>1</v>
      </c>
      <c r="AA223" s="8">
        <v>1</v>
      </c>
      <c r="AB223" s="8">
        <v>1</v>
      </c>
      <c r="AC223" s="8">
        <v>1</v>
      </c>
      <c r="AD223" s="8" t="s">
        <v>136</v>
      </c>
      <c r="AE223" s="8" t="s">
        <v>136</v>
      </c>
      <c r="AF223" s="8">
        <v>1</v>
      </c>
      <c r="AG223" s="8">
        <v>1</v>
      </c>
      <c r="AH223" s="8">
        <v>1</v>
      </c>
      <c r="AI223" s="8">
        <v>1</v>
      </c>
      <c r="AJ223" s="8">
        <v>1</v>
      </c>
      <c r="AK223" s="10">
        <v>23</v>
      </c>
      <c r="AL223" s="11">
        <v>23</v>
      </c>
      <c r="AM223" s="13">
        <v>23</v>
      </c>
      <c r="AN223" s="13">
        <v>0</v>
      </c>
      <c r="AO223" s="7" t="e">
        <v>#N/A</v>
      </c>
    </row>
    <row r="224" spans="1:41">
      <c r="A224" s="8" t="s">
        <v>131</v>
      </c>
      <c r="B224" s="8" t="s">
        <v>533</v>
      </c>
      <c r="C224" s="8" t="s">
        <v>586</v>
      </c>
      <c r="D224" s="8" t="s">
        <v>587</v>
      </c>
      <c r="E224" s="8" t="s">
        <v>135</v>
      </c>
      <c r="F224" s="8">
        <v>1</v>
      </c>
      <c r="G224" s="8">
        <v>1</v>
      </c>
      <c r="H224" s="8">
        <v>1</v>
      </c>
      <c r="I224" s="8" t="s">
        <v>136</v>
      </c>
      <c r="J224" s="8" t="s">
        <v>136</v>
      </c>
      <c r="K224" s="8">
        <v>1</v>
      </c>
      <c r="L224" s="8">
        <v>1</v>
      </c>
      <c r="M224" s="8">
        <v>1</v>
      </c>
      <c r="N224" s="8">
        <v>1</v>
      </c>
      <c r="O224" s="8">
        <v>1</v>
      </c>
      <c r="P224" s="8" t="s">
        <v>136</v>
      </c>
      <c r="Q224" s="8" t="s">
        <v>136</v>
      </c>
      <c r="R224" s="8">
        <v>1</v>
      </c>
      <c r="S224" s="8">
        <v>1</v>
      </c>
      <c r="T224" s="8">
        <v>1</v>
      </c>
      <c r="U224" s="8">
        <v>1</v>
      </c>
      <c r="V224" s="8">
        <v>1</v>
      </c>
      <c r="W224" s="8" t="s">
        <v>136</v>
      </c>
      <c r="X224" s="8" t="s">
        <v>136</v>
      </c>
      <c r="Y224" s="8">
        <v>1</v>
      </c>
      <c r="Z224" s="8">
        <v>1</v>
      </c>
      <c r="AA224" s="8">
        <v>1</v>
      </c>
      <c r="AB224" s="8">
        <v>1</v>
      </c>
      <c r="AC224" s="8">
        <v>1</v>
      </c>
      <c r="AD224" s="8" t="s">
        <v>136</v>
      </c>
      <c r="AE224" s="8" t="s">
        <v>136</v>
      </c>
      <c r="AF224" s="8">
        <v>1</v>
      </c>
      <c r="AG224" s="8">
        <v>1</v>
      </c>
      <c r="AH224" s="8">
        <v>1</v>
      </c>
      <c r="AI224" s="8">
        <v>1</v>
      </c>
      <c r="AJ224" s="8">
        <v>1</v>
      </c>
      <c r="AK224" s="10">
        <v>23</v>
      </c>
      <c r="AL224" s="11">
        <v>23</v>
      </c>
      <c r="AM224" s="13">
        <v>23</v>
      </c>
      <c r="AN224" s="13">
        <v>0</v>
      </c>
      <c r="AO224" s="7" t="e">
        <v>#N/A</v>
      </c>
    </row>
    <row r="225" spans="1:41">
      <c r="A225" s="8" t="s">
        <v>131</v>
      </c>
      <c r="B225" s="8" t="s">
        <v>533</v>
      </c>
      <c r="C225" s="8" t="s">
        <v>588</v>
      </c>
      <c r="D225" s="8" t="s">
        <v>589</v>
      </c>
      <c r="E225" s="8" t="s">
        <v>135</v>
      </c>
      <c r="F225" s="8">
        <v>1</v>
      </c>
      <c r="G225" s="8">
        <v>1</v>
      </c>
      <c r="H225" s="8">
        <v>1</v>
      </c>
      <c r="I225" s="8" t="s">
        <v>136</v>
      </c>
      <c r="J225" s="8" t="s">
        <v>136</v>
      </c>
      <c r="K225" s="8">
        <v>1</v>
      </c>
      <c r="L225" s="8">
        <v>1</v>
      </c>
      <c r="M225" s="8">
        <v>1</v>
      </c>
      <c r="N225" s="8">
        <v>1</v>
      </c>
      <c r="O225" s="8">
        <v>1</v>
      </c>
      <c r="P225" s="8" t="s">
        <v>136</v>
      </c>
      <c r="Q225" s="8" t="s">
        <v>136</v>
      </c>
      <c r="R225" s="8">
        <v>1</v>
      </c>
      <c r="S225" s="8">
        <v>1</v>
      </c>
      <c r="T225" s="8">
        <v>1</v>
      </c>
      <c r="U225" s="8">
        <v>1</v>
      </c>
      <c r="V225" s="8">
        <v>1</v>
      </c>
      <c r="W225" s="8" t="s">
        <v>136</v>
      </c>
      <c r="X225" s="8" t="s">
        <v>136</v>
      </c>
      <c r="Y225" s="8">
        <v>1</v>
      </c>
      <c r="Z225" s="8">
        <v>1</v>
      </c>
      <c r="AA225" s="8">
        <v>1</v>
      </c>
      <c r="AB225" s="8">
        <v>1</v>
      </c>
      <c r="AC225" s="8">
        <v>1</v>
      </c>
      <c r="AD225" s="8" t="s">
        <v>136</v>
      </c>
      <c r="AE225" s="8" t="s">
        <v>136</v>
      </c>
      <c r="AF225" s="8">
        <v>1</v>
      </c>
      <c r="AG225" s="8">
        <v>1</v>
      </c>
      <c r="AH225" s="8">
        <v>1</v>
      </c>
      <c r="AI225" s="8">
        <v>1</v>
      </c>
      <c r="AJ225" s="8">
        <v>1</v>
      </c>
      <c r="AK225" s="10">
        <v>23</v>
      </c>
      <c r="AL225" s="11">
        <v>23</v>
      </c>
      <c r="AM225" s="13">
        <v>23</v>
      </c>
      <c r="AN225" s="13">
        <v>0</v>
      </c>
      <c r="AO225" s="7" t="e">
        <v>#N/A</v>
      </c>
    </row>
    <row r="226" spans="1:41">
      <c r="A226" s="8" t="s">
        <v>131</v>
      </c>
      <c r="B226" s="8" t="s">
        <v>533</v>
      </c>
      <c r="C226" s="8" t="s">
        <v>590</v>
      </c>
      <c r="D226" s="8" t="s">
        <v>591</v>
      </c>
      <c r="E226" s="8" t="s">
        <v>135</v>
      </c>
      <c r="F226" s="8">
        <v>1</v>
      </c>
      <c r="G226" s="8">
        <v>1</v>
      </c>
      <c r="H226" s="8">
        <v>1</v>
      </c>
      <c r="I226" s="8" t="s">
        <v>136</v>
      </c>
      <c r="J226" s="8" t="s">
        <v>136</v>
      </c>
      <c r="K226" s="8">
        <v>1</v>
      </c>
      <c r="L226" s="8">
        <v>1</v>
      </c>
      <c r="M226" s="8">
        <v>1</v>
      </c>
      <c r="N226" s="8">
        <v>1</v>
      </c>
      <c r="O226" s="8">
        <v>1</v>
      </c>
      <c r="P226" s="8" t="s">
        <v>136</v>
      </c>
      <c r="Q226" s="8" t="s">
        <v>136</v>
      </c>
      <c r="R226" s="8">
        <v>1</v>
      </c>
      <c r="S226" s="8">
        <v>1</v>
      </c>
      <c r="T226" s="8">
        <v>1</v>
      </c>
      <c r="U226" s="8">
        <v>1</v>
      </c>
      <c r="V226" s="8">
        <v>1</v>
      </c>
      <c r="W226" s="8" t="s">
        <v>136</v>
      </c>
      <c r="X226" s="8" t="s">
        <v>136</v>
      </c>
      <c r="Y226" s="8">
        <v>1</v>
      </c>
      <c r="Z226" s="8">
        <v>1</v>
      </c>
      <c r="AA226" s="8">
        <v>1</v>
      </c>
      <c r="AB226" s="8">
        <v>1</v>
      </c>
      <c r="AC226" s="8">
        <v>1</v>
      </c>
      <c r="AD226" s="8" t="s">
        <v>136</v>
      </c>
      <c r="AE226" s="8" t="s">
        <v>136</v>
      </c>
      <c r="AF226" s="8">
        <v>1</v>
      </c>
      <c r="AG226" s="8">
        <v>1</v>
      </c>
      <c r="AH226" s="8">
        <v>1</v>
      </c>
      <c r="AI226" s="8">
        <v>1</v>
      </c>
      <c r="AJ226" s="8">
        <v>1</v>
      </c>
      <c r="AK226" s="10">
        <v>23</v>
      </c>
      <c r="AL226" s="11">
        <v>23</v>
      </c>
      <c r="AM226" s="13">
        <v>23</v>
      </c>
      <c r="AN226" s="13">
        <v>0</v>
      </c>
      <c r="AO226" s="7" t="e">
        <v>#N/A</v>
      </c>
    </row>
    <row r="227" spans="1:41">
      <c r="A227" s="8" t="s">
        <v>131</v>
      </c>
      <c r="B227" s="8" t="s">
        <v>533</v>
      </c>
      <c r="C227" s="8" t="s">
        <v>592</v>
      </c>
      <c r="D227" s="8" t="s">
        <v>593</v>
      </c>
      <c r="E227" s="8" t="s">
        <v>135</v>
      </c>
      <c r="F227" s="8">
        <v>0</v>
      </c>
      <c r="G227" s="8">
        <v>0</v>
      </c>
      <c r="H227" s="8">
        <v>0</v>
      </c>
      <c r="I227" s="8" t="s">
        <v>136</v>
      </c>
      <c r="J227" s="8" t="s">
        <v>136</v>
      </c>
      <c r="K227" s="8">
        <v>0</v>
      </c>
      <c r="L227" s="8">
        <v>0</v>
      </c>
      <c r="M227" s="8">
        <v>0</v>
      </c>
      <c r="N227" s="8">
        <v>0</v>
      </c>
      <c r="O227" s="8">
        <v>0</v>
      </c>
      <c r="P227" s="8" t="s">
        <v>136</v>
      </c>
      <c r="Q227" s="8" t="s">
        <v>136</v>
      </c>
      <c r="R227" s="8">
        <v>0</v>
      </c>
      <c r="S227" s="8">
        <v>0</v>
      </c>
      <c r="T227" s="8">
        <v>0</v>
      </c>
      <c r="U227" s="8">
        <v>0</v>
      </c>
      <c r="V227" s="8">
        <v>0</v>
      </c>
      <c r="W227" s="8" t="s">
        <v>136</v>
      </c>
      <c r="X227" s="8" t="s">
        <v>136</v>
      </c>
      <c r="Y227" s="8">
        <v>0</v>
      </c>
      <c r="Z227" s="8">
        <v>0</v>
      </c>
      <c r="AA227" s="8">
        <v>0</v>
      </c>
      <c r="AB227" s="8">
        <v>0</v>
      </c>
      <c r="AC227" s="8">
        <v>0</v>
      </c>
      <c r="AD227" s="8" t="s">
        <v>136</v>
      </c>
      <c r="AE227" s="8" t="s">
        <v>136</v>
      </c>
      <c r="AF227" s="8">
        <v>0</v>
      </c>
      <c r="AG227" s="8">
        <v>0</v>
      </c>
      <c r="AH227" s="8">
        <v>0</v>
      </c>
      <c r="AI227" s="8">
        <v>0</v>
      </c>
      <c r="AJ227" s="8">
        <v>0</v>
      </c>
      <c r="AK227" s="10">
        <v>23</v>
      </c>
      <c r="AL227" s="12">
        <v>0</v>
      </c>
      <c r="AM227" s="13">
        <v>0</v>
      </c>
      <c r="AN227" s="13">
        <v>0</v>
      </c>
      <c r="AO227" s="7" t="e">
        <v>#N/A</v>
      </c>
    </row>
    <row r="228" spans="1:41">
      <c r="A228" s="8" t="s">
        <v>131</v>
      </c>
      <c r="B228" s="8" t="s">
        <v>533</v>
      </c>
      <c r="C228" s="8" t="s">
        <v>594</v>
      </c>
      <c r="D228" s="8" t="s">
        <v>595</v>
      </c>
      <c r="E228" s="8" t="s">
        <v>135</v>
      </c>
      <c r="F228" s="8">
        <v>1</v>
      </c>
      <c r="G228" s="8">
        <v>1</v>
      </c>
      <c r="H228" s="8">
        <v>1</v>
      </c>
      <c r="I228" s="8" t="s">
        <v>136</v>
      </c>
      <c r="J228" s="8" t="s">
        <v>136</v>
      </c>
      <c r="K228" s="8">
        <v>1</v>
      </c>
      <c r="L228" s="8">
        <v>1</v>
      </c>
      <c r="M228" s="8">
        <v>1</v>
      </c>
      <c r="N228" s="8">
        <v>1</v>
      </c>
      <c r="O228" s="8">
        <v>1</v>
      </c>
      <c r="P228" s="8" t="s">
        <v>136</v>
      </c>
      <c r="Q228" s="8" t="s">
        <v>136</v>
      </c>
      <c r="R228" s="8">
        <v>1</v>
      </c>
      <c r="S228" s="8">
        <v>1</v>
      </c>
      <c r="T228" s="8">
        <v>1</v>
      </c>
      <c r="U228" s="8">
        <v>1</v>
      </c>
      <c r="V228" s="8">
        <v>1</v>
      </c>
      <c r="W228" s="8" t="s">
        <v>136</v>
      </c>
      <c r="X228" s="8" t="s">
        <v>136</v>
      </c>
      <c r="Y228" s="8">
        <v>1</v>
      </c>
      <c r="Z228" s="8">
        <v>1</v>
      </c>
      <c r="AA228" s="8">
        <v>1</v>
      </c>
      <c r="AB228" s="8">
        <v>1</v>
      </c>
      <c r="AC228" s="8">
        <v>1</v>
      </c>
      <c r="AD228" s="8" t="s">
        <v>136</v>
      </c>
      <c r="AE228" s="8" t="s">
        <v>136</v>
      </c>
      <c r="AF228" s="8">
        <v>1</v>
      </c>
      <c r="AG228" s="8">
        <v>1</v>
      </c>
      <c r="AH228" s="8">
        <v>1</v>
      </c>
      <c r="AI228" s="8">
        <v>1</v>
      </c>
      <c r="AJ228" s="8">
        <v>1</v>
      </c>
      <c r="AK228" s="10">
        <v>23</v>
      </c>
      <c r="AL228" s="11">
        <v>23</v>
      </c>
      <c r="AM228" s="13">
        <v>23</v>
      </c>
      <c r="AN228" s="13">
        <v>0</v>
      </c>
      <c r="AO228" s="7" t="e">
        <v>#N/A</v>
      </c>
    </row>
    <row r="229" spans="1:41">
      <c r="A229" s="8" t="s">
        <v>131</v>
      </c>
      <c r="B229" s="8" t="s">
        <v>533</v>
      </c>
      <c r="C229" s="8" t="s">
        <v>596</v>
      </c>
      <c r="D229" s="8" t="s">
        <v>597</v>
      </c>
      <c r="E229" s="8" t="s">
        <v>135</v>
      </c>
      <c r="F229" s="8">
        <v>1</v>
      </c>
      <c r="G229" s="8">
        <v>1</v>
      </c>
      <c r="H229" s="8">
        <v>1</v>
      </c>
      <c r="I229" s="8" t="s">
        <v>136</v>
      </c>
      <c r="J229" s="8" t="s">
        <v>136</v>
      </c>
      <c r="K229" s="8">
        <v>1</v>
      </c>
      <c r="L229" s="8">
        <v>1</v>
      </c>
      <c r="M229" s="8">
        <v>1</v>
      </c>
      <c r="N229" s="8">
        <v>1</v>
      </c>
      <c r="O229" s="8">
        <v>1</v>
      </c>
      <c r="P229" s="8" t="s">
        <v>136</v>
      </c>
      <c r="Q229" s="8" t="s">
        <v>136</v>
      </c>
      <c r="R229" s="8">
        <v>1</v>
      </c>
      <c r="S229" s="8">
        <v>1</v>
      </c>
      <c r="T229" s="8">
        <v>1</v>
      </c>
      <c r="U229" s="8">
        <v>1</v>
      </c>
      <c r="V229" s="8">
        <v>1</v>
      </c>
      <c r="W229" s="8" t="s">
        <v>136</v>
      </c>
      <c r="X229" s="8" t="s">
        <v>136</v>
      </c>
      <c r="Y229" s="8">
        <v>1</v>
      </c>
      <c r="Z229" s="8">
        <v>1</v>
      </c>
      <c r="AA229" s="8">
        <v>1</v>
      </c>
      <c r="AB229" s="8">
        <v>1</v>
      </c>
      <c r="AC229" s="8">
        <v>1</v>
      </c>
      <c r="AD229" s="8" t="s">
        <v>136</v>
      </c>
      <c r="AE229" s="8" t="s">
        <v>136</v>
      </c>
      <c r="AF229" s="8">
        <v>1</v>
      </c>
      <c r="AG229" s="8">
        <v>1</v>
      </c>
      <c r="AH229" s="8">
        <v>1</v>
      </c>
      <c r="AI229" s="8">
        <v>1</v>
      </c>
      <c r="AJ229" s="8">
        <v>1</v>
      </c>
      <c r="AK229" s="10">
        <v>23</v>
      </c>
      <c r="AL229" s="11">
        <v>23</v>
      </c>
      <c r="AM229" s="13">
        <v>23</v>
      </c>
      <c r="AN229" s="13">
        <v>0</v>
      </c>
      <c r="AO229" s="7" t="e">
        <v>#N/A</v>
      </c>
    </row>
    <row r="230" spans="1:41">
      <c r="A230" s="8" t="s">
        <v>131</v>
      </c>
      <c r="B230" s="8" t="s">
        <v>533</v>
      </c>
      <c r="C230" s="8" t="s">
        <v>598</v>
      </c>
      <c r="D230" s="8" t="s">
        <v>599</v>
      </c>
      <c r="E230" s="8" t="s">
        <v>135</v>
      </c>
      <c r="F230" s="8">
        <v>1</v>
      </c>
      <c r="G230" s="8">
        <v>1</v>
      </c>
      <c r="H230" s="8">
        <v>1</v>
      </c>
      <c r="I230" s="8" t="s">
        <v>136</v>
      </c>
      <c r="J230" s="8" t="s">
        <v>136</v>
      </c>
      <c r="K230" s="8">
        <v>1</v>
      </c>
      <c r="L230" s="8">
        <v>1</v>
      </c>
      <c r="M230" s="8">
        <v>1</v>
      </c>
      <c r="N230" s="8">
        <v>1</v>
      </c>
      <c r="O230" s="8">
        <v>1</v>
      </c>
      <c r="P230" s="8" t="s">
        <v>136</v>
      </c>
      <c r="Q230" s="8" t="s">
        <v>136</v>
      </c>
      <c r="R230" s="8">
        <v>1</v>
      </c>
      <c r="S230" s="8">
        <v>1</v>
      </c>
      <c r="T230" s="8">
        <v>1</v>
      </c>
      <c r="U230" s="8">
        <v>1</v>
      </c>
      <c r="V230" s="8">
        <v>1</v>
      </c>
      <c r="W230" s="8" t="s">
        <v>136</v>
      </c>
      <c r="X230" s="8" t="s">
        <v>136</v>
      </c>
      <c r="Y230" s="8">
        <v>1</v>
      </c>
      <c r="Z230" s="8">
        <v>1</v>
      </c>
      <c r="AA230" s="8">
        <v>1</v>
      </c>
      <c r="AB230" s="8">
        <v>1</v>
      </c>
      <c r="AC230" s="8">
        <v>1</v>
      </c>
      <c r="AD230" s="8" t="s">
        <v>136</v>
      </c>
      <c r="AE230" s="8" t="s">
        <v>136</v>
      </c>
      <c r="AF230" s="8">
        <v>1</v>
      </c>
      <c r="AG230" s="8">
        <v>1</v>
      </c>
      <c r="AH230" s="8">
        <v>1</v>
      </c>
      <c r="AI230" s="8">
        <v>1</v>
      </c>
      <c r="AJ230" s="8">
        <v>1</v>
      </c>
      <c r="AK230" s="10">
        <v>23</v>
      </c>
      <c r="AL230" s="11">
        <v>23</v>
      </c>
      <c r="AM230" s="13">
        <v>23</v>
      </c>
      <c r="AN230" s="13">
        <v>0</v>
      </c>
      <c r="AO230" s="7" t="e">
        <v>#N/A</v>
      </c>
    </row>
    <row r="231" spans="1:41">
      <c r="A231" s="8" t="s">
        <v>131</v>
      </c>
      <c r="B231" s="8" t="s">
        <v>533</v>
      </c>
      <c r="C231" s="8" t="s">
        <v>600</v>
      </c>
      <c r="D231" s="8" t="s">
        <v>601</v>
      </c>
      <c r="E231" s="8" t="s">
        <v>135</v>
      </c>
      <c r="F231" s="8">
        <v>1</v>
      </c>
      <c r="G231" s="8">
        <v>1</v>
      </c>
      <c r="H231" s="8">
        <v>1</v>
      </c>
      <c r="I231" s="8" t="s">
        <v>136</v>
      </c>
      <c r="J231" s="8" t="s">
        <v>136</v>
      </c>
      <c r="K231" s="8">
        <v>1</v>
      </c>
      <c r="L231" s="8">
        <v>1</v>
      </c>
      <c r="M231" s="8">
        <v>1</v>
      </c>
      <c r="N231" s="8">
        <v>1</v>
      </c>
      <c r="O231" s="8">
        <v>1</v>
      </c>
      <c r="P231" s="8" t="s">
        <v>136</v>
      </c>
      <c r="Q231" s="8" t="s">
        <v>136</v>
      </c>
      <c r="R231" s="8">
        <v>1</v>
      </c>
      <c r="S231" s="8">
        <v>1</v>
      </c>
      <c r="T231" s="8">
        <v>1</v>
      </c>
      <c r="U231" s="8">
        <v>1</v>
      </c>
      <c r="V231" s="8">
        <v>1</v>
      </c>
      <c r="W231" s="8" t="s">
        <v>136</v>
      </c>
      <c r="X231" s="8" t="s">
        <v>136</v>
      </c>
      <c r="Y231" s="8">
        <v>1</v>
      </c>
      <c r="Z231" s="8">
        <v>1</v>
      </c>
      <c r="AA231" s="8">
        <v>1</v>
      </c>
      <c r="AB231" s="8">
        <v>1</v>
      </c>
      <c r="AC231" s="8">
        <v>1</v>
      </c>
      <c r="AD231" s="8" t="s">
        <v>136</v>
      </c>
      <c r="AE231" s="8" t="s">
        <v>136</v>
      </c>
      <c r="AF231" s="8">
        <v>1</v>
      </c>
      <c r="AG231" s="8">
        <v>1</v>
      </c>
      <c r="AH231" s="8">
        <v>1</v>
      </c>
      <c r="AI231" s="8">
        <v>1</v>
      </c>
      <c r="AJ231" s="8">
        <v>1</v>
      </c>
      <c r="AK231" s="10">
        <v>23</v>
      </c>
      <c r="AL231" s="11">
        <v>23</v>
      </c>
      <c r="AM231" s="13">
        <v>23</v>
      </c>
      <c r="AN231" s="13">
        <v>0</v>
      </c>
      <c r="AO231" s="7" t="e">
        <v>#N/A</v>
      </c>
    </row>
    <row r="232" spans="1:41">
      <c r="A232" s="8" t="s">
        <v>131</v>
      </c>
      <c r="B232" s="8" t="s">
        <v>533</v>
      </c>
      <c r="C232" s="8" t="s">
        <v>602</v>
      </c>
      <c r="D232" s="8" t="s">
        <v>603</v>
      </c>
      <c r="E232" s="8" t="s">
        <v>135</v>
      </c>
      <c r="F232" s="8">
        <v>1</v>
      </c>
      <c r="G232" s="8">
        <v>1</v>
      </c>
      <c r="H232" s="8">
        <v>1</v>
      </c>
      <c r="I232" s="8" t="s">
        <v>136</v>
      </c>
      <c r="J232" s="8" t="s">
        <v>136</v>
      </c>
      <c r="K232" s="8">
        <v>1</v>
      </c>
      <c r="L232" s="8">
        <v>1</v>
      </c>
      <c r="M232" s="8">
        <v>1</v>
      </c>
      <c r="N232" s="8">
        <v>1</v>
      </c>
      <c r="O232" s="8">
        <v>1</v>
      </c>
      <c r="P232" s="8" t="s">
        <v>136</v>
      </c>
      <c r="Q232" s="8" t="s">
        <v>136</v>
      </c>
      <c r="R232" s="8">
        <v>1</v>
      </c>
      <c r="S232" s="8">
        <v>1</v>
      </c>
      <c r="T232" s="8">
        <v>1</v>
      </c>
      <c r="U232" s="8">
        <v>1</v>
      </c>
      <c r="V232" s="8">
        <v>1</v>
      </c>
      <c r="W232" s="8" t="s">
        <v>136</v>
      </c>
      <c r="X232" s="8" t="s">
        <v>136</v>
      </c>
      <c r="Y232" s="8">
        <v>1</v>
      </c>
      <c r="Z232" s="8">
        <v>1</v>
      </c>
      <c r="AA232" s="8">
        <v>1</v>
      </c>
      <c r="AB232" s="8">
        <v>1</v>
      </c>
      <c r="AC232" s="8">
        <v>1</v>
      </c>
      <c r="AD232" s="8" t="s">
        <v>136</v>
      </c>
      <c r="AE232" s="8" t="s">
        <v>136</v>
      </c>
      <c r="AF232" s="8">
        <v>1</v>
      </c>
      <c r="AG232" s="8">
        <v>1</v>
      </c>
      <c r="AH232" s="8">
        <v>1</v>
      </c>
      <c r="AI232" s="8">
        <v>1</v>
      </c>
      <c r="AJ232" s="8">
        <v>1</v>
      </c>
      <c r="AK232" s="10">
        <v>23</v>
      </c>
      <c r="AL232" s="11">
        <v>23</v>
      </c>
      <c r="AM232" s="13">
        <v>23</v>
      </c>
      <c r="AN232" s="13">
        <v>0</v>
      </c>
      <c r="AO232" s="7" t="e">
        <v>#N/A</v>
      </c>
    </row>
    <row r="233" spans="1:41">
      <c r="A233" s="8" t="s">
        <v>131</v>
      </c>
      <c r="B233" s="8" t="s">
        <v>533</v>
      </c>
      <c r="C233" s="8" t="s">
        <v>604</v>
      </c>
      <c r="D233" s="8" t="s">
        <v>605</v>
      </c>
      <c r="E233" s="8" t="s">
        <v>135</v>
      </c>
      <c r="F233" s="8">
        <v>1</v>
      </c>
      <c r="G233" s="8">
        <v>1</v>
      </c>
      <c r="H233" s="8">
        <v>1</v>
      </c>
      <c r="I233" s="8" t="s">
        <v>136</v>
      </c>
      <c r="J233" s="8" t="s">
        <v>136</v>
      </c>
      <c r="K233" s="8">
        <v>1</v>
      </c>
      <c r="L233" s="8">
        <v>1</v>
      </c>
      <c r="M233" s="8">
        <v>1</v>
      </c>
      <c r="N233" s="8">
        <v>1</v>
      </c>
      <c r="O233" s="8">
        <v>1</v>
      </c>
      <c r="P233" s="8" t="s">
        <v>136</v>
      </c>
      <c r="Q233" s="8" t="s">
        <v>136</v>
      </c>
      <c r="R233" s="8">
        <v>1</v>
      </c>
      <c r="S233" s="8">
        <v>1</v>
      </c>
      <c r="T233" s="8">
        <v>1</v>
      </c>
      <c r="U233" s="8">
        <v>1</v>
      </c>
      <c r="V233" s="8">
        <v>1</v>
      </c>
      <c r="W233" s="8" t="s">
        <v>136</v>
      </c>
      <c r="X233" s="8" t="s">
        <v>136</v>
      </c>
      <c r="Y233" s="8">
        <v>1</v>
      </c>
      <c r="Z233" s="8">
        <v>1</v>
      </c>
      <c r="AA233" s="8">
        <v>1</v>
      </c>
      <c r="AB233" s="8">
        <v>1</v>
      </c>
      <c r="AC233" s="8">
        <v>1</v>
      </c>
      <c r="AD233" s="8" t="s">
        <v>136</v>
      </c>
      <c r="AE233" s="8" t="s">
        <v>136</v>
      </c>
      <c r="AF233" s="8">
        <v>1</v>
      </c>
      <c r="AG233" s="8">
        <v>1</v>
      </c>
      <c r="AH233" s="8">
        <v>1</v>
      </c>
      <c r="AI233" s="8">
        <v>1</v>
      </c>
      <c r="AJ233" s="8">
        <v>1</v>
      </c>
      <c r="AK233" s="10">
        <v>23</v>
      </c>
      <c r="AL233" s="11">
        <v>23</v>
      </c>
      <c r="AM233" s="13">
        <v>23</v>
      </c>
      <c r="AN233" s="13">
        <v>0</v>
      </c>
      <c r="AO233" s="7" t="e">
        <v>#N/A</v>
      </c>
    </row>
    <row r="234" spans="1:41">
      <c r="A234" s="8" t="s">
        <v>131</v>
      </c>
      <c r="B234" s="8" t="s">
        <v>533</v>
      </c>
      <c r="C234" s="8" t="s">
        <v>606</v>
      </c>
      <c r="D234" s="8" t="s">
        <v>607</v>
      </c>
      <c r="E234" s="8" t="s">
        <v>135</v>
      </c>
      <c r="F234" s="8">
        <v>1</v>
      </c>
      <c r="G234" s="8">
        <v>1</v>
      </c>
      <c r="H234" s="8">
        <v>1</v>
      </c>
      <c r="I234" s="8" t="s">
        <v>136</v>
      </c>
      <c r="J234" s="8" t="s">
        <v>136</v>
      </c>
      <c r="K234" s="8">
        <v>1</v>
      </c>
      <c r="L234" s="8">
        <v>1</v>
      </c>
      <c r="M234" s="8">
        <v>1</v>
      </c>
      <c r="N234" s="8">
        <v>1</v>
      </c>
      <c r="O234" s="8">
        <v>1</v>
      </c>
      <c r="P234" s="8" t="s">
        <v>136</v>
      </c>
      <c r="Q234" s="8" t="s">
        <v>136</v>
      </c>
      <c r="R234" s="8">
        <v>1</v>
      </c>
      <c r="S234" s="8">
        <v>1</v>
      </c>
      <c r="T234" s="8">
        <v>1</v>
      </c>
      <c r="U234" s="8">
        <v>1</v>
      </c>
      <c r="V234" s="8">
        <v>1</v>
      </c>
      <c r="W234" s="8" t="s">
        <v>136</v>
      </c>
      <c r="X234" s="8" t="s">
        <v>136</v>
      </c>
      <c r="Y234" s="8">
        <v>1</v>
      </c>
      <c r="Z234" s="8">
        <v>1</v>
      </c>
      <c r="AA234" s="8">
        <v>1</v>
      </c>
      <c r="AB234" s="8">
        <v>1</v>
      </c>
      <c r="AC234" s="8">
        <v>1</v>
      </c>
      <c r="AD234" s="8" t="s">
        <v>136</v>
      </c>
      <c r="AE234" s="8" t="s">
        <v>136</v>
      </c>
      <c r="AF234" s="8">
        <v>1</v>
      </c>
      <c r="AG234" s="8">
        <v>1</v>
      </c>
      <c r="AH234" s="8">
        <v>1</v>
      </c>
      <c r="AI234" s="8">
        <v>1</v>
      </c>
      <c r="AJ234" s="8">
        <v>1</v>
      </c>
      <c r="AK234" s="10">
        <v>23</v>
      </c>
      <c r="AL234" s="11">
        <v>23</v>
      </c>
      <c r="AM234" s="13">
        <v>23</v>
      </c>
      <c r="AN234" s="13">
        <v>0</v>
      </c>
      <c r="AO234" s="7" t="e">
        <v>#N/A</v>
      </c>
    </row>
    <row r="235" spans="1:41">
      <c r="A235" s="8" t="s">
        <v>131</v>
      </c>
      <c r="B235" s="8" t="s">
        <v>533</v>
      </c>
      <c r="C235" s="8" t="s">
        <v>608</v>
      </c>
      <c r="D235" s="8" t="s">
        <v>609</v>
      </c>
      <c r="E235" s="8" t="s">
        <v>135</v>
      </c>
      <c r="F235" s="8">
        <v>1</v>
      </c>
      <c r="G235" s="8">
        <v>1</v>
      </c>
      <c r="H235" s="8">
        <v>1</v>
      </c>
      <c r="I235" s="8" t="s">
        <v>136</v>
      </c>
      <c r="J235" s="8" t="s">
        <v>136</v>
      </c>
      <c r="K235" s="8">
        <v>1</v>
      </c>
      <c r="L235" s="8">
        <v>1</v>
      </c>
      <c r="M235" s="8">
        <v>1</v>
      </c>
      <c r="N235" s="8">
        <v>1</v>
      </c>
      <c r="O235" s="8">
        <v>1</v>
      </c>
      <c r="P235" s="8" t="s">
        <v>136</v>
      </c>
      <c r="Q235" s="8" t="s">
        <v>136</v>
      </c>
      <c r="R235" s="8">
        <v>1</v>
      </c>
      <c r="S235" s="8">
        <v>1</v>
      </c>
      <c r="T235" s="8">
        <v>1</v>
      </c>
      <c r="U235" s="8">
        <v>1</v>
      </c>
      <c r="V235" s="8">
        <v>1</v>
      </c>
      <c r="W235" s="8" t="s">
        <v>136</v>
      </c>
      <c r="X235" s="8" t="s">
        <v>136</v>
      </c>
      <c r="Y235" s="8">
        <v>1</v>
      </c>
      <c r="Z235" s="8">
        <v>1</v>
      </c>
      <c r="AA235" s="8">
        <v>1</v>
      </c>
      <c r="AB235" s="8">
        <v>1</v>
      </c>
      <c r="AC235" s="8">
        <v>1</v>
      </c>
      <c r="AD235" s="8" t="s">
        <v>136</v>
      </c>
      <c r="AE235" s="8" t="s">
        <v>136</v>
      </c>
      <c r="AF235" s="8">
        <v>1</v>
      </c>
      <c r="AG235" s="8">
        <v>1</v>
      </c>
      <c r="AH235" s="8">
        <v>1</v>
      </c>
      <c r="AI235" s="8">
        <v>1</v>
      </c>
      <c r="AJ235" s="8">
        <v>1</v>
      </c>
      <c r="AK235" s="10">
        <v>23</v>
      </c>
      <c r="AL235" s="11">
        <v>23</v>
      </c>
      <c r="AM235" s="13">
        <v>23</v>
      </c>
      <c r="AN235" s="13">
        <v>0</v>
      </c>
      <c r="AO235" s="7" t="e">
        <v>#N/A</v>
      </c>
    </row>
    <row r="236" spans="1:41">
      <c r="A236" s="8" t="s">
        <v>131</v>
      </c>
      <c r="B236" s="8" t="s">
        <v>533</v>
      </c>
      <c r="C236" s="8" t="s">
        <v>610</v>
      </c>
      <c r="D236" s="8" t="s">
        <v>611</v>
      </c>
      <c r="E236" s="8" t="s">
        <v>135</v>
      </c>
      <c r="F236" s="8">
        <v>1</v>
      </c>
      <c r="G236" s="8">
        <v>1</v>
      </c>
      <c r="H236" s="8">
        <v>1</v>
      </c>
      <c r="I236" s="8" t="s">
        <v>136</v>
      </c>
      <c r="J236" s="8" t="s">
        <v>136</v>
      </c>
      <c r="K236" s="8">
        <v>1</v>
      </c>
      <c r="L236" s="8">
        <v>1</v>
      </c>
      <c r="M236" s="8">
        <v>1</v>
      </c>
      <c r="N236" s="8">
        <v>1</v>
      </c>
      <c r="O236" s="8">
        <v>1</v>
      </c>
      <c r="P236" s="8" t="s">
        <v>136</v>
      </c>
      <c r="Q236" s="8" t="s">
        <v>136</v>
      </c>
      <c r="R236" s="8">
        <v>1</v>
      </c>
      <c r="S236" s="8">
        <v>1</v>
      </c>
      <c r="T236" s="8">
        <v>1</v>
      </c>
      <c r="U236" s="8">
        <v>1</v>
      </c>
      <c r="V236" s="8">
        <v>1</v>
      </c>
      <c r="W236" s="8" t="s">
        <v>136</v>
      </c>
      <c r="X236" s="8" t="s">
        <v>136</v>
      </c>
      <c r="Y236" s="8">
        <v>1</v>
      </c>
      <c r="Z236" s="8">
        <v>1</v>
      </c>
      <c r="AA236" s="8">
        <v>1</v>
      </c>
      <c r="AB236" s="8">
        <v>1</v>
      </c>
      <c r="AC236" s="8">
        <v>1</v>
      </c>
      <c r="AD236" s="8" t="s">
        <v>136</v>
      </c>
      <c r="AE236" s="8" t="s">
        <v>136</v>
      </c>
      <c r="AF236" s="8">
        <v>1</v>
      </c>
      <c r="AG236" s="8">
        <v>1</v>
      </c>
      <c r="AH236" s="8">
        <v>1</v>
      </c>
      <c r="AI236" s="8">
        <v>1</v>
      </c>
      <c r="AJ236" s="8">
        <v>1</v>
      </c>
      <c r="AK236" s="10">
        <v>23</v>
      </c>
      <c r="AL236" s="11">
        <v>23</v>
      </c>
      <c r="AM236" s="13">
        <v>23</v>
      </c>
      <c r="AN236" s="13">
        <v>0</v>
      </c>
      <c r="AO236" s="7" t="e">
        <v>#N/A</v>
      </c>
    </row>
    <row r="237" spans="1:41">
      <c r="A237" s="8" t="s">
        <v>131</v>
      </c>
      <c r="B237" s="8" t="s">
        <v>533</v>
      </c>
      <c r="C237" s="8" t="s">
        <v>612</v>
      </c>
      <c r="D237" s="8" t="s">
        <v>613</v>
      </c>
      <c r="E237" s="8" t="s">
        <v>135</v>
      </c>
      <c r="F237" s="8">
        <v>1</v>
      </c>
      <c r="G237" s="8">
        <v>1</v>
      </c>
      <c r="H237" s="8">
        <v>1</v>
      </c>
      <c r="I237" s="8" t="s">
        <v>136</v>
      </c>
      <c r="J237" s="8" t="s">
        <v>136</v>
      </c>
      <c r="K237" s="8">
        <v>1</v>
      </c>
      <c r="L237" s="8">
        <v>1</v>
      </c>
      <c r="M237" s="8">
        <v>1</v>
      </c>
      <c r="N237" s="8">
        <v>1</v>
      </c>
      <c r="O237" s="8">
        <v>1</v>
      </c>
      <c r="P237" s="8" t="s">
        <v>136</v>
      </c>
      <c r="Q237" s="8" t="s">
        <v>136</v>
      </c>
      <c r="R237" s="8">
        <v>1</v>
      </c>
      <c r="S237" s="8">
        <v>1</v>
      </c>
      <c r="T237" s="8">
        <v>1</v>
      </c>
      <c r="U237" s="8">
        <v>1</v>
      </c>
      <c r="V237" s="8">
        <v>1</v>
      </c>
      <c r="W237" s="8" t="s">
        <v>136</v>
      </c>
      <c r="X237" s="8" t="s">
        <v>136</v>
      </c>
      <c r="Y237" s="8">
        <v>1</v>
      </c>
      <c r="Z237" s="8">
        <v>1</v>
      </c>
      <c r="AA237" s="8">
        <v>1</v>
      </c>
      <c r="AB237" s="8">
        <v>1</v>
      </c>
      <c r="AC237" s="8">
        <v>1</v>
      </c>
      <c r="AD237" s="8" t="s">
        <v>136</v>
      </c>
      <c r="AE237" s="8" t="s">
        <v>136</v>
      </c>
      <c r="AF237" s="8">
        <v>1</v>
      </c>
      <c r="AG237" s="8">
        <v>1</v>
      </c>
      <c r="AH237" s="8">
        <v>1</v>
      </c>
      <c r="AI237" s="8">
        <v>1</v>
      </c>
      <c r="AJ237" s="8">
        <v>1</v>
      </c>
      <c r="AK237" s="10">
        <v>23</v>
      </c>
      <c r="AL237" s="11">
        <v>23</v>
      </c>
      <c r="AM237" s="13">
        <v>23</v>
      </c>
      <c r="AN237" s="13">
        <v>0</v>
      </c>
      <c r="AO237" s="7" t="e">
        <v>#N/A</v>
      </c>
    </row>
    <row r="238" spans="1:41">
      <c r="A238" s="8" t="s">
        <v>131</v>
      </c>
      <c r="B238" s="8" t="s">
        <v>533</v>
      </c>
      <c r="C238" s="8" t="s">
        <v>614</v>
      </c>
      <c r="D238" s="8" t="s">
        <v>615</v>
      </c>
      <c r="E238" s="8" t="s">
        <v>135</v>
      </c>
      <c r="F238" s="8">
        <v>1</v>
      </c>
      <c r="G238" s="8">
        <v>1</v>
      </c>
      <c r="H238" s="8">
        <v>1</v>
      </c>
      <c r="I238" s="8" t="s">
        <v>136</v>
      </c>
      <c r="J238" s="8" t="s">
        <v>136</v>
      </c>
      <c r="K238" s="8">
        <v>1</v>
      </c>
      <c r="L238" s="8">
        <v>1</v>
      </c>
      <c r="M238" s="8">
        <v>1</v>
      </c>
      <c r="N238" s="8">
        <v>1</v>
      </c>
      <c r="O238" s="8">
        <v>1</v>
      </c>
      <c r="P238" s="8" t="s">
        <v>136</v>
      </c>
      <c r="Q238" s="8" t="s">
        <v>136</v>
      </c>
      <c r="R238" s="8">
        <v>1</v>
      </c>
      <c r="S238" s="8">
        <v>1</v>
      </c>
      <c r="T238" s="8">
        <v>1</v>
      </c>
      <c r="U238" s="8">
        <v>1</v>
      </c>
      <c r="V238" s="8">
        <v>1</v>
      </c>
      <c r="W238" s="8" t="s">
        <v>136</v>
      </c>
      <c r="X238" s="8" t="s">
        <v>136</v>
      </c>
      <c r="Y238" s="8">
        <v>1</v>
      </c>
      <c r="Z238" s="8">
        <v>1</v>
      </c>
      <c r="AA238" s="8">
        <v>1</v>
      </c>
      <c r="AB238" s="8">
        <v>1</v>
      </c>
      <c r="AC238" s="8">
        <v>1</v>
      </c>
      <c r="AD238" s="8" t="s">
        <v>136</v>
      </c>
      <c r="AE238" s="8" t="s">
        <v>136</v>
      </c>
      <c r="AF238" s="8">
        <v>1</v>
      </c>
      <c r="AG238" s="8">
        <v>1</v>
      </c>
      <c r="AH238" s="8">
        <v>1</v>
      </c>
      <c r="AI238" s="8">
        <v>1</v>
      </c>
      <c r="AJ238" s="8">
        <v>1</v>
      </c>
      <c r="AK238" s="10">
        <v>23</v>
      </c>
      <c r="AL238" s="11">
        <v>23</v>
      </c>
      <c r="AM238" s="13">
        <v>23</v>
      </c>
      <c r="AN238" s="13">
        <v>0</v>
      </c>
      <c r="AO238" s="7" t="e">
        <v>#N/A</v>
      </c>
    </row>
    <row r="239" spans="1:41">
      <c r="A239" s="8" t="s">
        <v>131</v>
      </c>
      <c r="B239" s="8" t="s">
        <v>533</v>
      </c>
      <c r="C239" s="8" t="s">
        <v>616</v>
      </c>
      <c r="D239" s="8" t="s">
        <v>617</v>
      </c>
      <c r="E239" s="8" t="s">
        <v>135</v>
      </c>
      <c r="F239" s="8">
        <v>1</v>
      </c>
      <c r="G239" s="8">
        <v>1</v>
      </c>
      <c r="H239" s="8">
        <v>1</v>
      </c>
      <c r="I239" s="8" t="s">
        <v>136</v>
      </c>
      <c r="J239" s="8" t="s">
        <v>136</v>
      </c>
      <c r="K239" s="8">
        <v>1</v>
      </c>
      <c r="L239" s="8">
        <v>1</v>
      </c>
      <c r="M239" s="8">
        <v>1</v>
      </c>
      <c r="N239" s="8">
        <v>1</v>
      </c>
      <c r="O239" s="8">
        <v>1</v>
      </c>
      <c r="P239" s="8" t="s">
        <v>136</v>
      </c>
      <c r="Q239" s="8" t="s">
        <v>136</v>
      </c>
      <c r="R239" s="8">
        <v>1</v>
      </c>
      <c r="S239" s="8">
        <v>1</v>
      </c>
      <c r="T239" s="8">
        <v>1</v>
      </c>
      <c r="U239" s="8">
        <v>1</v>
      </c>
      <c r="V239" s="8">
        <v>1</v>
      </c>
      <c r="W239" s="8" t="s">
        <v>136</v>
      </c>
      <c r="X239" s="8" t="s">
        <v>136</v>
      </c>
      <c r="Y239" s="8">
        <v>1</v>
      </c>
      <c r="Z239" s="8">
        <v>1</v>
      </c>
      <c r="AA239" s="8">
        <v>1</v>
      </c>
      <c r="AB239" s="8">
        <v>1</v>
      </c>
      <c r="AC239" s="8">
        <v>1</v>
      </c>
      <c r="AD239" s="8" t="s">
        <v>136</v>
      </c>
      <c r="AE239" s="8" t="s">
        <v>136</v>
      </c>
      <c r="AF239" s="8">
        <v>1</v>
      </c>
      <c r="AG239" s="8">
        <v>1</v>
      </c>
      <c r="AH239" s="8">
        <v>1</v>
      </c>
      <c r="AI239" s="8">
        <v>1</v>
      </c>
      <c r="AJ239" s="8">
        <v>1</v>
      </c>
      <c r="AK239" s="10">
        <v>23</v>
      </c>
      <c r="AL239" s="11">
        <v>23</v>
      </c>
      <c r="AM239" s="13">
        <v>23</v>
      </c>
      <c r="AN239" s="13">
        <v>0</v>
      </c>
      <c r="AO239" s="7" t="e">
        <v>#N/A</v>
      </c>
    </row>
    <row r="240" spans="1:41">
      <c r="A240" s="8" t="s">
        <v>131</v>
      </c>
      <c r="B240" s="8" t="s">
        <v>533</v>
      </c>
      <c r="C240" s="8" t="s">
        <v>618</v>
      </c>
      <c r="D240" s="8" t="s">
        <v>619</v>
      </c>
      <c r="E240" s="8" t="s">
        <v>135</v>
      </c>
      <c r="F240" s="8">
        <v>1</v>
      </c>
      <c r="G240" s="8">
        <v>1</v>
      </c>
      <c r="H240" s="8">
        <v>1</v>
      </c>
      <c r="I240" s="8" t="s">
        <v>136</v>
      </c>
      <c r="J240" s="8" t="s">
        <v>136</v>
      </c>
      <c r="K240" s="8">
        <v>1</v>
      </c>
      <c r="L240" s="8">
        <v>1</v>
      </c>
      <c r="M240" s="8">
        <v>1</v>
      </c>
      <c r="N240" s="8">
        <v>1</v>
      </c>
      <c r="O240" s="8">
        <v>1</v>
      </c>
      <c r="P240" s="8" t="s">
        <v>136</v>
      </c>
      <c r="Q240" s="8" t="s">
        <v>136</v>
      </c>
      <c r="R240" s="8">
        <v>1</v>
      </c>
      <c r="S240" s="8">
        <v>1</v>
      </c>
      <c r="T240" s="8">
        <v>1</v>
      </c>
      <c r="U240" s="8">
        <v>1</v>
      </c>
      <c r="V240" s="8">
        <v>1</v>
      </c>
      <c r="W240" s="8" t="s">
        <v>136</v>
      </c>
      <c r="X240" s="8" t="s">
        <v>136</v>
      </c>
      <c r="Y240" s="8">
        <v>1</v>
      </c>
      <c r="Z240" s="8">
        <v>1</v>
      </c>
      <c r="AA240" s="8">
        <v>1</v>
      </c>
      <c r="AB240" s="8">
        <v>1</v>
      </c>
      <c r="AC240" s="8">
        <v>1</v>
      </c>
      <c r="AD240" s="8" t="s">
        <v>136</v>
      </c>
      <c r="AE240" s="8" t="s">
        <v>136</v>
      </c>
      <c r="AF240" s="8">
        <v>1</v>
      </c>
      <c r="AG240" s="8">
        <v>1</v>
      </c>
      <c r="AH240" s="8">
        <v>1</v>
      </c>
      <c r="AI240" s="8">
        <v>1</v>
      </c>
      <c r="AJ240" s="8">
        <v>1</v>
      </c>
      <c r="AK240" s="10">
        <v>23</v>
      </c>
      <c r="AL240" s="11">
        <v>23</v>
      </c>
      <c r="AM240" s="13">
        <v>23</v>
      </c>
      <c r="AN240" s="13">
        <v>0</v>
      </c>
      <c r="AO240" s="7" t="e">
        <v>#N/A</v>
      </c>
    </row>
    <row r="241" spans="1:41">
      <c r="A241" s="8" t="s">
        <v>131</v>
      </c>
      <c r="B241" s="8" t="s">
        <v>533</v>
      </c>
      <c r="C241" s="8" t="s">
        <v>620</v>
      </c>
      <c r="D241" s="8" t="s">
        <v>621</v>
      </c>
      <c r="E241" s="8" t="s">
        <v>135</v>
      </c>
      <c r="F241" s="8">
        <v>1</v>
      </c>
      <c r="G241" s="8">
        <v>1</v>
      </c>
      <c r="H241" s="8">
        <v>1</v>
      </c>
      <c r="I241" s="8" t="s">
        <v>136</v>
      </c>
      <c r="J241" s="8" t="s">
        <v>136</v>
      </c>
      <c r="K241" s="8">
        <v>1</v>
      </c>
      <c r="L241" s="8">
        <v>1</v>
      </c>
      <c r="M241" s="8">
        <v>1</v>
      </c>
      <c r="N241" s="8">
        <v>1</v>
      </c>
      <c r="O241" s="8">
        <v>1</v>
      </c>
      <c r="P241" s="8" t="s">
        <v>136</v>
      </c>
      <c r="Q241" s="8" t="s">
        <v>136</v>
      </c>
      <c r="R241" s="8">
        <v>1</v>
      </c>
      <c r="S241" s="8">
        <v>1</v>
      </c>
      <c r="T241" s="8">
        <v>1</v>
      </c>
      <c r="U241" s="8">
        <v>1</v>
      </c>
      <c r="V241" s="8">
        <v>1</v>
      </c>
      <c r="W241" s="8" t="s">
        <v>136</v>
      </c>
      <c r="X241" s="8" t="s">
        <v>136</v>
      </c>
      <c r="Y241" s="8">
        <v>1</v>
      </c>
      <c r="Z241" s="8">
        <v>1</v>
      </c>
      <c r="AA241" s="8">
        <v>1</v>
      </c>
      <c r="AB241" s="8">
        <v>1</v>
      </c>
      <c r="AC241" s="8">
        <v>1</v>
      </c>
      <c r="AD241" s="8" t="s">
        <v>136</v>
      </c>
      <c r="AE241" s="8" t="s">
        <v>136</v>
      </c>
      <c r="AF241" s="8">
        <v>1</v>
      </c>
      <c r="AG241" s="8">
        <v>1</v>
      </c>
      <c r="AH241" s="8">
        <v>1</v>
      </c>
      <c r="AI241" s="8">
        <v>1</v>
      </c>
      <c r="AJ241" s="8">
        <v>1</v>
      </c>
      <c r="AK241" s="10">
        <v>23</v>
      </c>
      <c r="AL241" s="11">
        <v>23</v>
      </c>
      <c r="AM241" s="13">
        <v>23</v>
      </c>
      <c r="AN241" s="13">
        <v>0</v>
      </c>
      <c r="AO241" s="7" t="e">
        <v>#N/A</v>
      </c>
    </row>
    <row r="242" spans="1:41">
      <c r="A242" s="8" t="s">
        <v>131</v>
      </c>
      <c r="B242" s="8" t="s">
        <v>533</v>
      </c>
      <c r="C242" s="8" t="s">
        <v>622</v>
      </c>
      <c r="D242" s="8" t="s">
        <v>623</v>
      </c>
      <c r="E242" s="8" t="s">
        <v>135</v>
      </c>
      <c r="F242" s="8">
        <v>1</v>
      </c>
      <c r="G242" s="8">
        <v>1</v>
      </c>
      <c r="H242" s="8">
        <v>1</v>
      </c>
      <c r="I242" s="8" t="s">
        <v>136</v>
      </c>
      <c r="J242" s="8" t="s">
        <v>136</v>
      </c>
      <c r="K242" s="8">
        <v>1</v>
      </c>
      <c r="L242" s="8">
        <v>1</v>
      </c>
      <c r="M242" s="8">
        <v>1</v>
      </c>
      <c r="N242" s="8">
        <v>1</v>
      </c>
      <c r="O242" s="8">
        <v>1</v>
      </c>
      <c r="P242" s="8" t="s">
        <v>136</v>
      </c>
      <c r="Q242" s="8" t="s">
        <v>136</v>
      </c>
      <c r="R242" s="8">
        <v>1</v>
      </c>
      <c r="S242" s="8">
        <v>1</v>
      </c>
      <c r="T242" s="8">
        <v>1</v>
      </c>
      <c r="U242" s="8">
        <v>1</v>
      </c>
      <c r="V242" s="8">
        <v>1</v>
      </c>
      <c r="W242" s="8" t="s">
        <v>136</v>
      </c>
      <c r="X242" s="8" t="s">
        <v>136</v>
      </c>
      <c r="Y242" s="8">
        <v>1</v>
      </c>
      <c r="Z242" s="8">
        <v>1</v>
      </c>
      <c r="AA242" s="8">
        <v>1</v>
      </c>
      <c r="AB242" s="8">
        <v>1</v>
      </c>
      <c r="AC242" s="8">
        <v>1</v>
      </c>
      <c r="AD242" s="8" t="s">
        <v>136</v>
      </c>
      <c r="AE242" s="8" t="s">
        <v>136</v>
      </c>
      <c r="AF242" s="8">
        <v>1</v>
      </c>
      <c r="AG242" s="8">
        <v>1</v>
      </c>
      <c r="AH242" s="8">
        <v>1</v>
      </c>
      <c r="AI242" s="8">
        <v>1</v>
      </c>
      <c r="AJ242" s="8">
        <v>1</v>
      </c>
      <c r="AK242" s="10">
        <v>23</v>
      </c>
      <c r="AL242" s="11">
        <v>23</v>
      </c>
      <c r="AM242" s="13">
        <v>23</v>
      </c>
      <c r="AN242" s="13">
        <v>0</v>
      </c>
      <c r="AO242" s="7" t="e">
        <v>#N/A</v>
      </c>
    </row>
    <row r="243" spans="1:41">
      <c r="A243" s="8" t="s">
        <v>131</v>
      </c>
      <c r="B243" s="8" t="s">
        <v>533</v>
      </c>
      <c r="C243" s="8" t="s">
        <v>624</v>
      </c>
      <c r="D243" s="8" t="s">
        <v>625</v>
      </c>
      <c r="E243" s="8" t="s">
        <v>135</v>
      </c>
      <c r="F243" s="8">
        <v>1</v>
      </c>
      <c r="G243" s="8">
        <v>1</v>
      </c>
      <c r="H243" s="8">
        <v>1</v>
      </c>
      <c r="I243" s="8" t="s">
        <v>136</v>
      </c>
      <c r="J243" s="8" t="s">
        <v>136</v>
      </c>
      <c r="K243" s="8">
        <v>1</v>
      </c>
      <c r="L243" s="8">
        <v>1</v>
      </c>
      <c r="M243" s="8">
        <v>1</v>
      </c>
      <c r="N243" s="8">
        <v>1</v>
      </c>
      <c r="O243" s="8">
        <v>1</v>
      </c>
      <c r="P243" s="8" t="s">
        <v>136</v>
      </c>
      <c r="Q243" s="8" t="s">
        <v>136</v>
      </c>
      <c r="R243" s="8">
        <v>1</v>
      </c>
      <c r="S243" s="8">
        <v>1</v>
      </c>
      <c r="T243" s="8">
        <v>1</v>
      </c>
      <c r="U243" s="8">
        <v>1</v>
      </c>
      <c r="V243" s="8">
        <v>1</v>
      </c>
      <c r="W243" s="8" t="s">
        <v>136</v>
      </c>
      <c r="X243" s="8" t="s">
        <v>136</v>
      </c>
      <c r="Y243" s="8">
        <v>1</v>
      </c>
      <c r="Z243" s="8">
        <v>1</v>
      </c>
      <c r="AA243" s="8">
        <v>1</v>
      </c>
      <c r="AB243" s="8">
        <v>1</v>
      </c>
      <c r="AC243" s="8">
        <v>1</v>
      </c>
      <c r="AD243" s="8" t="s">
        <v>136</v>
      </c>
      <c r="AE243" s="8" t="s">
        <v>136</v>
      </c>
      <c r="AF243" s="8">
        <v>1</v>
      </c>
      <c r="AG243" s="8">
        <v>1</v>
      </c>
      <c r="AH243" s="8">
        <v>1</v>
      </c>
      <c r="AI243" s="8">
        <v>1</v>
      </c>
      <c r="AJ243" s="8">
        <v>1</v>
      </c>
      <c r="AK243" s="10">
        <v>23</v>
      </c>
      <c r="AL243" s="11">
        <v>23</v>
      </c>
      <c r="AM243" s="13">
        <v>23</v>
      </c>
      <c r="AN243" s="13">
        <v>0</v>
      </c>
      <c r="AO243" s="7" t="e">
        <v>#N/A</v>
      </c>
    </row>
    <row r="244" spans="1:41">
      <c r="A244" s="8" t="s">
        <v>131</v>
      </c>
      <c r="B244" s="8" t="s">
        <v>533</v>
      </c>
      <c r="C244" s="8" t="s">
        <v>626</v>
      </c>
      <c r="D244" s="8" t="s">
        <v>627</v>
      </c>
      <c r="E244" s="8" t="s">
        <v>135</v>
      </c>
      <c r="F244" s="8">
        <v>1</v>
      </c>
      <c r="G244" s="8">
        <v>1</v>
      </c>
      <c r="H244" s="8">
        <v>1</v>
      </c>
      <c r="I244" s="8" t="s">
        <v>136</v>
      </c>
      <c r="J244" s="8" t="s">
        <v>136</v>
      </c>
      <c r="K244" s="8">
        <v>1</v>
      </c>
      <c r="L244" s="8">
        <v>1</v>
      </c>
      <c r="M244" s="8">
        <v>1</v>
      </c>
      <c r="N244" s="8">
        <v>1</v>
      </c>
      <c r="O244" s="8">
        <v>1</v>
      </c>
      <c r="P244" s="8" t="s">
        <v>136</v>
      </c>
      <c r="Q244" s="8" t="s">
        <v>136</v>
      </c>
      <c r="R244" s="8">
        <v>1</v>
      </c>
      <c r="S244" s="8">
        <v>1</v>
      </c>
      <c r="T244" s="8">
        <v>1</v>
      </c>
      <c r="U244" s="8">
        <v>1</v>
      </c>
      <c r="V244" s="8">
        <v>1</v>
      </c>
      <c r="W244" s="8" t="s">
        <v>136</v>
      </c>
      <c r="X244" s="8" t="s">
        <v>136</v>
      </c>
      <c r="Y244" s="8">
        <v>1</v>
      </c>
      <c r="Z244" s="8">
        <v>1</v>
      </c>
      <c r="AA244" s="8">
        <v>1</v>
      </c>
      <c r="AB244" s="8">
        <v>1</v>
      </c>
      <c r="AC244" s="8">
        <v>1</v>
      </c>
      <c r="AD244" s="8" t="s">
        <v>136</v>
      </c>
      <c r="AE244" s="8" t="s">
        <v>136</v>
      </c>
      <c r="AF244" s="8">
        <v>1</v>
      </c>
      <c r="AG244" s="8">
        <v>1</v>
      </c>
      <c r="AH244" s="8">
        <v>1</v>
      </c>
      <c r="AI244" s="8">
        <v>1</v>
      </c>
      <c r="AJ244" s="8">
        <v>1</v>
      </c>
      <c r="AK244" s="10">
        <v>23</v>
      </c>
      <c r="AL244" s="11">
        <v>23</v>
      </c>
      <c r="AM244" s="13">
        <v>23</v>
      </c>
      <c r="AN244" s="13">
        <v>0</v>
      </c>
      <c r="AO244" s="7" t="e">
        <v>#N/A</v>
      </c>
    </row>
    <row r="245" spans="1:41">
      <c r="A245" s="8" t="s">
        <v>131</v>
      </c>
      <c r="B245" s="8" t="s">
        <v>533</v>
      </c>
      <c r="C245" s="8" t="s">
        <v>628</v>
      </c>
      <c r="D245" s="8" t="s">
        <v>629</v>
      </c>
      <c r="E245" s="8" t="s">
        <v>135</v>
      </c>
      <c r="F245" s="8">
        <v>1</v>
      </c>
      <c r="G245" s="8">
        <v>1</v>
      </c>
      <c r="H245" s="8">
        <v>1</v>
      </c>
      <c r="I245" s="8" t="s">
        <v>136</v>
      </c>
      <c r="J245" s="8" t="s">
        <v>136</v>
      </c>
      <c r="K245" s="8">
        <v>1</v>
      </c>
      <c r="L245" s="8">
        <v>1</v>
      </c>
      <c r="M245" s="8">
        <v>1</v>
      </c>
      <c r="N245" s="8">
        <v>1</v>
      </c>
      <c r="O245" s="8">
        <v>1</v>
      </c>
      <c r="P245" s="8" t="s">
        <v>136</v>
      </c>
      <c r="Q245" s="8" t="s">
        <v>136</v>
      </c>
      <c r="R245" s="8">
        <v>1</v>
      </c>
      <c r="S245" s="8">
        <v>1</v>
      </c>
      <c r="T245" s="8">
        <v>1</v>
      </c>
      <c r="U245" s="8">
        <v>1</v>
      </c>
      <c r="V245" s="8">
        <v>1</v>
      </c>
      <c r="W245" s="8" t="s">
        <v>136</v>
      </c>
      <c r="X245" s="8" t="s">
        <v>136</v>
      </c>
      <c r="Y245" s="8">
        <v>1</v>
      </c>
      <c r="Z245" s="8">
        <v>1</v>
      </c>
      <c r="AA245" s="8">
        <v>1</v>
      </c>
      <c r="AB245" s="8">
        <v>1</v>
      </c>
      <c r="AC245" s="8">
        <v>1</v>
      </c>
      <c r="AD245" s="8" t="s">
        <v>136</v>
      </c>
      <c r="AE245" s="8" t="s">
        <v>136</v>
      </c>
      <c r="AF245" s="8">
        <v>1</v>
      </c>
      <c r="AG245" s="8">
        <v>1</v>
      </c>
      <c r="AH245" s="8">
        <v>1</v>
      </c>
      <c r="AI245" s="8">
        <v>1</v>
      </c>
      <c r="AJ245" s="8">
        <v>1</v>
      </c>
      <c r="AK245" s="10">
        <v>23</v>
      </c>
      <c r="AL245" s="11">
        <v>23</v>
      </c>
      <c r="AM245" s="13">
        <v>23</v>
      </c>
      <c r="AN245" s="13">
        <v>0</v>
      </c>
      <c r="AO245" s="7" t="e">
        <v>#N/A</v>
      </c>
    </row>
    <row r="246" spans="1:41">
      <c r="A246" s="8" t="s">
        <v>131</v>
      </c>
      <c r="B246" s="8" t="s">
        <v>533</v>
      </c>
      <c r="C246" s="8" t="s">
        <v>630</v>
      </c>
      <c r="D246" s="8" t="s">
        <v>631</v>
      </c>
      <c r="E246" s="8" t="s">
        <v>135</v>
      </c>
      <c r="F246" s="8">
        <v>1</v>
      </c>
      <c r="G246" s="8">
        <v>1</v>
      </c>
      <c r="H246" s="8">
        <v>1</v>
      </c>
      <c r="I246" s="8" t="s">
        <v>136</v>
      </c>
      <c r="J246" s="8" t="s">
        <v>136</v>
      </c>
      <c r="K246" s="8">
        <v>1</v>
      </c>
      <c r="L246" s="8">
        <v>1</v>
      </c>
      <c r="M246" s="8">
        <v>1</v>
      </c>
      <c r="N246" s="8">
        <v>1</v>
      </c>
      <c r="O246" s="8">
        <v>1</v>
      </c>
      <c r="P246" s="8" t="s">
        <v>136</v>
      </c>
      <c r="Q246" s="8" t="s">
        <v>136</v>
      </c>
      <c r="R246" s="8">
        <v>1</v>
      </c>
      <c r="S246" s="8">
        <v>1</v>
      </c>
      <c r="T246" s="8">
        <v>1</v>
      </c>
      <c r="U246" s="8">
        <v>1</v>
      </c>
      <c r="V246" s="8">
        <v>1</v>
      </c>
      <c r="W246" s="8" t="s">
        <v>136</v>
      </c>
      <c r="X246" s="8" t="s">
        <v>136</v>
      </c>
      <c r="Y246" s="8">
        <v>1</v>
      </c>
      <c r="Z246" s="8">
        <v>1</v>
      </c>
      <c r="AA246" s="8">
        <v>1</v>
      </c>
      <c r="AB246" s="8">
        <v>1</v>
      </c>
      <c r="AC246" s="8">
        <v>1</v>
      </c>
      <c r="AD246" s="8" t="s">
        <v>136</v>
      </c>
      <c r="AE246" s="8" t="s">
        <v>136</v>
      </c>
      <c r="AF246" s="8">
        <v>1</v>
      </c>
      <c r="AG246" s="8">
        <v>1</v>
      </c>
      <c r="AH246" s="8">
        <v>1</v>
      </c>
      <c r="AI246" s="8">
        <v>1</v>
      </c>
      <c r="AJ246" s="8">
        <v>1</v>
      </c>
      <c r="AK246" s="10">
        <v>23</v>
      </c>
      <c r="AL246" s="11">
        <v>23</v>
      </c>
      <c r="AM246" s="13">
        <v>23</v>
      </c>
      <c r="AN246" s="13">
        <v>0</v>
      </c>
      <c r="AO246" s="7" t="e">
        <v>#N/A</v>
      </c>
    </row>
    <row r="247" spans="1:41">
      <c r="A247" s="8" t="s">
        <v>131</v>
      </c>
      <c r="B247" s="8" t="s">
        <v>533</v>
      </c>
      <c r="C247" s="8" t="s">
        <v>632</v>
      </c>
      <c r="D247" s="8" t="s">
        <v>633</v>
      </c>
      <c r="E247" s="8" t="s">
        <v>135</v>
      </c>
      <c r="F247" s="8">
        <v>1</v>
      </c>
      <c r="G247" s="8">
        <v>1</v>
      </c>
      <c r="H247" s="8">
        <v>1</v>
      </c>
      <c r="I247" s="8" t="s">
        <v>136</v>
      </c>
      <c r="J247" s="8" t="s">
        <v>136</v>
      </c>
      <c r="K247" s="8">
        <v>1</v>
      </c>
      <c r="L247" s="8">
        <v>1</v>
      </c>
      <c r="M247" s="8">
        <v>1</v>
      </c>
      <c r="N247" s="8">
        <v>1</v>
      </c>
      <c r="O247" s="8">
        <v>1</v>
      </c>
      <c r="P247" s="8" t="s">
        <v>136</v>
      </c>
      <c r="Q247" s="8" t="s">
        <v>136</v>
      </c>
      <c r="R247" s="8">
        <v>1</v>
      </c>
      <c r="S247" s="8">
        <v>1</v>
      </c>
      <c r="T247" s="8">
        <v>1</v>
      </c>
      <c r="U247" s="8">
        <v>1</v>
      </c>
      <c r="V247" s="8">
        <v>1</v>
      </c>
      <c r="W247" s="8" t="s">
        <v>136</v>
      </c>
      <c r="X247" s="8" t="s">
        <v>136</v>
      </c>
      <c r="Y247" s="8">
        <v>1</v>
      </c>
      <c r="Z247" s="8">
        <v>1</v>
      </c>
      <c r="AA247" s="8">
        <v>1</v>
      </c>
      <c r="AB247" s="8">
        <v>1</v>
      </c>
      <c r="AC247" s="8">
        <v>1</v>
      </c>
      <c r="AD247" s="8" t="s">
        <v>136</v>
      </c>
      <c r="AE247" s="8" t="s">
        <v>136</v>
      </c>
      <c r="AF247" s="8">
        <v>1</v>
      </c>
      <c r="AG247" s="8">
        <v>1</v>
      </c>
      <c r="AH247" s="8">
        <v>1</v>
      </c>
      <c r="AI247" s="8">
        <v>1</v>
      </c>
      <c r="AJ247" s="8">
        <v>1</v>
      </c>
      <c r="AK247" s="10">
        <v>23</v>
      </c>
      <c r="AL247" s="11">
        <v>23</v>
      </c>
      <c r="AM247" s="13">
        <v>23</v>
      </c>
      <c r="AN247" s="13">
        <v>0</v>
      </c>
      <c r="AO247" s="7" t="e">
        <v>#N/A</v>
      </c>
    </row>
    <row r="248" spans="1:41">
      <c r="A248" s="8" t="s">
        <v>131</v>
      </c>
      <c r="B248" s="8" t="s">
        <v>533</v>
      </c>
      <c r="C248" s="8" t="s">
        <v>634</v>
      </c>
      <c r="D248" s="8" t="s">
        <v>635</v>
      </c>
      <c r="E248" s="8" t="s">
        <v>135</v>
      </c>
      <c r="F248" s="8">
        <v>1</v>
      </c>
      <c r="G248" s="8">
        <v>1</v>
      </c>
      <c r="H248" s="8">
        <v>1</v>
      </c>
      <c r="I248" s="8" t="s">
        <v>136</v>
      </c>
      <c r="J248" s="8" t="s">
        <v>136</v>
      </c>
      <c r="K248" s="8">
        <v>1</v>
      </c>
      <c r="L248" s="8">
        <v>1</v>
      </c>
      <c r="M248" s="8">
        <v>1</v>
      </c>
      <c r="N248" s="8">
        <v>1</v>
      </c>
      <c r="O248" s="8">
        <v>1</v>
      </c>
      <c r="P248" s="8" t="s">
        <v>136</v>
      </c>
      <c r="Q248" s="8" t="s">
        <v>136</v>
      </c>
      <c r="R248" s="8">
        <v>1</v>
      </c>
      <c r="S248" s="8">
        <v>1</v>
      </c>
      <c r="T248" s="8">
        <v>1</v>
      </c>
      <c r="U248" s="8">
        <v>1</v>
      </c>
      <c r="V248" s="8">
        <v>1</v>
      </c>
      <c r="W248" s="8" t="s">
        <v>136</v>
      </c>
      <c r="X248" s="8" t="s">
        <v>136</v>
      </c>
      <c r="Y248" s="8">
        <v>1</v>
      </c>
      <c r="Z248" s="8">
        <v>1</v>
      </c>
      <c r="AA248" s="8">
        <v>1</v>
      </c>
      <c r="AB248" s="8">
        <v>1</v>
      </c>
      <c r="AC248" s="8">
        <v>1</v>
      </c>
      <c r="AD248" s="8" t="s">
        <v>136</v>
      </c>
      <c r="AE248" s="8" t="s">
        <v>136</v>
      </c>
      <c r="AF248" s="8">
        <v>1</v>
      </c>
      <c r="AG248" s="8">
        <v>1</v>
      </c>
      <c r="AH248" s="8">
        <v>1</v>
      </c>
      <c r="AI248" s="8">
        <v>1</v>
      </c>
      <c r="AJ248" s="8">
        <v>1</v>
      </c>
      <c r="AK248" s="10">
        <v>23</v>
      </c>
      <c r="AL248" s="11">
        <v>23</v>
      </c>
      <c r="AM248" s="13">
        <v>23</v>
      </c>
      <c r="AN248" s="13">
        <v>0</v>
      </c>
      <c r="AO248" s="7" t="e">
        <v>#N/A</v>
      </c>
    </row>
    <row r="249" spans="1:41">
      <c r="A249" s="8" t="s">
        <v>131</v>
      </c>
      <c r="B249" s="8" t="s">
        <v>533</v>
      </c>
      <c r="C249" s="8" t="s">
        <v>636</v>
      </c>
      <c r="D249" s="8" t="s">
        <v>637</v>
      </c>
      <c r="E249" s="8" t="s">
        <v>135</v>
      </c>
      <c r="F249" s="8">
        <v>1</v>
      </c>
      <c r="G249" s="8">
        <v>1</v>
      </c>
      <c r="H249" s="8">
        <v>1</v>
      </c>
      <c r="I249" s="8" t="s">
        <v>136</v>
      </c>
      <c r="J249" s="8" t="s">
        <v>136</v>
      </c>
      <c r="K249" s="8">
        <v>1</v>
      </c>
      <c r="L249" s="8">
        <v>1</v>
      </c>
      <c r="M249" s="8">
        <v>1</v>
      </c>
      <c r="N249" s="8">
        <v>1</v>
      </c>
      <c r="O249" s="8">
        <v>1</v>
      </c>
      <c r="P249" s="8" t="s">
        <v>136</v>
      </c>
      <c r="Q249" s="8" t="s">
        <v>136</v>
      </c>
      <c r="R249" s="8">
        <v>1</v>
      </c>
      <c r="S249" s="8">
        <v>1</v>
      </c>
      <c r="T249" s="8">
        <v>1</v>
      </c>
      <c r="U249" s="8">
        <v>1</v>
      </c>
      <c r="V249" s="8">
        <v>1</v>
      </c>
      <c r="W249" s="8" t="s">
        <v>136</v>
      </c>
      <c r="X249" s="8" t="s">
        <v>136</v>
      </c>
      <c r="Y249" s="8">
        <v>1</v>
      </c>
      <c r="Z249" s="8">
        <v>1</v>
      </c>
      <c r="AA249" s="8">
        <v>1</v>
      </c>
      <c r="AB249" s="8">
        <v>1</v>
      </c>
      <c r="AC249" s="8">
        <v>1</v>
      </c>
      <c r="AD249" s="8" t="s">
        <v>136</v>
      </c>
      <c r="AE249" s="8" t="s">
        <v>136</v>
      </c>
      <c r="AF249" s="8">
        <v>1</v>
      </c>
      <c r="AG249" s="8">
        <v>1</v>
      </c>
      <c r="AH249" s="8">
        <v>1</v>
      </c>
      <c r="AI249" s="8">
        <v>1</v>
      </c>
      <c r="AJ249" s="8">
        <v>1</v>
      </c>
      <c r="AK249" s="10">
        <v>23</v>
      </c>
      <c r="AL249" s="11">
        <v>23</v>
      </c>
      <c r="AM249" s="13">
        <v>23</v>
      </c>
      <c r="AN249" s="13">
        <v>0</v>
      </c>
      <c r="AO249" s="7" t="e">
        <v>#N/A</v>
      </c>
    </row>
    <row r="250" spans="1:41">
      <c r="A250" s="8" t="s">
        <v>131</v>
      </c>
      <c r="B250" s="8" t="s">
        <v>533</v>
      </c>
      <c r="C250" s="8" t="s">
        <v>638</v>
      </c>
      <c r="D250" s="8" t="s">
        <v>639</v>
      </c>
      <c r="E250" s="8" t="s">
        <v>135</v>
      </c>
      <c r="F250" s="8">
        <v>1</v>
      </c>
      <c r="G250" s="8">
        <v>1</v>
      </c>
      <c r="H250" s="8">
        <v>1</v>
      </c>
      <c r="I250" s="8" t="s">
        <v>136</v>
      </c>
      <c r="J250" s="8" t="s">
        <v>136</v>
      </c>
      <c r="K250" s="8">
        <v>1</v>
      </c>
      <c r="L250" s="8">
        <v>1</v>
      </c>
      <c r="M250" s="8">
        <v>1</v>
      </c>
      <c r="N250" s="8">
        <v>1</v>
      </c>
      <c r="O250" s="8">
        <v>1</v>
      </c>
      <c r="P250" s="8" t="s">
        <v>136</v>
      </c>
      <c r="Q250" s="8" t="s">
        <v>136</v>
      </c>
      <c r="R250" s="8">
        <v>1</v>
      </c>
      <c r="S250" s="8">
        <v>1</v>
      </c>
      <c r="T250" s="8">
        <v>1</v>
      </c>
      <c r="U250" s="8">
        <v>1</v>
      </c>
      <c r="V250" s="8">
        <v>1</v>
      </c>
      <c r="W250" s="8" t="s">
        <v>136</v>
      </c>
      <c r="X250" s="8" t="s">
        <v>136</v>
      </c>
      <c r="Y250" s="8">
        <v>1</v>
      </c>
      <c r="Z250" s="8">
        <v>1</v>
      </c>
      <c r="AA250" s="8">
        <v>1</v>
      </c>
      <c r="AB250" s="8">
        <v>1</v>
      </c>
      <c r="AC250" s="8">
        <v>1</v>
      </c>
      <c r="AD250" s="8" t="s">
        <v>136</v>
      </c>
      <c r="AE250" s="8" t="s">
        <v>136</v>
      </c>
      <c r="AF250" s="8">
        <v>1</v>
      </c>
      <c r="AG250" s="8">
        <v>1</v>
      </c>
      <c r="AH250" s="8">
        <v>1</v>
      </c>
      <c r="AI250" s="8">
        <v>1</v>
      </c>
      <c r="AJ250" s="8">
        <v>1</v>
      </c>
      <c r="AK250" s="10">
        <v>23</v>
      </c>
      <c r="AL250" s="11">
        <v>23</v>
      </c>
      <c r="AM250" s="13">
        <v>23</v>
      </c>
      <c r="AN250" s="13">
        <v>0</v>
      </c>
      <c r="AO250" s="7" t="e">
        <v>#N/A</v>
      </c>
    </row>
    <row r="251" spans="1:41">
      <c r="A251" s="8" t="s">
        <v>131</v>
      </c>
      <c r="B251" s="8" t="s">
        <v>533</v>
      </c>
      <c r="C251" s="8" t="s">
        <v>640</v>
      </c>
      <c r="D251" s="8" t="s">
        <v>641</v>
      </c>
      <c r="E251" s="8" t="s">
        <v>135</v>
      </c>
      <c r="F251" s="8">
        <v>1</v>
      </c>
      <c r="G251" s="8">
        <v>1</v>
      </c>
      <c r="H251" s="8">
        <v>1</v>
      </c>
      <c r="I251" s="8" t="s">
        <v>136</v>
      </c>
      <c r="J251" s="8" t="s">
        <v>136</v>
      </c>
      <c r="K251" s="8">
        <v>1</v>
      </c>
      <c r="L251" s="8">
        <v>1</v>
      </c>
      <c r="M251" s="8">
        <v>1</v>
      </c>
      <c r="N251" s="8">
        <v>1</v>
      </c>
      <c r="O251" s="8">
        <v>1</v>
      </c>
      <c r="P251" s="8" t="s">
        <v>136</v>
      </c>
      <c r="Q251" s="8" t="s">
        <v>136</v>
      </c>
      <c r="R251" s="8">
        <v>1</v>
      </c>
      <c r="S251" s="8">
        <v>1</v>
      </c>
      <c r="T251" s="8">
        <v>1</v>
      </c>
      <c r="U251" s="8">
        <v>1</v>
      </c>
      <c r="V251" s="8">
        <v>1</v>
      </c>
      <c r="W251" s="8" t="s">
        <v>136</v>
      </c>
      <c r="X251" s="8" t="s">
        <v>136</v>
      </c>
      <c r="Y251" s="8">
        <v>1</v>
      </c>
      <c r="Z251" s="8">
        <v>1</v>
      </c>
      <c r="AA251" s="8">
        <v>1</v>
      </c>
      <c r="AB251" s="8">
        <v>1</v>
      </c>
      <c r="AC251" s="8">
        <v>1</v>
      </c>
      <c r="AD251" s="8" t="s">
        <v>136</v>
      </c>
      <c r="AE251" s="8" t="s">
        <v>136</v>
      </c>
      <c r="AF251" s="8">
        <v>1</v>
      </c>
      <c r="AG251" s="8">
        <v>1</v>
      </c>
      <c r="AH251" s="8">
        <v>1</v>
      </c>
      <c r="AI251" s="8">
        <v>1</v>
      </c>
      <c r="AJ251" s="8">
        <v>1</v>
      </c>
      <c r="AK251" s="10">
        <v>23</v>
      </c>
      <c r="AL251" s="11">
        <v>23</v>
      </c>
      <c r="AM251" s="13">
        <v>23</v>
      </c>
      <c r="AN251" s="13">
        <v>0</v>
      </c>
      <c r="AO251" s="7" t="e">
        <v>#N/A</v>
      </c>
    </row>
    <row r="252" spans="1:41">
      <c r="A252" s="8" t="s">
        <v>131</v>
      </c>
      <c r="B252" s="8" t="s">
        <v>533</v>
      </c>
      <c r="C252" s="8" t="s">
        <v>642</v>
      </c>
      <c r="D252" s="8" t="s">
        <v>643</v>
      </c>
      <c r="E252" s="8" t="s">
        <v>135</v>
      </c>
      <c r="F252" s="8">
        <v>1</v>
      </c>
      <c r="G252" s="8">
        <v>1</v>
      </c>
      <c r="H252" s="8">
        <v>1</v>
      </c>
      <c r="I252" s="8" t="s">
        <v>136</v>
      </c>
      <c r="J252" s="8" t="s">
        <v>136</v>
      </c>
      <c r="K252" s="8">
        <v>1</v>
      </c>
      <c r="L252" s="8">
        <v>1</v>
      </c>
      <c r="M252" s="8">
        <v>1</v>
      </c>
      <c r="N252" s="8">
        <v>1</v>
      </c>
      <c r="O252" s="8">
        <v>1</v>
      </c>
      <c r="P252" s="8" t="s">
        <v>136</v>
      </c>
      <c r="Q252" s="8" t="s">
        <v>136</v>
      </c>
      <c r="R252" s="8">
        <v>1</v>
      </c>
      <c r="S252" s="8">
        <v>1</v>
      </c>
      <c r="T252" s="8">
        <v>1</v>
      </c>
      <c r="U252" s="8">
        <v>1</v>
      </c>
      <c r="V252" s="8">
        <v>1</v>
      </c>
      <c r="W252" s="8" t="s">
        <v>136</v>
      </c>
      <c r="X252" s="8" t="s">
        <v>136</v>
      </c>
      <c r="Y252" s="8">
        <v>1</v>
      </c>
      <c r="Z252" s="8">
        <v>1</v>
      </c>
      <c r="AA252" s="8">
        <v>1</v>
      </c>
      <c r="AB252" s="8">
        <v>1</v>
      </c>
      <c r="AC252" s="8">
        <v>1</v>
      </c>
      <c r="AD252" s="8" t="s">
        <v>136</v>
      </c>
      <c r="AE252" s="8" t="s">
        <v>136</v>
      </c>
      <c r="AF252" s="8">
        <v>1</v>
      </c>
      <c r="AG252" s="8">
        <v>1</v>
      </c>
      <c r="AH252" s="8">
        <v>1</v>
      </c>
      <c r="AI252" s="8">
        <v>1</v>
      </c>
      <c r="AJ252" s="8">
        <v>1</v>
      </c>
      <c r="AK252" s="10">
        <v>23</v>
      </c>
      <c r="AL252" s="11">
        <v>23</v>
      </c>
      <c r="AM252" s="13">
        <v>23</v>
      </c>
      <c r="AN252" s="13">
        <v>0</v>
      </c>
      <c r="AO252" s="7" t="e">
        <v>#N/A</v>
      </c>
    </row>
    <row r="253" spans="1:41">
      <c r="A253" s="8" t="s">
        <v>131</v>
      </c>
      <c r="B253" s="8" t="s">
        <v>533</v>
      </c>
      <c r="C253" s="8" t="s">
        <v>644</v>
      </c>
      <c r="D253" s="8" t="s">
        <v>645</v>
      </c>
      <c r="E253" s="8" t="s">
        <v>135</v>
      </c>
      <c r="F253" s="8">
        <v>1</v>
      </c>
      <c r="G253" s="8">
        <v>1</v>
      </c>
      <c r="H253" s="8">
        <v>1</v>
      </c>
      <c r="I253" s="8" t="s">
        <v>136</v>
      </c>
      <c r="J253" s="8" t="s">
        <v>136</v>
      </c>
      <c r="K253" s="8">
        <v>1</v>
      </c>
      <c r="L253" s="8">
        <v>1</v>
      </c>
      <c r="M253" s="8">
        <v>1</v>
      </c>
      <c r="N253" s="8">
        <v>1</v>
      </c>
      <c r="O253" s="8">
        <v>1</v>
      </c>
      <c r="P253" s="8" t="s">
        <v>136</v>
      </c>
      <c r="Q253" s="8" t="s">
        <v>136</v>
      </c>
      <c r="R253" s="8">
        <v>1</v>
      </c>
      <c r="S253" s="8">
        <v>1</v>
      </c>
      <c r="T253" s="8">
        <v>1</v>
      </c>
      <c r="U253" s="8">
        <v>1</v>
      </c>
      <c r="V253" s="8">
        <v>1</v>
      </c>
      <c r="W253" s="8" t="s">
        <v>136</v>
      </c>
      <c r="X253" s="8" t="s">
        <v>136</v>
      </c>
      <c r="Y253" s="8">
        <v>1</v>
      </c>
      <c r="Z253" s="8">
        <v>1</v>
      </c>
      <c r="AA253" s="8">
        <v>1</v>
      </c>
      <c r="AB253" s="8">
        <v>1</v>
      </c>
      <c r="AC253" s="8">
        <v>1</v>
      </c>
      <c r="AD253" s="8" t="s">
        <v>136</v>
      </c>
      <c r="AE253" s="8" t="s">
        <v>136</v>
      </c>
      <c r="AF253" s="8">
        <v>1</v>
      </c>
      <c r="AG253" s="8">
        <v>1</v>
      </c>
      <c r="AH253" s="8">
        <v>1</v>
      </c>
      <c r="AI253" s="8">
        <v>1</v>
      </c>
      <c r="AJ253" s="8">
        <v>1</v>
      </c>
      <c r="AK253" s="10">
        <v>23</v>
      </c>
      <c r="AL253" s="11">
        <v>23</v>
      </c>
      <c r="AM253" s="13">
        <v>23</v>
      </c>
      <c r="AN253" s="13">
        <v>0</v>
      </c>
      <c r="AO253" s="7" t="e">
        <v>#N/A</v>
      </c>
    </row>
    <row r="254" spans="1:41">
      <c r="A254" s="8" t="s">
        <v>131</v>
      </c>
      <c r="B254" s="8" t="s">
        <v>533</v>
      </c>
      <c r="C254" s="8" t="s">
        <v>646</v>
      </c>
      <c r="D254" s="8" t="s">
        <v>647</v>
      </c>
      <c r="E254" s="8" t="s">
        <v>135</v>
      </c>
      <c r="F254" s="8">
        <v>1</v>
      </c>
      <c r="G254" s="8">
        <v>1</v>
      </c>
      <c r="H254" s="8">
        <v>1</v>
      </c>
      <c r="I254" s="8" t="s">
        <v>136</v>
      </c>
      <c r="J254" s="8" t="s">
        <v>136</v>
      </c>
      <c r="K254" s="8">
        <v>1</v>
      </c>
      <c r="L254" s="8">
        <v>1</v>
      </c>
      <c r="M254" s="8">
        <v>1</v>
      </c>
      <c r="N254" s="8">
        <v>1</v>
      </c>
      <c r="O254" s="8">
        <v>1</v>
      </c>
      <c r="P254" s="8" t="s">
        <v>136</v>
      </c>
      <c r="Q254" s="8" t="s">
        <v>136</v>
      </c>
      <c r="R254" s="8">
        <v>1</v>
      </c>
      <c r="S254" s="8">
        <v>1</v>
      </c>
      <c r="T254" s="8">
        <v>1</v>
      </c>
      <c r="U254" s="8">
        <v>1</v>
      </c>
      <c r="V254" s="8">
        <v>1</v>
      </c>
      <c r="W254" s="8" t="s">
        <v>136</v>
      </c>
      <c r="X254" s="8" t="s">
        <v>136</v>
      </c>
      <c r="Y254" s="8">
        <v>1</v>
      </c>
      <c r="Z254" s="8">
        <v>1</v>
      </c>
      <c r="AA254" s="8">
        <v>1</v>
      </c>
      <c r="AB254" s="8">
        <v>1</v>
      </c>
      <c r="AC254" s="8">
        <v>1</v>
      </c>
      <c r="AD254" s="8" t="s">
        <v>136</v>
      </c>
      <c r="AE254" s="8" t="s">
        <v>136</v>
      </c>
      <c r="AF254" s="8">
        <v>1</v>
      </c>
      <c r="AG254" s="8">
        <v>1</v>
      </c>
      <c r="AH254" s="8">
        <v>1</v>
      </c>
      <c r="AI254" s="8">
        <v>1</v>
      </c>
      <c r="AJ254" s="8">
        <v>1</v>
      </c>
      <c r="AK254" s="10">
        <v>23</v>
      </c>
      <c r="AL254" s="11">
        <v>23</v>
      </c>
      <c r="AM254" s="13">
        <v>23</v>
      </c>
      <c r="AN254" s="13">
        <v>0</v>
      </c>
      <c r="AO254" s="7" t="e">
        <v>#N/A</v>
      </c>
    </row>
    <row r="255" spans="1:41">
      <c r="A255" s="8" t="s">
        <v>131</v>
      </c>
      <c r="B255" s="8" t="s">
        <v>533</v>
      </c>
      <c r="C255" s="8" t="s">
        <v>648</v>
      </c>
      <c r="D255" s="8" t="s">
        <v>649</v>
      </c>
      <c r="E255" s="8" t="s">
        <v>135</v>
      </c>
      <c r="F255" s="8">
        <v>1</v>
      </c>
      <c r="G255" s="8">
        <v>1</v>
      </c>
      <c r="H255" s="8">
        <v>1</v>
      </c>
      <c r="I255" s="8" t="s">
        <v>136</v>
      </c>
      <c r="J255" s="8" t="s">
        <v>136</v>
      </c>
      <c r="K255" s="8">
        <v>1</v>
      </c>
      <c r="L255" s="8">
        <v>1</v>
      </c>
      <c r="M255" s="8">
        <v>1</v>
      </c>
      <c r="N255" s="8">
        <v>1</v>
      </c>
      <c r="O255" s="8">
        <v>1</v>
      </c>
      <c r="P255" s="8" t="s">
        <v>136</v>
      </c>
      <c r="Q255" s="8" t="s">
        <v>136</v>
      </c>
      <c r="R255" s="8">
        <v>1</v>
      </c>
      <c r="S255" s="8">
        <v>1</v>
      </c>
      <c r="T255" s="8">
        <v>1</v>
      </c>
      <c r="U255" s="8">
        <v>1</v>
      </c>
      <c r="V255" s="8">
        <v>1</v>
      </c>
      <c r="W255" s="8" t="s">
        <v>136</v>
      </c>
      <c r="X255" s="8" t="s">
        <v>136</v>
      </c>
      <c r="Y255" s="8">
        <v>1</v>
      </c>
      <c r="Z255" s="8">
        <v>1</v>
      </c>
      <c r="AA255" s="8">
        <v>1</v>
      </c>
      <c r="AB255" s="8">
        <v>1</v>
      </c>
      <c r="AC255" s="8">
        <v>1</v>
      </c>
      <c r="AD255" s="8" t="s">
        <v>136</v>
      </c>
      <c r="AE255" s="8" t="s">
        <v>136</v>
      </c>
      <c r="AF255" s="8">
        <v>1</v>
      </c>
      <c r="AG255" s="8">
        <v>1</v>
      </c>
      <c r="AH255" s="8">
        <v>1</v>
      </c>
      <c r="AI255" s="8">
        <v>1</v>
      </c>
      <c r="AJ255" s="8">
        <v>1</v>
      </c>
      <c r="AK255" s="10">
        <v>23</v>
      </c>
      <c r="AL255" s="11">
        <v>23</v>
      </c>
      <c r="AM255" s="13">
        <v>23</v>
      </c>
      <c r="AN255" s="13">
        <v>0</v>
      </c>
      <c r="AO255" s="7" t="e">
        <v>#N/A</v>
      </c>
    </row>
    <row r="256" spans="1:41">
      <c r="A256" s="8" t="s">
        <v>131</v>
      </c>
      <c r="B256" s="8" t="s">
        <v>533</v>
      </c>
      <c r="C256" s="8" t="s">
        <v>650</v>
      </c>
      <c r="D256" s="8" t="s">
        <v>651</v>
      </c>
      <c r="E256" s="8" t="s">
        <v>135</v>
      </c>
      <c r="F256" s="8">
        <v>1</v>
      </c>
      <c r="G256" s="8">
        <v>1</v>
      </c>
      <c r="H256" s="8">
        <v>1</v>
      </c>
      <c r="I256" s="8" t="s">
        <v>136</v>
      </c>
      <c r="J256" s="8" t="s">
        <v>136</v>
      </c>
      <c r="K256" s="8">
        <v>1</v>
      </c>
      <c r="L256" s="8">
        <v>1</v>
      </c>
      <c r="M256" s="8">
        <v>1</v>
      </c>
      <c r="N256" s="8">
        <v>1</v>
      </c>
      <c r="O256" s="8">
        <v>1</v>
      </c>
      <c r="P256" s="8" t="s">
        <v>136</v>
      </c>
      <c r="Q256" s="8" t="s">
        <v>136</v>
      </c>
      <c r="R256" s="8">
        <v>1</v>
      </c>
      <c r="S256" s="8">
        <v>1</v>
      </c>
      <c r="T256" s="8">
        <v>1</v>
      </c>
      <c r="U256" s="8">
        <v>1</v>
      </c>
      <c r="V256" s="8">
        <v>1</v>
      </c>
      <c r="W256" s="8" t="s">
        <v>136</v>
      </c>
      <c r="X256" s="8" t="s">
        <v>136</v>
      </c>
      <c r="Y256" s="8">
        <v>1</v>
      </c>
      <c r="Z256" s="8">
        <v>1</v>
      </c>
      <c r="AA256" s="8">
        <v>1</v>
      </c>
      <c r="AB256" s="8">
        <v>1</v>
      </c>
      <c r="AC256" s="8">
        <v>1</v>
      </c>
      <c r="AD256" s="8" t="s">
        <v>136</v>
      </c>
      <c r="AE256" s="8" t="s">
        <v>136</v>
      </c>
      <c r="AF256" s="8">
        <v>0</v>
      </c>
      <c r="AG256" s="8">
        <v>0</v>
      </c>
      <c r="AH256" s="8">
        <v>0</v>
      </c>
      <c r="AI256" s="8">
        <v>0</v>
      </c>
      <c r="AJ256" s="8">
        <v>0</v>
      </c>
      <c r="AK256" s="10">
        <v>23</v>
      </c>
      <c r="AL256" s="11">
        <v>18</v>
      </c>
      <c r="AM256" s="13">
        <v>18</v>
      </c>
      <c r="AN256" s="13">
        <v>0</v>
      </c>
      <c r="AO256" s="7" t="e">
        <v>#N/A</v>
      </c>
    </row>
    <row r="257" spans="1:41">
      <c r="A257" s="8" t="s">
        <v>131</v>
      </c>
      <c r="B257" s="8" t="s">
        <v>533</v>
      </c>
      <c r="C257" s="8" t="s">
        <v>652</v>
      </c>
      <c r="D257" s="8" t="s">
        <v>332</v>
      </c>
      <c r="E257" s="8" t="s">
        <v>135</v>
      </c>
      <c r="F257" s="8">
        <v>1</v>
      </c>
      <c r="G257" s="8">
        <v>1</v>
      </c>
      <c r="H257" s="8">
        <v>1</v>
      </c>
      <c r="I257" s="8" t="s">
        <v>136</v>
      </c>
      <c r="J257" s="8" t="s">
        <v>136</v>
      </c>
      <c r="K257" s="8">
        <v>1</v>
      </c>
      <c r="L257" s="8">
        <v>1</v>
      </c>
      <c r="M257" s="8">
        <v>1</v>
      </c>
      <c r="N257" s="8">
        <v>1</v>
      </c>
      <c r="O257" s="8">
        <v>1</v>
      </c>
      <c r="P257" s="8" t="s">
        <v>136</v>
      </c>
      <c r="Q257" s="8" t="s">
        <v>136</v>
      </c>
      <c r="R257" s="8">
        <v>1</v>
      </c>
      <c r="S257" s="8">
        <v>1</v>
      </c>
      <c r="T257" s="8">
        <v>1</v>
      </c>
      <c r="U257" s="8">
        <v>1</v>
      </c>
      <c r="V257" s="8">
        <v>1</v>
      </c>
      <c r="W257" s="8" t="s">
        <v>136</v>
      </c>
      <c r="X257" s="8" t="s">
        <v>136</v>
      </c>
      <c r="Y257" s="8">
        <v>1</v>
      </c>
      <c r="Z257" s="8">
        <v>1</v>
      </c>
      <c r="AA257" s="8">
        <v>1</v>
      </c>
      <c r="AB257" s="8">
        <v>1</v>
      </c>
      <c r="AC257" s="8">
        <v>1</v>
      </c>
      <c r="AD257" s="8" t="s">
        <v>136</v>
      </c>
      <c r="AE257" s="8" t="s">
        <v>136</v>
      </c>
      <c r="AF257" s="8">
        <v>1</v>
      </c>
      <c r="AG257" s="8">
        <v>1</v>
      </c>
      <c r="AH257" s="8">
        <v>1</v>
      </c>
      <c r="AI257" s="8">
        <v>1</v>
      </c>
      <c r="AJ257" s="8">
        <v>1</v>
      </c>
      <c r="AK257" s="10">
        <v>23</v>
      </c>
      <c r="AL257" s="11">
        <v>23</v>
      </c>
      <c r="AM257" s="13">
        <v>23</v>
      </c>
      <c r="AN257" s="13">
        <v>0</v>
      </c>
      <c r="AO257" s="7" t="e">
        <v>#N/A</v>
      </c>
    </row>
    <row r="258" spans="1:41">
      <c r="A258" s="8" t="s">
        <v>131</v>
      </c>
      <c r="B258" s="8" t="s">
        <v>533</v>
      </c>
      <c r="C258" s="8" t="s">
        <v>653</v>
      </c>
      <c r="D258" s="8" t="s">
        <v>654</v>
      </c>
      <c r="E258" s="8" t="s">
        <v>135</v>
      </c>
      <c r="F258" s="8">
        <v>1</v>
      </c>
      <c r="G258" s="8">
        <v>1</v>
      </c>
      <c r="H258" s="8">
        <v>1</v>
      </c>
      <c r="I258" s="8" t="s">
        <v>136</v>
      </c>
      <c r="J258" s="8" t="s">
        <v>136</v>
      </c>
      <c r="K258" s="8">
        <v>1</v>
      </c>
      <c r="L258" s="8">
        <v>1</v>
      </c>
      <c r="M258" s="8">
        <v>1</v>
      </c>
      <c r="N258" s="8">
        <v>1</v>
      </c>
      <c r="O258" s="8">
        <v>1</v>
      </c>
      <c r="P258" s="8" t="s">
        <v>136</v>
      </c>
      <c r="Q258" s="8" t="s">
        <v>136</v>
      </c>
      <c r="R258" s="8">
        <v>1</v>
      </c>
      <c r="S258" s="8">
        <v>1</v>
      </c>
      <c r="T258" s="8">
        <v>1</v>
      </c>
      <c r="U258" s="8">
        <v>1</v>
      </c>
      <c r="V258" s="8">
        <v>1</v>
      </c>
      <c r="W258" s="8" t="s">
        <v>136</v>
      </c>
      <c r="X258" s="8" t="s">
        <v>136</v>
      </c>
      <c r="Y258" s="8">
        <v>1</v>
      </c>
      <c r="Z258" s="8">
        <v>1</v>
      </c>
      <c r="AA258" s="8">
        <v>1</v>
      </c>
      <c r="AB258" s="8">
        <v>1</v>
      </c>
      <c r="AC258" s="8">
        <v>1</v>
      </c>
      <c r="AD258" s="8" t="s">
        <v>136</v>
      </c>
      <c r="AE258" s="8" t="s">
        <v>136</v>
      </c>
      <c r="AF258" s="8">
        <v>1</v>
      </c>
      <c r="AG258" s="8">
        <v>1</v>
      </c>
      <c r="AH258" s="8">
        <v>1</v>
      </c>
      <c r="AI258" s="8">
        <v>1</v>
      </c>
      <c r="AJ258" s="8">
        <v>1</v>
      </c>
      <c r="AK258" s="10">
        <v>23</v>
      </c>
      <c r="AL258" s="11">
        <v>23</v>
      </c>
      <c r="AM258" s="13">
        <v>23</v>
      </c>
      <c r="AN258" s="13">
        <v>0</v>
      </c>
      <c r="AO258" s="7" t="e">
        <v>#N/A</v>
      </c>
    </row>
    <row r="259" spans="1:41">
      <c r="A259" s="8" t="s">
        <v>131</v>
      </c>
      <c r="B259" s="8" t="s">
        <v>533</v>
      </c>
      <c r="C259" s="8" t="s">
        <v>655</v>
      </c>
      <c r="D259" s="8" t="s">
        <v>656</v>
      </c>
      <c r="E259" s="8" t="s">
        <v>135</v>
      </c>
      <c r="F259" s="8">
        <v>1</v>
      </c>
      <c r="G259" s="8">
        <v>1</v>
      </c>
      <c r="H259" s="8">
        <v>1</v>
      </c>
      <c r="I259" s="8" t="s">
        <v>136</v>
      </c>
      <c r="J259" s="8" t="s">
        <v>136</v>
      </c>
      <c r="K259" s="8">
        <v>1</v>
      </c>
      <c r="L259" s="8">
        <v>1</v>
      </c>
      <c r="M259" s="8">
        <v>1</v>
      </c>
      <c r="N259" s="8">
        <v>1</v>
      </c>
      <c r="O259" s="8">
        <v>1</v>
      </c>
      <c r="P259" s="8" t="s">
        <v>136</v>
      </c>
      <c r="Q259" s="8" t="s">
        <v>136</v>
      </c>
      <c r="R259" s="8">
        <v>1</v>
      </c>
      <c r="S259" s="8">
        <v>1</v>
      </c>
      <c r="T259" s="8">
        <v>1</v>
      </c>
      <c r="U259" s="8">
        <v>1</v>
      </c>
      <c r="V259" s="8">
        <v>1</v>
      </c>
      <c r="W259" s="8" t="s">
        <v>136</v>
      </c>
      <c r="X259" s="8" t="s">
        <v>136</v>
      </c>
      <c r="Y259" s="8">
        <v>1</v>
      </c>
      <c r="Z259" s="8">
        <v>1</v>
      </c>
      <c r="AA259" s="8">
        <v>1</v>
      </c>
      <c r="AB259" s="8">
        <v>1</v>
      </c>
      <c r="AC259" s="8">
        <v>1</v>
      </c>
      <c r="AD259" s="8" t="s">
        <v>136</v>
      </c>
      <c r="AE259" s="8" t="s">
        <v>136</v>
      </c>
      <c r="AF259" s="8">
        <v>1</v>
      </c>
      <c r="AG259" s="8">
        <v>1</v>
      </c>
      <c r="AH259" s="8">
        <v>1</v>
      </c>
      <c r="AI259" s="8">
        <v>1</v>
      </c>
      <c r="AJ259" s="8">
        <v>1</v>
      </c>
      <c r="AK259" s="10">
        <v>23</v>
      </c>
      <c r="AL259" s="11">
        <v>23</v>
      </c>
      <c r="AM259" s="13">
        <v>23</v>
      </c>
      <c r="AN259" s="13">
        <v>0</v>
      </c>
      <c r="AO259" s="7" t="e">
        <v>#N/A</v>
      </c>
    </row>
    <row r="260" spans="1:41">
      <c r="A260" s="8" t="s">
        <v>131</v>
      </c>
      <c r="B260" s="8" t="s">
        <v>533</v>
      </c>
      <c r="C260" s="8" t="s">
        <v>657</v>
      </c>
      <c r="D260" s="8" t="s">
        <v>658</v>
      </c>
      <c r="E260" s="8" t="s">
        <v>135</v>
      </c>
      <c r="F260" s="8">
        <v>1</v>
      </c>
      <c r="G260" s="8">
        <v>1</v>
      </c>
      <c r="H260" s="8">
        <v>1</v>
      </c>
      <c r="I260" s="8" t="s">
        <v>136</v>
      </c>
      <c r="J260" s="8" t="s">
        <v>136</v>
      </c>
      <c r="K260" s="8">
        <v>1</v>
      </c>
      <c r="L260" s="8">
        <v>1</v>
      </c>
      <c r="M260" s="8">
        <v>1</v>
      </c>
      <c r="N260" s="8">
        <v>1</v>
      </c>
      <c r="O260" s="8">
        <v>1</v>
      </c>
      <c r="P260" s="8" t="s">
        <v>136</v>
      </c>
      <c r="Q260" s="8" t="s">
        <v>136</v>
      </c>
      <c r="R260" s="8">
        <v>1</v>
      </c>
      <c r="S260" s="8">
        <v>1</v>
      </c>
      <c r="T260" s="8">
        <v>1</v>
      </c>
      <c r="U260" s="8">
        <v>1</v>
      </c>
      <c r="V260" s="8">
        <v>1</v>
      </c>
      <c r="W260" s="8" t="s">
        <v>136</v>
      </c>
      <c r="X260" s="8" t="s">
        <v>136</v>
      </c>
      <c r="Y260" s="8">
        <v>1</v>
      </c>
      <c r="Z260" s="8">
        <v>1</v>
      </c>
      <c r="AA260" s="8">
        <v>1</v>
      </c>
      <c r="AB260" s="8">
        <v>1</v>
      </c>
      <c r="AC260" s="8">
        <v>1</v>
      </c>
      <c r="AD260" s="8" t="s">
        <v>136</v>
      </c>
      <c r="AE260" s="8" t="s">
        <v>136</v>
      </c>
      <c r="AF260" s="8">
        <v>1</v>
      </c>
      <c r="AG260" s="8">
        <v>1</v>
      </c>
      <c r="AH260" s="8">
        <v>1</v>
      </c>
      <c r="AI260" s="8">
        <v>1</v>
      </c>
      <c r="AJ260" s="8">
        <v>1</v>
      </c>
      <c r="AK260" s="10">
        <v>23</v>
      </c>
      <c r="AL260" s="11">
        <v>23</v>
      </c>
      <c r="AM260" s="13">
        <v>23</v>
      </c>
      <c r="AN260" s="13">
        <v>0</v>
      </c>
      <c r="AO260" s="7" t="e">
        <v>#N/A</v>
      </c>
    </row>
    <row r="261" spans="1:41">
      <c r="A261" s="8" t="s">
        <v>131</v>
      </c>
      <c r="B261" s="8" t="s">
        <v>533</v>
      </c>
      <c r="C261" s="8" t="s">
        <v>659</v>
      </c>
      <c r="D261" s="8" t="s">
        <v>660</v>
      </c>
      <c r="E261" s="8" t="s">
        <v>135</v>
      </c>
      <c r="F261" s="8">
        <v>1</v>
      </c>
      <c r="G261" s="8">
        <v>1</v>
      </c>
      <c r="H261" s="8">
        <v>1</v>
      </c>
      <c r="I261" s="8" t="s">
        <v>136</v>
      </c>
      <c r="J261" s="8" t="s">
        <v>136</v>
      </c>
      <c r="K261" s="8">
        <v>1</v>
      </c>
      <c r="L261" s="8">
        <v>1</v>
      </c>
      <c r="M261" s="8">
        <v>1</v>
      </c>
      <c r="N261" s="8">
        <v>1</v>
      </c>
      <c r="O261" s="8">
        <v>1</v>
      </c>
      <c r="P261" s="8" t="s">
        <v>136</v>
      </c>
      <c r="Q261" s="8" t="s">
        <v>136</v>
      </c>
      <c r="R261" s="8">
        <v>1</v>
      </c>
      <c r="S261" s="8">
        <v>1</v>
      </c>
      <c r="T261" s="8">
        <v>1</v>
      </c>
      <c r="U261" s="8">
        <v>1</v>
      </c>
      <c r="V261" s="8">
        <v>1</v>
      </c>
      <c r="W261" s="8" t="s">
        <v>136</v>
      </c>
      <c r="X261" s="8" t="s">
        <v>136</v>
      </c>
      <c r="Y261" s="8">
        <v>1</v>
      </c>
      <c r="Z261" s="8">
        <v>1</v>
      </c>
      <c r="AA261" s="8">
        <v>1</v>
      </c>
      <c r="AB261" s="8">
        <v>1</v>
      </c>
      <c r="AC261" s="8">
        <v>1</v>
      </c>
      <c r="AD261" s="8" t="s">
        <v>136</v>
      </c>
      <c r="AE261" s="8" t="s">
        <v>136</v>
      </c>
      <c r="AF261" s="8">
        <v>1</v>
      </c>
      <c r="AG261" s="8">
        <v>1</v>
      </c>
      <c r="AH261" s="8">
        <v>1</v>
      </c>
      <c r="AI261" s="8">
        <v>1</v>
      </c>
      <c r="AJ261" s="8">
        <v>1</v>
      </c>
      <c r="AK261" s="10">
        <v>23</v>
      </c>
      <c r="AL261" s="11">
        <v>23</v>
      </c>
      <c r="AM261" s="13">
        <v>23</v>
      </c>
      <c r="AN261" s="13">
        <v>0</v>
      </c>
      <c r="AO261" s="7" t="e">
        <v>#N/A</v>
      </c>
    </row>
    <row r="262" spans="1:41">
      <c r="A262" s="8" t="s">
        <v>131</v>
      </c>
      <c r="B262" s="8" t="s">
        <v>533</v>
      </c>
      <c r="C262" s="8" t="s">
        <v>661</v>
      </c>
      <c r="D262" s="8" t="s">
        <v>662</v>
      </c>
      <c r="E262" s="8" t="s">
        <v>135</v>
      </c>
      <c r="F262" s="8">
        <v>1</v>
      </c>
      <c r="G262" s="8">
        <v>1</v>
      </c>
      <c r="H262" s="8">
        <v>1</v>
      </c>
      <c r="I262" s="8" t="s">
        <v>136</v>
      </c>
      <c r="J262" s="8" t="s">
        <v>136</v>
      </c>
      <c r="K262" s="8">
        <v>1</v>
      </c>
      <c r="L262" s="8">
        <v>1</v>
      </c>
      <c r="M262" s="8">
        <v>1</v>
      </c>
      <c r="N262" s="8">
        <v>1</v>
      </c>
      <c r="O262" s="8">
        <v>1</v>
      </c>
      <c r="P262" s="8" t="s">
        <v>136</v>
      </c>
      <c r="Q262" s="8" t="s">
        <v>136</v>
      </c>
      <c r="R262" s="8">
        <v>1</v>
      </c>
      <c r="S262" s="8">
        <v>1</v>
      </c>
      <c r="T262" s="8">
        <v>1</v>
      </c>
      <c r="U262" s="8">
        <v>1</v>
      </c>
      <c r="V262" s="8">
        <v>1</v>
      </c>
      <c r="W262" s="8" t="s">
        <v>136</v>
      </c>
      <c r="X262" s="8" t="s">
        <v>136</v>
      </c>
      <c r="Y262" s="8">
        <v>1</v>
      </c>
      <c r="Z262" s="8">
        <v>1</v>
      </c>
      <c r="AA262" s="8">
        <v>1</v>
      </c>
      <c r="AB262" s="8">
        <v>1</v>
      </c>
      <c r="AC262" s="8">
        <v>1</v>
      </c>
      <c r="AD262" s="8" t="s">
        <v>136</v>
      </c>
      <c r="AE262" s="8" t="s">
        <v>136</v>
      </c>
      <c r="AF262" s="8">
        <v>1</v>
      </c>
      <c r="AG262" s="8">
        <v>1</v>
      </c>
      <c r="AH262" s="8">
        <v>1</v>
      </c>
      <c r="AI262" s="8">
        <v>1</v>
      </c>
      <c r="AJ262" s="8">
        <v>1</v>
      </c>
      <c r="AK262" s="10">
        <v>23</v>
      </c>
      <c r="AL262" s="11">
        <v>23</v>
      </c>
      <c r="AM262" s="13">
        <v>23</v>
      </c>
      <c r="AN262" s="13">
        <v>0</v>
      </c>
      <c r="AO262" s="7" t="e">
        <v>#N/A</v>
      </c>
    </row>
    <row r="263" spans="1:41">
      <c r="A263" s="8" t="s">
        <v>131</v>
      </c>
      <c r="B263" s="8" t="s">
        <v>533</v>
      </c>
      <c r="C263" s="8" t="s">
        <v>663</v>
      </c>
      <c r="D263" s="8" t="s">
        <v>664</v>
      </c>
      <c r="E263" s="8" t="s">
        <v>135</v>
      </c>
      <c r="F263" s="8">
        <v>1</v>
      </c>
      <c r="G263" s="8">
        <v>1</v>
      </c>
      <c r="H263" s="8">
        <v>1</v>
      </c>
      <c r="I263" s="8" t="s">
        <v>136</v>
      </c>
      <c r="J263" s="8" t="s">
        <v>136</v>
      </c>
      <c r="K263" s="8">
        <v>1</v>
      </c>
      <c r="L263" s="8">
        <v>1</v>
      </c>
      <c r="M263" s="8">
        <v>1</v>
      </c>
      <c r="N263" s="8">
        <v>1</v>
      </c>
      <c r="O263" s="8">
        <v>1</v>
      </c>
      <c r="P263" s="8" t="s">
        <v>136</v>
      </c>
      <c r="Q263" s="8" t="s">
        <v>136</v>
      </c>
      <c r="R263" s="8">
        <v>1</v>
      </c>
      <c r="S263" s="8">
        <v>1</v>
      </c>
      <c r="T263" s="8">
        <v>1</v>
      </c>
      <c r="U263" s="8">
        <v>1</v>
      </c>
      <c r="V263" s="8">
        <v>1</v>
      </c>
      <c r="W263" s="8" t="s">
        <v>136</v>
      </c>
      <c r="X263" s="8" t="s">
        <v>136</v>
      </c>
      <c r="Y263" s="8">
        <v>1</v>
      </c>
      <c r="Z263" s="8">
        <v>1</v>
      </c>
      <c r="AA263" s="8">
        <v>1</v>
      </c>
      <c r="AB263" s="8">
        <v>1</v>
      </c>
      <c r="AC263" s="8">
        <v>1</v>
      </c>
      <c r="AD263" s="8" t="s">
        <v>136</v>
      </c>
      <c r="AE263" s="8" t="s">
        <v>136</v>
      </c>
      <c r="AF263" s="8">
        <v>1</v>
      </c>
      <c r="AG263" s="8">
        <v>1</v>
      </c>
      <c r="AH263" s="8">
        <v>1</v>
      </c>
      <c r="AI263" s="8">
        <v>1</v>
      </c>
      <c r="AJ263" s="8">
        <v>1</v>
      </c>
      <c r="AK263" s="10">
        <v>23</v>
      </c>
      <c r="AL263" s="11">
        <v>23</v>
      </c>
      <c r="AM263" s="13">
        <v>23</v>
      </c>
      <c r="AN263" s="13">
        <v>0</v>
      </c>
      <c r="AO263" s="7" t="e">
        <v>#N/A</v>
      </c>
    </row>
    <row r="264" spans="1:41">
      <c r="A264" s="8" t="s">
        <v>131</v>
      </c>
      <c r="B264" s="8" t="s">
        <v>533</v>
      </c>
      <c r="C264" s="8" t="s">
        <v>665</v>
      </c>
      <c r="D264" s="8" t="s">
        <v>666</v>
      </c>
      <c r="E264" s="8" t="s">
        <v>135</v>
      </c>
      <c r="F264" s="8">
        <v>1</v>
      </c>
      <c r="G264" s="8">
        <v>1</v>
      </c>
      <c r="H264" s="8">
        <v>1</v>
      </c>
      <c r="I264" s="8" t="s">
        <v>136</v>
      </c>
      <c r="J264" s="8" t="s">
        <v>136</v>
      </c>
      <c r="K264" s="8">
        <v>1</v>
      </c>
      <c r="L264" s="8">
        <v>1</v>
      </c>
      <c r="M264" s="8">
        <v>1</v>
      </c>
      <c r="N264" s="8">
        <v>1</v>
      </c>
      <c r="O264" s="8">
        <v>1</v>
      </c>
      <c r="P264" s="8" t="s">
        <v>136</v>
      </c>
      <c r="Q264" s="8" t="s">
        <v>136</v>
      </c>
      <c r="R264" s="8">
        <v>1</v>
      </c>
      <c r="S264" s="8">
        <v>1</v>
      </c>
      <c r="T264" s="8">
        <v>1</v>
      </c>
      <c r="U264" s="8">
        <v>1</v>
      </c>
      <c r="V264" s="8">
        <v>1</v>
      </c>
      <c r="W264" s="8" t="s">
        <v>136</v>
      </c>
      <c r="X264" s="8" t="s">
        <v>136</v>
      </c>
      <c r="Y264" s="8">
        <v>1</v>
      </c>
      <c r="Z264" s="8">
        <v>1</v>
      </c>
      <c r="AA264" s="8">
        <v>1</v>
      </c>
      <c r="AB264" s="8">
        <v>1</v>
      </c>
      <c r="AC264" s="8">
        <v>1</v>
      </c>
      <c r="AD264" s="8" t="s">
        <v>136</v>
      </c>
      <c r="AE264" s="8" t="s">
        <v>136</v>
      </c>
      <c r="AF264" s="8">
        <v>1</v>
      </c>
      <c r="AG264" s="8">
        <v>1</v>
      </c>
      <c r="AH264" s="8">
        <v>1</v>
      </c>
      <c r="AI264" s="8">
        <v>1</v>
      </c>
      <c r="AJ264" s="8">
        <v>1</v>
      </c>
      <c r="AK264" s="10">
        <v>23</v>
      </c>
      <c r="AL264" s="11">
        <v>23</v>
      </c>
      <c r="AM264" s="13">
        <v>23</v>
      </c>
      <c r="AN264" s="13">
        <v>0</v>
      </c>
      <c r="AO264" s="7" t="e">
        <v>#N/A</v>
      </c>
    </row>
    <row r="265" spans="1:41">
      <c r="A265" s="8" t="s">
        <v>131</v>
      </c>
      <c r="B265" s="8" t="s">
        <v>533</v>
      </c>
      <c r="C265" s="8" t="s">
        <v>667</v>
      </c>
      <c r="D265" s="8" t="s">
        <v>668</v>
      </c>
      <c r="E265" s="8" t="s">
        <v>135</v>
      </c>
      <c r="F265" s="8">
        <v>1</v>
      </c>
      <c r="G265" s="8">
        <v>1</v>
      </c>
      <c r="H265" s="8">
        <v>1</v>
      </c>
      <c r="I265" s="8" t="s">
        <v>136</v>
      </c>
      <c r="J265" s="8" t="s">
        <v>136</v>
      </c>
      <c r="K265" s="8">
        <v>1</v>
      </c>
      <c r="L265" s="8">
        <v>1</v>
      </c>
      <c r="M265" s="8">
        <v>1</v>
      </c>
      <c r="N265" s="8">
        <v>1</v>
      </c>
      <c r="O265" s="8">
        <v>1</v>
      </c>
      <c r="P265" s="8" t="s">
        <v>136</v>
      </c>
      <c r="Q265" s="8" t="s">
        <v>136</v>
      </c>
      <c r="R265" s="8">
        <v>1</v>
      </c>
      <c r="S265" s="8">
        <v>1</v>
      </c>
      <c r="T265" s="8">
        <v>1</v>
      </c>
      <c r="U265" s="8">
        <v>1</v>
      </c>
      <c r="V265" s="8">
        <v>1</v>
      </c>
      <c r="W265" s="8" t="s">
        <v>136</v>
      </c>
      <c r="X265" s="8" t="s">
        <v>136</v>
      </c>
      <c r="Y265" s="8">
        <v>1</v>
      </c>
      <c r="Z265" s="8">
        <v>1</v>
      </c>
      <c r="AA265" s="8">
        <v>1</v>
      </c>
      <c r="AB265" s="8">
        <v>1</v>
      </c>
      <c r="AC265" s="8">
        <v>1</v>
      </c>
      <c r="AD265" s="8" t="s">
        <v>136</v>
      </c>
      <c r="AE265" s="8" t="s">
        <v>136</v>
      </c>
      <c r="AF265" s="8">
        <v>1</v>
      </c>
      <c r="AG265" s="8">
        <v>1</v>
      </c>
      <c r="AH265" s="8">
        <v>1</v>
      </c>
      <c r="AI265" s="8">
        <v>1</v>
      </c>
      <c r="AJ265" s="8">
        <v>1</v>
      </c>
      <c r="AK265" s="10">
        <v>23</v>
      </c>
      <c r="AL265" s="11">
        <v>23</v>
      </c>
      <c r="AM265" s="13">
        <v>23</v>
      </c>
      <c r="AN265" s="13">
        <v>0</v>
      </c>
      <c r="AO265" s="7" t="e">
        <v>#N/A</v>
      </c>
    </row>
    <row r="266" spans="1:41">
      <c r="A266" s="8" t="s">
        <v>131</v>
      </c>
      <c r="B266" s="8" t="s">
        <v>533</v>
      </c>
      <c r="C266" s="8" t="s">
        <v>669</v>
      </c>
      <c r="D266" s="8" t="s">
        <v>670</v>
      </c>
      <c r="E266" s="8" t="s">
        <v>135</v>
      </c>
      <c r="F266" s="8">
        <v>1</v>
      </c>
      <c r="G266" s="8">
        <v>1</v>
      </c>
      <c r="H266" s="8">
        <v>1</v>
      </c>
      <c r="I266" s="8" t="s">
        <v>136</v>
      </c>
      <c r="J266" s="8" t="s">
        <v>136</v>
      </c>
      <c r="K266" s="8">
        <v>1</v>
      </c>
      <c r="L266" s="8">
        <v>1</v>
      </c>
      <c r="M266" s="8">
        <v>1</v>
      </c>
      <c r="N266" s="8">
        <v>1</v>
      </c>
      <c r="O266" s="8">
        <v>1</v>
      </c>
      <c r="P266" s="8" t="s">
        <v>136</v>
      </c>
      <c r="Q266" s="8" t="s">
        <v>136</v>
      </c>
      <c r="R266" s="8">
        <v>1</v>
      </c>
      <c r="S266" s="8">
        <v>1</v>
      </c>
      <c r="T266" s="8">
        <v>1</v>
      </c>
      <c r="U266" s="8">
        <v>1</v>
      </c>
      <c r="V266" s="8">
        <v>1</v>
      </c>
      <c r="W266" s="8" t="s">
        <v>136</v>
      </c>
      <c r="X266" s="8" t="s">
        <v>136</v>
      </c>
      <c r="Y266" s="8">
        <v>1</v>
      </c>
      <c r="Z266" s="8">
        <v>1</v>
      </c>
      <c r="AA266" s="8">
        <v>1</v>
      </c>
      <c r="AB266" s="8">
        <v>1</v>
      </c>
      <c r="AC266" s="8">
        <v>1</v>
      </c>
      <c r="AD266" s="8" t="s">
        <v>136</v>
      </c>
      <c r="AE266" s="8" t="s">
        <v>136</v>
      </c>
      <c r="AF266" s="8">
        <v>1</v>
      </c>
      <c r="AG266" s="8">
        <v>1</v>
      </c>
      <c r="AH266" s="8">
        <v>1</v>
      </c>
      <c r="AI266" s="8">
        <v>1</v>
      </c>
      <c r="AJ266" s="8">
        <v>1</v>
      </c>
      <c r="AK266" s="10">
        <v>23</v>
      </c>
      <c r="AL266" s="11">
        <v>23</v>
      </c>
      <c r="AM266" s="13">
        <v>23</v>
      </c>
      <c r="AN266" s="13">
        <v>0</v>
      </c>
      <c r="AO266" s="7" t="e">
        <v>#N/A</v>
      </c>
    </row>
    <row r="267" spans="1:41">
      <c r="A267" s="8" t="s">
        <v>131</v>
      </c>
      <c r="B267" s="8" t="s">
        <v>533</v>
      </c>
      <c r="C267" s="8" t="s">
        <v>671</v>
      </c>
      <c r="D267" s="8" t="s">
        <v>672</v>
      </c>
      <c r="E267" s="8" t="s">
        <v>135</v>
      </c>
      <c r="F267" s="8">
        <v>1</v>
      </c>
      <c r="G267" s="8">
        <v>1</v>
      </c>
      <c r="H267" s="8">
        <v>1</v>
      </c>
      <c r="I267" s="8" t="s">
        <v>136</v>
      </c>
      <c r="J267" s="8" t="s">
        <v>136</v>
      </c>
      <c r="K267" s="8">
        <v>1</v>
      </c>
      <c r="L267" s="8">
        <v>1</v>
      </c>
      <c r="M267" s="8">
        <v>1</v>
      </c>
      <c r="N267" s="8">
        <v>1</v>
      </c>
      <c r="O267" s="8">
        <v>1</v>
      </c>
      <c r="P267" s="8" t="s">
        <v>136</v>
      </c>
      <c r="Q267" s="8" t="s">
        <v>136</v>
      </c>
      <c r="R267" s="8">
        <v>1</v>
      </c>
      <c r="S267" s="8">
        <v>1</v>
      </c>
      <c r="T267" s="8">
        <v>1</v>
      </c>
      <c r="U267" s="8">
        <v>1</v>
      </c>
      <c r="V267" s="8">
        <v>1</v>
      </c>
      <c r="W267" s="8" t="s">
        <v>136</v>
      </c>
      <c r="X267" s="8" t="s">
        <v>136</v>
      </c>
      <c r="Y267" s="8">
        <v>1</v>
      </c>
      <c r="Z267" s="8">
        <v>1</v>
      </c>
      <c r="AA267" s="8">
        <v>1</v>
      </c>
      <c r="AB267" s="8">
        <v>1</v>
      </c>
      <c r="AC267" s="8">
        <v>1</v>
      </c>
      <c r="AD267" s="8" t="s">
        <v>136</v>
      </c>
      <c r="AE267" s="8" t="s">
        <v>136</v>
      </c>
      <c r="AF267" s="8">
        <v>1</v>
      </c>
      <c r="AG267" s="8">
        <v>1</v>
      </c>
      <c r="AH267" s="8">
        <v>1</v>
      </c>
      <c r="AI267" s="8">
        <v>1</v>
      </c>
      <c r="AJ267" s="8">
        <v>1</v>
      </c>
      <c r="AK267" s="10">
        <v>23</v>
      </c>
      <c r="AL267" s="11">
        <v>23</v>
      </c>
      <c r="AM267" s="13">
        <v>23</v>
      </c>
      <c r="AN267" s="13">
        <v>0</v>
      </c>
      <c r="AO267" s="7" t="e">
        <v>#N/A</v>
      </c>
    </row>
    <row r="268" spans="1:41">
      <c r="A268" s="8" t="s">
        <v>131</v>
      </c>
      <c r="B268" s="8" t="s">
        <v>533</v>
      </c>
      <c r="C268" s="8" t="s">
        <v>673</v>
      </c>
      <c r="D268" s="8" t="s">
        <v>674</v>
      </c>
      <c r="E268" s="8" t="s">
        <v>135</v>
      </c>
      <c r="F268" s="8">
        <v>1</v>
      </c>
      <c r="G268" s="8">
        <v>1</v>
      </c>
      <c r="H268" s="8">
        <v>1</v>
      </c>
      <c r="I268" s="8" t="s">
        <v>136</v>
      </c>
      <c r="J268" s="8" t="s">
        <v>136</v>
      </c>
      <c r="K268" s="8">
        <v>1</v>
      </c>
      <c r="L268" s="8">
        <v>1</v>
      </c>
      <c r="M268" s="8">
        <v>1</v>
      </c>
      <c r="N268" s="8">
        <v>1</v>
      </c>
      <c r="O268" s="8">
        <v>1</v>
      </c>
      <c r="P268" s="8" t="s">
        <v>136</v>
      </c>
      <c r="Q268" s="8" t="s">
        <v>136</v>
      </c>
      <c r="R268" s="8">
        <v>1</v>
      </c>
      <c r="S268" s="8">
        <v>1</v>
      </c>
      <c r="T268" s="8">
        <v>1</v>
      </c>
      <c r="U268" s="8">
        <v>1</v>
      </c>
      <c r="V268" s="8">
        <v>1</v>
      </c>
      <c r="W268" s="8" t="s">
        <v>136</v>
      </c>
      <c r="X268" s="8" t="s">
        <v>136</v>
      </c>
      <c r="Y268" s="8">
        <v>1</v>
      </c>
      <c r="Z268" s="8">
        <v>1</v>
      </c>
      <c r="AA268" s="8">
        <v>1</v>
      </c>
      <c r="AB268" s="8">
        <v>1</v>
      </c>
      <c r="AC268" s="8">
        <v>1</v>
      </c>
      <c r="AD268" s="8" t="s">
        <v>136</v>
      </c>
      <c r="AE268" s="8" t="s">
        <v>136</v>
      </c>
      <c r="AF268" s="8">
        <v>1</v>
      </c>
      <c r="AG268" s="8">
        <v>1</v>
      </c>
      <c r="AH268" s="8">
        <v>1</v>
      </c>
      <c r="AI268" s="8">
        <v>1</v>
      </c>
      <c r="AJ268" s="8">
        <v>1</v>
      </c>
      <c r="AK268" s="10">
        <v>23</v>
      </c>
      <c r="AL268" s="11">
        <v>23</v>
      </c>
      <c r="AM268" s="13">
        <v>23</v>
      </c>
      <c r="AN268" s="13">
        <v>0</v>
      </c>
      <c r="AO268" s="7" t="e">
        <v>#N/A</v>
      </c>
    </row>
    <row r="269" spans="1:41">
      <c r="A269" s="8" t="s">
        <v>131</v>
      </c>
      <c r="B269" s="8" t="s">
        <v>533</v>
      </c>
      <c r="C269" s="8" t="s">
        <v>675</v>
      </c>
      <c r="D269" s="8" t="s">
        <v>676</v>
      </c>
      <c r="E269" s="8" t="s">
        <v>135</v>
      </c>
      <c r="F269" s="8">
        <v>1</v>
      </c>
      <c r="G269" s="8">
        <v>1</v>
      </c>
      <c r="H269" s="8">
        <v>1</v>
      </c>
      <c r="I269" s="8" t="s">
        <v>136</v>
      </c>
      <c r="J269" s="8" t="s">
        <v>136</v>
      </c>
      <c r="K269" s="8">
        <v>1</v>
      </c>
      <c r="L269" s="8">
        <v>1</v>
      </c>
      <c r="M269" s="8">
        <v>1</v>
      </c>
      <c r="N269" s="8">
        <v>1</v>
      </c>
      <c r="O269" s="8">
        <v>1</v>
      </c>
      <c r="P269" s="8" t="s">
        <v>136</v>
      </c>
      <c r="Q269" s="8" t="s">
        <v>136</v>
      </c>
      <c r="R269" s="8">
        <v>1</v>
      </c>
      <c r="S269" s="8">
        <v>1</v>
      </c>
      <c r="T269" s="8">
        <v>1</v>
      </c>
      <c r="U269" s="8">
        <v>1</v>
      </c>
      <c r="V269" s="8">
        <v>1</v>
      </c>
      <c r="W269" s="8" t="s">
        <v>136</v>
      </c>
      <c r="X269" s="8" t="s">
        <v>136</v>
      </c>
      <c r="Y269" s="8">
        <v>1</v>
      </c>
      <c r="Z269" s="8">
        <v>1</v>
      </c>
      <c r="AA269" s="8">
        <v>1</v>
      </c>
      <c r="AB269" s="8">
        <v>1</v>
      </c>
      <c r="AC269" s="8">
        <v>1</v>
      </c>
      <c r="AD269" s="8" t="s">
        <v>136</v>
      </c>
      <c r="AE269" s="8" t="s">
        <v>136</v>
      </c>
      <c r="AF269" s="8">
        <v>1</v>
      </c>
      <c r="AG269" s="8">
        <v>1</v>
      </c>
      <c r="AH269" s="8">
        <v>1</v>
      </c>
      <c r="AI269" s="8">
        <v>1</v>
      </c>
      <c r="AJ269" s="8">
        <v>1</v>
      </c>
      <c r="AK269" s="10">
        <v>23</v>
      </c>
      <c r="AL269" s="11">
        <v>23</v>
      </c>
      <c r="AM269" s="13">
        <v>23</v>
      </c>
      <c r="AN269" s="13">
        <v>0</v>
      </c>
      <c r="AO269" s="7" t="e">
        <v>#N/A</v>
      </c>
    </row>
    <row r="270" spans="1:41">
      <c r="A270" s="8" t="s">
        <v>131</v>
      </c>
      <c r="B270" s="8" t="s">
        <v>533</v>
      </c>
      <c r="C270" s="8" t="s">
        <v>677</v>
      </c>
      <c r="D270" s="8" t="s">
        <v>678</v>
      </c>
      <c r="E270" s="8" t="s">
        <v>135</v>
      </c>
      <c r="F270" s="8">
        <v>1</v>
      </c>
      <c r="G270" s="8">
        <v>1</v>
      </c>
      <c r="H270" s="8">
        <v>1</v>
      </c>
      <c r="I270" s="8" t="s">
        <v>136</v>
      </c>
      <c r="J270" s="8" t="s">
        <v>136</v>
      </c>
      <c r="K270" s="8">
        <v>1</v>
      </c>
      <c r="L270" s="8">
        <v>1</v>
      </c>
      <c r="M270" s="8">
        <v>1</v>
      </c>
      <c r="N270" s="8">
        <v>1</v>
      </c>
      <c r="O270" s="8">
        <v>1</v>
      </c>
      <c r="P270" s="8" t="s">
        <v>136</v>
      </c>
      <c r="Q270" s="8" t="s">
        <v>136</v>
      </c>
      <c r="R270" s="8">
        <v>1</v>
      </c>
      <c r="S270" s="8">
        <v>1</v>
      </c>
      <c r="T270" s="8">
        <v>1</v>
      </c>
      <c r="U270" s="8">
        <v>1</v>
      </c>
      <c r="V270" s="8">
        <v>1</v>
      </c>
      <c r="W270" s="8" t="s">
        <v>136</v>
      </c>
      <c r="X270" s="8" t="s">
        <v>136</v>
      </c>
      <c r="Y270" s="8">
        <v>1</v>
      </c>
      <c r="Z270" s="8">
        <v>1</v>
      </c>
      <c r="AA270" s="8">
        <v>1</v>
      </c>
      <c r="AB270" s="8">
        <v>1</v>
      </c>
      <c r="AC270" s="8">
        <v>1</v>
      </c>
      <c r="AD270" s="8" t="s">
        <v>136</v>
      </c>
      <c r="AE270" s="8" t="s">
        <v>136</v>
      </c>
      <c r="AF270" s="8">
        <v>1</v>
      </c>
      <c r="AG270" s="8">
        <v>1</v>
      </c>
      <c r="AH270" s="8">
        <v>1</v>
      </c>
      <c r="AI270" s="8">
        <v>1</v>
      </c>
      <c r="AJ270" s="8">
        <v>1</v>
      </c>
      <c r="AK270" s="10">
        <v>23</v>
      </c>
      <c r="AL270" s="11">
        <v>23</v>
      </c>
      <c r="AM270" s="13">
        <v>23</v>
      </c>
      <c r="AN270" s="13">
        <v>0</v>
      </c>
      <c r="AO270" s="7" t="e">
        <v>#N/A</v>
      </c>
    </row>
    <row r="271" spans="1:41">
      <c r="A271" s="8" t="s">
        <v>131</v>
      </c>
      <c r="B271" s="8" t="s">
        <v>533</v>
      </c>
      <c r="C271" s="8" t="s">
        <v>679</v>
      </c>
      <c r="D271" s="8" t="s">
        <v>680</v>
      </c>
      <c r="E271" s="8" t="s">
        <v>135</v>
      </c>
      <c r="F271" s="8">
        <v>1</v>
      </c>
      <c r="G271" s="8">
        <v>1</v>
      </c>
      <c r="H271" s="8">
        <v>1</v>
      </c>
      <c r="I271" s="8" t="s">
        <v>136</v>
      </c>
      <c r="J271" s="8" t="s">
        <v>136</v>
      </c>
      <c r="K271" s="8">
        <v>1</v>
      </c>
      <c r="L271" s="8">
        <v>1</v>
      </c>
      <c r="M271" s="8">
        <v>1</v>
      </c>
      <c r="N271" s="8">
        <v>1</v>
      </c>
      <c r="O271" s="8">
        <v>1</v>
      </c>
      <c r="P271" s="8" t="s">
        <v>136</v>
      </c>
      <c r="Q271" s="8" t="s">
        <v>136</v>
      </c>
      <c r="R271" s="8">
        <v>1</v>
      </c>
      <c r="S271" s="8">
        <v>1</v>
      </c>
      <c r="T271" s="8">
        <v>1</v>
      </c>
      <c r="U271" s="8">
        <v>1</v>
      </c>
      <c r="V271" s="8">
        <v>1</v>
      </c>
      <c r="W271" s="8" t="s">
        <v>136</v>
      </c>
      <c r="X271" s="8" t="s">
        <v>136</v>
      </c>
      <c r="Y271" s="8">
        <v>1</v>
      </c>
      <c r="Z271" s="8">
        <v>1</v>
      </c>
      <c r="AA271" s="8">
        <v>1</v>
      </c>
      <c r="AB271" s="8">
        <v>1</v>
      </c>
      <c r="AC271" s="8">
        <v>1</v>
      </c>
      <c r="AD271" s="8" t="s">
        <v>136</v>
      </c>
      <c r="AE271" s="8" t="s">
        <v>136</v>
      </c>
      <c r="AF271" s="8">
        <v>1</v>
      </c>
      <c r="AG271" s="8">
        <v>1</v>
      </c>
      <c r="AH271" s="8">
        <v>1</v>
      </c>
      <c r="AI271" s="8">
        <v>1</v>
      </c>
      <c r="AJ271" s="8">
        <v>1</v>
      </c>
      <c r="AK271" s="10">
        <v>23</v>
      </c>
      <c r="AL271" s="11">
        <v>23</v>
      </c>
      <c r="AM271" s="13">
        <v>23</v>
      </c>
      <c r="AN271" s="13">
        <v>0</v>
      </c>
      <c r="AO271" s="7" t="e">
        <v>#N/A</v>
      </c>
    </row>
    <row r="272" spans="1:41">
      <c r="A272" s="8" t="s">
        <v>131</v>
      </c>
      <c r="B272" s="8" t="s">
        <v>533</v>
      </c>
      <c r="C272" s="8" t="s">
        <v>681</v>
      </c>
      <c r="D272" s="8" t="s">
        <v>682</v>
      </c>
      <c r="E272" s="8" t="s">
        <v>135</v>
      </c>
      <c r="F272" s="8">
        <v>1</v>
      </c>
      <c r="G272" s="8">
        <v>1</v>
      </c>
      <c r="H272" s="8">
        <v>1</v>
      </c>
      <c r="I272" s="8" t="s">
        <v>136</v>
      </c>
      <c r="J272" s="8" t="s">
        <v>136</v>
      </c>
      <c r="K272" s="8">
        <v>1</v>
      </c>
      <c r="L272" s="8">
        <v>1</v>
      </c>
      <c r="M272" s="8">
        <v>1</v>
      </c>
      <c r="N272" s="8">
        <v>1</v>
      </c>
      <c r="O272" s="8">
        <v>1</v>
      </c>
      <c r="P272" s="8" t="s">
        <v>136</v>
      </c>
      <c r="Q272" s="8" t="s">
        <v>136</v>
      </c>
      <c r="R272" s="8">
        <v>1</v>
      </c>
      <c r="S272" s="8">
        <v>1</v>
      </c>
      <c r="T272" s="8">
        <v>1</v>
      </c>
      <c r="U272" s="8">
        <v>1</v>
      </c>
      <c r="V272" s="8">
        <v>1</v>
      </c>
      <c r="W272" s="8" t="s">
        <v>136</v>
      </c>
      <c r="X272" s="8" t="s">
        <v>136</v>
      </c>
      <c r="Y272" s="8">
        <v>1</v>
      </c>
      <c r="Z272" s="8">
        <v>1</v>
      </c>
      <c r="AA272" s="8">
        <v>1</v>
      </c>
      <c r="AB272" s="8">
        <v>1</v>
      </c>
      <c r="AC272" s="8">
        <v>1</v>
      </c>
      <c r="AD272" s="8" t="s">
        <v>136</v>
      </c>
      <c r="AE272" s="8" t="s">
        <v>136</v>
      </c>
      <c r="AF272" s="8">
        <v>1</v>
      </c>
      <c r="AG272" s="8">
        <v>1</v>
      </c>
      <c r="AH272" s="8">
        <v>1</v>
      </c>
      <c r="AI272" s="8">
        <v>1</v>
      </c>
      <c r="AJ272" s="8">
        <v>1</v>
      </c>
      <c r="AK272" s="10">
        <v>23</v>
      </c>
      <c r="AL272" s="11">
        <v>23</v>
      </c>
      <c r="AM272" s="13">
        <v>23</v>
      </c>
      <c r="AN272" s="13">
        <v>0</v>
      </c>
      <c r="AO272" s="7" t="e">
        <v>#N/A</v>
      </c>
    </row>
    <row r="273" spans="1:41">
      <c r="A273" s="8" t="s">
        <v>131</v>
      </c>
      <c r="B273" s="8" t="s">
        <v>533</v>
      </c>
      <c r="C273" s="8" t="s">
        <v>683</v>
      </c>
      <c r="D273" s="8" t="s">
        <v>684</v>
      </c>
      <c r="E273" s="8" t="s">
        <v>135</v>
      </c>
      <c r="F273" s="8">
        <v>1</v>
      </c>
      <c r="G273" s="8">
        <v>1</v>
      </c>
      <c r="H273" s="8">
        <v>1</v>
      </c>
      <c r="I273" s="8" t="s">
        <v>136</v>
      </c>
      <c r="J273" s="8" t="s">
        <v>136</v>
      </c>
      <c r="K273" s="8">
        <v>1</v>
      </c>
      <c r="L273" s="8">
        <v>1</v>
      </c>
      <c r="M273" s="8">
        <v>1</v>
      </c>
      <c r="N273" s="8">
        <v>1</v>
      </c>
      <c r="O273" s="8">
        <v>1</v>
      </c>
      <c r="P273" s="8" t="s">
        <v>136</v>
      </c>
      <c r="Q273" s="8" t="s">
        <v>136</v>
      </c>
      <c r="R273" s="8">
        <v>1</v>
      </c>
      <c r="S273" s="8">
        <v>1</v>
      </c>
      <c r="T273" s="8">
        <v>1</v>
      </c>
      <c r="U273" s="8">
        <v>1</v>
      </c>
      <c r="V273" s="8">
        <v>1</v>
      </c>
      <c r="W273" s="8" t="s">
        <v>136</v>
      </c>
      <c r="X273" s="8" t="s">
        <v>136</v>
      </c>
      <c r="Y273" s="8">
        <v>1</v>
      </c>
      <c r="Z273" s="8">
        <v>1</v>
      </c>
      <c r="AA273" s="8">
        <v>1</v>
      </c>
      <c r="AB273" s="8">
        <v>1</v>
      </c>
      <c r="AC273" s="8">
        <v>1</v>
      </c>
      <c r="AD273" s="8" t="s">
        <v>136</v>
      </c>
      <c r="AE273" s="8" t="s">
        <v>136</v>
      </c>
      <c r="AF273" s="8">
        <v>1</v>
      </c>
      <c r="AG273" s="8">
        <v>1</v>
      </c>
      <c r="AH273" s="8">
        <v>1</v>
      </c>
      <c r="AI273" s="8">
        <v>1</v>
      </c>
      <c r="AJ273" s="8">
        <v>1</v>
      </c>
      <c r="AK273" s="10">
        <v>23</v>
      </c>
      <c r="AL273" s="11">
        <v>23</v>
      </c>
      <c r="AM273" s="13">
        <v>23</v>
      </c>
      <c r="AN273" s="13">
        <v>0</v>
      </c>
      <c r="AO273" s="7" t="e">
        <v>#N/A</v>
      </c>
    </row>
    <row r="274" spans="1:41">
      <c r="A274" s="8" t="s">
        <v>131</v>
      </c>
      <c r="B274" s="8" t="s">
        <v>533</v>
      </c>
      <c r="C274" s="8" t="s">
        <v>685</v>
      </c>
      <c r="D274" s="8" t="s">
        <v>686</v>
      </c>
      <c r="E274" s="8" t="s">
        <v>135</v>
      </c>
      <c r="F274" s="8">
        <v>1</v>
      </c>
      <c r="G274" s="8">
        <v>1</v>
      </c>
      <c r="H274" s="8">
        <v>1</v>
      </c>
      <c r="I274" s="8" t="s">
        <v>136</v>
      </c>
      <c r="J274" s="8" t="s">
        <v>136</v>
      </c>
      <c r="K274" s="8">
        <v>1</v>
      </c>
      <c r="L274" s="8">
        <v>1</v>
      </c>
      <c r="M274" s="8">
        <v>1</v>
      </c>
      <c r="N274" s="8">
        <v>1</v>
      </c>
      <c r="O274" s="8">
        <v>1</v>
      </c>
      <c r="P274" s="8" t="s">
        <v>136</v>
      </c>
      <c r="Q274" s="8" t="s">
        <v>136</v>
      </c>
      <c r="R274" s="8">
        <v>1</v>
      </c>
      <c r="S274" s="8">
        <v>1</v>
      </c>
      <c r="T274" s="8">
        <v>1</v>
      </c>
      <c r="U274" s="8">
        <v>1</v>
      </c>
      <c r="V274" s="8">
        <v>1</v>
      </c>
      <c r="W274" s="8" t="s">
        <v>136</v>
      </c>
      <c r="X274" s="8" t="s">
        <v>136</v>
      </c>
      <c r="Y274" s="8">
        <v>1</v>
      </c>
      <c r="Z274" s="8">
        <v>1</v>
      </c>
      <c r="AA274" s="8">
        <v>1</v>
      </c>
      <c r="AB274" s="8">
        <v>1</v>
      </c>
      <c r="AC274" s="8">
        <v>1</v>
      </c>
      <c r="AD274" s="8" t="s">
        <v>136</v>
      </c>
      <c r="AE274" s="8" t="s">
        <v>136</v>
      </c>
      <c r="AF274" s="8">
        <v>1</v>
      </c>
      <c r="AG274" s="8">
        <v>1</v>
      </c>
      <c r="AH274" s="8">
        <v>1</v>
      </c>
      <c r="AI274" s="8">
        <v>1</v>
      </c>
      <c r="AJ274" s="8">
        <v>1</v>
      </c>
      <c r="AK274" s="10">
        <v>23</v>
      </c>
      <c r="AL274" s="11">
        <v>23</v>
      </c>
      <c r="AM274" s="13">
        <v>23</v>
      </c>
      <c r="AN274" s="13">
        <v>0</v>
      </c>
      <c r="AO274" s="7" t="e">
        <v>#N/A</v>
      </c>
    </row>
    <row r="275" spans="1:41">
      <c r="A275" s="8" t="s">
        <v>131</v>
      </c>
      <c r="B275" s="8" t="s">
        <v>533</v>
      </c>
      <c r="C275" s="8" t="s">
        <v>687</v>
      </c>
      <c r="D275" s="8" t="s">
        <v>688</v>
      </c>
      <c r="E275" s="8" t="s">
        <v>135</v>
      </c>
      <c r="F275" s="8">
        <v>1</v>
      </c>
      <c r="G275" s="8">
        <v>1</v>
      </c>
      <c r="H275" s="8">
        <v>1</v>
      </c>
      <c r="I275" s="8" t="s">
        <v>136</v>
      </c>
      <c r="J275" s="8" t="s">
        <v>136</v>
      </c>
      <c r="K275" s="8">
        <v>1</v>
      </c>
      <c r="L275" s="8">
        <v>1</v>
      </c>
      <c r="M275" s="8">
        <v>1</v>
      </c>
      <c r="N275" s="8">
        <v>1</v>
      </c>
      <c r="O275" s="8">
        <v>1</v>
      </c>
      <c r="P275" s="8" t="s">
        <v>136</v>
      </c>
      <c r="Q275" s="8" t="s">
        <v>136</v>
      </c>
      <c r="R275" s="8">
        <v>1</v>
      </c>
      <c r="S275" s="8">
        <v>1</v>
      </c>
      <c r="T275" s="8">
        <v>1</v>
      </c>
      <c r="U275" s="8">
        <v>1</v>
      </c>
      <c r="V275" s="8">
        <v>1</v>
      </c>
      <c r="W275" s="8" t="s">
        <v>136</v>
      </c>
      <c r="X275" s="8" t="s">
        <v>136</v>
      </c>
      <c r="Y275" s="8">
        <v>1</v>
      </c>
      <c r="Z275" s="8">
        <v>1</v>
      </c>
      <c r="AA275" s="8">
        <v>1</v>
      </c>
      <c r="AB275" s="8">
        <v>1</v>
      </c>
      <c r="AC275" s="8">
        <v>1</v>
      </c>
      <c r="AD275" s="8" t="s">
        <v>136</v>
      </c>
      <c r="AE275" s="8" t="s">
        <v>136</v>
      </c>
      <c r="AF275" s="8">
        <v>1</v>
      </c>
      <c r="AG275" s="8">
        <v>1</v>
      </c>
      <c r="AH275" s="8">
        <v>1</v>
      </c>
      <c r="AI275" s="8">
        <v>1</v>
      </c>
      <c r="AJ275" s="8">
        <v>1</v>
      </c>
      <c r="AK275" s="10">
        <v>23</v>
      </c>
      <c r="AL275" s="11">
        <v>23</v>
      </c>
      <c r="AM275" s="13">
        <v>23</v>
      </c>
      <c r="AN275" s="13">
        <v>0</v>
      </c>
      <c r="AO275" s="7" t="e">
        <v>#N/A</v>
      </c>
    </row>
    <row r="276" spans="1:41">
      <c r="A276" s="8" t="s">
        <v>131</v>
      </c>
      <c r="B276" s="8" t="s">
        <v>533</v>
      </c>
      <c r="C276" s="8" t="s">
        <v>689</v>
      </c>
      <c r="D276" s="8" t="s">
        <v>690</v>
      </c>
      <c r="E276" s="8" t="s">
        <v>135</v>
      </c>
      <c r="F276" s="8">
        <v>1</v>
      </c>
      <c r="G276" s="8">
        <v>1</v>
      </c>
      <c r="H276" s="8">
        <v>1</v>
      </c>
      <c r="I276" s="8" t="s">
        <v>136</v>
      </c>
      <c r="J276" s="8" t="s">
        <v>136</v>
      </c>
      <c r="K276" s="8">
        <v>1</v>
      </c>
      <c r="L276" s="8">
        <v>1</v>
      </c>
      <c r="M276" s="8">
        <v>1</v>
      </c>
      <c r="N276" s="8">
        <v>1</v>
      </c>
      <c r="O276" s="8">
        <v>1</v>
      </c>
      <c r="P276" s="8" t="s">
        <v>136</v>
      </c>
      <c r="Q276" s="8" t="s">
        <v>136</v>
      </c>
      <c r="R276" s="8">
        <v>1</v>
      </c>
      <c r="S276" s="8">
        <v>1</v>
      </c>
      <c r="T276" s="8">
        <v>1</v>
      </c>
      <c r="U276" s="8">
        <v>1</v>
      </c>
      <c r="V276" s="8">
        <v>1</v>
      </c>
      <c r="W276" s="8" t="s">
        <v>136</v>
      </c>
      <c r="X276" s="8" t="s">
        <v>136</v>
      </c>
      <c r="Y276" s="8">
        <v>1</v>
      </c>
      <c r="Z276" s="8">
        <v>1</v>
      </c>
      <c r="AA276" s="8">
        <v>1</v>
      </c>
      <c r="AB276" s="8">
        <v>1</v>
      </c>
      <c r="AC276" s="8">
        <v>1</v>
      </c>
      <c r="AD276" s="8" t="s">
        <v>136</v>
      </c>
      <c r="AE276" s="8" t="s">
        <v>136</v>
      </c>
      <c r="AF276" s="8">
        <v>1</v>
      </c>
      <c r="AG276" s="8">
        <v>1</v>
      </c>
      <c r="AH276" s="8">
        <v>1</v>
      </c>
      <c r="AI276" s="8">
        <v>1</v>
      </c>
      <c r="AJ276" s="8">
        <v>1</v>
      </c>
      <c r="AK276" s="10">
        <v>23</v>
      </c>
      <c r="AL276" s="11">
        <v>23</v>
      </c>
      <c r="AM276" s="13">
        <v>23</v>
      </c>
      <c r="AN276" s="13">
        <v>0</v>
      </c>
      <c r="AO276" s="7" t="e">
        <v>#N/A</v>
      </c>
    </row>
    <row r="277" spans="1:41">
      <c r="A277" s="8" t="s">
        <v>131</v>
      </c>
      <c r="B277" s="8" t="s">
        <v>533</v>
      </c>
      <c r="C277" s="8" t="s">
        <v>691</v>
      </c>
      <c r="D277" s="8" t="s">
        <v>692</v>
      </c>
      <c r="E277" s="8" t="s">
        <v>135</v>
      </c>
      <c r="F277" s="8">
        <v>1</v>
      </c>
      <c r="G277" s="8">
        <v>1</v>
      </c>
      <c r="H277" s="8">
        <v>1</v>
      </c>
      <c r="I277" s="8" t="s">
        <v>136</v>
      </c>
      <c r="J277" s="8" t="s">
        <v>136</v>
      </c>
      <c r="K277" s="8">
        <v>1</v>
      </c>
      <c r="L277" s="8">
        <v>1</v>
      </c>
      <c r="M277" s="8">
        <v>1</v>
      </c>
      <c r="N277" s="8">
        <v>1</v>
      </c>
      <c r="O277" s="8">
        <v>1</v>
      </c>
      <c r="P277" s="8" t="s">
        <v>136</v>
      </c>
      <c r="Q277" s="8" t="s">
        <v>136</v>
      </c>
      <c r="R277" s="8">
        <v>1</v>
      </c>
      <c r="S277" s="8">
        <v>1</v>
      </c>
      <c r="T277" s="8">
        <v>1</v>
      </c>
      <c r="U277" s="8">
        <v>1</v>
      </c>
      <c r="V277" s="8">
        <v>1</v>
      </c>
      <c r="W277" s="8" t="s">
        <v>136</v>
      </c>
      <c r="X277" s="8" t="s">
        <v>136</v>
      </c>
      <c r="Y277" s="8">
        <v>1</v>
      </c>
      <c r="Z277" s="8">
        <v>1</v>
      </c>
      <c r="AA277" s="8">
        <v>1</v>
      </c>
      <c r="AB277" s="8">
        <v>1</v>
      </c>
      <c r="AC277" s="8">
        <v>1</v>
      </c>
      <c r="AD277" s="8" t="s">
        <v>136</v>
      </c>
      <c r="AE277" s="8" t="s">
        <v>136</v>
      </c>
      <c r="AF277" s="8">
        <v>1</v>
      </c>
      <c r="AG277" s="8">
        <v>1</v>
      </c>
      <c r="AH277" s="8">
        <v>1</v>
      </c>
      <c r="AI277" s="8">
        <v>1</v>
      </c>
      <c r="AJ277" s="8">
        <v>1</v>
      </c>
      <c r="AK277" s="10">
        <v>23</v>
      </c>
      <c r="AL277" s="11">
        <v>23</v>
      </c>
      <c r="AM277" s="13">
        <v>23</v>
      </c>
      <c r="AN277" s="13">
        <v>0</v>
      </c>
      <c r="AO277" s="7" t="e">
        <v>#N/A</v>
      </c>
    </row>
    <row r="278" spans="1:41">
      <c r="A278" s="8" t="s">
        <v>131</v>
      </c>
      <c r="B278" s="8" t="s">
        <v>533</v>
      </c>
      <c r="C278" s="8" t="s">
        <v>693</v>
      </c>
      <c r="D278" s="8" t="s">
        <v>694</v>
      </c>
      <c r="E278" s="8" t="s">
        <v>135</v>
      </c>
      <c r="F278" s="8">
        <v>1</v>
      </c>
      <c r="G278" s="8">
        <v>1</v>
      </c>
      <c r="H278" s="8">
        <v>1</v>
      </c>
      <c r="I278" s="8" t="s">
        <v>136</v>
      </c>
      <c r="J278" s="8" t="s">
        <v>136</v>
      </c>
      <c r="K278" s="8">
        <v>1</v>
      </c>
      <c r="L278" s="8">
        <v>1</v>
      </c>
      <c r="M278" s="8">
        <v>1</v>
      </c>
      <c r="N278" s="8">
        <v>1</v>
      </c>
      <c r="O278" s="8">
        <v>1</v>
      </c>
      <c r="P278" s="8" t="s">
        <v>136</v>
      </c>
      <c r="Q278" s="8" t="s">
        <v>136</v>
      </c>
      <c r="R278" s="8">
        <v>1</v>
      </c>
      <c r="S278" s="8">
        <v>1</v>
      </c>
      <c r="T278" s="8">
        <v>1</v>
      </c>
      <c r="U278" s="8">
        <v>1</v>
      </c>
      <c r="V278" s="8">
        <v>1</v>
      </c>
      <c r="W278" s="8" t="s">
        <v>136</v>
      </c>
      <c r="X278" s="8" t="s">
        <v>136</v>
      </c>
      <c r="Y278" s="8">
        <v>1</v>
      </c>
      <c r="Z278" s="8">
        <v>1</v>
      </c>
      <c r="AA278" s="8">
        <v>1</v>
      </c>
      <c r="AB278" s="8">
        <v>1</v>
      </c>
      <c r="AC278" s="8">
        <v>1</v>
      </c>
      <c r="AD278" s="8" t="s">
        <v>136</v>
      </c>
      <c r="AE278" s="8" t="s">
        <v>136</v>
      </c>
      <c r="AF278" s="8">
        <v>1</v>
      </c>
      <c r="AG278" s="8">
        <v>1</v>
      </c>
      <c r="AH278" s="8">
        <v>1</v>
      </c>
      <c r="AI278" s="8">
        <v>1</v>
      </c>
      <c r="AJ278" s="8">
        <v>1</v>
      </c>
      <c r="AK278" s="10">
        <v>23</v>
      </c>
      <c r="AL278" s="11">
        <v>23</v>
      </c>
      <c r="AM278" s="13">
        <v>23</v>
      </c>
      <c r="AN278" s="13">
        <v>0</v>
      </c>
      <c r="AO278" s="7" t="e">
        <v>#N/A</v>
      </c>
    </row>
    <row r="279" spans="1:41">
      <c r="A279" s="8" t="s">
        <v>131</v>
      </c>
      <c r="B279" s="8" t="s">
        <v>533</v>
      </c>
      <c r="C279" s="8" t="s">
        <v>695</v>
      </c>
      <c r="D279" s="8" t="s">
        <v>696</v>
      </c>
      <c r="E279" s="8" t="s">
        <v>135</v>
      </c>
      <c r="F279" s="8">
        <v>1</v>
      </c>
      <c r="G279" s="8">
        <v>1</v>
      </c>
      <c r="H279" s="8">
        <v>1</v>
      </c>
      <c r="I279" s="8" t="s">
        <v>136</v>
      </c>
      <c r="J279" s="8" t="s">
        <v>136</v>
      </c>
      <c r="K279" s="8">
        <v>1</v>
      </c>
      <c r="L279" s="8">
        <v>1</v>
      </c>
      <c r="M279" s="8">
        <v>1</v>
      </c>
      <c r="N279" s="8">
        <v>1</v>
      </c>
      <c r="O279" s="8">
        <v>1</v>
      </c>
      <c r="P279" s="8" t="s">
        <v>136</v>
      </c>
      <c r="Q279" s="8" t="s">
        <v>136</v>
      </c>
      <c r="R279" s="8">
        <v>1</v>
      </c>
      <c r="S279" s="8">
        <v>1</v>
      </c>
      <c r="T279" s="8">
        <v>1</v>
      </c>
      <c r="U279" s="8">
        <v>1</v>
      </c>
      <c r="V279" s="8">
        <v>1</v>
      </c>
      <c r="W279" s="8" t="s">
        <v>136</v>
      </c>
      <c r="X279" s="8" t="s">
        <v>136</v>
      </c>
      <c r="Y279" s="8">
        <v>1</v>
      </c>
      <c r="Z279" s="8">
        <v>1</v>
      </c>
      <c r="AA279" s="8">
        <v>1</v>
      </c>
      <c r="AB279" s="8">
        <v>1</v>
      </c>
      <c r="AC279" s="8">
        <v>1</v>
      </c>
      <c r="AD279" s="8" t="s">
        <v>136</v>
      </c>
      <c r="AE279" s="8" t="s">
        <v>136</v>
      </c>
      <c r="AF279" s="8">
        <v>1</v>
      </c>
      <c r="AG279" s="8">
        <v>1</v>
      </c>
      <c r="AH279" s="8">
        <v>1</v>
      </c>
      <c r="AI279" s="8">
        <v>1</v>
      </c>
      <c r="AJ279" s="8">
        <v>1</v>
      </c>
      <c r="AK279" s="10">
        <v>23</v>
      </c>
      <c r="AL279" s="11">
        <v>23</v>
      </c>
      <c r="AM279" s="13">
        <v>23</v>
      </c>
      <c r="AN279" s="13">
        <v>0</v>
      </c>
      <c r="AO279" s="7" t="e">
        <v>#N/A</v>
      </c>
    </row>
    <row r="280" spans="1:41">
      <c r="A280" s="8" t="s">
        <v>131</v>
      </c>
      <c r="B280" s="8" t="s">
        <v>533</v>
      </c>
      <c r="C280" s="8" t="s">
        <v>697</v>
      </c>
      <c r="D280" s="8" t="s">
        <v>698</v>
      </c>
      <c r="E280" s="8" t="s">
        <v>135</v>
      </c>
      <c r="F280" s="8">
        <v>1</v>
      </c>
      <c r="G280" s="8">
        <v>1</v>
      </c>
      <c r="H280" s="8">
        <v>1</v>
      </c>
      <c r="I280" s="8" t="s">
        <v>136</v>
      </c>
      <c r="J280" s="8" t="s">
        <v>136</v>
      </c>
      <c r="K280" s="8">
        <v>1</v>
      </c>
      <c r="L280" s="8">
        <v>1</v>
      </c>
      <c r="M280" s="8">
        <v>1</v>
      </c>
      <c r="N280" s="8">
        <v>1</v>
      </c>
      <c r="O280" s="8">
        <v>1</v>
      </c>
      <c r="P280" s="8" t="s">
        <v>136</v>
      </c>
      <c r="Q280" s="8" t="s">
        <v>136</v>
      </c>
      <c r="R280" s="8">
        <v>1</v>
      </c>
      <c r="S280" s="8">
        <v>1</v>
      </c>
      <c r="T280" s="8">
        <v>1</v>
      </c>
      <c r="U280" s="8">
        <v>1</v>
      </c>
      <c r="V280" s="8">
        <v>1</v>
      </c>
      <c r="W280" s="8" t="s">
        <v>136</v>
      </c>
      <c r="X280" s="8" t="s">
        <v>136</v>
      </c>
      <c r="Y280" s="8">
        <v>1</v>
      </c>
      <c r="Z280" s="8">
        <v>1</v>
      </c>
      <c r="AA280" s="8">
        <v>1</v>
      </c>
      <c r="AB280" s="8">
        <v>1</v>
      </c>
      <c r="AC280" s="8">
        <v>1</v>
      </c>
      <c r="AD280" s="8" t="s">
        <v>136</v>
      </c>
      <c r="AE280" s="8" t="s">
        <v>136</v>
      </c>
      <c r="AF280" s="8">
        <v>1</v>
      </c>
      <c r="AG280" s="8">
        <v>1</v>
      </c>
      <c r="AH280" s="8">
        <v>1</v>
      </c>
      <c r="AI280" s="8">
        <v>1</v>
      </c>
      <c r="AJ280" s="8">
        <v>1</v>
      </c>
      <c r="AK280" s="10">
        <v>23</v>
      </c>
      <c r="AL280" s="11">
        <v>23</v>
      </c>
      <c r="AM280" s="13">
        <v>23</v>
      </c>
      <c r="AN280" s="13">
        <v>0</v>
      </c>
      <c r="AO280" s="7" t="e">
        <v>#N/A</v>
      </c>
    </row>
    <row r="281" spans="1:41">
      <c r="A281" s="8" t="s">
        <v>131</v>
      </c>
      <c r="B281" s="8" t="s">
        <v>533</v>
      </c>
      <c r="C281" s="8" t="s">
        <v>699</v>
      </c>
      <c r="D281" s="8" t="s">
        <v>700</v>
      </c>
      <c r="E281" s="8" t="s">
        <v>135</v>
      </c>
      <c r="F281" s="8">
        <v>1</v>
      </c>
      <c r="G281" s="8">
        <v>1</v>
      </c>
      <c r="H281" s="8">
        <v>1</v>
      </c>
      <c r="I281" s="8" t="s">
        <v>136</v>
      </c>
      <c r="J281" s="8" t="s">
        <v>136</v>
      </c>
      <c r="K281" s="8">
        <v>1</v>
      </c>
      <c r="L281" s="8">
        <v>1</v>
      </c>
      <c r="M281" s="8">
        <v>1</v>
      </c>
      <c r="N281" s="8">
        <v>1</v>
      </c>
      <c r="O281" s="8">
        <v>1</v>
      </c>
      <c r="P281" s="8" t="s">
        <v>136</v>
      </c>
      <c r="Q281" s="8" t="s">
        <v>136</v>
      </c>
      <c r="R281" s="8">
        <v>1</v>
      </c>
      <c r="S281" s="8">
        <v>1</v>
      </c>
      <c r="T281" s="8">
        <v>1</v>
      </c>
      <c r="U281" s="8">
        <v>1</v>
      </c>
      <c r="V281" s="8">
        <v>1</v>
      </c>
      <c r="W281" s="8" t="s">
        <v>136</v>
      </c>
      <c r="X281" s="8" t="s">
        <v>136</v>
      </c>
      <c r="Y281" s="8">
        <v>1</v>
      </c>
      <c r="Z281" s="8">
        <v>1</v>
      </c>
      <c r="AA281" s="8">
        <v>1</v>
      </c>
      <c r="AB281" s="8">
        <v>1</v>
      </c>
      <c r="AC281" s="8">
        <v>1</v>
      </c>
      <c r="AD281" s="8" t="s">
        <v>136</v>
      </c>
      <c r="AE281" s="8" t="s">
        <v>136</v>
      </c>
      <c r="AF281" s="8">
        <v>1</v>
      </c>
      <c r="AG281" s="8">
        <v>1</v>
      </c>
      <c r="AH281" s="8">
        <v>1</v>
      </c>
      <c r="AI281" s="8">
        <v>1</v>
      </c>
      <c r="AJ281" s="8">
        <v>1</v>
      </c>
      <c r="AK281" s="10">
        <v>23</v>
      </c>
      <c r="AL281" s="11">
        <v>23</v>
      </c>
      <c r="AM281" s="13">
        <v>23</v>
      </c>
      <c r="AN281" s="13">
        <v>0</v>
      </c>
      <c r="AO281" s="7" t="e">
        <v>#N/A</v>
      </c>
    </row>
    <row r="282" spans="1:41">
      <c r="A282" s="8" t="s">
        <v>131</v>
      </c>
      <c r="B282" s="8" t="s">
        <v>533</v>
      </c>
      <c r="C282" s="8" t="s">
        <v>701</v>
      </c>
      <c r="D282" s="8" t="s">
        <v>702</v>
      </c>
      <c r="E282" s="8" t="s">
        <v>135</v>
      </c>
      <c r="F282" s="8">
        <v>1</v>
      </c>
      <c r="G282" s="8">
        <v>1</v>
      </c>
      <c r="H282" s="8">
        <v>1</v>
      </c>
      <c r="I282" s="8" t="s">
        <v>136</v>
      </c>
      <c r="J282" s="8" t="s">
        <v>136</v>
      </c>
      <c r="K282" s="8">
        <v>1</v>
      </c>
      <c r="L282" s="8">
        <v>1</v>
      </c>
      <c r="M282" s="8">
        <v>1</v>
      </c>
      <c r="N282" s="8">
        <v>1</v>
      </c>
      <c r="O282" s="8">
        <v>1</v>
      </c>
      <c r="P282" s="8" t="s">
        <v>136</v>
      </c>
      <c r="Q282" s="8" t="s">
        <v>136</v>
      </c>
      <c r="R282" s="8">
        <v>1</v>
      </c>
      <c r="S282" s="8">
        <v>1</v>
      </c>
      <c r="T282" s="8">
        <v>1</v>
      </c>
      <c r="U282" s="8">
        <v>1</v>
      </c>
      <c r="V282" s="8">
        <v>1</v>
      </c>
      <c r="W282" s="8" t="s">
        <v>136</v>
      </c>
      <c r="X282" s="8" t="s">
        <v>136</v>
      </c>
      <c r="Y282" s="8">
        <v>1</v>
      </c>
      <c r="Z282" s="8">
        <v>1</v>
      </c>
      <c r="AA282" s="8">
        <v>1</v>
      </c>
      <c r="AB282" s="8">
        <v>1</v>
      </c>
      <c r="AC282" s="8">
        <v>1</v>
      </c>
      <c r="AD282" s="8" t="s">
        <v>136</v>
      </c>
      <c r="AE282" s="8" t="s">
        <v>136</v>
      </c>
      <c r="AF282" s="8">
        <v>1</v>
      </c>
      <c r="AG282" s="8">
        <v>1</v>
      </c>
      <c r="AH282" s="8">
        <v>1</v>
      </c>
      <c r="AI282" s="8">
        <v>1</v>
      </c>
      <c r="AJ282" s="8">
        <v>1</v>
      </c>
      <c r="AK282" s="10">
        <v>23</v>
      </c>
      <c r="AL282" s="11">
        <v>23</v>
      </c>
      <c r="AM282" s="13">
        <v>23</v>
      </c>
      <c r="AN282" s="13">
        <v>0</v>
      </c>
      <c r="AO282" s="7" t="e">
        <v>#N/A</v>
      </c>
    </row>
    <row r="283" spans="1:41">
      <c r="A283" s="8" t="s">
        <v>131</v>
      </c>
      <c r="B283" s="8" t="s">
        <v>533</v>
      </c>
      <c r="C283" s="8" t="s">
        <v>703</v>
      </c>
      <c r="D283" s="8" t="s">
        <v>524</v>
      </c>
      <c r="E283" s="8" t="s">
        <v>135</v>
      </c>
      <c r="F283" s="8">
        <v>1</v>
      </c>
      <c r="G283" s="8">
        <v>1</v>
      </c>
      <c r="H283" s="8">
        <v>1</v>
      </c>
      <c r="I283" s="8" t="s">
        <v>136</v>
      </c>
      <c r="J283" s="8" t="s">
        <v>136</v>
      </c>
      <c r="K283" s="8">
        <v>1</v>
      </c>
      <c r="L283" s="8">
        <v>1</v>
      </c>
      <c r="M283" s="8">
        <v>1</v>
      </c>
      <c r="N283" s="8">
        <v>1</v>
      </c>
      <c r="O283" s="8">
        <v>1</v>
      </c>
      <c r="P283" s="8" t="s">
        <v>136</v>
      </c>
      <c r="Q283" s="8" t="s">
        <v>136</v>
      </c>
      <c r="R283" s="8">
        <v>1</v>
      </c>
      <c r="S283" s="8">
        <v>1</v>
      </c>
      <c r="T283" s="8">
        <v>1</v>
      </c>
      <c r="U283" s="8">
        <v>1</v>
      </c>
      <c r="V283" s="8">
        <v>1</v>
      </c>
      <c r="W283" s="8" t="s">
        <v>136</v>
      </c>
      <c r="X283" s="8" t="s">
        <v>136</v>
      </c>
      <c r="Y283" s="8">
        <v>1</v>
      </c>
      <c r="Z283" s="8">
        <v>1</v>
      </c>
      <c r="AA283" s="8">
        <v>1</v>
      </c>
      <c r="AB283" s="8">
        <v>1</v>
      </c>
      <c r="AC283" s="8">
        <v>1</v>
      </c>
      <c r="AD283" s="8" t="s">
        <v>136</v>
      </c>
      <c r="AE283" s="8" t="s">
        <v>136</v>
      </c>
      <c r="AF283" s="8">
        <v>1</v>
      </c>
      <c r="AG283" s="8">
        <v>1</v>
      </c>
      <c r="AH283" s="8">
        <v>1</v>
      </c>
      <c r="AI283" s="8">
        <v>1</v>
      </c>
      <c r="AJ283" s="8">
        <v>1</v>
      </c>
      <c r="AK283" s="10">
        <v>23</v>
      </c>
      <c r="AL283" s="11">
        <v>23</v>
      </c>
      <c r="AM283" s="13">
        <v>23</v>
      </c>
      <c r="AN283" s="13">
        <v>0</v>
      </c>
      <c r="AO283" s="7" t="e">
        <v>#N/A</v>
      </c>
    </row>
    <row r="284" spans="1:41">
      <c r="A284" s="8" t="s">
        <v>131</v>
      </c>
      <c r="B284" s="8" t="s">
        <v>533</v>
      </c>
      <c r="C284" s="8" t="s">
        <v>704</v>
      </c>
      <c r="D284" s="8" t="s">
        <v>705</v>
      </c>
      <c r="E284" s="8" t="s">
        <v>135</v>
      </c>
      <c r="F284" s="8">
        <v>1</v>
      </c>
      <c r="G284" s="8">
        <v>1</v>
      </c>
      <c r="H284" s="8">
        <v>1</v>
      </c>
      <c r="I284" s="8" t="s">
        <v>136</v>
      </c>
      <c r="J284" s="8" t="s">
        <v>136</v>
      </c>
      <c r="K284" s="8">
        <v>1</v>
      </c>
      <c r="L284" s="8">
        <v>1</v>
      </c>
      <c r="M284" s="8">
        <v>1</v>
      </c>
      <c r="N284" s="8">
        <v>1</v>
      </c>
      <c r="O284" s="8">
        <v>1</v>
      </c>
      <c r="P284" s="8" t="s">
        <v>136</v>
      </c>
      <c r="Q284" s="8" t="s">
        <v>136</v>
      </c>
      <c r="R284" s="8">
        <v>1</v>
      </c>
      <c r="S284" s="8">
        <v>1</v>
      </c>
      <c r="T284" s="8">
        <v>1</v>
      </c>
      <c r="U284" s="8">
        <v>1</v>
      </c>
      <c r="V284" s="8">
        <v>1</v>
      </c>
      <c r="W284" s="8" t="s">
        <v>136</v>
      </c>
      <c r="X284" s="8" t="s">
        <v>136</v>
      </c>
      <c r="Y284" s="8">
        <v>1</v>
      </c>
      <c r="Z284" s="8">
        <v>1</v>
      </c>
      <c r="AA284" s="8">
        <v>1</v>
      </c>
      <c r="AB284" s="8">
        <v>1</v>
      </c>
      <c r="AC284" s="8">
        <v>1</v>
      </c>
      <c r="AD284" s="8" t="s">
        <v>136</v>
      </c>
      <c r="AE284" s="8" t="s">
        <v>136</v>
      </c>
      <c r="AF284" s="8">
        <v>1</v>
      </c>
      <c r="AG284" s="8">
        <v>1</v>
      </c>
      <c r="AH284" s="8">
        <v>1</v>
      </c>
      <c r="AI284" s="8">
        <v>1</v>
      </c>
      <c r="AJ284" s="8">
        <v>1</v>
      </c>
      <c r="AK284" s="10">
        <v>23</v>
      </c>
      <c r="AL284" s="11">
        <v>23</v>
      </c>
      <c r="AM284" s="13">
        <v>23</v>
      </c>
      <c r="AN284" s="13">
        <v>0</v>
      </c>
      <c r="AO284" s="7" t="e">
        <v>#N/A</v>
      </c>
    </row>
    <row r="285" spans="1:41">
      <c r="A285" s="8" t="s">
        <v>131</v>
      </c>
      <c r="B285" s="8" t="s">
        <v>533</v>
      </c>
      <c r="C285" s="8" t="s">
        <v>706</v>
      </c>
      <c r="D285" s="8" t="s">
        <v>707</v>
      </c>
      <c r="E285" s="8" t="s">
        <v>135</v>
      </c>
      <c r="F285" s="8">
        <v>1</v>
      </c>
      <c r="G285" s="8">
        <v>1</v>
      </c>
      <c r="H285" s="8">
        <v>1</v>
      </c>
      <c r="I285" s="8" t="s">
        <v>136</v>
      </c>
      <c r="J285" s="8" t="s">
        <v>136</v>
      </c>
      <c r="K285" s="8">
        <v>1</v>
      </c>
      <c r="L285" s="8">
        <v>1</v>
      </c>
      <c r="M285" s="8">
        <v>1</v>
      </c>
      <c r="N285" s="8">
        <v>1</v>
      </c>
      <c r="O285" s="8">
        <v>1</v>
      </c>
      <c r="P285" s="8" t="s">
        <v>136</v>
      </c>
      <c r="Q285" s="8" t="s">
        <v>136</v>
      </c>
      <c r="R285" s="8">
        <v>1</v>
      </c>
      <c r="S285" s="8">
        <v>1</v>
      </c>
      <c r="T285" s="8">
        <v>1</v>
      </c>
      <c r="U285" s="8">
        <v>1</v>
      </c>
      <c r="V285" s="8">
        <v>1</v>
      </c>
      <c r="W285" s="8" t="s">
        <v>136</v>
      </c>
      <c r="X285" s="8" t="s">
        <v>136</v>
      </c>
      <c r="Y285" s="8">
        <v>1</v>
      </c>
      <c r="Z285" s="8">
        <v>1</v>
      </c>
      <c r="AA285" s="8">
        <v>1</v>
      </c>
      <c r="AB285" s="8">
        <v>1</v>
      </c>
      <c r="AC285" s="8">
        <v>1</v>
      </c>
      <c r="AD285" s="8" t="s">
        <v>136</v>
      </c>
      <c r="AE285" s="8" t="s">
        <v>136</v>
      </c>
      <c r="AF285" s="8">
        <v>1</v>
      </c>
      <c r="AG285" s="8">
        <v>1</v>
      </c>
      <c r="AH285" s="8">
        <v>1</v>
      </c>
      <c r="AI285" s="8">
        <v>1</v>
      </c>
      <c r="AJ285" s="8">
        <v>1</v>
      </c>
      <c r="AK285" s="10">
        <v>23</v>
      </c>
      <c r="AL285" s="11">
        <v>23</v>
      </c>
      <c r="AM285" s="13">
        <v>23</v>
      </c>
      <c r="AN285" s="13">
        <v>0</v>
      </c>
      <c r="AO285" s="7" t="e">
        <v>#N/A</v>
      </c>
    </row>
    <row r="286" spans="1:41">
      <c r="A286" s="8" t="s">
        <v>131</v>
      </c>
      <c r="B286" s="8" t="s">
        <v>533</v>
      </c>
      <c r="C286" s="8" t="s">
        <v>708</v>
      </c>
      <c r="D286" s="8" t="s">
        <v>709</v>
      </c>
      <c r="E286" s="8" t="s">
        <v>135</v>
      </c>
      <c r="F286" s="8">
        <v>1</v>
      </c>
      <c r="G286" s="8">
        <v>1</v>
      </c>
      <c r="H286" s="8">
        <v>1</v>
      </c>
      <c r="I286" s="8" t="s">
        <v>136</v>
      </c>
      <c r="J286" s="8" t="s">
        <v>136</v>
      </c>
      <c r="K286" s="8">
        <v>1</v>
      </c>
      <c r="L286" s="8">
        <v>1</v>
      </c>
      <c r="M286" s="8">
        <v>1</v>
      </c>
      <c r="N286" s="8">
        <v>1</v>
      </c>
      <c r="O286" s="8">
        <v>1</v>
      </c>
      <c r="P286" s="8" t="s">
        <v>136</v>
      </c>
      <c r="Q286" s="8" t="s">
        <v>136</v>
      </c>
      <c r="R286" s="8">
        <v>1</v>
      </c>
      <c r="S286" s="8">
        <v>1</v>
      </c>
      <c r="T286" s="8">
        <v>1</v>
      </c>
      <c r="U286" s="8">
        <v>1</v>
      </c>
      <c r="V286" s="8">
        <v>1</v>
      </c>
      <c r="W286" s="8" t="s">
        <v>136</v>
      </c>
      <c r="X286" s="8" t="s">
        <v>136</v>
      </c>
      <c r="Y286" s="8">
        <v>1</v>
      </c>
      <c r="Z286" s="8">
        <v>1</v>
      </c>
      <c r="AA286" s="8">
        <v>1</v>
      </c>
      <c r="AB286" s="8">
        <v>1</v>
      </c>
      <c r="AC286" s="8">
        <v>1</v>
      </c>
      <c r="AD286" s="8" t="s">
        <v>136</v>
      </c>
      <c r="AE286" s="8" t="s">
        <v>136</v>
      </c>
      <c r="AF286" s="8">
        <v>1</v>
      </c>
      <c r="AG286" s="8">
        <v>1</v>
      </c>
      <c r="AH286" s="8">
        <v>1</v>
      </c>
      <c r="AI286" s="8">
        <v>1</v>
      </c>
      <c r="AJ286" s="8">
        <v>1</v>
      </c>
      <c r="AK286" s="10">
        <v>23</v>
      </c>
      <c r="AL286" s="11">
        <v>23</v>
      </c>
      <c r="AM286" s="13">
        <v>23</v>
      </c>
      <c r="AN286" s="13">
        <v>0</v>
      </c>
      <c r="AO286" s="7" t="e">
        <v>#N/A</v>
      </c>
    </row>
    <row r="287" spans="1:41">
      <c r="A287" s="8" t="s">
        <v>131</v>
      </c>
      <c r="B287" s="8" t="s">
        <v>533</v>
      </c>
      <c r="C287" s="8" t="s">
        <v>710</v>
      </c>
      <c r="D287" s="8" t="s">
        <v>711</v>
      </c>
      <c r="E287" s="8" t="s">
        <v>135</v>
      </c>
      <c r="F287" s="8">
        <v>1</v>
      </c>
      <c r="G287" s="8">
        <v>1</v>
      </c>
      <c r="H287" s="8">
        <v>1</v>
      </c>
      <c r="I287" s="8" t="s">
        <v>136</v>
      </c>
      <c r="J287" s="8" t="s">
        <v>136</v>
      </c>
      <c r="K287" s="8">
        <v>1</v>
      </c>
      <c r="L287" s="8">
        <v>1</v>
      </c>
      <c r="M287" s="8">
        <v>1</v>
      </c>
      <c r="N287" s="8">
        <v>1</v>
      </c>
      <c r="O287" s="8">
        <v>1</v>
      </c>
      <c r="P287" s="8" t="s">
        <v>136</v>
      </c>
      <c r="Q287" s="8" t="s">
        <v>136</v>
      </c>
      <c r="R287" s="8">
        <v>1</v>
      </c>
      <c r="S287" s="8">
        <v>1</v>
      </c>
      <c r="T287" s="8">
        <v>1</v>
      </c>
      <c r="U287" s="8">
        <v>1</v>
      </c>
      <c r="V287" s="8">
        <v>1</v>
      </c>
      <c r="W287" s="8" t="s">
        <v>136</v>
      </c>
      <c r="X287" s="8" t="s">
        <v>136</v>
      </c>
      <c r="Y287" s="8">
        <v>1</v>
      </c>
      <c r="Z287" s="8">
        <v>1</v>
      </c>
      <c r="AA287" s="8">
        <v>1</v>
      </c>
      <c r="AB287" s="8">
        <v>1</v>
      </c>
      <c r="AC287" s="8">
        <v>1</v>
      </c>
      <c r="AD287" s="8" t="s">
        <v>136</v>
      </c>
      <c r="AE287" s="8" t="s">
        <v>136</v>
      </c>
      <c r="AF287" s="8">
        <v>1</v>
      </c>
      <c r="AG287" s="8">
        <v>1</v>
      </c>
      <c r="AH287" s="8">
        <v>1</v>
      </c>
      <c r="AI287" s="8">
        <v>1</v>
      </c>
      <c r="AJ287" s="8">
        <v>1</v>
      </c>
      <c r="AK287" s="10">
        <v>23</v>
      </c>
      <c r="AL287" s="11">
        <v>23</v>
      </c>
      <c r="AM287" s="13">
        <v>23</v>
      </c>
      <c r="AN287" s="13">
        <v>0</v>
      </c>
      <c r="AO287" s="7" t="e">
        <v>#N/A</v>
      </c>
    </row>
    <row r="288" spans="1:41">
      <c r="A288" s="8" t="s">
        <v>131</v>
      </c>
      <c r="B288" s="8" t="s">
        <v>533</v>
      </c>
      <c r="C288" s="8" t="s">
        <v>712</v>
      </c>
      <c r="D288" s="8" t="s">
        <v>713</v>
      </c>
      <c r="E288" s="8" t="s">
        <v>135</v>
      </c>
      <c r="F288" s="8">
        <v>1</v>
      </c>
      <c r="G288" s="8">
        <v>1</v>
      </c>
      <c r="H288" s="8">
        <v>1</v>
      </c>
      <c r="I288" s="8" t="s">
        <v>136</v>
      </c>
      <c r="J288" s="8" t="s">
        <v>136</v>
      </c>
      <c r="K288" s="8">
        <v>1</v>
      </c>
      <c r="L288" s="8">
        <v>1</v>
      </c>
      <c r="M288" s="8">
        <v>1</v>
      </c>
      <c r="N288" s="8">
        <v>1</v>
      </c>
      <c r="O288" s="8">
        <v>1</v>
      </c>
      <c r="P288" s="8" t="s">
        <v>136</v>
      </c>
      <c r="Q288" s="8" t="s">
        <v>136</v>
      </c>
      <c r="R288" s="8">
        <v>1</v>
      </c>
      <c r="S288" s="8">
        <v>1</v>
      </c>
      <c r="T288" s="8">
        <v>1</v>
      </c>
      <c r="U288" s="8">
        <v>1</v>
      </c>
      <c r="V288" s="8">
        <v>1</v>
      </c>
      <c r="W288" s="8" t="s">
        <v>136</v>
      </c>
      <c r="X288" s="8" t="s">
        <v>136</v>
      </c>
      <c r="Y288" s="8">
        <v>1</v>
      </c>
      <c r="Z288" s="8">
        <v>1</v>
      </c>
      <c r="AA288" s="8">
        <v>1</v>
      </c>
      <c r="AB288" s="8">
        <v>1</v>
      </c>
      <c r="AC288" s="8">
        <v>1</v>
      </c>
      <c r="AD288" s="8" t="s">
        <v>136</v>
      </c>
      <c r="AE288" s="8" t="s">
        <v>136</v>
      </c>
      <c r="AF288" s="8">
        <v>1</v>
      </c>
      <c r="AG288" s="8">
        <v>1</v>
      </c>
      <c r="AH288" s="8">
        <v>1</v>
      </c>
      <c r="AI288" s="8">
        <v>1</v>
      </c>
      <c r="AJ288" s="8">
        <v>1</v>
      </c>
      <c r="AK288" s="10">
        <v>23</v>
      </c>
      <c r="AL288" s="11">
        <v>23</v>
      </c>
      <c r="AM288" s="13">
        <v>23</v>
      </c>
      <c r="AN288" s="13">
        <v>0</v>
      </c>
      <c r="AO288" s="7" t="e">
        <v>#N/A</v>
      </c>
    </row>
    <row r="289" spans="1:41">
      <c r="A289" s="8" t="s">
        <v>131</v>
      </c>
      <c r="B289" s="8" t="s">
        <v>533</v>
      </c>
      <c r="C289" s="8" t="s">
        <v>714</v>
      </c>
      <c r="D289" s="8" t="s">
        <v>715</v>
      </c>
      <c r="E289" s="8" t="s">
        <v>135</v>
      </c>
      <c r="F289" s="8">
        <v>1</v>
      </c>
      <c r="G289" s="8">
        <v>1</v>
      </c>
      <c r="H289" s="8">
        <v>1</v>
      </c>
      <c r="I289" s="8" t="s">
        <v>136</v>
      </c>
      <c r="J289" s="8" t="s">
        <v>136</v>
      </c>
      <c r="K289" s="8">
        <v>1</v>
      </c>
      <c r="L289" s="8">
        <v>1</v>
      </c>
      <c r="M289" s="8">
        <v>1</v>
      </c>
      <c r="N289" s="8">
        <v>1</v>
      </c>
      <c r="O289" s="8">
        <v>1</v>
      </c>
      <c r="P289" s="8" t="s">
        <v>136</v>
      </c>
      <c r="Q289" s="8" t="s">
        <v>136</v>
      </c>
      <c r="R289" s="8">
        <v>1</v>
      </c>
      <c r="S289" s="8">
        <v>1</v>
      </c>
      <c r="T289" s="8">
        <v>1</v>
      </c>
      <c r="U289" s="8">
        <v>1</v>
      </c>
      <c r="V289" s="8">
        <v>1</v>
      </c>
      <c r="W289" s="8" t="s">
        <v>136</v>
      </c>
      <c r="X289" s="8" t="s">
        <v>136</v>
      </c>
      <c r="Y289" s="8">
        <v>1</v>
      </c>
      <c r="Z289" s="8">
        <v>1</v>
      </c>
      <c r="AA289" s="8">
        <v>1</v>
      </c>
      <c r="AB289" s="8">
        <v>1</v>
      </c>
      <c r="AC289" s="8">
        <v>1</v>
      </c>
      <c r="AD289" s="8" t="s">
        <v>136</v>
      </c>
      <c r="AE289" s="8" t="s">
        <v>136</v>
      </c>
      <c r="AF289" s="8">
        <v>1</v>
      </c>
      <c r="AG289" s="8">
        <v>1</v>
      </c>
      <c r="AH289" s="8">
        <v>1</v>
      </c>
      <c r="AI289" s="8">
        <v>1</v>
      </c>
      <c r="AJ289" s="8">
        <v>1</v>
      </c>
      <c r="AK289" s="10">
        <v>23</v>
      </c>
      <c r="AL289" s="11">
        <v>23</v>
      </c>
      <c r="AM289" s="13">
        <v>23</v>
      </c>
      <c r="AN289" s="13">
        <v>0</v>
      </c>
      <c r="AO289" s="7" t="e">
        <v>#N/A</v>
      </c>
    </row>
    <row r="290" spans="1:41">
      <c r="A290" s="8" t="s">
        <v>131</v>
      </c>
      <c r="B290" s="8" t="s">
        <v>533</v>
      </c>
      <c r="C290" s="8" t="s">
        <v>716</v>
      </c>
      <c r="D290" s="8" t="s">
        <v>717</v>
      </c>
      <c r="E290" s="8" t="s">
        <v>135</v>
      </c>
      <c r="F290" s="8">
        <v>1</v>
      </c>
      <c r="G290" s="8">
        <v>1</v>
      </c>
      <c r="H290" s="8">
        <v>1</v>
      </c>
      <c r="I290" s="8" t="s">
        <v>136</v>
      </c>
      <c r="J290" s="8" t="s">
        <v>136</v>
      </c>
      <c r="K290" s="8">
        <v>1</v>
      </c>
      <c r="L290" s="8">
        <v>1</v>
      </c>
      <c r="M290" s="8">
        <v>1</v>
      </c>
      <c r="N290" s="8">
        <v>1</v>
      </c>
      <c r="O290" s="8">
        <v>1</v>
      </c>
      <c r="P290" s="8" t="s">
        <v>136</v>
      </c>
      <c r="Q290" s="8" t="s">
        <v>136</v>
      </c>
      <c r="R290" s="8">
        <v>1</v>
      </c>
      <c r="S290" s="8">
        <v>1</v>
      </c>
      <c r="T290" s="8">
        <v>1</v>
      </c>
      <c r="U290" s="8">
        <v>1</v>
      </c>
      <c r="V290" s="8">
        <v>1</v>
      </c>
      <c r="W290" s="8" t="s">
        <v>136</v>
      </c>
      <c r="X290" s="8" t="s">
        <v>136</v>
      </c>
      <c r="Y290" s="8">
        <v>1</v>
      </c>
      <c r="Z290" s="8">
        <v>1</v>
      </c>
      <c r="AA290" s="8">
        <v>1</v>
      </c>
      <c r="AB290" s="8">
        <v>1</v>
      </c>
      <c r="AC290" s="8">
        <v>1</v>
      </c>
      <c r="AD290" s="8" t="s">
        <v>136</v>
      </c>
      <c r="AE290" s="8" t="s">
        <v>136</v>
      </c>
      <c r="AF290" s="8">
        <v>1</v>
      </c>
      <c r="AG290" s="8">
        <v>1</v>
      </c>
      <c r="AH290" s="8">
        <v>1</v>
      </c>
      <c r="AI290" s="8">
        <v>1</v>
      </c>
      <c r="AJ290" s="8">
        <v>1</v>
      </c>
      <c r="AK290" s="10">
        <v>23</v>
      </c>
      <c r="AL290" s="11">
        <v>23</v>
      </c>
      <c r="AM290" s="13">
        <v>23</v>
      </c>
      <c r="AN290" s="13">
        <v>0</v>
      </c>
      <c r="AO290" s="7" t="e">
        <v>#N/A</v>
      </c>
    </row>
    <row r="291" spans="1:41">
      <c r="A291" s="8" t="s">
        <v>131</v>
      </c>
      <c r="B291" s="8" t="s">
        <v>533</v>
      </c>
      <c r="C291" s="8" t="s">
        <v>718</v>
      </c>
      <c r="D291" s="8" t="s">
        <v>719</v>
      </c>
      <c r="E291" s="8" t="s">
        <v>135</v>
      </c>
      <c r="F291" s="8">
        <v>1</v>
      </c>
      <c r="G291" s="8">
        <v>1</v>
      </c>
      <c r="H291" s="8">
        <v>1</v>
      </c>
      <c r="I291" s="8" t="s">
        <v>136</v>
      </c>
      <c r="J291" s="8" t="s">
        <v>136</v>
      </c>
      <c r="K291" s="8">
        <v>1</v>
      </c>
      <c r="L291" s="8">
        <v>1</v>
      </c>
      <c r="M291" s="8">
        <v>1</v>
      </c>
      <c r="N291" s="8">
        <v>1</v>
      </c>
      <c r="O291" s="8">
        <v>1</v>
      </c>
      <c r="P291" s="8" t="s">
        <v>136</v>
      </c>
      <c r="Q291" s="8" t="s">
        <v>136</v>
      </c>
      <c r="R291" s="8">
        <v>1</v>
      </c>
      <c r="S291" s="8">
        <v>1</v>
      </c>
      <c r="T291" s="8">
        <v>1</v>
      </c>
      <c r="U291" s="8">
        <v>1</v>
      </c>
      <c r="V291" s="8">
        <v>1</v>
      </c>
      <c r="W291" s="8" t="s">
        <v>136</v>
      </c>
      <c r="X291" s="8" t="s">
        <v>136</v>
      </c>
      <c r="Y291" s="8">
        <v>1</v>
      </c>
      <c r="Z291" s="8">
        <v>1</v>
      </c>
      <c r="AA291" s="8">
        <v>1</v>
      </c>
      <c r="AB291" s="8">
        <v>1</v>
      </c>
      <c r="AC291" s="8">
        <v>1</v>
      </c>
      <c r="AD291" s="8" t="s">
        <v>136</v>
      </c>
      <c r="AE291" s="8" t="s">
        <v>136</v>
      </c>
      <c r="AF291" s="8">
        <v>1</v>
      </c>
      <c r="AG291" s="8">
        <v>1</v>
      </c>
      <c r="AH291" s="8">
        <v>1</v>
      </c>
      <c r="AI291" s="8">
        <v>1</v>
      </c>
      <c r="AJ291" s="8">
        <v>1</v>
      </c>
      <c r="AK291" s="10">
        <v>23</v>
      </c>
      <c r="AL291" s="11">
        <v>23</v>
      </c>
      <c r="AM291" s="13">
        <v>23</v>
      </c>
      <c r="AN291" s="13">
        <v>0</v>
      </c>
      <c r="AO291" s="7" t="e">
        <v>#N/A</v>
      </c>
    </row>
    <row r="292" spans="1:41">
      <c r="A292" s="8" t="s">
        <v>131</v>
      </c>
      <c r="B292" s="8" t="s">
        <v>533</v>
      </c>
      <c r="C292" s="8" t="s">
        <v>720</v>
      </c>
      <c r="D292" s="8" t="s">
        <v>721</v>
      </c>
      <c r="E292" s="8" t="s">
        <v>135</v>
      </c>
      <c r="F292" s="8">
        <v>1</v>
      </c>
      <c r="G292" s="8">
        <v>1</v>
      </c>
      <c r="H292" s="8">
        <v>1</v>
      </c>
      <c r="I292" s="8" t="s">
        <v>136</v>
      </c>
      <c r="J292" s="8" t="s">
        <v>136</v>
      </c>
      <c r="K292" s="8">
        <v>1</v>
      </c>
      <c r="L292" s="8">
        <v>1</v>
      </c>
      <c r="M292" s="8">
        <v>1</v>
      </c>
      <c r="N292" s="8">
        <v>1</v>
      </c>
      <c r="O292" s="8">
        <v>1</v>
      </c>
      <c r="P292" s="8" t="s">
        <v>136</v>
      </c>
      <c r="Q292" s="8" t="s">
        <v>136</v>
      </c>
      <c r="R292" s="8">
        <v>1</v>
      </c>
      <c r="S292" s="8">
        <v>1</v>
      </c>
      <c r="T292" s="8">
        <v>1</v>
      </c>
      <c r="U292" s="8">
        <v>1</v>
      </c>
      <c r="V292" s="8">
        <v>1</v>
      </c>
      <c r="W292" s="8" t="s">
        <v>136</v>
      </c>
      <c r="X292" s="8" t="s">
        <v>136</v>
      </c>
      <c r="Y292" s="8">
        <v>1</v>
      </c>
      <c r="Z292" s="8">
        <v>1</v>
      </c>
      <c r="AA292" s="8">
        <v>1</v>
      </c>
      <c r="AB292" s="8">
        <v>1</v>
      </c>
      <c r="AC292" s="8">
        <v>1</v>
      </c>
      <c r="AD292" s="8" t="s">
        <v>136</v>
      </c>
      <c r="AE292" s="8" t="s">
        <v>136</v>
      </c>
      <c r="AF292" s="8">
        <v>1</v>
      </c>
      <c r="AG292" s="8">
        <v>1</v>
      </c>
      <c r="AH292" s="8">
        <v>1</v>
      </c>
      <c r="AI292" s="8">
        <v>1</v>
      </c>
      <c r="AJ292" s="8">
        <v>1</v>
      </c>
      <c r="AK292" s="10">
        <v>23</v>
      </c>
      <c r="AL292" s="11">
        <v>23</v>
      </c>
      <c r="AM292" s="13">
        <v>23</v>
      </c>
      <c r="AN292" s="13">
        <v>0</v>
      </c>
      <c r="AO292" s="7" t="e">
        <v>#N/A</v>
      </c>
    </row>
    <row r="293" spans="1:41">
      <c r="A293" s="8" t="s">
        <v>131</v>
      </c>
      <c r="B293" s="8" t="s">
        <v>533</v>
      </c>
      <c r="C293" s="8" t="s">
        <v>722</v>
      </c>
      <c r="D293" s="8" t="s">
        <v>723</v>
      </c>
      <c r="E293" s="8" t="s">
        <v>135</v>
      </c>
      <c r="F293" s="8">
        <v>1</v>
      </c>
      <c r="G293" s="8">
        <v>1</v>
      </c>
      <c r="H293" s="8">
        <v>1</v>
      </c>
      <c r="I293" s="8" t="s">
        <v>136</v>
      </c>
      <c r="J293" s="8" t="s">
        <v>136</v>
      </c>
      <c r="K293" s="8">
        <v>1</v>
      </c>
      <c r="L293" s="8">
        <v>1</v>
      </c>
      <c r="M293" s="8">
        <v>1</v>
      </c>
      <c r="N293" s="8">
        <v>1</v>
      </c>
      <c r="O293" s="8">
        <v>1</v>
      </c>
      <c r="P293" s="8" t="s">
        <v>136</v>
      </c>
      <c r="Q293" s="8" t="s">
        <v>136</v>
      </c>
      <c r="R293" s="8">
        <v>1</v>
      </c>
      <c r="S293" s="8">
        <v>1</v>
      </c>
      <c r="T293" s="8">
        <v>1</v>
      </c>
      <c r="U293" s="8">
        <v>1</v>
      </c>
      <c r="V293" s="8">
        <v>1</v>
      </c>
      <c r="W293" s="8" t="s">
        <v>136</v>
      </c>
      <c r="X293" s="8" t="s">
        <v>136</v>
      </c>
      <c r="Y293" s="8">
        <v>1</v>
      </c>
      <c r="Z293" s="8">
        <v>1</v>
      </c>
      <c r="AA293" s="8">
        <v>1</v>
      </c>
      <c r="AB293" s="8">
        <v>1</v>
      </c>
      <c r="AC293" s="8">
        <v>1</v>
      </c>
      <c r="AD293" s="8" t="s">
        <v>136</v>
      </c>
      <c r="AE293" s="8" t="s">
        <v>136</v>
      </c>
      <c r="AF293" s="8">
        <v>1</v>
      </c>
      <c r="AG293" s="8">
        <v>1</v>
      </c>
      <c r="AH293" s="8">
        <v>1</v>
      </c>
      <c r="AI293" s="8">
        <v>1</v>
      </c>
      <c r="AJ293" s="8">
        <v>1</v>
      </c>
      <c r="AK293" s="10">
        <v>23</v>
      </c>
      <c r="AL293" s="11">
        <v>23</v>
      </c>
      <c r="AM293" s="13">
        <v>23</v>
      </c>
      <c r="AN293" s="13">
        <v>0</v>
      </c>
      <c r="AO293" s="7" t="e">
        <v>#N/A</v>
      </c>
    </row>
    <row r="294" spans="1:41">
      <c r="A294" s="8" t="s">
        <v>131</v>
      </c>
      <c r="B294" s="8" t="s">
        <v>533</v>
      </c>
      <c r="C294" s="8" t="s">
        <v>724</v>
      </c>
      <c r="D294" s="8" t="s">
        <v>725</v>
      </c>
      <c r="E294" s="8" t="s">
        <v>135</v>
      </c>
      <c r="F294" s="8">
        <v>1</v>
      </c>
      <c r="G294" s="8">
        <v>1</v>
      </c>
      <c r="H294" s="8">
        <v>1</v>
      </c>
      <c r="I294" s="8" t="s">
        <v>136</v>
      </c>
      <c r="J294" s="8" t="s">
        <v>136</v>
      </c>
      <c r="K294" s="8">
        <v>1</v>
      </c>
      <c r="L294" s="8">
        <v>1</v>
      </c>
      <c r="M294" s="8">
        <v>1</v>
      </c>
      <c r="N294" s="8">
        <v>1</v>
      </c>
      <c r="O294" s="8">
        <v>1</v>
      </c>
      <c r="P294" s="8" t="s">
        <v>136</v>
      </c>
      <c r="Q294" s="8" t="s">
        <v>136</v>
      </c>
      <c r="R294" s="8">
        <v>1</v>
      </c>
      <c r="S294" s="8">
        <v>1</v>
      </c>
      <c r="T294" s="8">
        <v>1</v>
      </c>
      <c r="U294" s="8">
        <v>1</v>
      </c>
      <c r="V294" s="8">
        <v>1</v>
      </c>
      <c r="W294" s="8" t="s">
        <v>136</v>
      </c>
      <c r="X294" s="8" t="s">
        <v>136</v>
      </c>
      <c r="Y294" s="8">
        <v>1</v>
      </c>
      <c r="Z294" s="8">
        <v>1</v>
      </c>
      <c r="AA294" s="8">
        <v>1</v>
      </c>
      <c r="AB294" s="8">
        <v>1</v>
      </c>
      <c r="AC294" s="8">
        <v>1</v>
      </c>
      <c r="AD294" s="8" t="s">
        <v>136</v>
      </c>
      <c r="AE294" s="8" t="s">
        <v>136</v>
      </c>
      <c r="AF294" s="8">
        <v>1</v>
      </c>
      <c r="AG294" s="8">
        <v>1</v>
      </c>
      <c r="AH294" s="8">
        <v>1</v>
      </c>
      <c r="AI294" s="8">
        <v>1</v>
      </c>
      <c r="AJ294" s="8">
        <v>1</v>
      </c>
      <c r="AK294" s="10">
        <v>23</v>
      </c>
      <c r="AL294" s="11">
        <v>23</v>
      </c>
      <c r="AM294" s="13">
        <v>23</v>
      </c>
      <c r="AN294" s="13">
        <v>0</v>
      </c>
      <c r="AO294" s="7" t="e">
        <v>#N/A</v>
      </c>
    </row>
    <row r="295" spans="1:41">
      <c r="A295" s="8" t="s">
        <v>131</v>
      </c>
      <c r="B295" s="8" t="s">
        <v>533</v>
      </c>
      <c r="C295" s="8" t="s">
        <v>726</v>
      </c>
      <c r="D295" s="8" t="s">
        <v>727</v>
      </c>
      <c r="E295" s="8" t="s">
        <v>135</v>
      </c>
      <c r="F295" s="8">
        <v>1</v>
      </c>
      <c r="G295" s="8">
        <v>1</v>
      </c>
      <c r="H295" s="8">
        <v>1</v>
      </c>
      <c r="I295" s="8" t="s">
        <v>136</v>
      </c>
      <c r="J295" s="8" t="s">
        <v>136</v>
      </c>
      <c r="K295" s="8">
        <v>1</v>
      </c>
      <c r="L295" s="8">
        <v>1</v>
      </c>
      <c r="M295" s="8">
        <v>1</v>
      </c>
      <c r="N295" s="8">
        <v>1</v>
      </c>
      <c r="O295" s="8">
        <v>1</v>
      </c>
      <c r="P295" s="8" t="s">
        <v>136</v>
      </c>
      <c r="Q295" s="8" t="s">
        <v>136</v>
      </c>
      <c r="R295" s="8">
        <v>1</v>
      </c>
      <c r="S295" s="8">
        <v>1</v>
      </c>
      <c r="T295" s="8">
        <v>1</v>
      </c>
      <c r="U295" s="8">
        <v>1</v>
      </c>
      <c r="V295" s="8">
        <v>1</v>
      </c>
      <c r="W295" s="8" t="s">
        <v>136</v>
      </c>
      <c r="X295" s="8" t="s">
        <v>136</v>
      </c>
      <c r="Y295" s="8">
        <v>1</v>
      </c>
      <c r="Z295" s="8">
        <v>1</v>
      </c>
      <c r="AA295" s="8">
        <v>1</v>
      </c>
      <c r="AB295" s="8">
        <v>1</v>
      </c>
      <c r="AC295" s="8">
        <v>1</v>
      </c>
      <c r="AD295" s="8" t="s">
        <v>136</v>
      </c>
      <c r="AE295" s="8" t="s">
        <v>136</v>
      </c>
      <c r="AF295" s="8">
        <v>1</v>
      </c>
      <c r="AG295" s="8">
        <v>1</v>
      </c>
      <c r="AH295" s="8">
        <v>1</v>
      </c>
      <c r="AI295" s="8">
        <v>1</v>
      </c>
      <c r="AJ295" s="8">
        <v>1</v>
      </c>
      <c r="AK295" s="10">
        <v>23</v>
      </c>
      <c r="AL295" s="11">
        <v>23</v>
      </c>
      <c r="AM295" s="13">
        <v>23</v>
      </c>
      <c r="AN295" s="13">
        <v>0</v>
      </c>
      <c r="AO295" s="7" t="e">
        <v>#N/A</v>
      </c>
    </row>
    <row r="296" spans="1:41">
      <c r="A296" s="8" t="s">
        <v>131</v>
      </c>
      <c r="B296" s="8" t="s">
        <v>533</v>
      </c>
      <c r="C296" s="8" t="s">
        <v>728</v>
      </c>
      <c r="D296" s="8" t="s">
        <v>729</v>
      </c>
      <c r="E296" s="8" t="s">
        <v>135</v>
      </c>
      <c r="F296" s="8">
        <v>1</v>
      </c>
      <c r="G296" s="8">
        <v>1</v>
      </c>
      <c r="H296" s="8">
        <v>1</v>
      </c>
      <c r="I296" s="8" t="s">
        <v>136</v>
      </c>
      <c r="J296" s="8" t="s">
        <v>136</v>
      </c>
      <c r="K296" s="8">
        <v>1</v>
      </c>
      <c r="L296" s="8">
        <v>1</v>
      </c>
      <c r="M296" s="8">
        <v>1</v>
      </c>
      <c r="N296" s="8">
        <v>1</v>
      </c>
      <c r="O296" s="8">
        <v>1</v>
      </c>
      <c r="P296" s="8" t="s">
        <v>136</v>
      </c>
      <c r="Q296" s="8" t="s">
        <v>136</v>
      </c>
      <c r="R296" s="8">
        <v>1</v>
      </c>
      <c r="S296" s="8">
        <v>1</v>
      </c>
      <c r="T296" s="8">
        <v>1</v>
      </c>
      <c r="U296" s="8">
        <v>1</v>
      </c>
      <c r="V296" s="8">
        <v>1</v>
      </c>
      <c r="W296" s="8" t="s">
        <v>136</v>
      </c>
      <c r="X296" s="8" t="s">
        <v>136</v>
      </c>
      <c r="Y296" s="8">
        <v>1</v>
      </c>
      <c r="Z296" s="8">
        <v>1</v>
      </c>
      <c r="AA296" s="8">
        <v>1</v>
      </c>
      <c r="AB296" s="8">
        <v>1</v>
      </c>
      <c r="AC296" s="8">
        <v>1</v>
      </c>
      <c r="AD296" s="8" t="s">
        <v>136</v>
      </c>
      <c r="AE296" s="8" t="s">
        <v>136</v>
      </c>
      <c r="AF296" s="8">
        <v>1</v>
      </c>
      <c r="AG296" s="8">
        <v>1</v>
      </c>
      <c r="AH296" s="8">
        <v>1</v>
      </c>
      <c r="AI296" s="8">
        <v>1</v>
      </c>
      <c r="AJ296" s="8">
        <v>1</v>
      </c>
      <c r="AK296" s="10">
        <v>23</v>
      </c>
      <c r="AL296" s="11">
        <v>23</v>
      </c>
      <c r="AM296" s="13">
        <v>23</v>
      </c>
      <c r="AN296" s="13">
        <v>0</v>
      </c>
      <c r="AO296" s="7" t="e">
        <v>#N/A</v>
      </c>
    </row>
    <row r="297" spans="1:41">
      <c r="A297" s="8" t="s">
        <v>131</v>
      </c>
      <c r="B297" s="8" t="s">
        <v>533</v>
      </c>
      <c r="C297" s="8" t="s">
        <v>730</v>
      </c>
      <c r="D297" s="8" t="s">
        <v>731</v>
      </c>
      <c r="E297" s="8" t="s">
        <v>135</v>
      </c>
      <c r="F297" s="8">
        <v>0</v>
      </c>
      <c r="G297" s="8">
        <v>0</v>
      </c>
      <c r="H297" s="8">
        <v>0</v>
      </c>
      <c r="I297" s="8" t="s">
        <v>136</v>
      </c>
      <c r="J297" s="8" t="s">
        <v>136</v>
      </c>
      <c r="K297" s="8">
        <v>0</v>
      </c>
      <c r="L297" s="8">
        <v>0</v>
      </c>
      <c r="M297" s="8">
        <v>0</v>
      </c>
      <c r="N297" s="8">
        <v>0</v>
      </c>
      <c r="O297" s="8">
        <v>0</v>
      </c>
      <c r="P297" s="8" t="s">
        <v>136</v>
      </c>
      <c r="Q297" s="8" t="s">
        <v>136</v>
      </c>
      <c r="R297" s="8">
        <v>0</v>
      </c>
      <c r="S297" s="8">
        <v>0</v>
      </c>
      <c r="T297" s="8">
        <v>0</v>
      </c>
      <c r="U297" s="8">
        <v>0</v>
      </c>
      <c r="V297" s="8">
        <v>0</v>
      </c>
      <c r="W297" s="8" t="s">
        <v>136</v>
      </c>
      <c r="X297" s="8" t="s">
        <v>136</v>
      </c>
      <c r="Y297" s="8">
        <v>0</v>
      </c>
      <c r="Z297" s="8">
        <v>0</v>
      </c>
      <c r="AA297" s="8">
        <v>0</v>
      </c>
      <c r="AB297" s="8">
        <v>0</v>
      </c>
      <c r="AC297" s="8">
        <v>0</v>
      </c>
      <c r="AD297" s="8" t="s">
        <v>136</v>
      </c>
      <c r="AE297" s="8" t="s">
        <v>136</v>
      </c>
      <c r="AF297" s="8">
        <v>0</v>
      </c>
      <c r="AG297" s="8">
        <v>0</v>
      </c>
      <c r="AH297" s="8">
        <v>0</v>
      </c>
      <c r="AI297" s="8">
        <v>0</v>
      </c>
      <c r="AJ297" s="8">
        <v>0</v>
      </c>
      <c r="AK297" s="10">
        <v>23</v>
      </c>
      <c r="AL297" s="12">
        <v>0</v>
      </c>
      <c r="AM297" s="13">
        <v>0</v>
      </c>
      <c r="AN297" s="13">
        <v>0</v>
      </c>
      <c r="AO297" s="7" t="e">
        <v>#N/A</v>
      </c>
    </row>
    <row r="298" spans="1:41">
      <c r="A298" s="8" t="s">
        <v>131</v>
      </c>
      <c r="B298" s="8" t="s">
        <v>533</v>
      </c>
      <c r="C298" s="8" t="s">
        <v>732</v>
      </c>
      <c r="D298" s="8" t="s">
        <v>733</v>
      </c>
      <c r="E298" s="8" t="s">
        <v>135</v>
      </c>
      <c r="F298" s="8">
        <v>1</v>
      </c>
      <c r="G298" s="8">
        <v>1</v>
      </c>
      <c r="H298" s="8">
        <v>1</v>
      </c>
      <c r="I298" s="8" t="s">
        <v>136</v>
      </c>
      <c r="J298" s="8" t="s">
        <v>136</v>
      </c>
      <c r="K298" s="8">
        <v>1</v>
      </c>
      <c r="L298" s="8">
        <v>1</v>
      </c>
      <c r="M298" s="8">
        <v>1</v>
      </c>
      <c r="N298" s="8">
        <v>1</v>
      </c>
      <c r="O298" s="8">
        <v>1</v>
      </c>
      <c r="P298" s="8" t="s">
        <v>136</v>
      </c>
      <c r="Q298" s="8" t="s">
        <v>136</v>
      </c>
      <c r="R298" s="8">
        <v>1</v>
      </c>
      <c r="S298" s="8">
        <v>1</v>
      </c>
      <c r="T298" s="8">
        <v>1</v>
      </c>
      <c r="U298" s="8">
        <v>1</v>
      </c>
      <c r="V298" s="8">
        <v>1</v>
      </c>
      <c r="W298" s="8" t="s">
        <v>136</v>
      </c>
      <c r="X298" s="8" t="s">
        <v>136</v>
      </c>
      <c r="Y298" s="8">
        <v>1</v>
      </c>
      <c r="Z298" s="8">
        <v>1</v>
      </c>
      <c r="AA298" s="8">
        <v>1</v>
      </c>
      <c r="AB298" s="8">
        <v>1</v>
      </c>
      <c r="AC298" s="8">
        <v>1</v>
      </c>
      <c r="AD298" s="8" t="s">
        <v>136</v>
      </c>
      <c r="AE298" s="8" t="s">
        <v>136</v>
      </c>
      <c r="AF298" s="8">
        <v>1</v>
      </c>
      <c r="AG298" s="8">
        <v>1</v>
      </c>
      <c r="AH298" s="8">
        <v>1</v>
      </c>
      <c r="AI298" s="8">
        <v>1</v>
      </c>
      <c r="AJ298" s="8">
        <v>1</v>
      </c>
      <c r="AK298" s="10">
        <v>23</v>
      </c>
      <c r="AL298" s="11">
        <v>23</v>
      </c>
      <c r="AM298" s="13">
        <v>23</v>
      </c>
      <c r="AN298" s="13">
        <v>0</v>
      </c>
      <c r="AO298" s="7" t="e">
        <v>#N/A</v>
      </c>
    </row>
    <row r="299" spans="1:41">
      <c r="A299" s="8" t="s">
        <v>131</v>
      </c>
      <c r="B299" s="8" t="s">
        <v>533</v>
      </c>
      <c r="C299" s="8" t="s">
        <v>734</v>
      </c>
      <c r="D299" s="8" t="s">
        <v>735</v>
      </c>
      <c r="E299" s="8" t="s">
        <v>135</v>
      </c>
      <c r="F299" s="8">
        <v>1</v>
      </c>
      <c r="G299" s="8">
        <v>1</v>
      </c>
      <c r="H299" s="8">
        <v>1</v>
      </c>
      <c r="I299" s="8" t="s">
        <v>136</v>
      </c>
      <c r="J299" s="8" t="s">
        <v>136</v>
      </c>
      <c r="K299" s="8">
        <v>1</v>
      </c>
      <c r="L299" s="8">
        <v>1</v>
      </c>
      <c r="M299" s="8">
        <v>1</v>
      </c>
      <c r="N299" s="8">
        <v>1</v>
      </c>
      <c r="O299" s="8">
        <v>1</v>
      </c>
      <c r="P299" s="8" t="s">
        <v>136</v>
      </c>
      <c r="Q299" s="8" t="s">
        <v>136</v>
      </c>
      <c r="R299" s="8">
        <v>1</v>
      </c>
      <c r="S299" s="8">
        <v>1</v>
      </c>
      <c r="T299" s="8">
        <v>1</v>
      </c>
      <c r="U299" s="8">
        <v>1</v>
      </c>
      <c r="V299" s="8">
        <v>1</v>
      </c>
      <c r="W299" s="8" t="s">
        <v>136</v>
      </c>
      <c r="X299" s="8" t="s">
        <v>136</v>
      </c>
      <c r="Y299" s="8">
        <v>1</v>
      </c>
      <c r="Z299" s="8">
        <v>1</v>
      </c>
      <c r="AA299" s="8">
        <v>1</v>
      </c>
      <c r="AB299" s="8">
        <v>1</v>
      </c>
      <c r="AC299" s="8">
        <v>1</v>
      </c>
      <c r="AD299" s="8" t="s">
        <v>136</v>
      </c>
      <c r="AE299" s="8" t="s">
        <v>136</v>
      </c>
      <c r="AF299" s="8">
        <v>1</v>
      </c>
      <c r="AG299" s="8">
        <v>1</v>
      </c>
      <c r="AH299" s="8">
        <v>1</v>
      </c>
      <c r="AI299" s="8">
        <v>1</v>
      </c>
      <c r="AJ299" s="8">
        <v>1</v>
      </c>
      <c r="AK299" s="10">
        <v>23</v>
      </c>
      <c r="AL299" s="11">
        <v>23</v>
      </c>
      <c r="AM299" s="13">
        <v>23</v>
      </c>
      <c r="AN299" s="13">
        <v>0</v>
      </c>
      <c r="AO299" s="7" t="e">
        <v>#N/A</v>
      </c>
    </row>
    <row r="300" spans="1:41">
      <c r="A300" s="8" t="s">
        <v>131</v>
      </c>
      <c r="B300" s="8" t="s">
        <v>533</v>
      </c>
      <c r="C300" s="8" t="s">
        <v>736</v>
      </c>
      <c r="D300" s="8" t="s">
        <v>737</v>
      </c>
      <c r="E300" s="8" t="s">
        <v>135</v>
      </c>
      <c r="F300" s="8">
        <v>1</v>
      </c>
      <c r="G300" s="8">
        <v>1</v>
      </c>
      <c r="H300" s="8">
        <v>1</v>
      </c>
      <c r="I300" s="8" t="s">
        <v>136</v>
      </c>
      <c r="J300" s="8" t="s">
        <v>136</v>
      </c>
      <c r="K300" s="8">
        <v>1</v>
      </c>
      <c r="L300" s="8">
        <v>1</v>
      </c>
      <c r="M300" s="8">
        <v>1</v>
      </c>
      <c r="N300" s="8">
        <v>1</v>
      </c>
      <c r="O300" s="8">
        <v>1</v>
      </c>
      <c r="P300" s="8" t="s">
        <v>136</v>
      </c>
      <c r="Q300" s="8" t="s">
        <v>136</v>
      </c>
      <c r="R300" s="8">
        <v>1</v>
      </c>
      <c r="S300" s="8">
        <v>1</v>
      </c>
      <c r="T300" s="8">
        <v>1</v>
      </c>
      <c r="U300" s="8">
        <v>1</v>
      </c>
      <c r="V300" s="8">
        <v>1</v>
      </c>
      <c r="W300" s="8" t="s">
        <v>136</v>
      </c>
      <c r="X300" s="8" t="s">
        <v>136</v>
      </c>
      <c r="Y300" s="8">
        <v>1</v>
      </c>
      <c r="Z300" s="8">
        <v>1</v>
      </c>
      <c r="AA300" s="8">
        <v>1</v>
      </c>
      <c r="AB300" s="8">
        <v>1</v>
      </c>
      <c r="AC300" s="8">
        <v>1</v>
      </c>
      <c r="AD300" s="8" t="s">
        <v>136</v>
      </c>
      <c r="AE300" s="8" t="s">
        <v>136</v>
      </c>
      <c r="AF300" s="8">
        <v>1</v>
      </c>
      <c r="AG300" s="8">
        <v>1</v>
      </c>
      <c r="AH300" s="8">
        <v>1</v>
      </c>
      <c r="AI300" s="8">
        <v>1</v>
      </c>
      <c r="AJ300" s="8">
        <v>1</v>
      </c>
      <c r="AK300" s="10">
        <v>23</v>
      </c>
      <c r="AL300" s="11">
        <v>23</v>
      </c>
      <c r="AM300" s="13">
        <v>23</v>
      </c>
      <c r="AN300" s="13">
        <v>0</v>
      </c>
      <c r="AO300" s="7" t="e">
        <v>#N/A</v>
      </c>
    </row>
    <row r="301" spans="1:41">
      <c r="A301" s="8" t="s">
        <v>131</v>
      </c>
      <c r="B301" s="8" t="s">
        <v>533</v>
      </c>
      <c r="C301" s="8" t="s">
        <v>738</v>
      </c>
      <c r="D301" s="8" t="s">
        <v>739</v>
      </c>
      <c r="E301" s="8" t="s">
        <v>135</v>
      </c>
      <c r="F301" s="8">
        <v>1</v>
      </c>
      <c r="G301" s="8">
        <v>1</v>
      </c>
      <c r="H301" s="8">
        <v>1</v>
      </c>
      <c r="I301" s="8" t="s">
        <v>136</v>
      </c>
      <c r="J301" s="8" t="s">
        <v>136</v>
      </c>
      <c r="K301" s="8">
        <v>1</v>
      </c>
      <c r="L301" s="8">
        <v>1</v>
      </c>
      <c r="M301" s="8">
        <v>1</v>
      </c>
      <c r="N301" s="8">
        <v>1</v>
      </c>
      <c r="O301" s="8">
        <v>1</v>
      </c>
      <c r="P301" s="8" t="s">
        <v>136</v>
      </c>
      <c r="Q301" s="8" t="s">
        <v>136</v>
      </c>
      <c r="R301" s="8">
        <v>1</v>
      </c>
      <c r="S301" s="8">
        <v>1</v>
      </c>
      <c r="T301" s="8">
        <v>1</v>
      </c>
      <c r="U301" s="8">
        <v>1</v>
      </c>
      <c r="V301" s="8">
        <v>1</v>
      </c>
      <c r="W301" s="8" t="s">
        <v>136</v>
      </c>
      <c r="X301" s="8" t="s">
        <v>136</v>
      </c>
      <c r="Y301" s="8">
        <v>1</v>
      </c>
      <c r="Z301" s="8">
        <v>1</v>
      </c>
      <c r="AA301" s="8">
        <v>1</v>
      </c>
      <c r="AB301" s="8">
        <v>1</v>
      </c>
      <c r="AC301" s="8">
        <v>1</v>
      </c>
      <c r="AD301" s="8" t="s">
        <v>136</v>
      </c>
      <c r="AE301" s="8" t="s">
        <v>136</v>
      </c>
      <c r="AF301" s="8">
        <v>1</v>
      </c>
      <c r="AG301" s="8">
        <v>1</v>
      </c>
      <c r="AH301" s="8">
        <v>1</v>
      </c>
      <c r="AI301" s="8">
        <v>1</v>
      </c>
      <c r="AJ301" s="8">
        <v>1</v>
      </c>
      <c r="AK301" s="10">
        <v>23</v>
      </c>
      <c r="AL301" s="11">
        <v>23</v>
      </c>
      <c r="AM301" s="13">
        <v>23</v>
      </c>
      <c r="AN301" s="13">
        <v>0</v>
      </c>
      <c r="AO301" s="7" t="e">
        <v>#N/A</v>
      </c>
    </row>
    <row r="302" spans="1:41">
      <c r="A302" s="8" t="s">
        <v>131</v>
      </c>
      <c r="B302" s="8" t="s">
        <v>533</v>
      </c>
      <c r="C302" s="8" t="s">
        <v>740</v>
      </c>
      <c r="D302" s="8" t="s">
        <v>741</v>
      </c>
      <c r="E302" s="8" t="s">
        <v>135</v>
      </c>
      <c r="F302" s="8">
        <v>1</v>
      </c>
      <c r="G302" s="8">
        <v>1</v>
      </c>
      <c r="H302" s="8">
        <v>1</v>
      </c>
      <c r="I302" s="8" t="s">
        <v>136</v>
      </c>
      <c r="J302" s="8" t="s">
        <v>136</v>
      </c>
      <c r="K302" s="8">
        <v>1</v>
      </c>
      <c r="L302" s="8">
        <v>1</v>
      </c>
      <c r="M302" s="8">
        <v>1</v>
      </c>
      <c r="N302" s="8">
        <v>1</v>
      </c>
      <c r="O302" s="8">
        <v>1</v>
      </c>
      <c r="P302" s="8" t="s">
        <v>136</v>
      </c>
      <c r="Q302" s="8" t="s">
        <v>136</v>
      </c>
      <c r="R302" s="8">
        <v>1</v>
      </c>
      <c r="S302" s="8">
        <v>1</v>
      </c>
      <c r="T302" s="8">
        <v>1</v>
      </c>
      <c r="U302" s="8">
        <v>1</v>
      </c>
      <c r="V302" s="8">
        <v>1</v>
      </c>
      <c r="W302" s="8" t="s">
        <v>136</v>
      </c>
      <c r="X302" s="8" t="s">
        <v>136</v>
      </c>
      <c r="Y302" s="8">
        <v>1</v>
      </c>
      <c r="Z302" s="8">
        <v>1</v>
      </c>
      <c r="AA302" s="8">
        <v>1</v>
      </c>
      <c r="AB302" s="8">
        <v>1</v>
      </c>
      <c r="AC302" s="8">
        <v>1</v>
      </c>
      <c r="AD302" s="8" t="s">
        <v>136</v>
      </c>
      <c r="AE302" s="8" t="s">
        <v>136</v>
      </c>
      <c r="AF302" s="8">
        <v>1</v>
      </c>
      <c r="AG302" s="8">
        <v>1</v>
      </c>
      <c r="AH302" s="8">
        <v>1</v>
      </c>
      <c r="AI302" s="8">
        <v>1</v>
      </c>
      <c r="AJ302" s="8">
        <v>1</v>
      </c>
      <c r="AK302" s="10">
        <v>23</v>
      </c>
      <c r="AL302" s="11">
        <v>23</v>
      </c>
      <c r="AM302" s="13">
        <v>23</v>
      </c>
      <c r="AN302" s="13">
        <v>0</v>
      </c>
      <c r="AO302" s="7" t="e">
        <v>#N/A</v>
      </c>
    </row>
    <row r="303" spans="1:41">
      <c r="A303" s="8" t="s">
        <v>131</v>
      </c>
      <c r="B303" s="8" t="s">
        <v>533</v>
      </c>
      <c r="C303" s="8" t="s">
        <v>742</v>
      </c>
      <c r="D303" s="8" t="s">
        <v>743</v>
      </c>
      <c r="E303" s="8" t="s">
        <v>135</v>
      </c>
      <c r="F303" s="8">
        <v>1</v>
      </c>
      <c r="G303" s="8">
        <v>1</v>
      </c>
      <c r="H303" s="8">
        <v>1</v>
      </c>
      <c r="I303" s="8" t="s">
        <v>136</v>
      </c>
      <c r="J303" s="8" t="s">
        <v>136</v>
      </c>
      <c r="K303" s="8">
        <v>1</v>
      </c>
      <c r="L303" s="8">
        <v>1</v>
      </c>
      <c r="M303" s="8">
        <v>1</v>
      </c>
      <c r="N303" s="8">
        <v>1</v>
      </c>
      <c r="O303" s="8">
        <v>1</v>
      </c>
      <c r="P303" s="8" t="s">
        <v>136</v>
      </c>
      <c r="Q303" s="8" t="s">
        <v>136</v>
      </c>
      <c r="R303" s="8">
        <v>1</v>
      </c>
      <c r="S303" s="8">
        <v>1</v>
      </c>
      <c r="T303" s="8">
        <v>1</v>
      </c>
      <c r="U303" s="8">
        <v>1</v>
      </c>
      <c r="V303" s="8">
        <v>1</v>
      </c>
      <c r="W303" s="8" t="s">
        <v>136</v>
      </c>
      <c r="X303" s="8" t="s">
        <v>136</v>
      </c>
      <c r="Y303" s="8">
        <v>1</v>
      </c>
      <c r="Z303" s="8">
        <v>1</v>
      </c>
      <c r="AA303" s="8">
        <v>1</v>
      </c>
      <c r="AB303" s="8">
        <v>1</v>
      </c>
      <c r="AC303" s="8">
        <v>1</v>
      </c>
      <c r="AD303" s="8" t="s">
        <v>136</v>
      </c>
      <c r="AE303" s="8" t="s">
        <v>136</v>
      </c>
      <c r="AF303" s="8">
        <v>1</v>
      </c>
      <c r="AG303" s="8">
        <v>1</v>
      </c>
      <c r="AH303" s="8">
        <v>1</v>
      </c>
      <c r="AI303" s="8">
        <v>1</v>
      </c>
      <c r="AJ303" s="8">
        <v>1</v>
      </c>
      <c r="AK303" s="10">
        <v>23</v>
      </c>
      <c r="AL303" s="11">
        <v>23</v>
      </c>
      <c r="AM303" s="13">
        <v>23</v>
      </c>
      <c r="AN303" s="13">
        <v>0</v>
      </c>
      <c r="AO303" s="7" t="e">
        <v>#N/A</v>
      </c>
    </row>
    <row r="304" spans="1:41">
      <c r="A304" s="8" t="s">
        <v>131</v>
      </c>
      <c r="B304" s="8" t="s">
        <v>533</v>
      </c>
      <c r="C304" s="8" t="s">
        <v>744</v>
      </c>
      <c r="D304" s="8" t="s">
        <v>745</v>
      </c>
      <c r="E304" s="8" t="s">
        <v>135</v>
      </c>
      <c r="F304" s="8">
        <v>1</v>
      </c>
      <c r="G304" s="8">
        <v>1</v>
      </c>
      <c r="H304" s="8">
        <v>1</v>
      </c>
      <c r="I304" s="8" t="s">
        <v>136</v>
      </c>
      <c r="J304" s="8" t="s">
        <v>136</v>
      </c>
      <c r="K304" s="8">
        <v>1</v>
      </c>
      <c r="L304" s="8">
        <v>1</v>
      </c>
      <c r="M304" s="8">
        <v>1</v>
      </c>
      <c r="N304" s="8">
        <v>1</v>
      </c>
      <c r="O304" s="8">
        <v>1</v>
      </c>
      <c r="P304" s="8" t="s">
        <v>136</v>
      </c>
      <c r="Q304" s="8" t="s">
        <v>136</v>
      </c>
      <c r="R304" s="8">
        <v>1</v>
      </c>
      <c r="S304" s="8">
        <v>1</v>
      </c>
      <c r="T304" s="8">
        <v>1</v>
      </c>
      <c r="U304" s="8">
        <v>1</v>
      </c>
      <c r="V304" s="8">
        <v>1</v>
      </c>
      <c r="W304" s="8" t="s">
        <v>136</v>
      </c>
      <c r="X304" s="8" t="s">
        <v>136</v>
      </c>
      <c r="Y304" s="8">
        <v>1</v>
      </c>
      <c r="Z304" s="8">
        <v>1</v>
      </c>
      <c r="AA304" s="8">
        <v>1</v>
      </c>
      <c r="AB304" s="8">
        <v>1</v>
      </c>
      <c r="AC304" s="8">
        <v>1</v>
      </c>
      <c r="AD304" s="8" t="s">
        <v>136</v>
      </c>
      <c r="AE304" s="8" t="s">
        <v>136</v>
      </c>
      <c r="AF304" s="8">
        <v>1</v>
      </c>
      <c r="AG304" s="8">
        <v>1</v>
      </c>
      <c r="AH304" s="8">
        <v>1</v>
      </c>
      <c r="AI304" s="8">
        <v>1</v>
      </c>
      <c r="AJ304" s="8">
        <v>1</v>
      </c>
      <c r="AK304" s="10">
        <v>23</v>
      </c>
      <c r="AL304" s="11">
        <v>23</v>
      </c>
      <c r="AM304" s="13">
        <v>23</v>
      </c>
      <c r="AN304" s="13">
        <v>0</v>
      </c>
      <c r="AO304" s="7" t="e">
        <v>#N/A</v>
      </c>
    </row>
    <row r="305" spans="1:41">
      <c r="A305" s="8" t="s">
        <v>131</v>
      </c>
      <c r="B305" s="8" t="s">
        <v>533</v>
      </c>
      <c r="C305" s="8" t="s">
        <v>746</v>
      </c>
      <c r="D305" s="8" t="s">
        <v>747</v>
      </c>
      <c r="E305" s="8" t="s">
        <v>135</v>
      </c>
      <c r="F305" s="8">
        <v>1</v>
      </c>
      <c r="G305" s="8">
        <v>1</v>
      </c>
      <c r="H305" s="8">
        <v>1</v>
      </c>
      <c r="I305" s="8" t="s">
        <v>136</v>
      </c>
      <c r="J305" s="8" t="s">
        <v>136</v>
      </c>
      <c r="K305" s="8">
        <v>1</v>
      </c>
      <c r="L305" s="8">
        <v>1</v>
      </c>
      <c r="M305" s="8">
        <v>1</v>
      </c>
      <c r="N305" s="8">
        <v>1</v>
      </c>
      <c r="O305" s="8">
        <v>1</v>
      </c>
      <c r="P305" s="8" t="s">
        <v>136</v>
      </c>
      <c r="Q305" s="8" t="s">
        <v>136</v>
      </c>
      <c r="R305" s="8">
        <v>1</v>
      </c>
      <c r="S305" s="8">
        <v>1</v>
      </c>
      <c r="T305" s="8">
        <v>1</v>
      </c>
      <c r="U305" s="8">
        <v>1</v>
      </c>
      <c r="V305" s="8">
        <v>1</v>
      </c>
      <c r="W305" s="8" t="s">
        <v>136</v>
      </c>
      <c r="X305" s="8" t="s">
        <v>136</v>
      </c>
      <c r="Y305" s="8">
        <v>1</v>
      </c>
      <c r="Z305" s="8">
        <v>1</v>
      </c>
      <c r="AA305" s="8">
        <v>1</v>
      </c>
      <c r="AB305" s="8">
        <v>1</v>
      </c>
      <c r="AC305" s="8">
        <v>1</v>
      </c>
      <c r="AD305" s="8" t="s">
        <v>136</v>
      </c>
      <c r="AE305" s="8" t="s">
        <v>136</v>
      </c>
      <c r="AF305" s="8">
        <v>1</v>
      </c>
      <c r="AG305" s="8">
        <v>1</v>
      </c>
      <c r="AH305" s="8">
        <v>1</v>
      </c>
      <c r="AI305" s="8">
        <v>1</v>
      </c>
      <c r="AJ305" s="8">
        <v>1</v>
      </c>
      <c r="AK305" s="10">
        <v>23</v>
      </c>
      <c r="AL305" s="11">
        <v>23</v>
      </c>
      <c r="AM305" s="13">
        <v>23</v>
      </c>
      <c r="AN305" s="13">
        <v>0</v>
      </c>
      <c r="AO305" s="7" t="e">
        <v>#N/A</v>
      </c>
    </row>
    <row r="306" spans="1:41">
      <c r="A306" s="8" t="s">
        <v>131</v>
      </c>
      <c r="B306" s="8" t="s">
        <v>533</v>
      </c>
      <c r="C306" s="8" t="s">
        <v>748</v>
      </c>
      <c r="D306" s="8" t="s">
        <v>749</v>
      </c>
      <c r="E306" s="8" t="s">
        <v>135</v>
      </c>
      <c r="F306" s="8">
        <v>1</v>
      </c>
      <c r="G306" s="8">
        <v>1</v>
      </c>
      <c r="H306" s="8">
        <v>1</v>
      </c>
      <c r="I306" s="8" t="s">
        <v>136</v>
      </c>
      <c r="J306" s="8" t="s">
        <v>136</v>
      </c>
      <c r="K306" s="8">
        <v>1</v>
      </c>
      <c r="L306" s="8">
        <v>1</v>
      </c>
      <c r="M306" s="8">
        <v>1</v>
      </c>
      <c r="N306" s="8">
        <v>1</v>
      </c>
      <c r="O306" s="8">
        <v>1</v>
      </c>
      <c r="P306" s="8" t="s">
        <v>136</v>
      </c>
      <c r="Q306" s="8" t="s">
        <v>136</v>
      </c>
      <c r="R306" s="8">
        <v>1</v>
      </c>
      <c r="S306" s="8">
        <v>1</v>
      </c>
      <c r="T306" s="8">
        <v>1</v>
      </c>
      <c r="U306" s="8">
        <v>1</v>
      </c>
      <c r="V306" s="8">
        <v>1</v>
      </c>
      <c r="W306" s="8" t="s">
        <v>136</v>
      </c>
      <c r="X306" s="8" t="s">
        <v>136</v>
      </c>
      <c r="Y306" s="8">
        <v>1</v>
      </c>
      <c r="Z306" s="8">
        <v>1</v>
      </c>
      <c r="AA306" s="8">
        <v>1</v>
      </c>
      <c r="AB306" s="8">
        <v>1</v>
      </c>
      <c r="AC306" s="8">
        <v>1</v>
      </c>
      <c r="AD306" s="8" t="s">
        <v>136</v>
      </c>
      <c r="AE306" s="8" t="s">
        <v>136</v>
      </c>
      <c r="AF306" s="8">
        <v>1</v>
      </c>
      <c r="AG306" s="8">
        <v>1</v>
      </c>
      <c r="AH306" s="8">
        <v>1</v>
      </c>
      <c r="AI306" s="8">
        <v>1</v>
      </c>
      <c r="AJ306" s="8">
        <v>1</v>
      </c>
      <c r="AK306" s="10">
        <v>23</v>
      </c>
      <c r="AL306" s="11">
        <v>23</v>
      </c>
      <c r="AM306" s="13">
        <v>23</v>
      </c>
      <c r="AN306" s="13">
        <v>0</v>
      </c>
      <c r="AO306" s="7" t="e">
        <v>#N/A</v>
      </c>
    </row>
    <row r="307" spans="1:41">
      <c r="A307" s="8" t="s">
        <v>131</v>
      </c>
      <c r="B307" s="8" t="s">
        <v>533</v>
      </c>
      <c r="C307" s="8" t="s">
        <v>750</v>
      </c>
      <c r="D307" s="8" t="s">
        <v>751</v>
      </c>
      <c r="E307" s="8" t="s">
        <v>135</v>
      </c>
      <c r="F307" s="8">
        <v>1</v>
      </c>
      <c r="G307" s="8">
        <v>1</v>
      </c>
      <c r="H307" s="8">
        <v>1</v>
      </c>
      <c r="I307" s="8" t="s">
        <v>136</v>
      </c>
      <c r="J307" s="8" t="s">
        <v>136</v>
      </c>
      <c r="K307" s="8">
        <v>1</v>
      </c>
      <c r="L307" s="8">
        <v>1</v>
      </c>
      <c r="M307" s="8">
        <v>1</v>
      </c>
      <c r="N307" s="8">
        <v>1</v>
      </c>
      <c r="O307" s="8">
        <v>1</v>
      </c>
      <c r="P307" s="8" t="s">
        <v>136</v>
      </c>
      <c r="Q307" s="8" t="s">
        <v>136</v>
      </c>
      <c r="R307" s="8">
        <v>1</v>
      </c>
      <c r="S307" s="8">
        <v>1</v>
      </c>
      <c r="T307" s="8">
        <v>1</v>
      </c>
      <c r="U307" s="8">
        <v>1</v>
      </c>
      <c r="V307" s="8">
        <v>1</v>
      </c>
      <c r="W307" s="8" t="s">
        <v>136</v>
      </c>
      <c r="X307" s="8" t="s">
        <v>136</v>
      </c>
      <c r="Y307" s="8">
        <v>1</v>
      </c>
      <c r="Z307" s="8">
        <v>1</v>
      </c>
      <c r="AA307" s="8">
        <v>1</v>
      </c>
      <c r="AB307" s="8">
        <v>1</v>
      </c>
      <c r="AC307" s="8">
        <v>1</v>
      </c>
      <c r="AD307" s="8" t="s">
        <v>136</v>
      </c>
      <c r="AE307" s="8" t="s">
        <v>136</v>
      </c>
      <c r="AF307" s="8">
        <v>1</v>
      </c>
      <c r="AG307" s="8">
        <v>1</v>
      </c>
      <c r="AH307" s="8">
        <v>1</v>
      </c>
      <c r="AI307" s="8">
        <v>1</v>
      </c>
      <c r="AJ307" s="8">
        <v>1</v>
      </c>
      <c r="AK307" s="10">
        <v>23</v>
      </c>
      <c r="AL307" s="11">
        <v>23</v>
      </c>
      <c r="AM307" s="13">
        <v>23</v>
      </c>
      <c r="AN307" s="13">
        <v>0</v>
      </c>
      <c r="AO307" s="7" t="e">
        <v>#N/A</v>
      </c>
    </row>
    <row r="308" spans="1:41">
      <c r="A308" s="8" t="s">
        <v>131</v>
      </c>
      <c r="B308" s="8" t="s">
        <v>533</v>
      </c>
      <c r="C308" s="8" t="s">
        <v>752</v>
      </c>
      <c r="D308" s="8" t="s">
        <v>753</v>
      </c>
      <c r="E308" s="8" t="s">
        <v>135</v>
      </c>
      <c r="F308" s="8">
        <v>1</v>
      </c>
      <c r="G308" s="8">
        <v>1</v>
      </c>
      <c r="H308" s="8">
        <v>1</v>
      </c>
      <c r="I308" s="8" t="s">
        <v>136</v>
      </c>
      <c r="J308" s="8" t="s">
        <v>136</v>
      </c>
      <c r="K308" s="8">
        <v>1</v>
      </c>
      <c r="L308" s="8">
        <v>1</v>
      </c>
      <c r="M308" s="8">
        <v>1</v>
      </c>
      <c r="N308" s="8">
        <v>1</v>
      </c>
      <c r="O308" s="8">
        <v>1</v>
      </c>
      <c r="P308" s="8" t="s">
        <v>136</v>
      </c>
      <c r="Q308" s="8" t="s">
        <v>136</v>
      </c>
      <c r="R308" s="8">
        <v>1</v>
      </c>
      <c r="S308" s="8">
        <v>1</v>
      </c>
      <c r="T308" s="8">
        <v>1</v>
      </c>
      <c r="U308" s="8">
        <v>1</v>
      </c>
      <c r="V308" s="8">
        <v>1</v>
      </c>
      <c r="W308" s="8" t="s">
        <v>136</v>
      </c>
      <c r="X308" s="8" t="s">
        <v>136</v>
      </c>
      <c r="Y308" s="8">
        <v>1</v>
      </c>
      <c r="Z308" s="8">
        <v>1</v>
      </c>
      <c r="AA308" s="8">
        <v>1</v>
      </c>
      <c r="AB308" s="8">
        <v>1</v>
      </c>
      <c r="AC308" s="8">
        <v>1</v>
      </c>
      <c r="AD308" s="8" t="s">
        <v>136</v>
      </c>
      <c r="AE308" s="8" t="s">
        <v>136</v>
      </c>
      <c r="AF308" s="8">
        <v>1</v>
      </c>
      <c r="AG308" s="8">
        <v>1</v>
      </c>
      <c r="AH308" s="8">
        <v>1</v>
      </c>
      <c r="AI308" s="8">
        <v>1</v>
      </c>
      <c r="AJ308" s="8">
        <v>1</v>
      </c>
      <c r="AK308" s="10">
        <v>23</v>
      </c>
      <c r="AL308" s="11">
        <v>23</v>
      </c>
      <c r="AM308" s="13">
        <v>23</v>
      </c>
      <c r="AN308" s="13">
        <v>0</v>
      </c>
      <c r="AO308" s="7" t="e">
        <v>#N/A</v>
      </c>
    </row>
    <row r="309" spans="1:41">
      <c r="A309" s="8" t="s">
        <v>131</v>
      </c>
      <c r="B309" s="8" t="s">
        <v>754</v>
      </c>
      <c r="C309" s="8" t="s">
        <v>755</v>
      </c>
      <c r="D309" s="8" t="s">
        <v>756</v>
      </c>
      <c r="E309" s="8" t="s">
        <v>135</v>
      </c>
      <c r="F309" s="8">
        <v>1</v>
      </c>
      <c r="G309" s="8">
        <v>1</v>
      </c>
      <c r="H309" s="8">
        <v>1</v>
      </c>
      <c r="I309" s="8" t="s">
        <v>136</v>
      </c>
      <c r="J309" s="8" t="s">
        <v>136</v>
      </c>
      <c r="K309" s="8">
        <v>1</v>
      </c>
      <c r="L309" s="8">
        <v>1</v>
      </c>
      <c r="M309" s="8">
        <v>1</v>
      </c>
      <c r="N309" s="8">
        <v>1</v>
      </c>
      <c r="O309" s="8">
        <v>1</v>
      </c>
      <c r="P309" s="8" t="s">
        <v>136</v>
      </c>
      <c r="Q309" s="8" t="s">
        <v>136</v>
      </c>
      <c r="R309" s="8">
        <v>1</v>
      </c>
      <c r="S309" s="8">
        <v>1</v>
      </c>
      <c r="T309" s="8">
        <v>1</v>
      </c>
      <c r="U309" s="8">
        <v>1</v>
      </c>
      <c r="V309" s="8">
        <v>1</v>
      </c>
      <c r="W309" s="8" t="s">
        <v>136</v>
      </c>
      <c r="X309" s="8" t="s">
        <v>136</v>
      </c>
      <c r="Y309" s="8">
        <v>1</v>
      </c>
      <c r="Z309" s="8">
        <v>1</v>
      </c>
      <c r="AA309" s="8">
        <v>1</v>
      </c>
      <c r="AB309" s="8">
        <v>1</v>
      </c>
      <c r="AC309" s="8">
        <v>1</v>
      </c>
      <c r="AD309" s="8" t="s">
        <v>136</v>
      </c>
      <c r="AE309" s="8" t="s">
        <v>136</v>
      </c>
      <c r="AF309" s="8">
        <v>1</v>
      </c>
      <c r="AG309" s="8">
        <v>1</v>
      </c>
      <c r="AH309" s="8">
        <v>1</v>
      </c>
      <c r="AI309" s="8">
        <v>1</v>
      </c>
      <c r="AJ309" s="8">
        <v>1</v>
      </c>
      <c r="AK309" s="10">
        <v>23</v>
      </c>
      <c r="AL309" s="11">
        <v>23</v>
      </c>
      <c r="AM309" s="13">
        <v>23</v>
      </c>
      <c r="AN309" s="13">
        <v>0</v>
      </c>
      <c r="AO309" s="7" t="e">
        <v>#N/A</v>
      </c>
    </row>
    <row r="310" spans="1:41">
      <c r="A310" s="8" t="s">
        <v>131</v>
      </c>
      <c r="B310" s="8" t="s">
        <v>754</v>
      </c>
      <c r="C310" s="8" t="s">
        <v>757</v>
      </c>
      <c r="D310" s="8" t="s">
        <v>758</v>
      </c>
      <c r="E310" s="8" t="s">
        <v>135</v>
      </c>
      <c r="F310" s="8">
        <v>1</v>
      </c>
      <c r="G310" s="8">
        <v>1</v>
      </c>
      <c r="H310" s="8">
        <v>1</v>
      </c>
      <c r="I310" s="8" t="s">
        <v>136</v>
      </c>
      <c r="J310" s="8" t="s">
        <v>136</v>
      </c>
      <c r="K310" s="8">
        <v>1</v>
      </c>
      <c r="L310" s="8">
        <v>1</v>
      </c>
      <c r="M310" s="8">
        <v>1</v>
      </c>
      <c r="N310" s="8">
        <v>1</v>
      </c>
      <c r="O310" s="8">
        <v>1</v>
      </c>
      <c r="P310" s="8" t="s">
        <v>136</v>
      </c>
      <c r="Q310" s="8" t="s">
        <v>136</v>
      </c>
      <c r="R310" s="8">
        <v>1</v>
      </c>
      <c r="S310" s="8">
        <v>1</v>
      </c>
      <c r="T310" s="8">
        <v>1</v>
      </c>
      <c r="U310" s="8">
        <v>1</v>
      </c>
      <c r="V310" s="8">
        <v>1</v>
      </c>
      <c r="W310" s="8" t="s">
        <v>136</v>
      </c>
      <c r="X310" s="8" t="s">
        <v>136</v>
      </c>
      <c r="Y310" s="8">
        <v>1</v>
      </c>
      <c r="Z310" s="8">
        <v>1</v>
      </c>
      <c r="AA310" s="8">
        <v>1</v>
      </c>
      <c r="AB310" s="8">
        <v>1</v>
      </c>
      <c r="AC310" s="8">
        <v>1</v>
      </c>
      <c r="AD310" s="8" t="s">
        <v>136</v>
      </c>
      <c r="AE310" s="8" t="s">
        <v>136</v>
      </c>
      <c r="AF310" s="8">
        <v>1</v>
      </c>
      <c r="AG310" s="8">
        <v>1</v>
      </c>
      <c r="AH310" s="8">
        <v>1</v>
      </c>
      <c r="AI310" s="8">
        <v>1</v>
      </c>
      <c r="AJ310" s="8">
        <v>1</v>
      </c>
      <c r="AK310" s="10">
        <v>23</v>
      </c>
      <c r="AL310" s="11">
        <v>23</v>
      </c>
      <c r="AM310" s="13">
        <v>23</v>
      </c>
      <c r="AN310" s="13">
        <v>0</v>
      </c>
      <c r="AO310" s="7" t="e">
        <v>#N/A</v>
      </c>
    </row>
    <row r="311" spans="1:41">
      <c r="A311" s="8" t="s">
        <v>131</v>
      </c>
      <c r="B311" s="8" t="s">
        <v>754</v>
      </c>
      <c r="C311" s="8" t="s">
        <v>759</v>
      </c>
      <c r="D311" s="8" t="s">
        <v>760</v>
      </c>
      <c r="E311" s="8" t="s">
        <v>135</v>
      </c>
      <c r="F311" s="8">
        <v>1</v>
      </c>
      <c r="G311" s="8">
        <v>1</v>
      </c>
      <c r="H311" s="8">
        <v>1</v>
      </c>
      <c r="I311" s="8" t="s">
        <v>136</v>
      </c>
      <c r="J311" s="8" t="s">
        <v>136</v>
      </c>
      <c r="K311" s="8">
        <v>1</v>
      </c>
      <c r="L311" s="8">
        <v>1</v>
      </c>
      <c r="M311" s="8">
        <v>1</v>
      </c>
      <c r="N311" s="8">
        <v>1</v>
      </c>
      <c r="O311" s="8">
        <v>1</v>
      </c>
      <c r="P311" s="8" t="s">
        <v>136</v>
      </c>
      <c r="Q311" s="8" t="s">
        <v>136</v>
      </c>
      <c r="R311" s="8">
        <v>1</v>
      </c>
      <c r="S311" s="8">
        <v>1</v>
      </c>
      <c r="T311" s="8">
        <v>1</v>
      </c>
      <c r="U311" s="8">
        <v>1</v>
      </c>
      <c r="V311" s="8">
        <v>1</v>
      </c>
      <c r="W311" s="8" t="s">
        <v>136</v>
      </c>
      <c r="X311" s="8" t="s">
        <v>136</v>
      </c>
      <c r="Y311" s="8">
        <v>1</v>
      </c>
      <c r="Z311" s="8">
        <v>1</v>
      </c>
      <c r="AA311" s="8">
        <v>1</v>
      </c>
      <c r="AB311" s="8">
        <v>1</v>
      </c>
      <c r="AC311" s="8">
        <v>1</v>
      </c>
      <c r="AD311" s="8" t="s">
        <v>136</v>
      </c>
      <c r="AE311" s="8" t="s">
        <v>136</v>
      </c>
      <c r="AF311" s="8">
        <v>1</v>
      </c>
      <c r="AG311" s="8">
        <v>1</v>
      </c>
      <c r="AH311" s="8">
        <v>1</v>
      </c>
      <c r="AI311" s="8">
        <v>1</v>
      </c>
      <c r="AJ311" s="8">
        <v>1</v>
      </c>
      <c r="AK311" s="10">
        <v>23</v>
      </c>
      <c r="AL311" s="11">
        <v>23</v>
      </c>
      <c r="AM311" s="13">
        <v>23</v>
      </c>
      <c r="AN311" s="13">
        <v>0</v>
      </c>
      <c r="AO311" s="7" t="e">
        <v>#N/A</v>
      </c>
    </row>
    <row r="312" spans="1:41">
      <c r="A312" s="8" t="s">
        <v>131</v>
      </c>
      <c r="B312" s="8" t="s">
        <v>754</v>
      </c>
      <c r="C312" s="8" t="s">
        <v>761</v>
      </c>
      <c r="D312" s="8" t="s">
        <v>762</v>
      </c>
      <c r="E312" s="8" t="s">
        <v>135</v>
      </c>
      <c r="F312" s="8">
        <v>1</v>
      </c>
      <c r="G312" s="8">
        <v>1</v>
      </c>
      <c r="H312" s="8">
        <v>1</v>
      </c>
      <c r="I312" s="8" t="s">
        <v>136</v>
      </c>
      <c r="J312" s="8" t="s">
        <v>136</v>
      </c>
      <c r="K312" s="8">
        <v>1</v>
      </c>
      <c r="L312" s="8">
        <v>1</v>
      </c>
      <c r="M312" s="8">
        <v>1</v>
      </c>
      <c r="N312" s="8">
        <v>1</v>
      </c>
      <c r="O312" s="8">
        <v>1</v>
      </c>
      <c r="P312" s="8" t="s">
        <v>136</v>
      </c>
      <c r="Q312" s="8" t="s">
        <v>136</v>
      </c>
      <c r="R312" s="8">
        <v>1</v>
      </c>
      <c r="S312" s="8">
        <v>1</v>
      </c>
      <c r="T312" s="8">
        <v>1</v>
      </c>
      <c r="U312" s="8">
        <v>1</v>
      </c>
      <c r="V312" s="8">
        <v>1</v>
      </c>
      <c r="W312" s="8" t="s">
        <v>136</v>
      </c>
      <c r="X312" s="8" t="s">
        <v>136</v>
      </c>
      <c r="Y312" s="8">
        <v>1</v>
      </c>
      <c r="Z312" s="8">
        <v>1</v>
      </c>
      <c r="AA312" s="8">
        <v>1</v>
      </c>
      <c r="AB312" s="8">
        <v>1</v>
      </c>
      <c r="AC312" s="8">
        <v>1</v>
      </c>
      <c r="AD312" s="8" t="s">
        <v>136</v>
      </c>
      <c r="AE312" s="8" t="s">
        <v>136</v>
      </c>
      <c r="AF312" s="8">
        <v>1</v>
      </c>
      <c r="AG312" s="8">
        <v>1</v>
      </c>
      <c r="AH312" s="8">
        <v>1</v>
      </c>
      <c r="AI312" s="8">
        <v>1</v>
      </c>
      <c r="AJ312" s="8">
        <v>1</v>
      </c>
      <c r="AK312" s="10">
        <v>23</v>
      </c>
      <c r="AL312" s="11">
        <v>23</v>
      </c>
      <c r="AM312" s="13">
        <v>23</v>
      </c>
      <c r="AN312" s="13">
        <v>0</v>
      </c>
      <c r="AO312" s="7" t="e">
        <v>#N/A</v>
      </c>
    </row>
    <row r="313" spans="1:41">
      <c r="A313" s="8" t="s">
        <v>131</v>
      </c>
      <c r="B313" s="8" t="s">
        <v>754</v>
      </c>
      <c r="C313" s="8" t="s">
        <v>763</v>
      </c>
      <c r="D313" s="8" t="s">
        <v>764</v>
      </c>
      <c r="E313" s="8" t="s">
        <v>135</v>
      </c>
      <c r="F313" s="8">
        <v>1</v>
      </c>
      <c r="G313" s="8">
        <v>1</v>
      </c>
      <c r="H313" s="8">
        <v>1</v>
      </c>
      <c r="I313" s="8" t="s">
        <v>136</v>
      </c>
      <c r="J313" s="8" t="s">
        <v>136</v>
      </c>
      <c r="K313" s="8">
        <v>1</v>
      </c>
      <c r="L313" s="8">
        <v>1</v>
      </c>
      <c r="M313" s="8">
        <v>1</v>
      </c>
      <c r="N313" s="8">
        <v>1</v>
      </c>
      <c r="O313" s="8">
        <v>1</v>
      </c>
      <c r="P313" s="8" t="s">
        <v>136</v>
      </c>
      <c r="Q313" s="8" t="s">
        <v>136</v>
      </c>
      <c r="R313" s="8">
        <v>1</v>
      </c>
      <c r="S313" s="8">
        <v>1</v>
      </c>
      <c r="T313" s="8">
        <v>1</v>
      </c>
      <c r="U313" s="8">
        <v>1</v>
      </c>
      <c r="V313" s="8">
        <v>1</v>
      </c>
      <c r="W313" s="8" t="s">
        <v>136</v>
      </c>
      <c r="X313" s="8" t="s">
        <v>136</v>
      </c>
      <c r="Y313" s="8">
        <v>1</v>
      </c>
      <c r="Z313" s="8">
        <v>1</v>
      </c>
      <c r="AA313" s="8">
        <v>1</v>
      </c>
      <c r="AB313" s="8">
        <v>1</v>
      </c>
      <c r="AC313" s="8">
        <v>1</v>
      </c>
      <c r="AD313" s="8" t="s">
        <v>136</v>
      </c>
      <c r="AE313" s="8" t="s">
        <v>136</v>
      </c>
      <c r="AF313" s="8">
        <v>1</v>
      </c>
      <c r="AG313" s="8">
        <v>1</v>
      </c>
      <c r="AH313" s="8">
        <v>1</v>
      </c>
      <c r="AI313" s="8">
        <v>1</v>
      </c>
      <c r="AJ313" s="8">
        <v>1</v>
      </c>
      <c r="AK313" s="10">
        <v>23</v>
      </c>
      <c r="AL313" s="11">
        <v>23</v>
      </c>
      <c r="AM313" s="13">
        <v>23</v>
      </c>
      <c r="AN313" s="13">
        <v>0</v>
      </c>
      <c r="AO313" s="7" t="e">
        <v>#N/A</v>
      </c>
    </row>
    <row r="314" spans="1:41">
      <c r="A314" s="8" t="s">
        <v>131</v>
      </c>
      <c r="B314" s="8" t="s">
        <v>754</v>
      </c>
      <c r="C314" s="8" t="s">
        <v>765</v>
      </c>
      <c r="D314" s="8" t="s">
        <v>766</v>
      </c>
      <c r="E314" s="8" t="s">
        <v>135</v>
      </c>
      <c r="F314" s="8">
        <v>1</v>
      </c>
      <c r="G314" s="8">
        <v>1</v>
      </c>
      <c r="H314" s="8">
        <v>1</v>
      </c>
      <c r="I314" s="8" t="s">
        <v>136</v>
      </c>
      <c r="J314" s="8" t="s">
        <v>136</v>
      </c>
      <c r="K314" s="8">
        <v>1</v>
      </c>
      <c r="L314" s="8">
        <v>1</v>
      </c>
      <c r="M314" s="8">
        <v>1</v>
      </c>
      <c r="N314" s="8">
        <v>1</v>
      </c>
      <c r="O314" s="8">
        <v>1</v>
      </c>
      <c r="P314" s="8" t="s">
        <v>136</v>
      </c>
      <c r="Q314" s="8" t="s">
        <v>136</v>
      </c>
      <c r="R314" s="8">
        <v>1</v>
      </c>
      <c r="S314" s="8">
        <v>1</v>
      </c>
      <c r="T314" s="8">
        <v>1</v>
      </c>
      <c r="U314" s="8">
        <v>1</v>
      </c>
      <c r="V314" s="8">
        <v>1</v>
      </c>
      <c r="W314" s="8" t="s">
        <v>136</v>
      </c>
      <c r="X314" s="8" t="s">
        <v>136</v>
      </c>
      <c r="Y314" s="8">
        <v>1</v>
      </c>
      <c r="Z314" s="8">
        <v>1</v>
      </c>
      <c r="AA314" s="8">
        <v>1</v>
      </c>
      <c r="AB314" s="8">
        <v>1</v>
      </c>
      <c r="AC314" s="8">
        <v>1</v>
      </c>
      <c r="AD314" s="8" t="s">
        <v>136</v>
      </c>
      <c r="AE314" s="8" t="s">
        <v>136</v>
      </c>
      <c r="AF314" s="8">
        <v>1</v>
      </c>
      <c r="AG314" s="8">
        <v>1</v>
      </c>
      <c r="AH314" s="8">
        <v>1</v>
      </c>
      <c r="AI314" s="8">
        <v>1</v>
      </c>
      <c r="AJ314" s="8">
        <v>1</v>
      </c>
      <c r="AK314" s="10">
        <v>23</v>
      </c>
      <c r="AL314" s="11">
        <v>23</v>
      </c>
      <c r="AM314" s="13">
        <v>23</v>
      </c>
      <c r="AN314" s="13">
        <v>0</v>
      </c>
      <c r="AO314" s="7" t="e">
        <v>#N/A</v>
      </c>
    </row>
    <row r="315" spans="1:41">
      <c r="A315" s="8" t="s">
        <v>131</v>
      </c>
      <c r="B315" s="8" t="s">
        <v>754</v>
      </c>
      <c r="C315" s="8" t="s">
        <v>767</v>
      </c>
      <c r="D315" s="8" t="s">
        <v>768</v>
      </c>
      <c r="E315" s="8" t="s">
        <v>135</v>
      </c>
      <c r="F315" s="8">
        <v>1</v>
      </c>
      <c r="G315" s="8">
        <v>1</v>
      </c>
      <c r="H315" s="8">
        <v>1</v>
      </c>
      <c r="I315" s="8" t="s">
        <v>136</v>
      </c>
      <c r="J315" s="8" t="s">
        <v>136</v>
      </c>
      <c r="K315" s="8">
        <v>1</v>
      </c>
      <c r="L315" s="8">
        <v>1</v>
      </c>
      <c r="M315" s="8">
        <v>1</v>
      </c>
      <c r="N315" s="8">
        <v>1</v>
      </c>
      <c r="O315" s="8">
        <v>1</v>
      </c>
      <c r="P315" s="8" t="s">
        <v>136</v>
      </c>
      <c r="Q315" s="8" t="s">
        <v>136</v>
      </c>
      <c r="R315" s="8">
        <v>1</v>
      </c>
      <c r="S315" s="8">
        <v>1</v>
      </c>
      <c r="T315" s="8">
        <v>1</v>
      </c>
      <c r="U315" s="8">
        <v>1</v>
      </c>
      <c r="V315" s="8">
        <v>1</v>
      </c>
      <c r="W315" s="8" t="s">
        <v>136</v>
      </c>
      <c r="X315" s="8" t="s">
        <v>136</v>
      </c>
      <c r="Y315" s="8">
        <v>1</v>
      </c>
      <c r="Z315" s="8">
        <v>1</v>
      </c>
      <c r="AA315" s="8">
        <v>1</v>
      </c>
      <c r="AB315" s="8">
        <v>1</v>
      </c>
      <c r="AC315" s="8">
        <v>1</v>
      </c>
      <c r="AD315" s="8" t="s">
        <v>136</v>
      </c>
      <c r="AE315" s="8" t="s">
        <v>136</v>
      </c>
      <c r="AF315" s="8">
        <v>1</v>
      </c>
      <c r="AG315" s="8">
        <v>1</v>
      </c>
      <c r="AH315" s="8">
        <v>1</v>
      </c>
      <c r="AI315" s="8">
        <v>1</v>
      </c>
      <c r="AJ315" s="8">
        <v>1</v>
      </c>
      <c r="AK315" s="10">
        <v>23</v>
      </c>
      <c r="AL315" s="11">
        <v>23</v>
      </c>
      <c r="AM315" s="13">
        <v>23</v>
      </c>
      <c r="AN315" s="13">
        <v>0</v>
      </c>
      <c r="AO315" s="7" t="e">
        <v>#N/A</v>
      </c>
    </row>
    <row r="316" spans="1:41">
      <c r="A316" s="8" t="s">
        <v>131</v>
      </c>
      <c r="B316" s="8" t="s">
        <v>754</v>
      </c>
      <c r="C316" s="8" t="s">
        <v>769</v>
      </c>
      <c r="D316" s="8" t="s">
        <v>770</v>
      </c>
      <c r="E316" s="8" t="s">
        <v>135</v>
      </c>
      <c r="F316" s="8">
        <v>1</v>
      </c>
      <c r="G316" s="8">
        <v>1</v>
      </c>
      <c r="H316" s="8">
        <v>1</v>
      </c>
      <c r="I316" s="8" t="s">
        <v>136</v>
      </c>
      <c r="J316" s="8" t="s">
        <v>136</v>
      </c>
      <c r="K316" s="8">
        <v>1</v>
      </c>
      <c r="L316" s="8">
        <v>1</v>
      </c>
      <c r="M316" s="8">
        <v>1</v>
      </c>
      <c r="N316" s="8">
        <v>1</v>
      </c>
      <c r="O316" s="8">
        <v>1</v>
      </c>
      <c r="P316" s="8" t="s">
        <v>136</v>
      </c>
      <c r="Q316" s="8" t="s">
        <v>136</v>
      </c>
      <c r="R316" s="8">
        <v>1</v>
      </c>
      <c r="S316" s="8">
        <v>1</v>
      </c>
      <c r="T316" s="8">
        <v>1</v>
      </c>
      <c r="U316" s="8">
        <v>1</v>
      </c>
      <c r="V316" s="8">
        <v>1</v>
      </c>
      <c r="W316" s="8" t="s">
        <v>136</v>
      </c>
      <c r="X316" s="8" t="s">
        <v>136</v>
      </c>
      <c r="Y316" s="8">
        <v>1</v>
      </c>
      <c r="Z316" s="8">
        <v>1</v>
      </c>
      <c r="AA316" s="8">
        <v>1</v>
      </c>
      <c r="AB316" s="8">
        <v>1</v>
      </c>
      <c r="AC316" s="8">
        <v>1</v>
      </c>
      <c r="AD316" s="8" t="s">
        <v>136</v>
      </c>
      <c r="AE316" s="8" t="s">
        <v>136</v>
      </c>
      <c r="AF316" s="8">
        <v>1</v>
      </c>
      <c r="AG316" s="8">
        <v>1</v>
      </c>
      <c r="AH316" s="8">
        <v>1</v>
      </c>
      <c r="AI316" s="8">
        <v>1</v>
      </c>
      <c r="AJ316" s="8">
        <v>1</v>
      </c>
      <c r="AK316" s="10">
        <v>23</v>
      </c>
      <c r="AL316" s="11">
        <v>23</v>
      </c>
      <c r="AM316" s="13">
        <v>23</v>
      </c>
      <c r="AN316" s="13">
        <v>0</v>
      </c>
      <c r="AO316" s="7" t="e">
        <v>#N/A</v>
      </c>
    </row>
    <row r="317" spans="1:41">
      <c r="A317" s="8" t="s">
        <v>131</v>
      </c>
      <c r="B317" s="8" t="s">
        <v>754</v>
      </c>
      <c r="C317" s="8" t="s">
        <v>771</v>
      </c>
      <c r="D317" s="8" t="s">
        <v>772</v>
      </c>
      <c r="E317" s="8" t="s">
        <v>135</v>
      </c>
      <c r="F317" s="8">
        <v>0</v>
      </c>
      <c r="G317" s="8">
        <v>0</v>
      </c>
      <c r="H317" s="8">
        <v>0</v>
      </c>
      <c r="I317" s="8" t="s">
        <v>136</v>
      </c>
      <c r="J317" s="8" t="s">
        <v>136</v>
      </c>
      <c r="K317" s="8">
        <v>0</v>
      </c>
      <c r="L317" s="8">
        <v>0</v>
      </c>
      <c r="M317" s="8">
        <v>0</v>
      </c>
      <c r="N317" s="8">
        <v>0</v>
      </c>
      <c r="O317" s="8">
        <v>0</v>
      </c>
      <c r="P317" s="8" t="s">
        <v>136</v>
      </c>
      <c r="Q317" s="8" t="s">
        <v>136</v>
      </c>
      <c r="R317" s="8">
        <v>0</v>
      </c>
      <c r="S317" s="8">
        <v>0</v>
      </c>
      <c r="T317" s="8">
        <v>0</v>
      </c>
      <c r="U317" s="8">
        <v>0</v>
      </c>
      <c r="V317" s="8">
        <v>0</v>
      </c>
      <c r="W317" s="8" t="s">
        <v>136</v>
      </c>
      <c r="X317" s="8" t="s">
        <v>136</v>
      </c>
      <c r="Y317" s="8">
        <v>1</v>
      </c>
      <c r="Z317" s="8">
        <v>1</v>
      </c>
      <c r="AA317" s="8">
        <v>1</v>
      </c>
      <c r="AB317" s="8">
        <v>1</v>
      </c>
      <c r="AC317" s="8">
        <v>1</v>
      </c>
      <c r="AD317" s="8" t="s">
        <v>136</v>
      </c>
      <c r="AE317" s="8" t="s">
        <v>136</v>
      </c>
      <c r="AF317" s="8">
        <v>1</v>
      </c>
      <c r="AG317" s="8">
        <v>1</v>
      </c>
      <c r="AH317" s="8">
        <v>1</v>
      </c>
      <c r="AI317" s="8">
        <v>1</v>
      </c>
      <c r="AJ317" s="8">
        <v>1</v>
      </c>
      <c r="AK317" s="10">
        <v>23</v>
      </c>
      <c r="AL317" s="11">
        <v>10</v>
      </c>
      <c r="AM317" s="13">
        <v>10</v>
      </c>
      <c r="AN317" s="13">
        <v>0</v>
      </c>
      <c r="AO317" s="7" t="e">
        <v>#N/A</v>
      </c>
    </row>
    <row r="318" spans="1:41">
      <c r="A318" s="8" t="s">
        <v>131</v>
      </c>
      <c r="B318" s="8" t="s">
        <v>754</v>
      </c>
      <c r="C318" s="8" t="s">
        <v>773</v>
      </c>
      <c r="D318" s="8" t="s">
        <v>774</v>
      </c>
      <c r="E318" s="8" t="s">
        <v>135</v>
      </c>
      <c r="F318" s="8">
        <v>1</v>
      </c>
      <c r="G318" s="8">
        <v>1</v>
      </c>
      <c r="H318" s="8">
        <v>1</v>
      </c>
      <c r="I318" s="8" t="s">
        <v>136</v>
      </c>
      <c r="J318" s="8" t="s">
        <v>136</v>
      </c>
      <c r="K318" s="8">
        <v>1</v>
      </c>
      <c r="L318" s="8">
        <v>1</v>
      </c>
      <c r="M318" s="8">
        <v>1</v>
      </c>
      <c r="N318" s="8">
        <v>1</v>
      </c>
      <c r="O318" s="8">
        <v>1</v>
      </c>
      <c r="P318" s="8" t="s">
        <v>136</v>
      </c>
      <c r="Q318" s="8" t="s">
        <v>136</v>
      </c>
      <c r="R318" s="8">
        <v>1</v>
      </c>
      <c r="S318" s="8">
        <v>1</v>
      </c>
      <c r="T318" s="8">
        <v>1</v>
      </c>
      <c r="U318" s="8">
        <v>1</v>
      </c>
      <c r="V318" s="8">
        <v>1</v>
      </c>
      <c r="W318" s="8" t="s">
        <v>136</v>
      </c>
      <c r="X318" s="8" t="s">
        <v>136</v>
      </c>
      <c r="Y318" s="8">
        <v>1</v>
      </c>
      <c r="Z318" s="8">
        <v>1</v>
      </c>
      <c r="AA318" s="8">
        <v>1</v>
      </c>
      <c r="AB318" s="8">
        <v>1</v>
      </c>
      <c r="AC318" s="8">
        <v>1</v>
      </c>
      <c r="AD318" s="8" t="s">
        <v>136</v>
      </c>
      <c r="AE318" s="8" t="s">
        <v>136</v>
      </c>
      <c r="AF318" s="8">
        <v>1</v>
      </c>
      <c r="AG318" s="8">
        <v>1</v>
      </c>
      <c r="AH318" s="8">
        <v>1</v>
      </c>
      <c r="AI318" s="8">
        <v>1</v>
      </c>
      <c r="AJ318" s="8">
        <v>1</v>
      </c>
      <c r="AK318" s="10">
        <v>23</v>
      </c>
      <c r="AL318" s="11">
        <v>23</v>
      </c>
      <c r="AM318" s="13">
        <v>23</v>
      </c>
      <c r="AN318" s="13">
        <v>0</v>
      </c>
      <c r="AO318" s="7" t="e">
        <v>#N/A</v>
      </c>
    </row>
    <row r="319" spans="1:41">
      <c r="A319" s="8" t="s">
        <v>131</v>
      </c>
      <c r="B319" s="8" t="s">
        <v>754</v>
      </c>
      <c r="C319" s="8" t="s">
        <v>775</v>
      </c>
      <c r="D319" s="8" t="s">
        <v>776</v>
      </c>
      <c r="E319" s="8" t="s">
        <v>135</v>
      </c>
      <c r="F319" s="8">
        <v>1</v>
      </c>
      <c r="G319" s="8">
        <v>1</v>
      </c>
      <c r="H319" s="8">
        <v>1</v>
      </c>
      <c r="I319" s="8" t="s">
        <v>136</v>
      </c>
      <c r="J319" s="8" t="s">
        <v>136</v>
      </c>
      <c r="K319" s="8">
        <v>1</v>
      </c>
      <c r="L319" s="8">
        <v>1</v>
      </c>
      <c r="M319" s="8">
        <v>1</v>
      </c>
      <c r="N319" s="8">
        <v>1</v>
      </c>
      <c r="O319" s="8">
        <v>1</v>
      </c>
      <c r="P319" s="8" t="s">
        <v>136</v>
      </c>
      <c r="Q319" s="8" t="s">
        <v>136</v>
      </c>
      <c r="R319" s="8">
        <v>1</v>
      </c>
      <c r="S319" s="8">
        <v>1</v>
      </c>
      <c r="T319" s="8">
        <v>1</v>
      </c>
      <c r="U319" s="8">
        <v>1</v>
      </c>
      <c r="V319" s="8">
        <v>1</v>
      </c>
      <c r="W319" s="8" t="s">
        <v>136</v>
      </c>
      <c r="X319" s="8" t="s">
        <v>136</v>
      </c>
      <c r="Y319" s="8">
        <v>1</v>
      </c>
      <c r="Z319" s="8">
        <v>1</v>
      </c>
      <c r="AA319" s="8">
        <v>1</v>
      </c>
      <c r="AB319" s="8">
        <v>1</v>
      </c>
      <c r="AC319" s="8">
        <v>1</v>
      </c>
      <c r="AD319" s="8" t="s">
        <v>136</v>
      </c>
      <c r="AE319" s="8" t="s">
        <v>136</v>
      </c>
      <c r="AF319" s="8">
        <v>1</v>
      </c>
      <c r="AG319" s="8">
        <v>1</v>
      </c>
      <c r="AH319" s="8">
        <v>1</v>
      </c>
      <c r="AI319" s="8">
        <v>1</v>
      </c>
      <c r="AJ319" s="8">
        <v>1</v>
      </c>
      <c r="AK319" s="10">
        <v>23</v>
      </c>
      <c r="AL319" s="11">
        <v>23</v>
      </c>
      <c r="AM319" s="13">
        <v>23</v>
      </c>
      <c r="AN319" s="13">
        <v>0</v>
      </c>
      <c r="AO319" s="7" t="e">
        <v>#N/A</v>
      </c>
    </row>
    <row r="320" spans="1:41">
      <c r="A320" s="8" t="s">
        <v>131</v>
      </c>
      <c r="B320" s="8" t="s">
        <v>754</v>
      </c>
      <c r="C320" s="8" t="s">
        <v>777</v>
      </c>
      <c r="D320" s="8" t="s">
        <v>778</v>
      </c>
      <c r="E320" s="8" t="s">
        <v>135</v>
      </c>
      <c r="F320" s="8">
        <v>1</v>
      </c>
      <c r="G320" s="8">
        <v>1</v>
      </c>
      <c r="H320" s="8">
        <v>1</v>
      </c>
      <c r="I320" s="8" t="s">
        <v>136</v>
      </c>
      <c r="J320" s="8" t="s">
        <v>136</v>
      </c>
      <c r="K320" s="8">
        <v>1</v>
      </c>
      <c r="L320" s="8">
        <v>1</v>
      </c>
      <c r="M320" s="8">
        <v>1</v>
      </c>
      <c r="N320" s="8">
        <v>1</v>
      </c>
      <c r="O320" s="8">
        <v>1</v>
      </c>
      <c r="P320" s="8" t="s">
        <v>136</v>
      </c>
      <c r="Q320" s="8" t="s">
        <v>136</v>
      </c>
      <c r="R320" s="8">
        <v>1</v>
      </c>
      <c r="S320" s="8">
        <v>1</v>
      </c>
      <c r="T320" s="8">
        <v>1</v>
      </c>
      <c r="U320" s="8">
        <v>1</v>
      </c>
      <c r="V320" s="8">
        <v>1</v>
      </c>
      <c r="W320" s="8" t="s">
        <v>136</v>
      </c>
      <c r="X320" s="8" t="s">
        <v>136</v>
      </c>
      <c r="Y320" s="8">
        <v>1</v>
      </c>
      <c r="Z320" s="8">
        <v>1</v>
      </c>
      <c r="AA320" s="8">
        <v>1</v>
      </c>
      <c r="AB320" s="8">
        <v>1</v>
      </c>
      <c r="AC320" s="8">
        <v>1</v>
      </c>
      <c r="AD320" s="8" t="s">
        <v>136</v>
      </c>
      <c r="AE320" s="8" t="s">
        <v>136</v>
      </c>
      <c r="AF320" s="8">
        <v>1</v>
      </c>
      <c r="AG320" s="8">
        <v>1</v>
      </c>
      <c r="AH320" s="8">
        <v>1</v>
      </c>
      <c r="AI320" s="8">
        <v>1</v>
      </c>
      <c r="AJ320" s="8">
        <v>1</v>
      </c>
      <c r="AK320" s="10">
        <v>23</v>
      </c>
      <c r="AL320" s="11">
        <v>23</v>
      </c>
      <c r="AM320" s="13">
        <v>23</v>
      </c>
      <c r="AN320" s="13">
        <v>0</v>
      </c>
      <c r="AO320" s="7" t="e">
        <v>#N/A</v>
      </c>
    </row>
    <row r="321" spans="1:41">
      <c r="A321" s="8" t="s">
        <v>131</v>
      </c>
      <c r="B321" s="8" t="s">
        <v>754</v>
      </c>
      <c r="C321" s="8" t="s">
        <v>779</v>
      </c>
      <c r="D321" s="8" t="s">
        <v>780</v>
      </c>
      <c r="E321" s="8" t="s">
        <v>135</v>
      </c>
      <c r="F321" s="8">
        <v>1</v>
      </c>
      <c r="G321" s="8">
        <v>1</v>
      </c>
      <c r="H321" s="8">
        <v>1</v>
      </c>
      <c r="I321" s="8" t="s">
        <v>136</v>
      </c>
      <c r="J321" s="8" t="s">
        <v>136</v>
      </c>
      <c r="K321" s="8">
        <v>1</v>
      </c>
      <c r="L321" s="8">
        <v>1</v>
      </c>
      <c r="M321" s="8">
        <v>1</v>
      </c>
      <c r="N321" s="8">
        <v>1</v>
      </c>
      <c r="O321" s="8">
        <v>1</v>
      </c>
      <c r="P321" s="8" t="s">
        <v>136</v>
      </c>
      <c r="Q321" s="8" t="s">
        <v>136</v>
      </c>
      <c r="R321" s="8">
        <v>1</v>
      </c>
      <c r="S321" s="8">
        <v>1</v>
      </c>
      <c r="T321" s="8">
        <v>1</v>
      </c>
      <c r="U321" s="8">
        <v>1</v>
      </c>
      <c r="V321" s="8">
        <v>1</v>
      </c>
      <c r="W321" s="8" t="s">
        <v>136</v>
      </c>
      <c r="X321" s="8" t="s">
        <v>136</v>
      </c>
      <c r="Y321" s="8">
        <v>1</v>
      </c>
      <c r="Z321" s="8">
        <v>1</v>
      </c>
      <c r="AA321" s="8">
        <v>1</v>
      </c>
      <c r="AB321" s="8">
        <v>1</v>
      </c>
      <c r="AC321" s="8">
        <v>1</v>
      </c>
      <c r="AD321" s="8" t="s">
        <v>136</v>
      </c>
      <c r="AE321" s="8" t="s">
        <v>136</v>
      </c>
      <c r="AF321" s="8">
        <v>1</v>
      </c>
      <c r="AG321" s="8">
        <v>1</v>
      </c>
      <c r="AH321" s="8">
        <v>1</v>
      </c>
      <c r="AI321" s="8">
        <v>1</v>
      </c>
      <c r="AJ321" s="8">
        <v>1</v>
      </c>
      <c r="AK321" s="10">
        <v>23</v>
      </c>
      <c r="AL321" s="11">
        <v>23</v>
      </c>
      <c r="AM321" s="13">
        <v>23</v>
      </c>
      <c r="AN321" s="13">
        <v>0</v>
      </c>
      <c r="AO321" s="7" t="e">
        <v>#N/A</v>
      </c>
    </row>
    <row r="322" spans="1:41">
      <c r="A322" s="8" t="s">
        <v>131</v>
      </c>
      <c r="B322" s="8" t="s">
        <v>754</v>
      </c>
      <c r="C322" s="8" t="s">
        <v>781</v>
      </c>
      <c r="D322" s="8" t="s">
        <v>782</v>
      </c>
      <c r="E322" s="8" t="s">
        <v>135</v>
      </c>
      <c r="F322" s="8">
        <v>1</v>
      </c>
      <c r="G322" s="8">
        <v>1</v>
      </c>
      <c r="H322" s="8">
        <v>1</v>
      </c>
      <c r="I322" s="8" t="s">
        <v>136</v>
      </c>
      <c r="J322" s="8" t="s">
        <v>136</v>
      </c>
      <c r="K322" s="8">
        <v>1</v>
      </c>
      <c r="L322" s="8">
        <v>1</v>
      </c>
      <c r="M322" s="8">
        <v>1</v>
      </c>
      <c r="N322" s="8">
        <v>1</v>
      </c>
      <c r="O322" s="8">
        <v>1</v>
      </c>
      <c r="P322" s="8" t="s">
        <v>136</v>
      </c>
      <c r="Q322" s="8" t="s">
        <v>136</v>
      </c>
      <c r="R322" s="8">
        <v>1</v>
      </c>
      <c r="S322" s="8">
        <v>1</v>
      </c>
      <c r="T322" s="8">
        <v>1</v>
      </c>
      <c r="U322" s="8">
        <v>1</v>
      </c>
      <c r="V322" s="8">
        <v>1</v>
      </c>
      <c r="W322" s="8" t="s">
        <v>136</v>
      </c>
      <c r="X322" s="8" t="s">
        <v>136</v>
      </c>
      <c r="Y322" s="8">
        <v>1</v>
      </c>
      <c r="Z322" s="8">
        <v>1</v>
      </c>
      <c r="AA322" s="8">
        <v>1</v>
      </c>
      <c r="AB322" s="8">
        <v>1</v>
      </c>
      <c r="AC322" s="8">
        <v>1</v>
      </c>
      <c r="AD322" s="8" t="s">
        <v>136</v>
      </c>
      <c r="AE322" s="8" t="s">
        <v>136</v>
      </c>
      <c r="AF322" s="8">
        <v>1</v>
      </c>
      <c r="AG322" s="8">
        <v>1</v>
      </c>
      <c r="AH322" s="8">
        <v>1</v>
      </c>
      <c r="AI322" s="8">
        <v>1</v>
      </c>
      <c r="AJ322" s="8">
        <v>1</v>
      </c>
      <c r="AK322" s="10">
        <v>23</v>
      </c>
      <c r="AL322" s="11">
        <v>23</v>
      </c>
      <c r="AM322" s="13">
        <v>23</v>
      </c>
      <c r="AN322" s="13">
        <v>0</v>
      </c>
      <c r="AO322" s="7" t="e">
        <v>#N/A</v>
      </c>
    </row>
    <row r="323" spans="1:41">
      <c r="A323" s="8" t="s">
        <v>131</v>
      </c>
      <c r="B323" s="8" t="s">
        <v>754</v>
      </c>
      <c r="C323" s="8" t="s">
        <v>783</v>
      </c>
      <c r="D323" s="8" t="s">
        <v>784</v>
      </c>
      <c r="E323" s="8" t="s">
        <v>135</v>
      </c>
      <c r="F323" s="8">
        <v>1</v>
      </c>
      <c r="G323" s="8">
        <v>1</v>
      </c>
      <c r="H323" s="8">
        <v>1</v>
      </c>
      <c r="I323" s="8" t="s">
        <v>136</v>
      </c>
      <c r="J323" s="8" t="s">
        <v>136</v>
      </c>
      <c r="K323" s="8">
        <v>1</v>
      </c>
      <c r="L323" s="8">
        <v>1</v>
      </c>
      <c r="M323" s="8">
        <v>1</v>
      </c>
      <c r="N323" s="8">
        <v>1</v>
      </c>
      <c r="O323" s="8">
        <v>1</v>
      </c>
      <c r="P323" s="8" t="s">
        <v>136</v>
      </c>
      <c r="Q323" s="8" t="s">
        <v>136</v>
      </c>
      <c r="R323" s="8">
        <v>1</v>
      </c>
      <c r="S323" s="8">
        <v>1</v>
      </c>
      <c r="T323" s="8">
        <v>1</v>
      </c>
      <c r="U323" s="8">
        <v>1</v>
      </c>
      <c r="V323" s="8">
        <v>1</v>
      </c>
      <c r="W323" s="8" t="s">
        <v>136</v>
      </c>
      <c r="X323" s="8" t="s">
        <v>136</v>
      </c>
      <c r="Y323" s="8">
        <v>1</v>
      </c>
      <c r="Z323" s="8">
        <v>1</v>
      </c>
      <c r="AA323" s="8">
        <v>1</v>
      </c>
      <c r="AB323" s="8">
        <v>1</v>
      </c>
      <c r="AC323" s="8">
        <v>1</v>
      </c>
      <c r="AD323" s="8" t="s">
        <v>136</v>
      </c>
      <c r="AE323" s="8" t="s">
        <v>136</v>
      </c>
      <c r="AF323" s="8">
        <v>1</v>
      </c>
      <c r="AG323" s="8">
        <v>1</v>
      </c>
      <c r="AH323" s="8">
        <v>1</v>
      </c>
      <c r="AI323" s="8">
        <v>1</v>
      </c>
      <c r="AJ323" s="8">
        <v>1</v>
      </c>
      <c r="AK323" s="10">
        <v>23</v>
      </c>
      <c r="AL323" s="11">
        <v>23</v>
      </c>
      <c r="AM323" s="13">
        <v>23</v>
      </c>
      <c r="AN323" s="13">
        <v>0</v>
      </c>
      <c r="AO323" s="7" t="e">
        <v>#N/A</v>
      </c>
    </row>
    <row r="324" spans="1:41">
      <c r="A324" s="8" t="s">
        <v>131</v>
      </c>
      <c r="B324" s="8" t="s">
        <v>754</v>
      </c>
      <c r="C324" s="8" t="s">
        <v>785</v>
      </c>
      <c r="D324" s="8" t="s">
        <v>786</v>
      </c>
      <c r="E324" s="8" t="s">
        <v>135</v>
      </c>
      <c r="F324" s="8">
        <v>1</v>
      </c>
      <c r="G324" s="8">
        <v>1</v>
      </c>
      <c r="H324" s="8">
        <v>1</v>
      </c>
      <c r="I324" s="8" t="s">
        <v>136</v>
      </c>
      <c r="J324" s="8" t="s">
        <v>136</v>
      </c>
      <c r="K324" s="8">
        <v>1</v>
      </c>
      <c r="L324" s="8">
        <v>1</v>
      </c>
      <c r="M324" s="8">
        <v>1</v>
      </c>
      <c r="N324" s="8">
        <v>1</v>
      </c>
      <c r="O324" s="8">
        <v>1</v>
      </c>
      <c r="P324" s="8" t="s">
        <v>136</v>
      </c>
      <c r="Q324" s="8" t="s">
        <v>136</v>
      </c>
      <c r="R324" s="8">
        <v>1</v>
      </c>
      <c r="S324" s="8">
        <v>1</v>
      </c>
      <c r="T324" s="8">
        <v>1</v>
      </c>
      <c r="U324" s="8">
        <v>1</v>
      </c>
      <c r="V324" s="8">
        <v>1</v>
      </c>
      <c r="W324" s="8" t="s">
        <v>136</v>
      </c>
      <c r="X324" s="8" t="s">
        <v>136</v>
      </c>
      <c r="Y324" s="8">
        <v>1</v>
      </c>
      <c r="Z324" s="8">
        <v>1</v>
      </c>
      <c r="AA324" s="8">
        <v>1</v>
      </c>
      <c r="AB324" s="8">
        <v>1</v>
      </c>
      <c r="AC324" s="8">
        <v>1</v>
      </c>
      <c r="AD324" s="8" t="s">
        <v>136</v>
      </c>
      <c r="AE324" s="8" t="s">
        <v>136</v>
      </c>
      <c r="AF324" s="8">
        <v>1</v>
      </c>
      <c r="AG324" s="8">
        <v>1</v>
      </c>
      <c r="AH324" s="8">
        <v>1</v>
      </c>
      <c r="AI324" s="8">
        <v>1</v>
      </c>
      <c r="AJ324" s="8">
        <v>1</v>
      </c>
      <c r="AK324" s="10">
        <v>23</v>
      </c>
      <c r="AL324" s="11">
        <v>23</v>
      </c>
      <c r="AM324" s="13">
        <v>23</v>
      </c>
      <c r="AN324" s="13">
        <v>0</v>
      </c>
      <c r="AO324" s="7" t="e">
        <v>#N/A</v>
      </c>
    </row>
    <row r="325" spans="1:41">
      <c r="A325" s="8" t="s">
        <v>131</v>
      </c>
      <c r="B325" s="8" t="s">
        <v>754</v>
      </c>
      <c r="C325" s="8" t="s">
        <v>787</v>
      </c>
      <c r="D325" s="8" t="s">
        <v>788</v>
      </c>
      <c r="E325" s="8" t="s">
        <v>135</v>
      </c>
      <c r="F325" s="8">
        <v>1</v>
      </c>
      <c r="G325" s="8">
        <v>1</v>
      </c>
      <c r="H325" s="8">
        <v>1</v>
      </c>
      <c r="I325" s="8" t="s">
        <v>136</v>
      </c>
      <c r="J325" s="8" t="s">
        <v>136</v>
      </c>
      <c r="K325" s="8">
        <v>1</v>
      </c>
      <c r="L325" s="8">
        <v>1</v>
      </c>
      <c r="M325" s="8">
        <v>1</v>
      </c>
      <c r="N325" s="8">
        <v>1</v>
      </c>
      <c r="O325" s="8">
        <v>1</v>
      </c>
      <c r="P325" s="8" t="s">
        <v>136</v>
      </c>
      <c r="Q325" s="8" t="s">
        <v>136</v>
      </c>
      <c r="R325" s="8">
        <v>1</v>
      </c>
      <c r="S325" s="8">
        <v>1</v>
      </c>
      <c r="T325" s="8">
        <v>1</v>
      </c>
      <c r="U325" s="8">
        <v>1</v>
      </c>
      <c r="V325" s="8">
        <v>1</v>
      </c>
      <c r="W325" s="8" t="s">
        <v>136</v>
      </c>
      <c r="X325" s="8" t="s">
        <v>136</v>
      </c>
      <c r="Y325" s="8">
        <v>1</v>
      </c>
      <c r="Z325" s="8">
        <v>1</v>
      </c>
      <c r="AA325" s="8">
        <v>1</v>
      </c>
      <c r="AB325" s="8">
        <v>1</v>
      </c>
      <c r="AC325" s="8">
        <v>1</v>
      </c>
      <c r="AD325" s="8" t="s">
        <v>136</v>
      </c>
      <c r="AE325" s="8" t="s">
        <v>136</v>
      </c>
      <c r="AF325" s="8">
        <v>1</v>
      </c>
      <c r="AG325" s="8">
        <v>1</v>
      </c>
      <c r="AH325" s="8">
        <v>1</v>
      </c>
      <c r="AI325" s="8">
        <v>1</v>
      </c>
      <c r="AJ325" s="8">
        <v>1</v>
      </c>
      <c r="AK325" s="10">
        <v>23</v>
      </c>
      <c r="AL325" s="11">
        <v>23</v>
      </c>
      <c r="AM325" s="13">
        <v>23</v>
      </c>
      <c r="AN325" s="13">
        <v>0</v>
      </c>
      <c r="AO325" s="7" t="e">
        <v>#N/A</v>
      </c>
    </row>
    <row r="326" spans="1:41">
      <c r="A326" s="8" t="s">
        <v>131</v>
      </c>
      <c r="B326" s="8" t="s">
        <v>754</v>
      </c>
      <c r="C326" s="8" t="s">
        <v>789</v>
      </c>
      <c r="D326" s="8" t="s">
        <v>790</v>
      </c>
      <c r="E326" s="8" t="s">
        <v>135</v>
      </c>
      <c r="F326" s="8">
        <v>1</v>
      </c>
      <c r="G326" s="8">
        <v>1</v>
      </c>
      <c r="H326" s="8">
        <v>1</v>
      </c>
      <c r="I326" s="8" t="s">
        <v>136</v>
      </c>
      <c r="J326" s="8" t="s">
        <v>136</v>
      </c>
      <c r="K326" s="8">
        <v>1</v>
      </c>
      <c r="L326" s="8">
        <v>1</v>
      </c>
      <c r="M326" s="8">
        <v>1</v>
      </c>
      <c r="N326" s="8">
        <v>1</v>
      </c>
      <c r="O326" s="8">
        <v>1</v>
      </c>
      <c r="P326" s="8" t="s">
        <v>136</v>
      </c>
      <c r="Q326" s="8" t="s">
        <v>136</v>
      </c>
      <c r="R326" s="8">
        <v>1</v>
      </c>
      <c r="S326" s="8">
        <v>1</v>
      </c>
      <c r="T326" s="8">
        <v>1</v>
      </c>
      <c r="U326" s="8">
        <v>1</v>
      </c>
      <c r="V326" s="8">
        <v>1</v>
      </c>
      <c r="W326" s="8" t="s">
        <v>136</v>
      </c>
      <c r="X326" s="8" t="s">
        <v>136</v>
      </c>
      <c r="Y326" s="8">
        <v>1</v>
      </c>
      <c r="Z326" s="8">
        <v>1</v>
      </c>
      <c r="AA326" s="8">
        <v>1</v>
      </c>
      <c r="AB326" s="8">
        <v>1</v>
      </c>
      <c r="AC326" s="8">
        <v>1</v>
      </c>
      <c r="AD326" s="8" t="s">
        <v>136</v>
      </c>
      <c r="AE326" s="8" t="s">
        <v>136</v>
      </c>
      <c r="AF326" s="8">
        <v>1</v>
      </c>
      <c r="AG326" s="8">
        <v>1</v>
      </c>
      <c r="AH326" s="8">
        <v>1</v>
      </c>
      <c r="AI326" s="8">
        <v>1</v>
      </c>
      <c r="AJ326" s="8">
        <v>1</v>
      </c>
      <c r="AK326" s="10">
        <v>23</v>
      </c>
      <c r="AL326" s="11">
        <v>23</v>
      </c>
      <c r="AM326" s="13">
        <v>23</v>
      </c>
      <c r="AN326" s="13">
        <v>0</v>
      </c>
      <c r="AO326" s="7" t="e">
        <v>#N/A</v>
      </c>
    </row>
    <row r="327" spans="1:41">
      <c r="A327" s="8" t="s">
        <v>131</v>
      </c>
      <c r="B327" s="8" t="s">
        <v>754</v>
      </c>
      <c r="C327" s="8" t="s">
        <v>791</v>
      </c>
      <c r="D327" s="8" t="s">
        <v>792</v>
      </c>
      <c r="E327" s="8" t="s">
        <v>135</v>
      </c>
      <c r="F327" s="8">
        <v>1</v>
      </c>
      <c r="G327" s="8">
        <v>1</v>
      </c>
      <c r="H327" s="8">
        <v>1</v>
      </c>
      <c r="I327" s="8" t="s">
        <v>136</v>
      </c>
      <c r="J327" s="8" t="s">
        <v>136</v>
      </c>
      <c r="K327" s="8">
        <v>1</v>
      </c>
      <c r="L327" s="8">
        <v>1</v>
      </c>
      <c r="M327" s="8">
        <v>1</v>
      </c>
      <c r="N327" s="8">
        <v>1</v>
      </c>
      <c r="O327" s="8">
        <v>1</v>
      </c>
      <c r="P327" s="8" t="s">
        <v>136</v>
      </c>
      <c r="Q327" s="8" t="s">
        <v>136</v>
      </c>
      <c r="R327" s="8">
        <v>1</v>
      </c>
      <c r="S327" s="8">
        <v>1</v>
      </c>
      <c r="T327" s="8">
        <v>1</v>
      </c>
      <c r="U327" s="8">
        <v>1</v>
      </c>
      <c r="V327" s="8">
        <v>1</v>
      </c>
      <c r="W327" s="8" t="s">
        <v>136</v>
      </c>
      <c r="X327" s="8" t="s">
        <v>136</v>
      </c>
      <c r="Y327" s="8">
        <v>1</v>
      </c>
      <c r="Z327" s="8">
        <v>1</v>
      </c>
      <c r="AA327" s="8">
        <v>1</v>
      </c>
      <c r="AB327" s="8">
        <v>1</v>
      </c>
      <c r="AC327" s="8">
        <v>1</v>
      </c>
      <c r="AD327" s="8" t="s">
        <v>136</v>
      </c>
      <c r="AE327" s="8" t="s">
        <v>136</v>
      </c>
      <c r="AF327" s="8">
        <v>1</v>
      </c>
      <c r="AG327" s="8">
        <v>1</v>
      </c>
      <c r="AH327" s="8">
        <v>1</v>
      </c>
      <c r="AI327" s="8">
        <v>1</v>
      </c>
      <c r="AJ327" s="8">
        <v>1</v>
      </c>
      <c r="AK327" s="10">
        <v>23</v>
      </c>
      <c r="AL327" s="11">
        <v>23</v>
      </c>
      <c r="AM327" s="13">
        <v>23</v>
      </c>
      <c r="AN327" s="13">
        <v>0</v>
      </c>
      <c r="AO327" s="7" t="e">
        <v>#N/A</v>
      </c>
    </row>
    <row r="328" spans="1:41">
      <c r="A328" s="8" t="s">
        <v>131</v>
      </c>
      <c r="B328" s="8" t="s">
        <v>754</v>
      </c>
      <c r="C328" s="8" t="s">
        <v>793</v>
      </c>
      <c r="D328" s="8" t="s">
        <v>597</v>
      </c>
      <c r="E328" s="8" t="s">
        <v>135</v>
      </c>
      <c r="F328" s="8">
        <v>1</v>
      </c>
      <c r="G328" s="8">
        <v>1</v>
      </c>
      <c r="H328" s="8">
        <v>1</v>
      </c>
      <c r="I328" s="8" t="s">
        <v>136</v>
      </c>
      <c r="J328" s="8" t="s">
        <v>136</v>
      </c>
      <c r="K328" s="8">
        <v>1</v>
      </c>
      <c r="L328" s="8">
        <v>1</v>
      </c>
      <c r="M328" s="8">
        <v>1</v>
      </c>
      <c r="N328" s="8">
        <v>1</v>
      </c>
      <c r="O328" s="8">
        <v>1</v>
      </c>
      <c r="P328" s="8" t="s">
        <v>136</v>
      </c>
      <c r="Q328" s="8" t="s">
        <v>136</v>
      </c>
      <c r="R328" s="8">
        <v>1</v>
      </c>
      <c r="S328" s="8">
        <v>1</v>
      </c>
      <c r="T328" s="8">
        <v>1</v>
      </c>
      <c r="U328" s="8">
        <v>1</v>
      </c>
      <c r="V328" s="8">
        <v>1</v>
      </c>
      <c r="W328" s="8" t="s">
        <v>136</v>
      </c>
      <c r="X328" s="8" t="s">
        <v>136</v>
      </c>
      <c r="Y328" s="8">
        <v>1</v>
      </c>
      <c r="Z328" s="8">
        <v>1</v>
      </c>
      <c r="AA328" s="8">
        <v>1</v>
      </c>
      <c r="AB328" s="8">
        <v>1</v>
      </c>
      <c r="AC328" s="8">
        <v>1</v>
      </c>
      <c r="AD328" s="8" t="s">
        <v>136</v>
      </c>
      <c r="AE328" s="8" t="s">
        <v>136</v>
      </c>
      <c r="AF328" s="8">
        <v>1</v>
      </c>
      <c r="AG328" s="8">
        <v>1</v>
      </c>
      <c r="AH328" s="8">
        <v>1</v>
      </c>
      <c r="AI328" s="8">
        <v>1</v>
      </c>
      <c r="AJ328" s="8">
        <v>1</v>
      </c>
      <c r="AK328" s="10">
        <v>23</v>
      </c>
      <c r="AL328" s="11">
        <v>23</v>
      </c>
      <c r="AM328" s="13">
        <v>23</v>
      </c>
      <c r="AN328" s="13">
        <v>0</v>
      </c>
      <c r="AO328" s="7" t="e">
        <v>#N/A</v>
      </c>
    </row>
    <row r="329" spans="1:41">
      <c r="A329" s="8" t="s">
        <v>131</v>
      </c>
      <c r="B329" s="8" t="s">
        <v>754</v>
      </c>
      <c r="C329" s="8" t="s">
        <v>794</v>
      </c>
      <c r="D329" s="8" t="s">
        <v>795</v>
      </c>
      <c r="E329" s="8" t="s">
        <v>135</v>
      </c>
      <c r="F329" s="8">
        <v>1</v>
      </c>
      <c r="G329" s="8">
        <v>1</v>
      </c>
      <c r="H329" s="8">
        <v>1</v>
      </c>
      <c r="I329" s="8" t="s">
        <v>136</v>
      </c>
      <c r="J329" s="8" t="s">
        <v>136</v>
      </c>
      <c r="K329" s="8">
        <v>1</v>
      </c>
      <c r="L329" s="8">
        <v>1</v>
      </c>
      <c r="M329" s="8">
        <v>1</v>
      </c>
      <c r="N329" s="8">
        <v>1</v>
      </c>
      <c r="O329" s="8">
        <v>1</v>
      </c>
      <c r="P329" s="8" t="s">
        <v>136</v>
      </c>
      <c r="Q329" s="8" t="s">
        <v>136</v>
      </c>
      <c r="R329" s="8">
        <v>1</v>
      </c>
      <c r="S329" s="8">
        <v>1</v>
      </c>
      <c r="T329" s="8">
        <v>1</v>
      </c>
      <c r="U329" s="8">
        <v>1</v>
      </c>
      <c r="V329" s="8">
        <v>1</v>
      </c>
      <c r="W329" s="8" t="s">
        <v>136</v>
      </c>
      <c r="X329" s="8" t="s">
        <v>136</v>
      </c>
      <c r="Y329" s="8">
        <v>1</v>
      </c>
      <c r="Z329" s="8">
        <v>1</v>
      </c>
      <c r="AA329" s="8">
        <v>1</v>
      </c>
      <c r="AB329" s="8">
        <v>1</v>
      </c>
      <c r="AC329" s="8">
        <v>1</v>
      </c>
      <c r="AD329" s="8" t="s">
        <v>136</v>
      </c>
      <c r="AE329" s="8" t="s">
        <v>136</v>
      </c>
      <c r="AF329" s="8">
        <v>1</v>
      </c>
      <c r="AG329" s="8">
        <v>1</v>
      </c>
      <c r="AH329" s="8">
        <v>1</v>
      </c>
      <c r="AI329" s="8">
        <v>1</v>
      </c>
      <c r="AJ329" s="8">
        <v>1</v>
      </c>
      <c r="AK329" s="10">
        <v>23</v>
      </c>
      <c r="AL329" s="11">
        <v>23</v>
      </c>
      <c r="AM329" s="13">
        <v>23</v>
      </c>
      <c r="AN329" s="13">
        <v>0</v>
      </c>
      <c r="AO329" s="7" t="e">
        <v>#N/A</v>
      </c>
    </row>
    <row r="330" spans="1:41">
      <c r="A330" s="8" t="s">
        <v>131</v>
      </c>
      <c r="B330" s="8" t="s">
        <v>754</v>
      </c>
      <c r="C330" s="8" t="s">
        <v>796</v>
      </c>
      <c r="D330" s="8" t="s">
        <v>797</v>
      </c>
      <c r="E330" s="8" t="s">
        <v>135</v>
      </c>
      <c r="F330" s="8">
        <v>0</v>
      </c>
      <c r="G330" s="8">
        <v>0</v>
      </c>
      <c r="H330" s="8">
        <v>0</v>
      </c>
      <c r="I330" s="8" t="s">
        <v>136</v>
      </c>
      <c r="J330" s="8" t="s">
        <v>136</v>
      </c>
      <c r="K330" s="8">
        <v>0</v>
      </c>
      <c r="L330" s="8">
        <v>1</v>
      </c>
      <c r="M330" s="8">
        <v>1</v>
      </c>
      <c r="N330" s="8">
        <v>1</v>
      </c>
      <c r="O330" s="8">
        <v>1</v>
      </c>
      <c r="P330" s="8" t="s">
        <v>136</v>
      </c>
      <c r="Q330" s="8" t="s">
        <v>136</v>
      </c>
      <c r="R330" s="8">
        <v>1</v>
      </c>
      <c r="S330" s="8">
        <v>1</v>
      </c>
      <c r="T330" s="8">
        <v>1</v>
      </c>
      <c r="U330" s="8">
        <v>1</v>
      </c>
      <c r="V330" s="8">
        <v>1</v>
      </c>
      <c r="W330" s="8" t="s">
        <v>136</v>
      </c>
      <c r="X330" s="8" t="s">
        <v>136</v>
      </c>
      <c r="Y330" s="8">
        <v>1</v>
      </c>
      <c r="Z330" s="8">
        <v>1</v>
      </c>
      <c r="AA330" s="8">
        <v>1</v>
      </c>
      <c r="AB330" s="8">
        <v>1</v>
      </c>
      <c r="AC330" s="8">
        <v>1</v>
      </c>
      <c r="AD330" s="8" t="s">
        <v>136</v>
      </c>
      <c r="AE330" s="8" t="s">
        <v>136</v>
      </c>
      <c r="AF330" s="8">
        <v>1</v>
      </c>
      <c r="AG330" s="8">
        <v>1</v>
      </c>
      <c r="AH330" s="8">
        <v>1</v>
      </c>
      <c r="AI330" s="8">
        <v>1</v>
      </c>
      <c r="AJ330" s="8">
        <v>1</v>
      </c>
      <c r="AK330" s="10">
        <v>23</v>
      </c>
      <c r="AL330" s="11">
        <v>19</v>
      </c>
      <c r="AM330" s="13">
        <v>19</v>
      </c>
      <c r="AN330" s="13">
        <v>0</v>
      </c>
      <c r="AO330" s="7" t="e">
        <v>#N/A</v>
      </c>
    </row>
    <row r="331" spans="1:41">
      <c r="A331" s="8" t="s">
        <v>131</v>
      </c>
      <c r="B331" s="8" t="s">
        <v>754</v>
      </c>
      <c r="C331" s="8" t="s">
        <v>798</v>
      </c>
      <c r="D331" s="8" t="s">
        <v>799</v>
      </c>
      <c r="E331" s="8" t="s">
        <v>135</v>
      </c>
      <c r="F331" s="8">
        <v>1</v>
      </c>
      <c r="G331" s="8">
        <v>1</v>
      </c>
      <c r="H331" s="8">
        <v>1</v>
      </c>
      <c r="I331" s="8" t="s">
        <v>136</v>
      </c>
      <c r="J331" s="8" t="s">
        <v>136</v>
      </c>
      <c r="K331" s="8">
        <v>1</v>
      </c>
      <c r="L331" s="8">
        <v>1</v>
      </c>
      <c r="M331" s="8">
        <v>1</v>
      </c>
      <c r="N331" s="8">
        <v>1</v>
      </c>
      <c r="O331" s="8">
        <v>1</v>
      </c>
      <c r="P331" s="8" t="s">
        <v>136</v>
      </c>
      <c r="Q331" s="8" t="s">
        <v>136</v>
      </c>
      <c r="R331" s="8">
        <v>1</v>
      </c>
      <c r="S331" s="8">
        <v>1</v>
      </c>
      <c r="T331" s="8">
        <v>1</v>
      </c>
      <c r="U331" s="8">
        <v>1</v>
      </c>
      <c r="V331" s="8">
        <v>1</v>
      </c>
      <c r="W331" s="8" t="s">
        <v>136</v>
      </c>
      <c r="X331" s="8" t="s">
        <v>136</v>
      </c>
      <c r="Y331" s="8">
        <v>1</v>
      </c>
      <c r="Z331" s="8">
        <v>1</v>
      </c>
      <c r="AA331" s="8">
        <v>1</v>
      </c>
      <c r="AB331" s="8">
        <v>1</v>
      </c>
      <c r="AC331" s="8">
        <v>1</v>
      </c>
      <c r="AD331" s="8" t="s">
        <v>136</v>
      </c>
      <c r="AE331" s="8" t="s">
        <v>136</v>
      </c>
      <c r="AF331" s="8">
        <v>1</v>
      </c>
      <c r="AG331" s="8">
        <v>1</v>
      </c>
      <c r="AH331" s="8">
        <v>1</v>
      </c>
      <c r="AI331" s="8">
        <v>1</v>
      </c>
      <c r="AJ331" s="8">
        <v>1</v>
      </c>
      <c r="AK331" s="10">
        <v>23</v>
      </c>
      <c r="AL331" s="11">
        <v>23</v>
      </c>
      <c r="AM331" s="13">
        <v>23</v>
      </c>
      <c r="AN331" s="13">
        <v>0</v>
      </c>
      <c r="AO331" s="7" t="e">
        <v>#N/A</v>
      </c>
    </row>
    <row r="332" spans="1:41">
      <c r="A332" s="8" t="s">
        <v>131</v>
      </c>
      <c r="B332" s="8" t="s">
        <v>754</v>
      </c>
      <c r="C332" s="8" t="s">
        <v>800</v>
      </c>
      <c r="D332" s="8" t="s">
        <v>801</v>
      </c>
      <c r="E332" s="8" t="s">
        <v>135</v>
      </c>
      <c r="F332" s="8">
        <v>1</v>
      </c>
      <c r="G332" s="8">
        <v>1</v>
      </c>
      <c r="H332" s="8">
        <v>1</v>
      </c>
      <c r="I332" s="8" t="s">
        <v>136</v>
      </c>
      <c r="J332" s="8" t="s">
        <v>136</v>
      </c>
      <c r="K332" s="8">
        <v>1</v>
      </c>
      <c r="L332" s="8">
        <v>1</v>
      </c>
      <c r="M332" s="8">
        <v>1</v>
      </c>
      <c r="N332" s="8">
        <v>1</v>
      </c>
      <c r="O332" s="8">
        <v>1</v>
      </c>
      <c r="P332" s="8" t="s">
        <v>136</v>
      </c>
      <c r="Q332" s="8" t="s">
        <v>136</v>
      </c>
      <c r="R332" s="8">
        <v>1</v>
      </c>
      <c r="S332" s="8">
        <v>1</v>
      </c>
      <c r="T332" s="8">
        <v>1</v>
      </c>
      <c r="U332" s="8">
        <v>1</v>
      </c>
      <c r="V332" s="8">
        <v>1</v>
      </c>
      <c r="W332" s="8" t="s">
        <v>136</v>
      </c>
      <c r="X332" s="8" t="s">
        <v>136</v>
      </c>
      <c r="Y332" s="8">
        <v>1</v>
      </c>
      <c r="Z332" s="8">
        <v>1</v>
      </c>
      <c r="AA332" s="8">
        <v>1</v>
      </c>
      <c r="AB332" s="8">
        <v>1</v>
      </c>
      <c r="AC332" s="8">
        <v>1</v>
      </c>
      <c r="AD332" s="8" t="s">
        <v>136</v>
      </c>
      <c r="AE332" s="8" t="s">
        <v>136</v>
      </c>
      <c r="AF332" s="8">
        <v>1</v>
      </c>
      <c r="AG332" s="8">
        <v>1</v>
      </c>
      <c r="AH332" s="8">
        <v>1</v>
      </c>
      <c r="AI332" s="8">
        <v>1</v>
      </c>
      <c r="AJ332" s="8">
        <v>1</v>
      </c>
      <c r="AK332" s="10">
        <v>23</v>
      </c>
      <c r="AL332" s="11">
        <v>23</v>
      </c>
      <c r="AM332" s="13">
        <v>23</v>
      </c>
      <c r="AN332" s="13">
        <v>0</v>
      </c>
      <c r="AO332" s="7" t="e">
        <v>#N/A</v>
      </c>
    </row>
    <row r="333" spans="1:41">
      <c r="A333" s="8" t="s">
        <v>131</v>
      </c>
      <c r="B333" s="8" t="s">
        <v>754</v>
      </c>
      <c r="C333" s="8" t="s">
        <v>802</v>
      </c>
      <c r="D333" s="8" t="s">
        <v>803</v>
      </c>
      <c r="E333" s="8" t="s">
        <v>135</v>
      </c>
      <c r="F333" s="8">
        <v>1</v>
      </c>
      <c r="G333" s="8">
        <v>1</v>
      </c>
      <c r="H333" s="8">
        <v>1</v>
      </c>
      <c r="I333" s="8" t="s">
        <v>136</v>
      </c>
      <c r="J333" s="8" t="s">
        <v>136</v>
      </c>
      <c r="K333" s="8">
        <v>1</v>
      </c>
      <c r="L333" s="8">
        <v>1</v>
      </c>
      <c r="M333" s="8">
        <v>1</v>
      </c>
      <c r="N333" s="8">
        <v>1</v>
      </c>
      <c r="O333" s="8">
        <v>1</v>
      </c>
      <c r="P333" s="8" t="s">
        <v>136</v>
      </c>
      <c r="Q333" s="8" t="s">
        <v>136</v>
      </c>
      <c r="R333" s="8">
        <v>1</v>
      </c>
      <c r="S333" s="8">
        <v>1</v>
      </c>
      <c r="T333" s="8">
        <v>1</v>
      </c>
      <c r="U333" s="8">
        <v>1</v>
      </c>
      <c r="V333" s="8">
        <v>1</v>
      </c>
      <c r="W333" s="8" t="s">
        <v>136</v>
      </c>
      <c r="X333" s="8" t="s">
        <v>136</v>
      </c>
      <c r="Y333" s="8">
        <v>1</v>
      </c>
      <c r="Z333" s="8">
        <v>1</v>
      </c>
      <c r="AA333" s="8">
        <v>1</v>
      </c>
      <c r="AB333" s="8">
        <v>1</v>
      </c>
      <c r="AC333" s="8">
        <v>1</v>
      </c>
      <c r="AD333" s="8" t="s">
        <v>136</v>
      </c>
      <c r="AE333" s="8" t="s">
        <v>136</v>
      </c>
      <c r="AF333" s="8">
        <v>1</v>
      </c>
      <c r="AG333" s="8">
        <v>1</v>
      </c>
      <c r="AH333" s="8">
        <v>1</v>
      </c>
      <c r="AI333" s="8">
        <v>1</v>
      </c>
      <c r="AJ333" s="8">
        <v>1</v>
      </c>
      <c r="AK333" s="10">
        <v>23</v>
      </c>
      <c r="AL333" s="11">
        <v>23</v>
      </c>
      <c r="AM333" s="13">
        <v>23</v>
      </c>
      <c r="AN333" s="13">
        <v>0</v>
      </c>
      <c r="AO333" s="7" t="e">
        <v>#N/A</v>
      </c>
    </row>
    <row r="334" spans="1:41">
      <c r="A334" s="8" t="s">
        <v>131</v>
      </c>
      <c r="B334" s="8" t="s">
        <v>754</v>
      </c>
      <c r="C334" s="8" t="s">
        <v>804</v>
      </c>
      <c r="D334" s="8" t="s">
        <v>805</v>
      </c>
      <c r="E334" s="8" t="s">
        <v>135</v>
      </c>
      <c r="F334" s="8">
        <v>1</v>
      </c>
      <c r="G334" s="8">
        <v>1</v>
      </c>
      <c r="H334" s="8">
        <v>1</v>
      </c>
      <c r="I334" s="8" t="s">
        <v>136</v>
      </c>
      <c r="J334" s="8" t="s">
        <v>136</v>
      </c>
      <c r="K334" s="8">
        <v>1</v>
      </c>
      <c r="L334" s="8">
        <v>1</v>
      </c>
      <c r="M334" s="8">
        <v>1</v>
      </c>
      <c r="N334" s="8">
        <v>1</v>
      </c>
      <c r="O334" s="8">
        <v>1</v>
      </c>
      <c r="P334" s="8" t="s">
        <v>136</v>
      </c>
      <c r="Q334" s="8" t="s">
        <v>136</v>
      </c>
      <c r="R334" s="8">
        <v>1</v>
      </c>
      <c r="S334" s="8">
        <v>1</v>
      </c>
      <c r="T334" s="8">
        <v>1</v>
      </c>
      <c r="U334" s="8">
        <v>1</v>
      </c>
      <c r="V334" s="8">
        <v>1</v>
      </c>
      <c r="W334" s="8" t="s">
        <v>136</v>
      </c>
      <c r="X334" s="8" t="s">
        <v>136</v>
      </c>
      <c r="Y334" s="8">
        <v>1</v>
      </c>
      <c r="Z334" s="8">
        <v>1</v>
      </c>
      <c r="AA334" s="8">
        <v>1</v>
      </c>
      <c r="AB334" s="8">
        <v>1</v>
      </c>
      <c r="AC334" s="8">
        <v>1</v>
      </c>
      <c r="AD334" s="8" t="s">
        <v>136</v>
      </c>
      <c r="AE334" s="8" t="s">
        <v>136</v>
      </c>
      <c r="AF334" s="8">
        <v>1</v>
      </c>
      <c r="AG334" s="8">
        <v>1</v>
      </c>
      <c r="AH334" s="8">
        <v>1</v>
      </c>
      <c r="AI334" s="8">
        <v>1</v>
      </c>
      <c r="AJ334" s="8">
        <v>1</v>
      </c>
      <c r="AK334" s="10">
        <v>23</v>
      </c>
      <c r="AL334" s="11">
        <v>23</v>
      </c>
      <c r="AM334" s="13">
        <v>23</v>
      </c>
      <c r="AN334" s="13">
        <v>0</v>
      </c>
      <c r="AO334" s="7" t="e">
        <v>#N/A</v>
      </c>
    </row>
    <row r="335" spans="1:41">
      <c r="A335" s="8" t="s">
        <v>131</v>
      </c>
      <c r="B335" s="8" t="s">
        <v>754</v>
      </c>
      <c r="C335" s="8" t="s">
        <v>806</v>
      </c>
      <c r="D335" s="8" t="s">
        <v>318</v>
      </c>
      <c r="E335" s="8" t="s">
        <v>135</v>
      </c>
      <c r="F335" s="8">
        <v>1</v>
      </c>
      <c r="G335" s="8">
        <v>1</v>
      </c>
      <c r="H335" s="8">
        <v>1</v>
      </c>
      <c r="I335" s="8" t="s">
        <v>136</v>
      </c>
      <c r="J335" s="8" t="s">
        <v>136</v>
      </c>
      <c r="K335" s="8">
        <v>1</v>
      </c>
      <c r="L335" s="8">
        <v>1</v>
      </c>
      <c r="M335" s="8">
        <v>1</v>
      </c>
      <c r="N335" s="8">
        <v>1</v>
      </c>
      <c r="O335" s="8">
        <v>1</v>
      </c>
      <c r="P335" s="8" t="s">
        <v>136</v>
      </c>
      <c r="Q335" s="8" t="s">
        <v>136</v>
      </c>
      <c r="R335" s="8">
        <v>1</v>
      </c>
      <c r="S335" s="8">
        <v>1</v>
      </c>
      <c r="T335" s="8">
        <v>1</v>
      </c>
      <c r="U335" s="8">
        <v>1</v>
      </c>
      <c r="V335" s="8">
        <v>1</v>
      </c>
      <c r="W335" s="8" t="s">
        <v>136</v>
      </c>
      <c r="X335" s="8" t="s">
        <v>136</v>
      </c>
      <c r="Y335" s="8">
        <v>1</v>
      </c>
      <c r="Z335" s="8">
        <v>1</v>
      </c>
      <c r="AA335" s="8">
        <v>1</v>
      </c>
      <c r="AB335" s="8">
        <v>1</v>
      </c>
      <c r="AC335" s="8">
        <v>1</v>
      </c>
      <c r="AD335" s="8" t="s">
        <v>136</v>
      </c>
      <c r="AE335" s="8" t="s">
        <v>136</v>
      </c>
      <c r="AF335" s="8">
        <v>1</v>
      </c>
      <c r="AG335" s="8">
        <v>1</v>
      </c>
      <c r="AH335" s="8">
        <v>1</v>
      </c>
      <c r="AI335" s="8">
        <v>1</v>
      </c>
      <c r="AJ335" s="8">
        <v>1</v>
      </c>
      <c r="AK335" s="10">
        <v>23</v>
      </c>
      <c r="AL335" s="11">
        <v>23</v>
      </c>
      <c r="AM335" s="13">
        <v>23</v>
      </c>
      <c r="AN335" s="13">
        <v>0</v>
      </c>
      <c r="AO335" s="7" t="e">
        <v>#N/A</v>
      </c>
    </row>
    <row r="336" spans="1:41">
      <c r="A336" s="8" t="s">
        <v>131</v>
      </c>
      <c r="B336" s="8" t="s">
        <v>754</v>
      </c>
      <c r="C336" s="8" t="s">
        <v>807</v>
      </c>
      <c r="D336" s="8" t="s">
        <v>808</v>
      </c>
      <c r="E336" s="8" t="s">
        <v>135</v>
      </c>
      <c r="F336" s="8">
        <v>1</v>
      </c>
      <c r="G336" s="8">
        <v>1</v>
      </c>
      <c r="H336" s="8">
        <v>1</v>
      </c>
      <c r="I336" s="8" t="s">
        <v>136</v>
      </c>
      <c r="J336" s="8" t="s">
        <v>136</v>
      </c>
      <c r="K336" s="8">
        <v>1</v>
      </c>
      <c r="L336" s="8">
        <v>1</v>
      </c>
      <c r="M336" s="8">
        <v>1</v>
      </c>
      <c r="N336" s="8">
        <v>1</v>
      </c>
      <c r="O336" s="8">
        <v>1</v>
      </c>
      <c r="P336" s="8" t="s">
        <v>136</v>
      </c>
      <c r="Q336" s="8" t="s">
        <v>136</v>
      </c>
      <c r="R336" s="8">
        <v>1</v>
      </c>
      <c r="S336" s="8">
        <v>1</v>
      </c>
      <c r="T336" s="8">
        <v>1</v>
      </c>
      <c r="U336" s="8">
        <v>1</v>
      </c>
      <c r="V336" s="8">
        <v>1</v>
      </c>
      <c r="W336" s="8" t="s">
        <v>136</v>
      </c>
      <c r="X336" s="8" t="s">
        <v>136</v>
      </c>
      <c r="Y336" s="8">
        <v>1</v>
      </c>
      <c r="Z336" s="8">
        <v>1</v>
      </c>
      <c r="AA336" s="8">
        <v>1</v>
      </c>
      <c r="AB336" s="8">
        <v>1</v>
      </c>
      <c r="AC336" s="8">
        <v>1</v>
      </c>
      <c r="AD336" s="8" t="s">
        <v>136</v>
      </c>
      <c r="AE336" s="8" t="s">
        <v>136</v>
      </c>
      <c r="AF336" s="8">
        <v>1</v>
      </c>
      <c r="AG336" s="8">
        <v>1</v>
      </c>
      <c r="AH336" s="8">
        <v>1</v>
      </c>
      <c r="AI336" s="8">
        <v>1</v>
      </c>
      <c r="AJ336" s="8">
        <v>1</v>
      </c>
      <c r="AK336" s="10">
        <v>23</v>
      </c>
      <c r="AL336" s="11">
        <v>23</v>
      </c>
      <c r="AM336" s="13">
        <v>23</v>
      </c>
      <c r="AN336" s="13">
        <v>0</v>
      </c>
      <c r="AO336" s="7" t="e">
        <v>#N/A</v>
      </c>
    </row>
    <row r="337" spans="1:41">
      <c r="A337" s="8" t="s">
        <v>131</v>
      </c>
      <c r="B337" s="8" t="s">
        <v>754</v>
      </c>
      <c r="C337" s="8" t="s">
        <v>809</v>
      </c>
      <c r="D337" s="8" t="s">
        <v>810</v>
      </c>
      <c r="E337" s="8" t="s">
        <v>135</v>
      </c>
      <c r="F337" s="8">
        <v>1</v>
      </c>
      <c r="G337" s="8">
        <v>1</v>
      </c>
      <c r="H337" s="8">
        <v>1</v>
      </c>
      <c r="I337" s="8" t="s">
        <v>136</v>
      </c>
      <c r="J337" s="8" t="s">
        <v>136</v>
      </c>
      <c r="K337" s="8">
        <v>1</v>
      </c>
      <c r="L337" s="8">
        <v>1</v>
      </c>
      <c r="M337" s="8">
        <v>1</v>
      </c>
      <c r="N337" s="8">
        <v>1</v>
      </c>
      <c r="O337" s="8">
        <v>1</v>
      </c>
      <c r="P337" s="8" t="s">
        <v>136</v>
      </c>
      <c r="Q337" s="8" t="s">
        <v>136</v>
      </c>
      <c r="R337" s="8">
        <v>1</v>
      </c>
      <c r="S337" s="8">
        <v>1</v>
      </c>
      <c r="T337" s="8">
        <v>1</v>
      </c>
      <c r="U337" s="8">
        <v>1</v>
      </c>
      <c r="V337" s="8">
        <v>1</v>
      </c>
      <c r="W337" s="8" t="s">
        <v>136</v>
      </c>
      <c r="X337" s="8" t="s">
        <v>136</v>
      </c>
      <c r="Y337" s="8">
        <v>1</v>
      </c>
      <c r="Z337" s="8">
        <v>1</v>
      </c>
      <c r="AA337" s="8">
        <v>1</v>
      </c>
      <c r="AB337" s="8">
        <v>1</v>
      </c>
      <c r="AC337" s="8">
        <v>1</v>
      </c>
      <c r="AD337" s="8" t="s">
        <v>136</v>
      </c>
      <c r="AE337" s="8" t="s">
        <v>136</v>
      </c>
      <c r="AF337" s="8">
        <v>1</v>
      </c>
      <c r="AG337" s="8">
        <v>1</v>
      </c>
      <c r="AH337" s="8">
        <v>1</v>
      </c>
      <c r="AI337" s="8">
        <v>1</v>
      </c>
      <c r="AJ337" s="8">
        <v>1</v>
      </c>
      <c r="AK337" s="10">
        <v>23</v>
      </c>
      <c r="AL337" s="11">
        <v>23</v>
      </c>
      <c r="AM337" s="13">
        <v>23</v>
      </c>
      <c r="AN337" s="13">
        <v>0</v>
      </c>
      <c r="AO337" s="7" t="e">
        <v>#N/A</v>
      </c>
    </row>
    <row r="338" spans="1:41">
      <c r="A338" s="8" t="s">
        <v>131</v>
      </c>
      <c r="B338" s="8" t="s">
        <v>754</v>
      </c>
      <c r="C338" s="8" t="s">
        <v>811</v>
      </c>
      <c r="D338" s="8" t="s">
        <v>639</v>
      </c>
      <c r="E338" s="8" t="s">
        <v>135</v>
      </c>
      <c r="F338" s="8">
        <v>1</v>
      </c>
      <c r="G338" s="8">
        <v>1</v>
      </c>
      <c r="H338" s="8">
        <v>1</v>
      </c>
      <c r="I338" s="8" t="s">
        <v>136</v>
      </c>
      <c r="J338" s="8" t="s">
        <v>136</v>
      </c>
      <c r="K338" s="8">
        <v>1</v>
      </c>
      <c r="L338" s="8">
        <v>1</v>
      </c>
      <c r="M338" s="8">
        <v>1</v>
      </c>
      <c r="N338" s="8">
        <v>1</v>
      </c>
      <c r="O338" s="8">
        <v>1</v>
      </c>
      <c r="P338" s="8" t="s">
        <v>136</v>
      </c>
      <c r="Q338" s="8" t="s">
        <v>136</v>
      </c>
      <c r="R338" s="8">
        <v>1</v>
      </c>
      <c r="S338" s="8">
        <v>1</v>
      </c>
      <c r="T338" s="8">
        <v>1</v>
      </c>
      <c r="U338" s="8">
        <v>1</v>
      </c>
      <c r="V338" s="8">
        <v>1</v>
      </c>
      <c r="W338" s="8" t="s">
        <v>136</v>
      </c>
      <c r="X338" s="8" t="s">
        <v>136</v>
      </c>
      <c r="Y338" s="8">
        <v>1</v>
      </c>
      <c r="Z338" s="8">
        <v>1</v>
      </c>
      <c r="AA338" s="8">
        <v>1</v>
      </c>
      <c r="AB338" s="8">
        <v>1</v>
      </c>
      <c r="AC338" s="8">
        <v>1</v>
      </c>
      <c r="AD338" s="8" t="s">
        <v>136</v>
      </c>
      <c r="AE338" s="8" t="s">
        <v>136</v>
      </c>
      <c r="AF338" s="8">
        <v>1</v>
      </c>
      <c r="AG338" s="8">
        <v>1</v>
      </c>
      <c r="AH338" s="8">
        <v>1</v>
      </c>
      <c r="AI338" s="8">
        <v>1</v>
      </c>
      <c r="AJ338" s="8">
        <v>1</v>
      </c>
      <c r="AK338" s="10">
        <v>23</v>
      </c>
      <c r="AL338" s="11">
        <v>23</v>
      </c>
      <c r="AM338" s="13">
        <v>23</v>
      </c>
      <c r="AN338" s="13">
        <v>0</v>
      </c>
      <c r="AO338" s="7" t="e">
        <v>#N/A</v>
      </c>
    </row>
    <row r="339" spans="1:41">
      <c r="A339" s="8" t="s">
        <v>131</v>
      </c>
      <c r="B339" s="8" t="s">
        <v>754</v>
      </c>
      <c r="C339" s="8" t="s">
        <v>812</v>
      </c>
      <c r="D339" s="8" t="s">
        <v>813</v>
      </c>
      <c r="E339" s="8" t="s">
        <v>135</v>
      </c>
      <c r="F339" s="8">
        <v>1</v>
      </c>
      <c r="G339" s="8">
        <v>1</v>
      </c>
      <c r="H339" s="8">
        <v>1</v>
      </c>
      <c r="I339" s="8" t="s">
        <v>136</v>
      </c>
      <c r="J339" s="8" t="s">
        <v>136</v>
      </c>
      <c r="K339" s="8">
        <v>1</v>
      </c>
      <c r="L339" s="8">
        <v>1</v>
      </c>
      <c r="M339" s="8">
        <v>1</v>
      </c>
      <c r="N339" s="8">
        <v>1</v>
      </c>
      <c r="O339" s="8">
        <v>1</v>
      </c>
      <c r="P339" s="8" t="s">
        <v>136</v>
      </c>
      <c r="Q339" s="8" t="s">
        <v>136</v>
      </c>
      <c r="R339" s="8">
        <v>1</v>
      </c>
      <c r="S339" s="8">
        <v>1</v>
      </c>
      <c r="T339" s="8">
        <v>1</v>
      </c>
      <c r="U339" s="8">
        <v>1</v>
      </c>
      <c r="V339" s="8">
        <v>1</v>
      </c>
      <c r="W339" s="8" t="s">
        <v>136</v>
      </c>
      <c r="X339" s="8" t="s">
        <v>136</v>
      </c>
      <c r="Y339" s="8">
        <v>1</v>
      </c>
      <c r="Z339" s="8">
        <v>1</v>
      </c>
      <c r="AA339" s="8">
        <v>1</v>
      </c>
      <c r="AB339" s="8">
        <v>1</v>
      </c>
      <c r="AC339" s="8">
        <v>1</v>
      </c>
      <c r="AD339" s="8" t="s">
        <v>136</v>
      </c>
      <c r="AE339" s="8" t="s">
        <v>136</v>
      </c>
      <c r="AF339" s="8">
        <v>1</v>
      </c>
      <c r="AG339" s="8">
        <v>1</v>
      </c>
      <c r="AH339" s="8">
        <v>1</v>
      </c>
      <c r="AI339" s="8">
        <v>1</v>
      </c>
      <c r="AJ339" s="8">
        <v>1</v>
      </c>
      <c r="AK339" s="10">
        <v>23</v>
      </c>
      <c r="AL339" s="11">
        <v>23</v>
      </c>
      <c r="AM339" s="13">
        <v>23</v>
      </c>
      <c r="AN339" s="13">
        <v>0</v>
      </c>
      <c r="AO339" s="7" t="e">
        <v>#N/A</v>
      </c>
    </row>
    <row r="340" spans="1:41">
      <c r="A340" s="8" t="s">
        <v>131</v>
      </c>
      <c r="B340" s="8" t="s">
        <v>754</v>
      </c>
      <c r="C340" s="8" t="s">
        <v>814</v>
      </c>
      <c r="D340" s="8" t="s">
        <v>815</v>
      </c>
      <c r="E340" s="8" t="s">
        <v>135</v>
      </c>
      <c r="F340" s="8">
        <v>1</v>
      </c>
      <c r="G340" s="8">
        <v>1</v>
      </c>
      <c r="H340" s="8">
        <v>1</v>
      </c>
      <c r="I340" s="8" t="s">
        <v>136</v>
      </c>
      <c r="J340" s="8" t="s">
        <v>136</v>
      </c>
      <c r="K340" s="8">
        <v>1</v>
      </c>
      <c r="L340" s="8">
        <v>1</v>
      </c>
      <c r="M340" s="8">
        <v>1</v>
      </c>
      <c r="N340" s="8">
        <v>1</v>
      </c>
      <c r="O340" s="8">
        <v>1</v>
      </c>
      <c r="P340" s="8" t="s">
        <v>136</v>
      </c>
      <c r="Q340" s="8" t="s">
        <v>136</v>
      </c>
      <c r="R340" s="8">
        <v>1</v>
      </c>
      <c r="S340" s="8">
        <v>1</v>
      </c>
      <c r="T340" s="8">
        <v>1</v>
      </c>
      <c r="U340" s="8">
        <v>1</v>
      </c>
      <c r="V340" s="8">
        <v>1</v>
      </c>
      <c r="W340" s="8" t="s">
        <v>136</v>
      </c>
      <c r="X340" s="8" t="s">
        <v>136</v>
      </c>
      <c r="Y340" s="8">
        <v>1</v>
      </c>
      <c r="Z340" s="8">
        <v>1</v>
      </c>
      <c r="AA340" s="8">
        <v>1</v>
      </c>
      <c r="AB340" s="8">
        <v>1</v>
      </c>
      <c r="AC340" s="8">
        <v>1</v>
      </c>
      <c r="AD340" s="8" t="s">
        <v>136</v>
      </c>
      <c r="AE340" s="8" t="s">
        <v>136</v>
      </c>
      <c r="AF340" s="8">
        <v>1</v>
      </c>
      <c r="AG340" s="8">
        <v>1</v>
      </c>
      <c r="AH340" s="8">
        <v>1</v>
      </c>
      <c r="AI340" s="8">
        <v>1</v>
      </c>
      <c r="AJ340" s="8">
        <v>1</v>
      </c>
      <c r="AK340" s="10">
        <v>23</v>
      </c>
      <c r="AL340" s="11">
        <v>23</v>
      </c>
      <c r="AM340" s="13">
        <v>23</v>
      </c>
      <c r="AN340" s="13">
        <v>0</v>
      </c>
      <c r="AO340" s="7" t="e">
        <v>#N/A</v>
      </c>
    </row>
    <row r="341" spans="1:41">
      <c r="A341" s="8" t="s">
        <v>131</v>
      </c>
      <c r="B341" s="8" t="s">
        <v>754</v>
      </c>
      <c r="C341" s="8" t="s">
        <v>816</v>
      </c>
      <c r="D341" s="8" t="s">
        <v>817</v>
      </c>
      <c r="E341" s="8" t="s">
        <v>135</v>
      </c>
      <c r="F341" s="8">
        <v>1</v>
      </c>
      <c r="G341" s="8">
        <v>1</v>
      </c>
      <c r="H341" s="8">
        <v>1</v>
      </c>
      <c r="I341" s="8" t="s">
        <v>136</v>
      </c>
      <c r="J341" s="8" t="s">
        <v>136</v>
      </c>
      <c r="K341" s="8">
        <v>1</v>
      </c>
      <c r="L341" s="8">
        <v>1</v>
      </c>
      <c r="M341" s="8">
        <v>1</v>
      </c>
      <c r="N341" s="8">
        <v>1</v>
      </c>
      <c r="O341" s="8">
        <v>1</v>
      </c>
      <c r="P341" s="8" t="s">
        <v>136</v>
      </c>
      <c r="Q341" s="8" t="s">
        <v>136</v>
      </c>
      <c r="R341" s="8">
        <v>1</v>
      </c>
      <c r="S341" s="8">
        <v>1</v>
      </c>
      <c r="T341" s="8">
        <v>1</v>
      </c>
      <c r="U341" s="8">
        <v>1</v>
      </c>
      <c r="V341" s="8">
        <v>1</v>
      </c>
      <c r="W341" s="8" t="s">
        <v>136</v>
      </c>
      <c r="X341" s="8" t="s">
        <v>136</v>
      </c>
      <c r="Y341" s="8">
        <v>1</v>
      </c>
      <c r="Z341" s="8">
        <v>1</v>
      </c>
      <c r="AA341" s="8">
        <v>1</v>
      </c>
      <c r="AB341" s="8">
        <v>1</v>
      </c>
      <c r="AC341" s="8">
        <v>1</v>
      </c>
      <c r="AD341" s="8" t="s">
        <v>136</v>
      </c>
      <c r="AE341" s="8" t="s">
        <v>136</v>
      </c>
      <c r="AF341" s="8">
        <v>1</v>
      </c>
      <c r="AG341" s="8">
        <v>1</v>
      </c>
      <c r="AH341" s="8">
        <v>1</v>
      </c>
      <c r="AI341" s="8">
        <v>1</v>
      </c>
      <c r="AJ341" s="8">
        <v>1</v>
      </c>
      <c r="AK341" s="10">
        <v>23</v>
      </c>
      <c r="AL341" s="11">
        <v>23</v>
      </c>
      <c r="AM341" s="13">
        <v>23</v>
      </c>
      <c r="AN341" s="13">
        <v>0</v>
      </c>
      <c r="AO341" s="7" t="e">
        <v>#N/A</v>
      </c>
    </row>
    <row r="342" spans="1:41">
      <c r="A342" s="8" t="s">
        <v>131</v>
      </c>
      <c r="B342" s="8" t="s">
        <v>754</v>
      </c>
      <c r="C342" s="8" t="s">
        <v>818</v>
      </c>
      <c r="D342" s="8" t="s">
        <v>819</v>
      </c>
      <c r="E342" s="8" t="s">
        <v>135</v>
      </c>
      <c r="F342" s="8">
        <v>1</v>
      </c>
      <c r="G342" s="8">
        <v>1</v>
      </c>
      <c r="H342" s="8">
        <v>1</v>
      </c>
      <c r="I342" s="8" t="s">
        <v>136</v>
      </c>
      <c r="J342" s="8" t="s">
        <v>136</v>
      </c>
      <c r="K342" s="8">
        <v>1</v>
      </c>
      <c r="L342" s="8">
        <v>1</v>
      </c>
      <c r="M342" s="8">
        <v>1</v>
      </c>
      <c r="N342" s="8">
        <v>1</v>
      </c>
      <c r="O342" s="8">
        <v>1</v>
      </c>
      <c r="P342" s="8" t="s">
        <v>136</v>
      </c>
      <c r="Q342" s="8" t="s">
        <v>136</v>
      </c>
      <c r="R342" s="8">
        <v>1</v>
      </c>
      <c r="S342" s="8">
        <v>1</v>
      </c>
      <c r="T342" s="8">
        <v>1</v>
      </c>
      <c r="U342" s="8">
        <v>1</v>
      </c>
      <c r="V342" s="8">
        <v>1</v>
      </c>
      <c r="W342" s="8" t="s">
        <v>136</v>
      </c>
      <c r="X342" s="8" t="s">
        <v>136</v>
      </c>
      <c r="Y342" s="8">
        <v>1</v>
      </c>
      <c r="Z342" s="8">
        <v>1</v>
      </c>
      <c r="AA342" s="8">
        <v>1</v>
      </c>
      <c r="AB342" s="8">
        <v>1</v>
      </c>
      <c r="AC342" s="8">
        <v>1</v>
      </c>
      <c r="AD342" s="8" t="s">
        <v>136</v>
      </c>
      <c r="AE342" s="8" t="s">
        <v>136</v>
      </c>
      <c r="AF342" s="8">
        <v>1</v>
      </c>
      <c r="AG342" s="8">
        <v>1</v>
      </c>
      <c r="AH342" s="8">
        <v>1</v>
      </c>
      <c r="AI342" s="8">
        <v>1</v>
      </c>
      <c r="AJ342" s="8">
        <v>1</v>
      </c>
      <c r="AK342" s="10">
        <v>23</v>
      </c>
      <c r="AL342" s="11">
        <v>23</v>
      </c>
      <c r="AM342" s="13">
        <v>23</v>
      </c>
      <c r="AN342" s="13">
        <v>0</v>
      </c>
      <c r="AO342" s="7" t="e">
        <v>#N/A</v>
      </c>
    </row>
    <row r="343" spans="1:41">
      <c r="A343" s="8" t="s">
        <v>131</v>
      </c>
      <c r="B343" s="8" t="s">
        <v>754</v>
      </c>
      <c r="C343" s="8" t="s">
        <v>820</v>
      </c>
      <c r="D343" s="8" t="s">
        <v>821</v>
      </c>
      <c r="E343" s="8" t="s">
        <v>135</v>
      </c>
      <c r="F343" s="8">
        <v>1</v>
      </c>
      <c r="G343" s="8">
        <v>1</v>
      </c>
      <c r="H343" s="8">
        <v>1</v>
      </c>
      <c r="I343" s="8" t="s">
        <v>136</v>
      </c>
      <c r="J343" s="8" t="s">
        <v>136</v>
      </c>
      <c r="K343" s="8">
        <v>1</v>
      </c>
      <c r="L343" s="8">
        <v>1</v>
      </c>
      <c r="M343" s="8">
        <v>1</v>
      </c>
      <c r="N343" s="8">
        <v>1</v>
      </c>
      <c r="O343" s="8">
        <v>1</v>
      </c>
      <c r="P343" s="8" t="s">
        <v>136</v>
      </c>
      <c r="Q343" s="8" t="s">
        <v>136</v>
      </c>
      <c r="R343" s="8">
        <v>1</v>
      </c>
      <c r="S343" s="8">
        <v>1</v>
      </c>
      <c r="T343" s="8">
        <v>1</v>
      </c>
      <c r="U343" s="8">
        <v>1</v>
      </c>
      <c r="V343" s="8">
        <v>1</v>
      </c>
      <c r="W343" s="8" t="s">
        <v>136</v>
      </c>
      <c r="X343" s="8" t="s">
        <v>136</v>
      </c>
      <c r="Y343" s="8">
        <v>1</v>
      </c>
      <c r="Z343" s="8">
        <v>1</v>
      </c>
      <c r="AA343" s="8">
        <v>1</v>
      </c>
      <c r="AB343" s="8">
        <v>1</v>
      </c>
      <c r="AC343" s="8">
        <v>1</v>
      </c>
      <c r="AD343" s="8" t="s">
        <v>136</v>
      </c>
      <c r="AE343" s="8" t="s">
        <v>136</v>
      </c>
      <c r="AF343" s="8">
        <v>1</v>
      </c>
      <c r="AG343" s="8">
        <v>1</v>
      </c>
      <c r="AH343" s="8">
        <v>1</v>
      </c>
      <c r="AI343" s="8">
        <v>1</v>
      </c>
      <c r="AJ343" s="8">
        <v>1</v>
      </c>
      <c r="AK343" s="10">
        <v>23</v>
      </c>
      <c r="AL343" s="11">
        <v>23</v>
      </c>
      <c r="AM343" s="13">
        <v>23</v>
      </c>
      <c r="AN343" s="13">
        <v>0</v>
      </c>
      <c r="AO343" s="7" t="e">
        <v>#N/A</v>
      </c>
    </row>
    <row r="344" spans="1:41">
      <c r="A344" s="8" t="s">
        <v>131</v>
      </c>
      <c r="B344" s="8" t="s">
        <v>754</v>
      </c>
      <c r="C344" s="8" t="s">
        <v>822</v>
      </c>
      <c r="D344" s="8" t="s">
        <v>823</v>
      </c>
      <c r="E344" s="8" t="s">
        <v>135</v>
      </c>
      <c r="F344" s="8">
        <v>1</v>
      </c>
      <c r="G344" s="8">
        <v>1</v>
      </c>
      <c r="H344" s="8">
        <v>1</v>
      </c>
      <c r="I344" s="8" t="s">
        <v>136</v>
      </c>
      <c r="J344" s="8" t="s">
        <v>136</v>
      </c>
      <c r="K344" s="8">
        <v>1</v>
      </c>
      <c r="L344" s="8">
        <v>1</v>
      </c>
      <c r="M344" s="8">
        <v>1</v>
      </c>
      <c r="N344" s="8">
        <v>1</v>
      </c>
      <c r="O344" s="8">
        <v>1</v>
      </c>
      <c r="P344" s="8" t="s">
        <v>136</v>
      </c>
      <c r="Q344" s="8" t="s">
        <v>136</v>
      </c>
      <c r="R344" s="8">
        <v>1</v>
      </c>
      <c r="S344" s="8">
        <v>1</v>
      </c>
      <c r="T344" s="8">
        <v>1</v>
      </c>
      <c r="U344" s="8">
        <v>1</v>
      </c>
      <c r="V344" s="8">
        <v>1</v>
      </c>
      <c r="W344" s="8" t="s">
        <v>136</v>
      </c>
      <c r="X344" s="8" t="s">
        <v>136</v>
      </c>
      <c r="Y344" s="8">
        <v>1</v>
      </c>
      <c r="Z344" s="8">
        <v>1</v>
      </c>
      <c r="AA344" s="8">
        <v>1</v>
      </c>
      <c r="AB344" s="8">
        <v>1</v>
      </c>
      <c r="AC344" s="8">
        <v>1</v>
      </c>
      <c r="AD344" s="8" t="s">
        <v>136</v>
      </c>
      <c r="AE344" s="8" t="s">
        <v>136</v>
      </c>
      <c r="AF344" s="8">
        <v>1</v>
      </c>
      <c r="AG344" s="8">
        <v>1</v>
      </c>
      <c r="AH344" s="8">
        <v>1</v>
      </c>
      <c r="AI344" s="8">
        <v>1</v>
      </c>
      <c r="AJ344" s="8">
        <v>1</v>
      </c>
      <c r="AK344" s="10">
        <v>23</v>
      </c>
      <c r="AL344" s="11">
        <v>23</v>
      </c>
      <c r="AM344" s="13">
        <v>23</v>
      </c>
      <c r="AN344" s="13">
        <v>0</v>
      </c>
      <c r="AO344" s="7" t="e">
        <v>#N/A</v>
      </c>
    </row>
    <row r="345" spans="1:41">
      <c r="A345" s="8" t="s">
        <v>131</v>
      </c>
      <c r="B345" s="8" t="s">
        <v>754</v>
      </c>
      <c r="C345" s="8" t="s">
        <v>824</v>
      </c>
      <c r="D345" s="8" t="s">
        <v>825</v>
      </c>
      <c r="E345" s="8" t="s">
        <v>135</v>
      </c>
      <c r="F345" s="8">
        <v>1</v>
      </c>
      <c r="G345" s="8">
        <v>1</v>
      </c>
      <c r="H345" s="8">
        <v>1</v>
      </c>
      <c r="I345" s="8" t="s">
        <v>136</v>
      </c>
      <c r="J345" s="8" t="s">
        <v>136</v>
      </c>
      <c r="K345" s="8">
        <v>1</v>
      </c>
      <c r="L345" s="8">
        <v>1</v>
      </c>
      <c r="M345" s="8">
        <v>1</v>
      </c>
      <c r="N345" s="8">
        <v>1</v>
      </c>
      <c r="O345" s="8">
        <v>1</v>
      </c>
      <c r="P345" s="8" t="s">
        <v>136</v>
      </c>
      <c r="Q345" s="8" t="s">
        <v>136</v>
      </c>
      <c r="R345" s="8">
        <v>1</v>
      </c>
      <c r="S345" s="8">
        <v>1</v>
      </c>
      <c r="T345" s="8">
        <v>1</v>
      </c>
      <c r="U345" s="8">
        <v>1</v>
      </c>
      <c r="V345" s="8">
        <v>1</v>
      </c>
      <c r="W345" s="8" t="s">
        <v>136</v>
      </c>
      <c r="X345" s="8" t="s">
        <v>136</v>
      </c>
      <c r="Y345" s="8">
        <v>1</v>
      </c>
      <c r="Z345" s="8">
        <v>1</v>
      </c>
      <c r="AA345" s="8">
        <v>1</v>
      </c>
      <c r="AB345" s="8">
        <v>1</v>
      </c>
      <c r="AC345" s="8">
        <v>1</v>
      </c>
      <c r="AD345" s="8" t="s">
        <v>136</v>
      </c>
      <c r="AE345" s="8" t="s">
        <v>136</v>
      </c>
      <c r="AF345" s="8">
        <v>1</v>
      </c>
      <c r="AG345" s="8">
        <v>1</v>
      </c>
      <c r="AH345" s="8">
        <v>1</v>
      </c>
      <c r="AI345" s="8">
        <v>1</v>
      </c>
      <c r="AJ345" s="8">
        <v>1</v>
      </c>
      <c r="AK345" s="10">
        <v>23</v>
      </c>
      <c r="AL345" s="11">
        <v>23</v>
      </c>
      <c r="AM345" s="13">
        <v>23</v>
      </c>
      <c r="AN345" s="13">
        <v>0</v>
      </c>
      <c r="AO345" s="7" t="e">
        <v>#N/A</v>
      </c>
    </row>
    <row r="346" spans="1:41">
      <c r="A346" s="8" t="s">
        <v>131</v>
      </c>
      <c r="B346" s="8" t="s">
        <v>754</v>
      </c>
      <c r="C346" s="8" t="s">
        <v>826</v>
      </c>
      <c r="D346" s="8" t="s">
        <v>827</v>
      </c>
      <c r="E346" s="8" t="s">
        <v>135</v>
      </c>
      <c r="F346" s="8">
        <v>1</v>
      </c>
      <c r="G346" s="8">
        <v>1</v>
      </c>
      <c r="H346" s="8">
        <v>1</v>
      </c>
      <c r="I346" s="8" t="s">
        <v>136</v>
      </c>
      <c r="J346" s="8" t="s">
        <v>136</v>
      </c>
      <c r="K346" s="8">
        <v>1</v>
      </c>
      <c r="L346" s="8">
        <v>1</v>
      </c>
      <c r="M346" s="8">
        <v>1</v>
      </c>
      <c r="N346" s="8">
        <v>1</v>
      </c>
      <c r="O346" s="8">
        <v>1</v>
      </c>
      <c r="P346" s="8" t="s">
        <v>136</v>
      </c>
      <c r="Q346" s="8" t="s">
        <v>136</v>
      </c>
      <c r="R346" s="8">
        <v>1</v>
      </c>
      <c r="S346" s="8">
        <v>1</v>
      </c>
      <c r="T346" s="8">
        <v>1</v>
      </c>
      <c r="U346" s="8">
        <v>1</v>
      </c>
      <c r="V346" s="8">
        <v>1</v>
      </c>
      <c r="W346" s="8" t="s">
        <v>136</v>
      </c>
      <c r="X346" s="8" t="s">
        <v>136</v>
      </c>
      <c r="Y346" s="8">
        <v>1</v>
      </c>
      <c r="Z346" s="8">
        <v>1</v>
      </c>
      <c r="AA346" s="8">
        <v>1</v>
      </c>
      <c r="AB346" s="8">
        <v>1</v>
      </c>
      <c r="AC346" s="8">
        <v>1</v>
      </c>
      <c r="AD346" s="8" t="s">
        <v>136</v>
      </c>
      <c r="AE346" s="8" t="s">
        <v>136</v>
      </c>
      <c r="AF346" s="8">
        <v>1</v>
      </c>
      <c r="AG346" s="8">
        <v>1</v>
      </c>
      <c r="AH346" s="8">
        <v>1</v>
      </c>
      <c r="AI346" s="8">
        <v>1</v>
      </c>
      <c r="AJ346" s="8">
        <v>1</v>
      </c>
      <c r="AK346" s="10">
        <v>23</v>
      </c>
      <c r="AL346" s="11">
        <v>23</v>
      </c>
      <c r="AM346" s="13">
        <v>23</v>
      </c>
      <c r="AN346" s="13">
        <v>0</v>
      </c>
      <c r="AO346" s="7" t="e">
        <v>#N/A</v>
      </c>
    </row>
    <row r="347" spans="1:41">
      <c r="A347" s="8" t="s">
        <v>131</v>
      </c>
      <c r="B347" s="8" t="s">
        <v>754</v>
      </c>
      <c r="C347" s="8" t="s">
        <v>828</v>
      </c>
      <c r="D347" s="8" t="s">
        <v>829</v>
      </c>
      <c r="E347" s="8" t="s">
        <v>135</v>
      </c>
      <c r="F347" s="8">
        <v>1</v>
      </c>
      <c r="G347" s="8">
        <v>1</v>
      </c>
      <c r="H347" s="8">
        <v>1</v>
      </c>
      <c r="I347" s="8" t="s">
        <v>136</v>
      </c>
      <c r="J347" s="8" t="s">
        <v>136</v>
      </c>
      <c r="K347" s="8">
        <v>1</v>
      </c>
      <c r="L347" s="8">
        <v>1</v>
      </c>
      <c r="M347" s="8">
        <v>1</v>
      </c>
      <c r="N347" s="8">
        <v>1</v>
      </c>
      <c r="O347" s="8">
        <v>1</v>
      </c>
      <c r="P347" s="8" t="s">
        <v>136</v>
      </c>
      <c r="Q347" s="8" t="s">
        <v>136</v>
      </c>
      <c r="R347" s="8">
        <v>1</v>
      </c>
      <c r="S347" s="8">
        <v>1</v>
      </c>
      <c r="T347" s="8">
        <v>1</v>
      </c>
      <c r="U347" s="8">
        <v>1</v>
      </c>
      <c r="V347" s="8">
        <v>1</v>
      </c>
      <c r="W347" s="8" t="s">
        <v>136</v>
      </c>
      <c r="X347" s="8" t="s">
        <v>136</v>
      </c>
      <c r="Y347" s="8">
        <v>1</v>
      </c>
      <c r="Z347" s="8">
        <v>1</v>
      </c>
      <c r="AA347" s="8">
        <v>1</v>
      </c>
      <c r="AB347" s="8">
        <v>1</v>
      </c>
      <c r="AC347" s="8">
        <v>1</v>
      </c>
      <c r="AD347" s="8" t="s">
        <v>136</v>
      </c>
      <c r="AE347" s="8" t="s">
        <v>136</v>
      </c>
      <c r="AF347" s="8">
        <v>1</v>
      </c>
      <c r="AG347" s="8">
        <v>1</v>
      </c>
      <c r="AH347" s="8">
        <v>1</v>
      </c>
      <c r="AI347" s="8">
        <v>1</v>
      </c>
      <c r="AJ347" s="8">
        <v>1</v>
      </c>
      <c r="AK347" s="10">
        <v>23</v>
      </c>
      <c r="AL347" s="11">
        <v>23</v>
      </c>
      <c r="AM347" s="13">
        <v>23</v>
      </c>
      <c r="AN347" s="13">
        <v>0</v>
      </c>
      <c r="AO347" s="7" t="e">
        <v>#N/A</v>
      </c>
    </row>
    <row r="348" spans="1:41">
      <c r="A348" s="8" t="s">
        <v>131</v>
      </c>
      <c r="B348" s="8" t="s">
        <v>754</v>
      </c>
      <c r="C348" s="8" t="s">
        <v>830</v>
      </c>
      <c r="D348" s="8" t="s">
        <v>831</v>
      </c>
      <c r="E348" s="8" t="s">
        <v>135</v>
      </c>
      <c r="F348" s="8">
        <v>1</v>
      </c>
      <c r="G348" s="8">
        <v>1</v>
      </c>
      <c r="H348" s="8">
        <v>1</v>
      </c>
      <c r="I348" s="8" t="s">
        <v>136</v>
      </c>
      <c r="J348" s="8" t="s">
        <v>136</v>
      </c>
      <c r="K348" s="8">
        <v>1</v>
      </c>
      <c r="L348" s="8">
        <v>1</v>
      </c>
      <c r="M348" s="8">
        <v>1</v>
      </c>
      <c r="N348" s="8">
        <v>1</v>
      </c>
      <c r="O348" s="8">
        <v>1</v>
      </c>
      <c r="P348" s="8" t="s">
        <v>136</v>
      </c>
      <c r="Q348" s="8" t="s">
        <v>136</v>
      </c>
      <c r="R348" s="8">
        <v>1</v>
      </c>
      <c r="S348" s="8">
        <v>1</v>
      </c>
      <c r="T348" s="8">
        <v>1</v>
      </c>
      <c r="U348" s="8">
        <v>1</v>
      </c>
      <c r="V348" s="8">
        <v>1</v>
      </c>
      <c r="W348" s="8" t="s">
        <v>136</v>
      </c>
      <c r="X348" s="8" t="s">
        <v>136</v>
      </c>
      <c r="Y348" s="8">
        <v>1</v>
      </c>
      <c r="Z348" s="8">
        <v>1</v>
      </c>
      <c r="AA348" s="8">
        <v>1</v>
      </c>
      <c r="AB348" s="8">
        <v>1</v>
      </c>
      <c r="AC348" s="8">
        <v>1</v>
      </c>
      <c r="AD348" s="8" t="s">
        <v>136</v>
      </c>
      <c r="AE348" s="8" t="s">
        <v>136</v>
      </c>
      <c r="AF348" s="8">
        <v>1</v>
      </c>
      <c r="AG348" s="8">
        <v>1</v>
      </c>
      <c r="AH348" s="8">
        <v>1</v>
      </c>
      <c r="AI348" s="8">
        <v>1</v>
      </c>
      <c r="AJ348" s="8">
        <v>1</v>
      </c>
      <c r="AK348" s="10">
        <v>23</v>
      </c>
      <c r="AL348" s="11">
        <v>23</v>
      </c>
      <c r="AM348" s="13">
        <v>23</v>
      </c>
      <c r="AN348" s="13">
        <v>0</v>
      </c>
      <c r="AO348" s="7" t="e">
        <v>#N/A</v>
      </c>
    </row>
    <row r="349" spans="1:41">
      <c r="A349" s="8" t="s">
        <v>131</v>
      </c>
      <c r="B349" s="8" t="s">
        <v>754</v>
      </c>
      <c r="C349" s="8" t="s">
        <v>832</v>
      </c>
      <c r="D349" s="8" t="s">
        <v>833</v>
      </c>
      <c r="E349" s="8" t="s">
        <v>135</v>
      </c>
      <c r="F349" s="8">
        <v>1</v>
      </c>
      <c r="G349" s="8">
        <v>1</v>
      </c>
      <c r="H349" s="8">
        <v>1</v>
      </c>
      <c r="I349" s="8" t="s">
        <v>136</v>
      </c>
      <c r="J349" s="8" t="s">
        <v>136</v>
      </c>
      <c r="K349" s="8">
        <v>1</v>
      </c>
      <c r="L349" s="8">
        <v>1</v>
      </c>
      <c r="M349" s="8">
        <v>1</v>
      </c>
      <c r="N349" s="8">
        <v>1</v>
      </c>
      <c r="O349" s="8">
        <v>1</v>
      </c>
      <c r="P349" s="8" t="s">
        <v>136</v>
      </c>
      <c r="Q349" s="8" t="s">
        <v>136</v>
      </c>
      <c r="R349" s="8">
        <v>1</v>
      </c>
      <c r="S349" s="8">
        <v>1</v>
      </c>
      <c r="T349" s="8">
        <v>1</v>
      </c>
      <c r="U349" s="8">
        <v>1</v>
      </c>
      <c r="V349" s="8">
        <v>1</v>
      </c>
      <c r="W349" s="8" t="s">
        <v>136</v>
      </c>
      <c r="X349" s="8" t="s">
        <v>136</v>
      </c>
      <c r="Y349" s="8">
        <v>1</v>
      </c>
      <c r="Z349" s="8">
        <v>1</v>
      </c>
      <c r="AA349" s="8">
        <v>1</v>
      </c>
      <c r="AB349" s="8">
        <v>1</v>
      </c>
      <c r="AC349" s="8">
        <v>1</v>
      </c>
      <c r="AD349" s="8" t="s">
        <v>136</v>
      </c>
      <c r="AE349" s="8" t="s">
        <v>136</v>
      </c>
      <c r="AF349" s="8">
        <v>1</v>
      </c>
      <c r="AG349" s="8">
        <v>1</v>
      </c>
      <c r="AH349" s="8">
        <v>1</v>
      </c>
      <c r="AI349" s="8">
        <v>1</v>
      </c>
      <c r="AJ349" s="8">
        <v>1</v>
      </c>
      <c r="AK349" s="10">
        <v>23</v>
      </c>
      <c r="AL349" s="11">
        <v>23</v>
      </c>
      <c r="AM349" s="13">
        <v>23</v>
      </c>
      <c r="AN349" s="13">
        <v>0</v>
      </c>
      <c r="AO349" s="7" t="e">
        <v>#N/A</v>
      </c>
    </row>
    <row r="350" spans="1:41">
      <c r="A350" s="8" t="s">
        <v>131</v>
      </c>
      <c r="B350" s="8" t="s">
        <v>754</v>
      </c>
      <c r="C350" s="8" t="s">
        <v>834</v>
      </c>
      <c r="D350" s="8" t="s">
        <v>835</v>
      </c>
      <c r="E350" s="8" t="s">
        <v>135</v>
      </c>
      <c r="F350" s="8">
        <v>1</v>
      </c>
      <c r="G350" s="8">
        <v>1</v>
      </c>
      <c r="H350" s="8">
        <v>1</v>
      </c>
      <c r="I350" s="8" t="s">
        <v>136</v>
      </c>
      <c r="J350" s="8" t="s">
        <v>136</v>
      </c>
      <c r="K350" s="8">
        <v>1</v>
      </c>
      <c r="L350" s="8">
        <v>1</v>
      </c>
      <c r="M350" s="8">
        <v>1</v>
      </c>
      <c r="N350" s="8">
        <v>1</v>
      </c>
      <c r="O350" s="8">
        <v>1</v>
      </c>
      <c r="P350" s="8" t="s">
        <v>136</v>
      </c>
      <c r="Q350" s="8" t="s">
        <v>136</v>
      </c>
      <c r="R350" s="8">
        <v>1</v>
      </c>
      <c r="S350" s="8">
        <v>1</v>
      </c>
      <c r="T350" s="8">
        <v>1</v>
      </c>
      <c r="U350" s="8">
        <v>1</v>
      </c>
      <c r="V350" s="8">
        <v>1</v>
      </c>
      <c r="W350" s="8" t="s">
        <v>136</v>
      </c>
      <c r="X350" s="8" t="s">
        <v>136</v>
      </c>
      <c r="Y350" s="8">
        <v>1</v>
      </c>
      <c r="Z350" s="8">
        <v>1</v>
      </c>
      <c r="AA350" s="8">
        <v>1</v>
      </c>
      <c r="AB350" s="8">
        <v>1</v>
      </c>
      <c r="AC350" s="8">
        <v>1</v>
      </c>
      <c r="AD350" s="8" t="s">
        <v>136</v>
      </c>
      <c r="AE350" s="8" t="s">
        <v>136</v>
      </c>
      <c r="AF350" s="8">
        <v>1</v>
      </c>
      <c r="AG350" s="8">
        <v>1</v>
      </c>
      <c r="AH350" s="8">
        <v>1</v>
      </c>
      <c r="AI350" s="8">
        <v>1</v>
      </c>
      <c r="AJ350" s="8">
        <v>1</v>
      </c>
      <c r="AK350" s="10">
        <v>23</v>
      </c>
      <c r="AL350" s="11">
        <v>23</v>
      </c>
      <c r="AM350" s="13">
        <v>23</v>
      </c>
      <c r="AN350" s="13">
        <v>0</v>
      </c>
      <c r="AO350" s="7" t="e">
        <v>#N/A</v>
      </c>
    </row>
    <row r="351" spans="1:41">
      <c r="A351" s="8" t="s">
        <v>131</v>
      </c>
      <c r="B351" s="8" t="s">
        <v>754</v>
      </c>
      <c r="C351" s="8" t="s">
        <v>836</v>
      </c>
      <c r="D351" s="8" t="s">
        <v>837</v>
      </c>
      <c r="E351" s="8" t="s">
        <v>135</v>
      </c>
      <c r="F351" s="8">
        <v>1</v>
      </c>
      <c r="G351" s="8">
        <v>1</v>
      </c>
      <c r="H351" s="8">
        <v>1</v>
      </c>
      <c r="I351" s="8" t="s">
        <v>136</v>
      </c>
      <c r="J351" s="8" t="s">
        <v>136</v>
      </c>
      <c r="K351" s="8">
        <v>1</v>
      </c>
      <c r="L351" s="8">
        <v>1</v>
      </c>
      <c r="M351" s="8">
        <v>1</v>
      </c>
      <c r="N351" s="8">
        <v>1</v>
      </c>
      <c r="O351" s="8">
        <v>1</v>
      </c>
      <c r="P351" s="8" t="s">
        <v>136</v>
      </c>
      <c r="Q351" s="8" t="s">
        <v>136</v>
      </c>
      <c r="R351" s="8">
        <v>1</v>
      </c>
      <c r="S351" s="8">
        <v>1</v>
      </c>
      <c r="T351" s="8">
        <v>1</v>
      </c>
      <c r="U351" s="8">
        <v>1</v>
      </c>
      <c r="V351" s="8">
        <v>1</v>
      </c>
      <c r="W351" s="8" t="s">
        <v>136</v>
      </c>
      <c r="X351" s="8" t="s">
        <v>136</v>
      </c>
      <c r="Y351" s="8">
        <v>1</v>
      </c>
      <c r="Z351" s="8">
        <v>1</v>
      </c>
      <c r="AA351" s="8">
        <v>1</v>
      </c>
      <c r="AB351" s="8">
        <v>1</v>
      </c>
      <c r="AC351" s="8">
        <v>1</v>
      </c>
      <c r="AD351" s="8" t="s">
        <v>136</v>
      </c>
      <c r="AE351" s="8" t="s">
        <v>136</v>
      </c>
      <c r="AF351" s="8">
        <v>1</v>
      </c>
      <c r="AG351" s="8">
        <v>1</v>
      </c>
      <c r="AH351" s="8">
        <v>1</v>
      </c>
      <c r="AI351" s="8">
        <v>1</v>
      </c>
      <c r="AJ351" s="8">
        <v>1</v>
      </c>
      <c r="AK351" s="10">
        <v>23</v>
      </c>
      <c r="AL351" s="11">
        <v>23</v>
      </c>
      <c r="AM351" s="13">
        <v>23</v>
      </c>
      <c r="AN351" s="13">
        <v>0</v>
      </c>
      <c r="AO351" s="7" t="e">
        <v>#N/A</v>
      </c>
    </row>
    <row r="352" spans="1:41">
      <c r="A352" s="8" t="s">
        <v>131</v>
      </c>
      <c r="B352" s="8" t="s">
        <v>754</v>
      </c>
      <c r="C352" s="8" t="s">
        <v>838</v>
      </c>
      <c r="D352" s="8" t="s">
        <v>839</v>
      </c>
      <c r="E352" s="8" t="s">
        <v>135</v>
      </c>
      <c r="F352" s="8">
        <v>1</v>
      </c>
      <c r="G352" s="8">
        <v>1</v>
      </c>
      <c r="H352" s="8">
        <v>1</v>
      </c>
      <c r="I352" s="8" t="s">
        <v>136</v>
      </c>
      <c r="J352" s="8" t="s">
        <v>136</v>
      </c>
      <c r="K352" s="8">
        <v>1</v>
      </c>
      <c r="L352" s="8">
        <v>1</v>
      </c>
      <c r="M352" s="8">
        <v>1</v>
      </c>
      <c r="N352" s="8">
        <v>1</v>
      </c>
      <c r="O352" s="8">
        <v>1</v>
      </c>
      <c r="P352" s="8" t="s">
        <v>136</v>
      </c>
      <c r="Q352" s="8" t="s">
        <v>136</v>
      </c>
      <c r="R352" s="8">
        <v>1</v>
      </c>
      <c r="S352" s="8">
        <v>1</v>
      </c>
      <c r="T352" s="8">
        <v>1</v>
      </c>
      <c r="U352" s="8">
        <v>1</v>
      </c>
      <c r="V352" s="8">
        <v>1</v>
      </c>
      <c r="W352" s="8" t="s">
        <v>136</v>
      </c>
      <c r="X352" s="8" t="s">
        <v>136</v>
      </c>
      <c r="Y352" s="8">
        <v>1</v>
      </c>
      <c r="Z352" s="8">
        <v>1</v>
      </c>
      <c r="AA352" s="8">
        <v>1</v>
      </c>
      <c r="AB352" s="8">
        <v>1</v>
      </c>
      <c r="AC352" s="8">
        <v>1</v>
      </c>
      <c r="AD352" s="8" t="s">
        <v>136</v>
      </c>
      <c r="AE352" s="8" t="s">
        <v>136</v>
      </c>
      <c r="AF352" s="8">
        <v>1</v>
      </c>
      <c r="AG352" s="8">
        <v>1</v>
      </c>
      <c r="AH352" s="8">
        <v>1</v>
      </c>
      <c r="AI352" s="8">
        <v>1</v>
      </c>
      <c r="AJ352" s="8">
        <v>1</v>
      </c>
      <c r="AK352" s="10">
        <v>23</v>
      </c>
      <c r="AL352" s="11">
        <v>23</v>
      </c>
      <c r="AM352" s="13">
        <v>23</v>
      </c>
      <c r="AN352" s="13">
        <v>0</v>
      </c>
      <c r="AO352" s="7" t="e">
        <v>#N/A</v>
      </c>
    </row>
    <row r="353" spans="1:41">
      <c r="A353" s="8" t="s">
        <v>131</v>
      </c>
      <c r="B353" s="8" t="s">
        <v>754</v>
      </c>
      <c r="C353" s="8" t="s">
        <v>840</v>
      </c>
      <c r="D353" s="8" t="s">
        <v>841</v>
      </c>
      <c r="E353" s="8" t="s">
        <v>135</v>
      </c>
      <c r="F353" s="8">
        <v>1</v>
      </c>
      <c r="G353" s="8">
        <v>1</v>
      </c>
      <c r="H353" s="8">
        <v>1</v>
      </c>
      <c r="I353" s="8" t="s">
        <v>136</v>
      </c>
      <c r="J353" s="8" t="s">
        <v>136</v>
      </c>
      <c r="K353" s="8">
        <v>1</v>
      </c>
      <c r="L353" s="8">
        <v>1</v>
      </c>
      <c r="M353" s="8">
        <v>1</v>
      </c>
      <c r="N353" s="8">
        <v>1</v>
      </c>
      <c r="O353" s="8">
        <v>1</v>
      </c>
      <c r="P353" s="8" t="s">
        <v>136</v>
      </c>
      <c r="Q353" s="8" t="s">
        <v>136</v>
      </c>
      <c r="R353" s="8">
        <v>1</v>
      </c>
      <c r="S353" s="8">
        <v>1</v>
      </c>
      <c r="T353" s="8">
        <v>1</v>
      </c>
      <c r="U353" s="8">
        <v>1</v>
      </c>
      <c r="V353" s="8">
        <v>1</v>
      </c>
      <c r="W353" s="8" t="s">
        <v>136</v>
      </c>
      <c r="X353" s="8" t="s">
        <v>136</v>
      </c>
      <c r="Y353" s="8">
        <v>1</v>
      </c>
      <c r="Z353" s="8">
        <v>1</v>
      </c>
      <c r="AA353" s="8">
        <v>1</v>
      </c>
      <c r="AB353" s="8">
        <v>1</v>
      </c>
      <c r="AC353" s="8">
        <v>1</v>
      </c>
      <c r="AD353" s="8" t="s">
        <v>136</v>
      </c>
      <c r="AE353" s="8" t="s">
        <v>136</v>
      </c>
      <c r="AF353" s="8">
        <v>1</v>
      </c>
      <c r="AG353" s="8">
        <v>1</v>
      </c>
      <c r="AH353" s="8">
        <v>1</v>
      </c>
      <c r="AI353" s="8">
        <v>1</v>
      </c>
      <c r="AJ353" s="8">
        <v>1</v>
      </c>
      <c r="AK353" s="10">
        <v>23</v>
      </c>
      <c r="AL353" s="11">
        <v>23</v>
      </c>
      <c r="AM353" s="13">
        <v>23</v>
      </c>
      <c r="AN353" s="13">
        <v>0</v>
      </c>
      <c r="AO353" s="7" t="e">
        <v>#N/A</v>
      </c>
    </row>
    <row r="354" spans="1:41">
      <c r="A354" s="8" t="s">
        <v>131</v>
      </c>
      <c r="B354" s="8" t="s">
        <v>754</v>
      </c>
      <c r="C354" s="8" t="s">
        <v>842</v>
      </c>
      <c r="D354" s="8" t="s">
        <v>843</v>
      </c>
      <c r="E354" s="8" t="s">
        <v>135</v>
      </c>
      <c r="F354" s="8">
        <v>1</v>
      </c>
      <c r="G354" s="8">
        <v>1</v>
      </c>
      <c r="H354" s="8">
        <v>1</v>
      </c>
      <c r="I354" s="8" t="s">
        <v>136</v>
      </c>
      <c r="J354" s="8" t="s">
        <v>136</v>
      </c>
      <c r="K354" s="8">
        <v>1</v>
      </c>
      <c r="L354" s="8">
        <v>1</v>
      </c>
      <c r="M354" s="8">
        <v>1</v>
      </c>
      <c r="N354" s="8">
        <v>1</v>
      </c>
      <c r="O354" s="8">
        <v>1</v>
      </c>
      <c r="P354" s="8" t="s">
        <v>136</v>
      </c>
      <c r="Q354" s="8" t="s">
        <v>136</v>
      </c>
      <c r="R354" s="8">
        <v>1</v>
      </c>
      <c r="S354" s="8">
        <v>1</v>
      </c>
      <c r="T354" s="8">
        <v>1</v>
      </c>
      <c r="U354" s="8">
        <v>1</v>
      </c>
      <c r="V354" s="8">
        <v>1</v>
      </c>
      <c r="W354" s="8" t="s">
        <v>136</v>
      </c>
      <c r="X354" s="8" t="s">
        <v>136</v>
      </c>
      <c r="Y354" s="8">
        <v>1</v>
      </c>
      <c r="Z354" s="8">
        <v>1</v>
      </c>
      <c r="AA354" s="8">
        <v>1</v>
      </c>
      <c r="AB354" s="8">
        <v>1</v>
      </c>
      <c r="AC354" s="8">
        <v>1</v>
      </c>
      <c r="AD354" s="8" t="s">
        <v>136</v>
      </c>
      <c r="AE354" s="8" t="s">
        <v>136</v>
      </c>
      <c r="AF354" s="8">
        <v>1</v>
      </c>
      <c r="AG354" s="8">
        <v>1</v>
      </c>
      <c r="AH354" s="8">
        <v>1</v>
      </c>
      <c r="AI354" s="8">
        <v>1</v>
      </c>
      <c r="AJ354" s="8">
        <v>1</v>
      </c>
      <c r="AK354" s="10">
        <v>23</v>
      </c>
      <c r="AL354" s="11">
        <v>23</v>
      </c>
      <c r="AM354" s="13">
        <v>23</v>
      </c>
      <c r="AN354" s="13">
        <v>0</v>
      </c>
      <c r="AO354" s="7" t="e">
        <v>#N/A</v>
      </c>
    </row>
    <row r="355" spans="1:41">
      <c r="A355" s="8" t="s">
        <v>131</v>
      </c>
      <c r="B355" s="8" t="s">
        <v>754</v>
      </c>
      <c r="C355" s="8" t="s">
        <v>844</v>
      </c>
      <c r="D355" s="8" t="s">
        <v>845</v>
      </c>
      <c r="E355" s="8" t="s">
        <v>135</v>
      </c>
      <c r="F355" s="8">
        <v>1</v>
      </c>
      <c r="G355" s="8">
        <v>1</v>
      </c>
      <c r="H355" s="8">
        <v>1</v>
      </c>
      <c r="I355" s="8" t="s">
        <v>136</v>
      </c>
      <c r="J355" s="8" t="s">
        <v>136</v>
      </c>
      <c r="K355" s="8">
        <v>1</v>
      </c>
      <c r="L355" s="8">
        <v>1</v>
      </c>
      <c r="M355" s="8">
        <v>1</v>
      </c>
      <c r="N355" s="8">
        <v>1</v>
      </c>
      <c r="O355" s="8">
        <v>1</v>
      </c>
      <c r="P355" s="8" t="s">
        <v>136</v>
      </c>
      <c r="Q355" s="8" t="s">
        <v>136</v>
      </c>
      <c r="R355" s="8">
        <v>1</v>
      </c>
      <c r="S355" s="8">
        <v>1</v>
      </c>
      <c r="T355" s="8">
        <v>1</v>
      </c>
      <c r="U355" s="8">
        <v>1</v>
      </c>
      <c r="V355" s="8">
        <v>1</v>
      </c>
      <c r="W355" s="8" t="s">
        <v>136</v>
      </c>
      <c r="X355" s="8" t="s">
        <v>136</v>
      </c>
      <c r="Y355" s="8">
        <v>1</v>
      </c>
      <c r="Z355" s="8">
        <v>1</v>
      </c>
      <c r="AA355" s="8">
        <v>1</v>
      </c>
      <c r="AB355" s="8">
        <v>1</v>
      </c>
      <c r="AC355" s="8">
        <v>1</v>
      </c>
      <c r="AD355" s="8" t="s">
        <v>136</v>
      </c>
      <c r="AE355" s="8" t="s">
        <v>136</v>
      </c>
      <c r="AF355" s="8">
        <v>1</v>
      </c>
      <c r="AG355" s="8">
        <v>1</v>
      </c>
      <c r="AH355" s="8">
        <v>1</v>
      </c>
      <c r="AI355" s="8">
        <v>1</v>
      </c>
      <c r="AJ355" s="8">
        <v>1</v>
      </c>
      <c r="AK355" s="10">
        <v>23</v>
      </c>
      <c r="AL355" s="11">
        <v>23</v>
      </c>
      <c r="AM355" s="13">
        <v>23</v>
      </c>
      <c r="AN355" s="13">
        <v>0</v>
      </c>
      <c r="AO355" s="7" t="e">
        <v>#N/A</v>
      </c>
    </row>
    <row r="356" spans="1:41">
      <c r="A356" s="8" t="s">
        <v>131</v>
      </c>
      <c r="B356" s="8" t="s">
        <v>754</v>
      </c>
      <c r="C356" s="8" t="s">
        <v>846</v>
      </c>
      <c r="D356" s="8" t="s">
        <v>847</v>
      </c>
      <c r="E356" s="8" t="s">
        <v>135</v>
      </c>
      <c r="F356" s="8">
        <v>1</v>
      </c>
      <c r="G356" s="8">
        <v>1</v>
      </c>
      <c r="H356" s="8">
        <v>1</v>
      </c>
      <c r="I356" s="8" t="s">
        <v>136</v>
      </c>
      <c r="J356" s="8" t="s">
        <v>136</v>
      </c>
      <c r="K356" s="8">
        <v>1</v>
      </c>
      <c r="L356" s="8">
        <v>1</v>
      </c>
      <c r="M356" s="8">
        <v>1</v>
      </c>
      <c r="N356" s="8">
        <v>1</v>
      </c>
      <c r="O356" s="8">
        <v>1</v>
      </c>
      <c r="P356" s="8" t="s">
        <v>136</v>
      </c>
      <c r="Q356" s="8" t="s">
        <v>136</v>
      </c>
      <c r="R356" s="8">
        <v>1</v>
      </c>
      <c r="S356" s="8">
        <v>1</v>
      </c>
      <c r="T356" s="8">
        <v>1</v>
      </c>
      <c r="U356" s="8">
        <v>1</v>
      </c>
      <c r="V356" s="8">
        <v>1</v>
      </c>
      <c r="W356" s="8" t="s">
        <v>136</v>
      </c>
      <c r="X356" s="8" t="s">
        <v>136</v>
      </c>
      <c r="Y356" s="8">
        <v>1</v>
      </c>
      <c r="Z356" s="8">
        <v>1</v>
      </c>
      <c r="AA356" s="8">
        <v>1</v>
      </c>
      <c r="AB356" s="8">
        <v>1</v>
      </c>
      <c r="AC356" s="8">
        <v>1</v>
      </c>
      <c r="AD356" s="8" t="s">
        <v>136</v>
      </c>
      <c r="AE356" s="8" t="s">
        <v>136</v>
      </c>
      <c r="AF356" s="8">
        <v>1</v>
      </c>
      <c r="AG356" s="8">
        <v>1</v>
      </c>
      <c r="AH356" s="8">
        <v>1</v>
      </c>
      <c r="AI356" s="8">
        <v>1</v>
      </c>
      <c r="AJ356" s="8">
        <v>1</v>
      </c>
      <c r="AK356" s="10">
        <v>23</v>
      </c>
      <c r="AL356" s="11">
        <v>23</v>
      </c>
      <c r="AM356" s="13">
        <v>23</v>
      </c>
      <c r="AN356" s="13">
        <v>0</v>
      </c>
      <c r="AO356" s="7" t="e">
        <v>#N/A</v>
      </c>
    </row>
    <row r="357" spans="1:41">
      <c r="A357" s="8" t="s">
        <v>131</v>
      </c>
      <c r="B357" s="8" t="s">
        <v>754</v>
      </c>
      <c r="C357" s="8" t="s">
        <v>848</v>
      </c>
      <c r="D357" s="8" t="s">
        <v>849</v>
      </c>
      <c r="E357" s="8" t="s">
        <v>135</v>
      </c>
      <c r="F357" s="8">
        <v>1</v>
      </c>
      <c r="G357" s="8">
        <v>1</v>
      </c>
      <c r="H357" s="8">
        <v>1</v>
      </c>
      <c r="I357" s="8" t="s">
        <v>136</v>
      </c>
      <c r="J357" s="8" t="s">
        <v>136</v>
      </c>
      <c r="K357" s="8">
        <v>1</v>
      </c>
      <c r="L357" s="8">
        <v>1</v>
      </c>
      <c r="M357" s="8">
        <v>1</v>
      </c>
      <c r="N357" s="8">
        <v>1</v>
      </c>
      <c r="O357" s="8">
        <v>1</v>
      </c>
      <c r="P357" s="8" t="s">
        <v>136</v>
      </c>
      <c r="Q357" s="8" t="s">
        <v>136</v>
      </c>
      <c r="R357" s="8">
        <v>1</v>
      </c>
      <c r="S357" s="8">
        <v>1</v>
      </c>
      <c r="T357" s="8">
        <v>1</v>
      </c>
      <c r="U357" s="8">
        <v>1</v>
      </c>
      <c r="V357" s="8">
        <v>1</v>
      </c>
      <c r="W357" s="8" t="s">
        <v>136</v>
      </c>
      <c r="X357" s="8" t="s">
        <v>136</v>
      </c>
      <c r="Y357" s="8">
        <v>1</v>
      </c>
      <c r="Z357" s="8">
        <v>1</v>
      </c>
      <c r="AA357" s="8">
        <v>1</v>
      </c>
      <c r="AB357" s="8">
        <v>1</v>
      </c>
      <c r="AC357" s="8">
        <v>1</v>
      </c>
      <c r="AD357" s="8" t="s">
        <v>136</v>
      </c>
      <c r="AE357" s="8" t="s">
        <v>136</v>
      </c>
      <c r="AF357" s="8">
        <v>1</v>
      </c>
      <c r="AG357" s="8">
        <v>1</v>
      </c>
      <c r="AH357" s="8">
        <v>1</v>
      </c>
      <c r="AI357" s="8">
        <v>1</v>
      </c>
      <c r="AJ357" s="8">
        <v>1</v>
      </c>
      <c r="AK357" s="10">
        <v>23</v>
      </c>
      <c r="AL357" s="11">
        <v>23</v>
      </c>
      <c r="AM357" s="13">
        <v>23</v>
      </c>
      <c r="AN357" s="13">
        <v>0</v>
      </c>
      <c r="AO357" s="7" t="e">
        <v>#N/A</v>
      </c>
    </row>
    <row r="358" spans="1:41">
      <c r="A358" s="8" t="s">
        <v>131</v>
      </c>
      <c r="B358" s="8" t="s">
        <v>754</v>
      </c>
      <c r="C358" s="8" t="s">
        <v>850</v>
      </c>
      <c r="D358" s="8" t="s">
        <v>851</v>
      </c>
      <c r="E358" s="8" t="s">
        <v>135</v>
      </c>
      <c r="F358" s="8">
        <v>1</v>
      </c>
      <c r="G358" s="8">
        <v>1</v>
      </c>
      <c r="H358" s="8">
        <v>1</v>
      </c>
      <c r="I358" s="8" t="s">
        <v>136</v>
      </c>
      <c r="J358" s="8" t="s">
        <v>136</v>
      </c>
      <c r="K358" s="8">
        <v>1</v>
      </c>
      <c r="L358" s="8">
        <v>1</v>
      </c>
      <c r="M358" s="8">
        <v>1</v>
      </c>
      <c r="N358" s="8">
        <v>1</v>
      </c>
      <c r="O358" s="8">
        <v>1</v>
      </c>
      <c r="P358" s="8" t="s">
        <v>136</v>
      </c>
      <c r="Q358" s="8" t="s">
        <v>136</v>
      </c>
      <c r="R358" s="8">
        <v>1</v>
      </c>
      <c r="S358" s="8">
        <v>1</v>
      </c>
      <c r="T358" s="8">
        <v>1</v>
      </c>
      <c r="U358" s="8">
        <v>1</v>
      </c>
      <c r="V358" s="8">
        <v>1</v>
      </c>
      <c r="W358" s="8" t="s">
        <v>136</v>
      </c>
      <c r="X358" s="8" t="s">
        <v>136</v>
      </c>
      <c r="Y358" s="8">
        <v>1</v>
      </c>
      <c r="Z358" s="8">
        <v>1</v>
      </c>
      <c r="AA358" s="8">
        <v>1</v>
      </c>
      <c r="AB358" s="8">
        <v>1</v>
      </c>
      <c r="AC358" s="8">
        <v>1</v>
      </c>
      <c r="AD358" s="8" t="s">
        <v>136</v>
      </c>
      <c r="AE358" s="8" t="s">
        <v>136</v>
      </c>
      <c r="AF358" s="8">
        <v>1</v>
      </c>
      <c r="AG358" s="8">
        <v>1</v>
      </c>
      <c r="AH358" s="8">
        <v>1</v>
      </c>
      <c r="AI358" s="8">
        <v>1</v>
      </c>
      <c r="AJ358" s="8">
        <v>1</v>
      </c>
      <c r="AK358" s="10">
        <v>23</v>
      </c>
      <c r="AL358" s="11">
        <v>23</v>
      </c>
      <c r="AM358" s="13">
        <v>23</v>
      </c>
      <c r="AN358" s="13">
        <v>0</v>
      </c>
      <c r="AO358" s="7" t="e">
        <v>#N/A</v>
      </c>
    </row>
    <row r="359" spans="1:41">
      <c r="A359" s="8" t="s">
        <v>131</v>
      </c>
      <c r="B359" s="8" t="s">
        <v>754</v>
      </c>
      <c r="C359" s="8" t="s">
        <v>852</v>
      </c>
      <c r="D359" s="8" t="s">
        <v>853</v>
      </c>
      <c r="E359" s="8" t="s">
        <v>135</v>
      </c>
      <c r="F359" s="8">
        <v>1</v>
      </c>
      <c r="G359" s="8">
        <v>1</v>
      </c>
      <c r="H359" s="8">
        <v>1</v>
      </c>
      <c r="I359" s="8" t="s">
        <v>136</v>
      </c>
      <c r="J359" s="8" t="s">
        <v>136</v>
      </c>
      <c r="K359" s="8">
        <v>1</v>
      </c>
      <c r="L359" s="8">
        <v>1</v>
      </c>
      <c r="M359" s="8">
        <v>1</v>
      </c>
      <c r="N359" s="8">
        <v>1</v>
      </c>
      <c r="O359" s="8">
        <v>1</v>
      </c>
      <c r="P359" s="8" t="s">
        <v>136</v>
      </c>
      <c r="Q359" s="8" t="s">
        <v>136</v>
      </c>
      <c r="R359" s="8">
        <v>1</v>
      </c>
      <c r="S359" s="8">
        <v>1</v>
      </c>
      <c r="T359" s="8">
        <v>1</v>
      </c>
      <c r="U359" s="8">
        <v>1</v>
      </c>
      <c r="V359" s="8">
        <v>1</v>
      </c>
      <c r="W359" s="8" t="s">
        <v>136</v>
      </c>
      <c r="X359" s="8" t="s">
        <v>136</v>
      </c>
      <c r="Y359" s="8">
        <v>1</v>
      </c>
      <c r="Z359" s="8">
        <v>1</v>
      </c>
      <c r="AA359" s="8">
        <v>1</v>
      </c>
      <c r="AB359" s="8">
        <v>1</v>
      </c>
      <c r="AC359" s="8">
        <v>1</v>
      </c>
      <c r="AD359" s="8" t="s">
        <v>136</v>
      </c>
      <c r="AE359" s="8" t="s">
        <v>136</v>
      </c>
      <c r="AF359" s="8">
        <v>1</v>
      </c>
      <c r="AG359" s="8">
        <v>1</v>
      </c>
      <c r="AH359" s="8">
        <v>1</v>
      </c>
      <c r="AI359" s="8">
        <v>1</v>
      </c>
      <c r="AJ359" s="8">
        <v>1</v>
      </c>
      <c r="AK359" s="10">
        <v>23</v>
      </c>
      <c r="AL359" s="11">
        <v>23</v>
      </c>
      <c r="AM359" s="13">
        <v>23</v>
      </c>
      <c r="AN359" s="13">
        <v>0</v>
      </c>
      <c r="AO359" s="7" t="e">
        <v>#N/A</v>
      </c>
    </row>
    <row r="360" spans="1:41">
      <c r="A360" s="8" t="s">
        <v>131</v>
      </c>
      <c r="B360" s="8" t="s">
        <v>754</v>
      </c>
      <c r="C360" s="8" t="s">
        <v>854</v>
      </c>
      <c r="D360" s="8" t="s">
        <v>855</v>
      </c>
      <c r="E360" s="8" t="s">
        <v>135</v>
      </c>
      <c r="F360" s="8">
        <v>1</v>
      </c>
      <c r="G360" s="8">
        <v>1</v>
      </c>
      <c r="H360" s="8">
        <v>1</v>
      </c>
      <c r="I360" s="8" t="s">
        <v>136</v>
      </c>
      <c r="J360" s="8" t="s">
        <v>136</v>
      </c>
      <c r="K360" s="8">
        <v>1</v>
      </c>
      <c r="L360" s="8">
        <v>1</v>
      </c>
      <c r="M360" s="8">
        <v>1</v>
      </c>
      <c r="N360" s="8">
        <v>1</v>
      </c>
      <c r="O360" s="8">
        <v>1</v>
      </c>
      <c r="P360" s="8" t="s">
        <v>136</v>
      </c>
      <c r="Q360" s="8" t="s">
        <v>136</v>
      </c>
      <c r="R360" s="8">
        <v>1</v>
      </c>
      <c r="S360" s="8">
        <v>1</v>
      </c>
      <c r="T360" s="8">
        <v>1</v>
      </c>
      <c r="U360" s="8">
        <v>1</v>
      </c>
      <c r="V360" s="8">
        <v>1</v>
      </c>
      <c r="W360" s="8" t="s">
        <v>136</v>
      </c>
      <c r="X360" s="8" t="s">
        <v>136</v>
      </c>
      <c r="Y360" s="8">
        <v>1</v>
      </c>
      <c r="Z360" s="8">
        <v>1</v>
      </c>
      <c r="AA360" s="8">
        <v>1</v>
      </c>
      <c r="AB360" s="8">
        <v>1</v>
      </c>
      <c r="AC360" s="8">
        <v>1</v>
      </c>
      <c r="AD360" s="8" t="s">
        <v>136</v>
      </c>
      <c r="AE360" s="8" t="s">
        <v>136</v>
      </c>
      <c r="AF360" s="8">
        <v>1</v>
      </c>
      <c r="AG360" s="8">
        <v>1</v>
      </c>
      <c r="AH360" s="8">
        <v>1</v>
      </c>
      <c r="AI360" s="8">
        <v>1</v>
      </c>
      <c r="AJ360" s="8">
        <v>1</v>
      </c>
      <c r="AK360" s="10">
        <v>23</v>
      </c>
      <c r="AL360" s="11">
        <v>23</v>
      </c>
      <c r="AM360" s="13">
        <v>23</v>
      </c>
      <c r="AN360" s="13">
        <v>0</v>
      </c>
      <c r="AO360" s="7" t="e">
        <v>#N/A</v>
      </c>
    </row>
    <row r="361" spans="1:41">
      <c r="A361" s="8" t="s">
        <v>131</v>
      </c>
      <c r="B361" s="8" t="s">
        <v>754</v>
      </c>
      <c r="C361" s="8" t="s">
        <v>856</v>
      </c>
      <c r="D361" s="8" t="s">
        <v>857</v>
      </c>
      <c r="E361" s="8" t="s">
        <v>135</v>
      </c>
      <c r="F361" s="8">
        <v>1</v>
      </c>
      <c r="G361" s="8">
        <v>1</v>
      </c>
      <c r="H361" s="8">
        <v>1</v>
      </c>
      <c r="I361" s="8" t="s">
        <v>136</v>
      </c>
      <c r="J361" s="8" t="s">
        <v>136</v>
      </c>
      <c r="K361" s="8">
        <v>1</v>
      </c>
      <c r="L361" s="8">
        <v>1</v>
      </c>
      <c r="M361" s="8">
        <v>1</v>
      </c>
      <c r="N361" s="8">
        <v>1</v>
      </c>
      <c r="O361" s="8">
        <v>1</v>
      </c>
      <c r="P361" s="8" t="s">
        <v>136</v>
      </c>
      <c r="Q361" s="8" t="s">
        <v>136</v>
      </c>
      <c r="R361" s="8">
        <v>1</v>
      </c>
      <c r="S361" s="8">
        <v>1</v>
      </c>
      <c r="T361" s="8">
        <v>1</v>
      </c>
      <c r="U361" s="8">
        <v>1</v>
      </c>
      <c r="V361" s="8">
        <v>1</v>
      </c>
      <c r="W361" s="8" t="s">
        <v>136</v>
      </c>
      <c r="X361" s="8" t="s">
        <v>136</v>
      </c>
      <c r="Y361" s="8">
        <v>1</v>
      </c>
      <c r="Z361" s="8">
        <v>1</v>
      </c>
      <c r="AA361" s="8">
        <v>1</v>
      </c>
      <c r="AB361" s="8">
        <v>1</v>
      </c>
      <c r="AC361" s="8">
        <v>1</v>
      </c>
      <c r="AD361" s="8" t="s">
        <v>136</v>
      </c>
      <c r="AE361" s="8" t="s">
        <v>136</v>
      </c>
      <c r="AF361" s="8">
        <v>1</v>
      </c>
      <c r="AG361" s="8">
        <v>1</v>
      </c>
      <c r="AH361" s="8">
        <v>1</v>
      </c>
      <c r="AI361" s="8">
        <v>1</v>
      </c>
      <c r="AJ361" s="8">
        <v>1</v>
      </c>
      <c r="AK361" s="10">
        <v>23</v>
      </c>
      <c r="AL361" s="11">
        <v>23</v>
      </c>
      <c r="AM361" s="13">
        <v>23</v>
      </c>
      <c r="AN361" s="13">
        <v>0</v>
      </c>
      <c r="AO361" s="7" t="e">
        <v>#N/A</v>
      </c>
    </row>
    <row r="362" spans="1:41">
      <c r="A362" s="8" t="s">
        <v>131</v>
      </c>
      <c r="B362" s="8" t="s">
        <v>754</v>
      </c>
      <c r="C362" s="8" t="s">
        <v>858</v>
      </c>
      <c r="D362" s="8" t="s">
        <v>859</v>
      </c>
      <c r="E362" s="8" t="s">
        <v>135</v>
      </c>
      <c r="F362" s="8">
        <v>1</v>
      </c>
      <c r="G362" s="8">
        <v>1</v>
      </c>
      <c r="H362" s="8">
        <v>1</v>
      </c>
      <c r="I362" s="8" t="s">
        <v>136</v>
      </c>
      <c r="J362" s="8" t="s">
        <v>136</v>
      </c>
      <c r="K362" s="8">
        <v>1</v>
      </c>
      <c r="L362" s="8">
        <v>1</v>
      </c>
      <c r="M362" s="8">
        <v>1</v>
      </c>
      <c r="N362" s="8">
        <v>1</v>
      </c>
      <c r="O362" s="8">
        <v>1</v>
      </c>
      <c r="P362" s="8" t="s">
        <v>136</v>
      </c>
      <c r="Q362" s="8" t="s">
        <v>136</v>
      </c>
      <c r="R362" s="8">
        <v>1</v>
      </c>
      <c r="S362" s="8">
        <v>1</v>
      </c>
      <c r="T362" s="8">
        <v>1</v>
      </c>
      <c r="U362" s="8">
        <v>1</v>
      </c>
      <c r="V362" s="8">
        <v>1</v>
      </c>
      <c r="W362" s="8" t="s">
        <v>136</v>
      </c>
      <c r="X362" s="8" t="s">
        <v>136</v>
      </c>
      <c r="Y362" s="8">
        <v>1</v>
      </c>
      <c r="Z362" s="8">
        <v>1</v>
      </c>
      <c r="AA362" s="8">
        <v>1</v>
      </c>
      <c r="AB362" s="8">
        <v>1</v>
      </c>
      <c r="AC362" s="8">
        <v>1</v>
      </c>
      <c r="AD362" s="8" t="s">
        <v>136</v>
      </c>
      <c r="AE362" s="8" t="s">
        <v>136</v>
      </c>
      <c r="AF362" s="8">
        <v>1</v>
      </c>
      <c r="AG362" s="8">
        <v>1</v>
      </c>
      <c r="AH362" s="8">
        <v>1</v>
      </c>
      <c r="AI362" s="8">
        <v>1</v>
      </c>
      <c r="AJ362" s="8">
        <v>1</v>
      </c>
      <c r="AK362" s="10">
        <v>23</v>
      </c>
      <c r="AL362" s="11">
        <v>23</v>
      </c>
      <c r="AM362" s="13">
        <v>23</v>
      </c>
      <c r="AN362" s="13">
        <v>0</v>
      </c>
      <c r="AO362" s="7" t="e">
        <v>#N/A</v>
      </c>
    </row>
    <row r="363" spans="1:41">
      <c r="A363" s="8" t="s">
        <v>131</v>
      </c>
      <c r="B363" s="8" t="s">
        <v>754</v>
      </c>
      <c r="C363" s="8" t="s">
        <v>860</v>
      </c>
      <c r="D363" s="8" t="s">
        <v>861</v>
      </c>
      <c r="E363" s="8" t="s">
        <v>135</v>
      </c>
      <c r="F363" s="8">
        <v>1</v>
      </c>
      <c r="G363" s="8">
        <v>1</v>
      </c>
      <c r="H363" s="8">
        <v>1</v>
      </c>
      <c r="I363" s="8" t="s">
        <v>136</v>
      </c>
      <c r="J363" s="8" t="s">
        <v>136</v>
      </c>
      <c r="K363" s="8">
        <v>1</v>
      </c>
      <c r="L363" s="8">
        <v>1</v>
      </c>
      <c r="M363" s="8">
        <v>1</v>
      </c>
      <c r="N363" s="8">
        <v>1</v>
      </c>
      <c r="O363" s="8">
        <v>1</v>
      </c>
      <c r="P363" s="8" t="s">
        <v>136</v>
      </c>
      <c r="Q363" s="8" t="s">
        <v>136</v>
      </c>
      <c r="R363" s="8">
        <v>1</v>
      </c>
      <c r="S363" s="8">
        <v>1</v>
      </c>
      <c r="T363" s="8">
        <v>1</v>
      </c>
      <c r="U363" s="8">
        <v>1</v>
      </c>
      <c r="V363" s="8">
        <v>1</v>
      </c>
      <c r="W363" s="8" t="s">
        <v>136</v>
      </c>
      <c r="X363" s="8" t="s">
        <v>136</v>
      </c>
      <c r="Y363" s="8">
        <v>1</v>
      </c>
      <c r="Z363" s="8">
        <v>1</v>
      </c>
      <c r="AA363" s="8">
        <v>1</v>
      </c>
      <c r="AB363" s="8">
        <v>1</v>
      </c>
      <c r="AC363" s="8">
        <v>1</v>
      </c>
      <c r="AD363" s="8" t="s">
        <v>136</v>
      </c>
      <c r="AE363" s="8" t="s">
        <v>136</v>
      </c>
      <c r="AF363" s="8">
        <v>1</v>
      </c>
      <c r="AG363" s="8">
        <v>1</v>
      </c>
      <c r="AH363" s="8">
        <v>1</v>
      </c>
      <c r="AI363" s="8">
        <v>1</v>
      </c>
      <c r="AJ363" s="8">
        <v>1</v>
      </c>
      <c r="AK363" s="10">
        <v>23</v>
      </c>
      <c r="AL363" s="11">
        <v>23</v>
      </c>
      <c r="AM363" s="13">
        <v>23</v>
      </c>
      <c r="AN363" s="13">
        <v>0</v>
      </c>
      <c r="AO363" s="7" t="e">
        <v>#N/A</v>
      </c>
    </row>
    <row r="364" spans="1:41">
      <c r="A364" s="8" t="s">
        <v>131</v>
      </c>
      <c r="B364" s="8" t="s">
        <v>754</v>
      </c>
      <c r="C364" s="8" t="s">
        <v>862</v>
      </c>
      <c r="D364" s="8" t="s">
        <v>863</v>
      </c>
      <c r="E364" s="8" t="s">
        <v>135</v>
      </c>
      <c r="F364" s="8">
        <v>1</v>
      </c>
      <c r="G364" s="8">
        <v>1</v>
      </c>
      <c r="H364" s="8">
        <v>1</v>
      </c>
      <c r="I364" s="8" t="s">
        <v>136</v>
      </c>
      <c r="J364" s="8" t="s">
        <v>136</v>
      </c>
      <c r="K364" s="8">
        <v>1</v>
      </c>
      <c r="L364" s="8">
        <v>1</v>
      </c>
      <c r="M364" s="8">
        <v>1</v>
      </c>
      <c r="N364" s="8">
        <v>1</v>
      </c>
      <c r="O364" s="8">
        <v>1</v>
      </c>
      <c r="P364" s="8" t="s">
        <v>136</v>
      </c>
      <c r="Q364" s="8" t="s">
        <v>136</v>
      </c>
      <c r="R364" s="8">
        <v>1</v>
      </c>
      <c r="S364" s="8">
        <v>1</v>
      </c>
      <c r="T364" s="8">
        <v>1</v>
      </c>
      <c r="U364" s="8">
        <v>1</v>
      </c>
      <c r="V364" s="8">
        <v>1</v>
      </c>
      <c r="W364" s="8" t="s">
        <v>136</v>
      </c>
      <c r="X364" s="8" t="s">
        <v>136</v>
      </c>
      <c r="Y364" s="8">
        <v>1</v>
      </c>
      <c r="Z364" s="8">
        <v>1</v>
      </c>
      <c r="AA364" s="8">
        <v>1</v>
      </c>
      <c r="AB364" s="8">
        <v>1</v>
      </c>
      <c r="AC364" s="8">
        <v>1</v>
      </c>
      <c r="AD364" s="8" t="s">
        <v>136</v>
      </c>
      <c r="AE364" s="8" t="s">
        <v>136</v>
      </c>
      <c r="AF364" s="8">
        <v>1</v>
      </c>
      <c r="AG364" s="8">
        <v>1</v>
      </c>
      <c r="AH364" s="8">
        <v>1</v>
      </c>
      <c r="AI364" s="8">
        <v>1</v>
      </c>
      <c r="AJ364" s="8">
        <v>1</v>
      </c>
      <c r="AK364" s="10">
        <v>23</v>
      </c>
      <c r="AL364" s="11">
        <v>23</v>
      </c>
      <c r="AM364" s="13">
        <v>23</v>
      </c>
      <c r="AN364" s="13">
        <v>0</v>
      </c>
      <c r="AO364" s="7" t="e">
        <v>#N/A</v>
      </c>
    </row>
    <row r="365" spans="1:41">
      <c r="A365" s="8" t="s">
        <v>131</v>
      </c>
      <c r="B365" s="8" t="s">
        <v>864</v>
      </c>
      <c r="C365" s="8" t="s">
        <v>865</v>
      </c>
      <c r="D365" s="8" t="s">
        <v>866</v>
      </c>
      <c r="E365" s="8" t="s">
        <v>135</v>
      </c>
      <c r="F365" s="8">
        <v>1</v>
      </c>
      <c r="G365" s="8">
        <v>1</v>
      </c>
      <c r="H365" s="8">
        <v>1</v>
      </c>
      <c r="I365" s="8" t="s">
        <v>136</v>
      </c>
      <c r="J365" s="8" t="s">
        <v>136</v>
      </c>
      <c r="K365" s="8">
        <v>1</v>
      </c>
      <c r="L365" s="8">
        <v>1</v>
      </c>
      <c r="M365" s="8">
        <v>1</v>
      </c>
      <c r="N365" s="8">
        <v>1</v>
      </c>
      <c r="O365" s="8">
        <v>1</v>
      </c>
      <c r="P365" s="8" t="s">
        <v>136</v>
      </c>
      <c r="Q365" s="8" t="s">
        <v>136</v>
      </c>
      <c r="R365" s="8">
        <v>1</v>
      </c>
      <c r="S365" s="8">
        <v>1</v>
      </c>
      <c r="T365" s="8">
        <v>1</v>
      </c>
      <c r="U365" s="8">
        <v>1</v>
      </c>
      <c r="V365" s="8">
        <v>1</v>
      </c>
      <c r="W365" s="8" t="s">
        <v>136</v>
      </c>
      <c r="X365" s="8" t="s">
        <v>136</v>
      </c>
      <c r="Y365" s="8">
        <v>1</v>
      </c>
      <c r="Z365" s="8">
        <v>1</v>
      </c>
      <c r="AA365" s="8">
        <v>1</v>
      </c>
      <c r="AB365" s="8">
        <v>1</v>
      </c>
      <c r="AC365" s="8">
        <v>1</v>
      </c>
      <c r="AD365" s="8" t="s">
        <v>136</v>
      </c>
      <c r="AE365" s="8" t="s">
        <v>136</v>
      </c>
      <c r="AF365" s="8">
        <v>1</v>
      </c>
      <c r="AG365" s="8">
        <v>1</v>
      </c>
      <c r="AH365" s="8">
        <v>1</v>
      </c>
      <c r="AI365" s="8">
        <v>1</v>
      </c>
      <c r="AJ365" s="8">
        <v>1</v>
      </c>
      <c r="AK365" s="10">
        <v>23</v>
      </c>
      <c r="AL365" s="11">
        <v>23</v>
      </c>
      <c r="AM365" s="13">
        <v>23</v>
      </c>
      <c r="AN365" s="13">
        <v>0</v>
      </c>
      <c r="AO365" s="7" t="e">
        <v>#N/A</v>
      </c>
    </row>
    <row r="366" spans="1:41">
      <c r="A366" s="8" t="s">
        <v>131</v>
      </c>
      <c r="B366" s="8" t="s">
        <v>864</v>
      </c>
      <c r="C366" s="8" t="s">
        <v>867</v>
      </c>
      <c r="D366" s="8" t="s">
        <v>555</v>
      </c>
      <c r="E366" s="8" t="s">
        <v>135</v>
      </c>
      <c r="F366" s="8">
        <v>1</v>
      </c>
      <c r="G366" s="8">
        <v>1</v>
      </c>
      <c r="H366" s="8">
        <v>1</v>
      </c>
      <c r="I366" s="8" t="s">
        <v>136</v>
      </c>
      <c r="J366" s="8" t="s">
        <v>136</v>
      </c>
      <c r="K366" s="8">
        <v>1</v>
      </c>
      <c r="L366" s="8">
        <v>1</v>
      </c>
      <c r="M366" s="8">
        <v>1</v>
      </c>
      <c r="N366" s="8">
        <v>1</v>
      </c>
      <c r="O366" s="8">
        <v>1</v>
      </c>
      <c r="P366" s="8" t="s">
        <v>136</v>
      </c>
      <c r="Q366" s="8" t="s">
        <v>136</v>
      </c>
      <c r="R366" s="8">
        <v>1</v>
      </c>
      <c r="S366" s="8">
        <v>1</v>
      </c>
      <c r="T366" s="8">
        <v>1</v>
      </c>
      <c r="U366" s="8">
        <v>1</v>
      </c>
      <c r="V366" s="8">
        <v>1</v>
      </c>
      <c r="W366" s="8" t="s">
        <v>136</v>
      </c>
      <c r="X366" s="8" t="s">
        <v>136</v>
      </c>
      <c r="Y366" s="8">
        <v>1</v>
      </c>
      <c r="Z366" s="8">
        <v>1</v>
      </c>
      <c r="AA366" s="8">
        <v>1</v>
      </c>
      <c r="AB366" s="8">
        <v>1</v>
      </c>
      <c r="AC366" s="8">
        <v>1</v>
      </c>
      <c r="AD366" s="8" t="s">
        <v>136</v>
      </c>
      <c r="AE366" s="8" t="s">
        <v>136</v>
      </c>
      <c r="AF366" s="8">
        <v>1</v>
      </c>
      <c r="AG366" s="8">
        <v>1</v>
      </c>
      <c r="AH366" s="8">
        <v>1</v>
      </c>
      <c r="AI366" s="8">
        <v>1</v>
      </c>
      <c r="AJ366" s="8">
        <v>1</v>
      </c>
      <c r="AK366" s="10">
        <v>23</v>
      </c>
      <c r="AL366" s="11">
        <v>23</v>
      </c>
      <c r="AM366" s="13">
        <v>23</v>
      </c>
      <c r="AN366" s="13">
        <v>0</v>
      </c>
      <c r="AO366" s="7" t="e">
        <v>#N/A</v>
      </c>
    </row>
    <row r="367" spans="1:41">
      <c r="A367" s="8" t="s">
        <v>131</v>
      </c>
      <c r="B367" s="8" t="s">
        <v>864</v>
      </c>
      <c r="C367" s="8" t="s">
        <v>868</v>
      </c>
      <c r="D367" s="8" t="s">
        <v>869</v>
      </c>
      <c r="E367" s="8" t="s">
        <v>135</v>
      </c>
      <c r="F367" s="8">
        <v>1</v>
      </c>
      <c r="G367" s="8">
        <v>1</v>
      </c>
      <c r="H367" s="8">
        <v>1</v>
      </c>
      <c r="I367" s="8" t="s">
        <v>136</v>
      </c>
      <c r="J367" s="8" t="s">
        <v>136</v>
      </c>
      <c r="K367" s="8">
        <v>1</v>
      </c>
      <c r="L367" s="8">
        <v>1</v>
      </c>
      <c r="M367" s="8">
        <v>1</v>
      </c>
      <c r="N367" s="8">
        <v>1</v>
      </c>
      <c r="O367" s="8">
        <v>1</v>
      </c>
      <c r="P367" s="8" t="s">
        <v>136</v>
      </c>
      <c r="Q367" s="8" t="s">
        <v>136</v>
      </c>
      <c r="R367" s="8">
        <v>1</v>
      </c>
      <c r="S367" s="8">
        <v>1</v>
      </c>
      <c r="T367" s="8">
        <v>1</v>
      </c>
      <c r="U367" s="8">
        <v>1</v>
      </c>
      <c r="V367" s="8">
        <v>1</v>
      </c>
      <c r="W367" s="8" t="s">
        <v>136</v>
      </c>
      <c r="X367" s="8" t="s">
        <v>136</v>
      </c>
      <c r="Y367" s="8">
        <v>1</v>
      </c>
      <c r="Z367" s="8">
        <v>1</v>
      </c>
      <c r="AA367" s="8">
        <v>1</v>
      </c>
      <c r="AB367" s="8">
        <v>1</v>
      </c>
      <c r="AC367" s="8">
        <v>1</v>
      </c>
      <c r="AD367" s="8" t="s">
        <v>136</v>
      </c>
      <c r="AE367" s="8" t="s">
        <v>136</v>
      </c>
      <c r="AF367" s="8">
        <v>1</v>
      </c>
      <c r="AG367" s="8">
        <v>1</v>
      </c>
      <c r="AH367" s="8">
        <v>1</v>
      </c>
      <c r="AI367" s="8">
        <v>1</v>
      </c>
      <c r="AJ367" s="8">
        <v>1</v>
      </c>
      <c r="AK367" s="10">
        <v>23</v>
      </c>
      <c r="AL367" s="11">
        <v>23</v>
      </c>
      <c r="AM367" s="13">
        <v>23</v>
      </c>
      <c r="AN367" s="13">
        <v>0</v>
      </c>
      <c r="AO367" s="7" t="e">
        <v>#N/A</v>
      </c>
    </row>
    <row r="368" spans="1:41">
      <c r="A368" s="8" t="s">
        <v>131</v>
      </c>
      <c r="B368" s="8" t="s">
        <v>864</v>
      </c>
      <c r="C368" s="8" t="s">
        <v>870</v>
      </c>
      <c r="D368" s="8" t="s">
        <v>871</v>
      </c>
      <c r="E368" s="8" t="s">
        <v>135</v>
      </c>
      <c r="F368" s="8">
        <v>1</v>
      </c>
      <c r="G368" s="8">
        <v>1</v>
      </c>
      <c r="H368" s="8">
        <v>1</v>
      </c>
      <c r="I368" s="8" t="s">
        <v>136</v>
      </c>
      <c r="J368" s="8" t="s">
        <v>136</v>
      </c>
      <c r="K368" s="8">
        <v>1</v>
      </c>
      <c r="L368" s="8">
        <v>1</v>
      </c>
      <c r="M368" s="8">
        <v>1</v>
      </c>
      <c r="N368" s="8">
        <v>1</v>
      </c>
      <c r="O368" s="8">
        <v>1</v>
      </c>
      <c r="P368" s="8" t="s">
        <v>136</v>
      </c>
      <c r="Q368" s="8" t="s">
        <v>136</v>
      </c>
      <c r="R368" s="8">
        <v>1</v>
      </c>
      <c r="S368" s="8">
        <v>1</v>
      </c>
      <c r="T368" s="8">
        <v>1</v>
      </c>
      <c r="U368" s="8">
        <v>1</v>
      </c>
      <c r="V368" s="8">
        <v>1</v>
      </c>
      <c r="W368" s="8" t="s">
        <v>136</v>
      </c>
      <c r="X368" s="8" t="s">
        <v>136</v>
      </c>
      <c r="Y368" s="8">
        <v>1</v>
      </c>
      <c r="Z368" s="8">
        <v>1</v>
      </c>
      <c r="AA368" s="8">
        <v>1</v>
      </c>
      <c r="AB368" s="8">
        <v>1</v>
      </c>
      <c r="AC368" s="8">
        <v>1</v>
      </c>
      <c r="AD368" s="8" t="s">
        <v>136</v>
      </c>
      <c r="AE368" s="8" t="s">
        <v>136</v>
      </c>
      <c r="AF368" s="8">
        <v>1</v>
      </c>
      <c r="AG368" s="8">
        <v>1</v>
      </c>
      <c r="AH368" s="8">
        <v>1</v>
      </c>
      <c r="AI368" s="8">
        <v>1</v>
      </c>
      <c r="AJ368" s="8">
        <v>1</v>
      </c>
      <c r="AK368" s="10">
        <v>23</v>
      </c>
      <c r="AL368" s="11">
        <v>23</v>
      </c>
      <c r="AM368" s="13">
        <v>23</v>
      </c>
      <c r="AN368" s="13">
        <v>0</v>
      </c>
      <c r="AO368" s="7" t="e">
        <v>#N/A</v>
      </c>
    </row>
    <row r="369" spans="1:41">
      <c r="A369" s="8" t="s">
        <v>131</v>
      </c>
      <c r="B369" s="8" t="s">
        <v>864</v>
      </c>
      <c r="C369" s="8" t="s">
        <v>872</v>
      </c>
      <c r="D369" s="8" t="s">
        <v>873</v>
      </c>
      <c r="E369" s="8" t="s">
        <v>135</v>
      </c>
      <c r="F369" s="8">
        <v>1</v>
      </c>
      <c r="G369" s="8">
        <v>1</v>
      </c>
      <c r="H369" s="8">
        <v>1</v>
      </c>
      <c r="I369" s="8" t="s">
        <v>136</v>
      </c>
      <c r="J369" s="8" t="s">
        <v>136</v>
      </c>
      <c r="K369" s="8">
        <v>1</v>
      </c>
      <c r="L369" s="8">
        <v>1</v>
      </c>
      <c r="M369" s="8">
        <v>1</v>
      </c>
      <c r="N369" s="8">
        <v>1</v>
      </c>
      <c r="O369" s="8">
        <v>1</v>
      </c>
      <c r="P369" s="8" t="s">
        <v>136</v>
      </c>
      <c r="Q369" s="8" t="s">
        <v>136</v>
      </c>
      <c r="R369" s="8">
        <v>1</v>
      </c>
      <c r="S369" s="8">
        <v>1</v>
      </c>
      <c r="T369" s="8">
        <v>1</v>
      </c>
      <c r="U369" s="8">
        <v>1</v>
      </c>
      <c r="V369" s="8">
        <v>1</v>
      </c>
      <c r="W369" s="8" t="s">
        <v>136</v>
      </c>
      <c r="X369" s="8" t="s">
        <v>136</v>
      </c>
      <c r="Y369" s="8">
        <v>1</v>
      </c>
      <c r="Z369" s="8">
        <v>1</v>
      </c>
      <c r="AA369" s="8">
        <v>1</v>
      </c>
      <c r="AB369" s="8">
        <v>1</v>
      </c>
      <c r="AC369" s="8">
        <v>1</v>
      </c>
      <c r="AD369" s="8" t="s">
        <v>136</v>
      </c>
      <c r="AE369" s="8" t="s">
        <v>136</v>
      </c>
      <c r="AF369" s="8">
        <v>1</v>
      </c>
      <c r="AG369" s="8">
        <v>1</v>
      </c>
      <c r="AH369" s="8">
        <v>1</v>
      </c>
      <c r="AI369" s="8">
        <v>1</v>
      </c>
      <c r="AJ369" s="8">
        <v>1</v>
      </c>
      <c r="AK369" s="10">
        <v>23</v>
      </c>
      <c r="AL369" s="11">
        <v>23</v>
      </c>
      <c r="AM369" s="13">
        <v>23</v>
      </c>
      <c r="AN369" s="13">
        <v>0</v>
      </c>
      <c r="AO369" s="7" t="e">
        <v>#N/A</v>
      </c>
    </row>
    <row r="370" spans="1:41">
      <c r="A370" s="8" t="s">
        <v>131</v>
      </c>
      <c r="B370" s="8" t="s">
        <v>864</v>
      </c>
      <c r="C370" s="8" t="s">
        <v>874</v>
      </c>
      <c r="D370" s="8" t="s">
        <v>875</v>
      </c>
      <c r="E370" s="8" t="s">
        <v>135</v>
      </c>
      <c r="F370" s="8">
        <v>1</v>
      </c>
      <c r="G370" s="8">
        <v>1</v>
      </c>
      <c r="H370" s="8">
        <v>1</v>
      </c>
      <c r="I370" s="8" t="s">
        <v>136</v>
      </c>
      <c r="J370" s="8" t="s">
        <v>136</v>
      </c>
      <c r="K370" s="8">
        <v>1</v>
      </c>
      <c r="L370" s="8">
        <v>1</v>
      </c>
      <c r="M370" s="8">
        <v>1</v>
      </c>
      <c r="N370" s="8">
        <v>1</v>
      </c>
      <c r="O370" s="8">
        <v>1</v>
      </c>
      <c r="P370" s="8" t="s">
        <v>136</v>
      </c>
      <c r="Q370" s="8" t="s">
        <v>136</v>
      </c>
      <c r="R370" s="8">
        <v>1</v>
      </c>
      <c r="S370" s="8">
        <v>1</v>
      </c>
      <c r="T370" s="8">
        <v>1</v>
      </c>
      <c r="U370" s="8">
        <v>1</v>
      </c>
      <c r="V370" s="8">
        <v>1</v>
      </c>
      <c r="W370" s="8" t="s">
        <v>136</v>
      </c>
      <c r="X370" s="8" t="s">
        <v>136</v>
      </c>
      <c r="Y370" s="8">
        <v>1</v>
      </c>
      <c r="Z370" s="8">
        <v>1</v>
      </c>
      <c r="AA370" s="8">
        <v>1</v>
      </c>
      <c r="AB370" s="8">
        <v>1</v>
      </c>
      <c r="AC370" s="8">
        <v>1</v>
      </c>
      <c r="AD370" s="8" t="s">
        <v>136</v>
      </c>
      <c r="AE370" s="8" t="s">
        <v>136</v>
      </c>
      <c r="AF370" s="8">
        <v>1</v>
      </c>
      <c r="AG370" s="8">
        <v>1</v>
      </c>
      <c r="AH370" s="8">
        <v>1</v>
      </c>
      <c r="AI370" s="8">
        <v>1</v>
      </c>
      <c r="AJ370" s="8">
        <v>1</v>
      </c>
      <c r="AK370" s="10">
        <v>23</v>
      </c>
      <c r="AL370" s="11">
        <v>23</v>
      </c>
      <c r="AM370" s="13">
        <v>23</v>
      </c>
      <c r="AN370" s="13">
        <v>0</v>
      </c>
      <c r="AO370" s="7" t="e">
        <v>#N/A</v>
      </c>
    </row>
    <row r="371" spans="1:41">
      <c r="A371" s="8" t="s">
        <v>131</v>
      </c>
      <c r="B371" s="8" t="s">
        <v>864</v>
      </c>
      <c r="C371" s="8" t="s">
        <v>876</v>
      </c>
      <c r="D371" s="8" t="s">
        <v>877</v>
      </c>
      <c r="E371" s="8" t="s">
        <v>135</v>
      </c>
      <c r="F371" s="8">
        <v>1</v>
      </c>
      <c r="G371" s="8">
        <v>1</v>
      </c>
      <c r="H371" s="8">
        <v>1</v>
      </c>
      <c r="I371" s="8" t="s">
        <v>136</v>
      </c>
      <c r="J371" s="8" t="s">
        <v>136</v>
      </c>
      <c r="K371" s="8">
        <v>1</v>
      </c>
      <c r="L371" s="8">
        <v>1</v>
      </c>
      <c r="M371" s="8">
        <v>1</v>
      </c>
      <c r="N371" s="8">
        <v>1</v>
      </c>
      <c r="O371" s="8">
        <v>1</v>
      </c>
      <c r="P371" s="8" t="s">
        <v>136</v>
      </c>
      <c r="Q371" s="8" t="s">
        <v>136</v>
      </c>
      <c r="R371" s="8">
        <v>1</v>
      </c>
      <c r="S371" s="8">
        <v>1</v>
      </c>
      <c r="T371" s="8">
        <v>1</v>
      </c>
      <c r="U371" s="8">
        <v>1</v>
      </c>
      <c r="V371" s="8">
        <v>1</v>
      </c>
      <c r="W371" s="8" t="s">
        <v>136</v>
      </c>
      <c r="X371" s="8" t="s">
        <v>136</v>
      </c>
      <c r="Y371" s="8">
        <v>1</v>
      </c>
      <c r="Z371" s="8">
        <v>1</v>
      </c>
      <c r="AA371" s="8">
        <v>1</v>
      </c>
      <c r="AB371" s="8">
        <v>1</v>
      </c>
      <c r="AC371" s="8">
        <v>1</v>
      </c>
      <c r="AD371" s="8" t="s">
        <v>136</v>
      </c>
      <c r="AE371" s="8" t="s">
        <v>136</v>
      </c>
      <c r="AF371" s="8">
        <v>1</v>
      </c>
      <c r="AG371" s="8">
        <v>1</v>
      </c>
      <c r="AH371" s="8">
        <v>1</v>
      </c>
      <c r="AI371" s="8">
        <v>1</v>
      </c>
      <c r="AJ371" s="8">
        <v>1</v>
      </c>
      <c r="AK371" s="10">
        <v>23</v>
      </c>
      <c r="AL371" s="11">
        <v>23</v>
      </c>
      <c r="AM371" s="13">
        <v>23</v>
      </c>
      <c r="AN371" s="13">
        <v>0</v>
      </c>
      <c r="AO371" s="7" t="e">
        <v>#N/A</v>
      </c>
    </row>
    <row r="372" spans="1:41">
      <c r="A372" s="8" t="s">
        <v>131</v>
      </c>
      <c r="B372" s="8" t="s">
        <v>864</v>
      </c>
      <c r="C372" s="8" t="s">
        <v>878</v>
      </c>
      <c r="D372" s="8" t="s">
        <v>619</v>
      </c>
      <c r="E372" s="8" t="s">
        <v>135</v>
      </c>
      <c r="F372" s="8">
        <v>1</v>
      </c>
      <c r="G372" s="8">
        <v>1</v>
      </c>
      <c r="H372" s="8">
        <v>1</v>
      </c>
      <c r="I372" s="8" t="s">
        <v>136</v>
      </c>
      <c r="J372" s="8" t="s">
        <v>136</v>
      </c>
      <c r="K372" s="8">
        <v>1</v>
      </c>
      <c r="L372" s="8">
        <v>1</v>
      </c>
      <c r="M372" s="8">
        <v>1</v>
      </c>
      <c r="N372" s="8">
        <v>1</v>
      </c>
      <c r="O372" s="8">
        <v>1</v>
      </c>
      <c r="P372" s="8" t="s">
        <v>136</v>
      </c>
      <c r="Q372" s="8" t="s">
        <v>136</v>
      </c>
      <c r="R372" s="8">
        <v>1</v>
      </c>
      <c r="S372" s="8">
        <v>1</v>
      </c>
      <c r="T372" s="8">
        <v>1</v>
      </c>
      <c r="U372" s="8">
        <v>1</v>
      </c>
      <c r="V372" s="8">
        <v>1</v>
      </c>
      <c r="W372" s="8" t="s">
        <v>136</v>
      </c>
      <c r="X372" s="8" t="s">
        <v>136</v>
      </c>
      <c r="Y372" s="8">
        <v>1</v>
      </c>
      <c r="Z372" s="8">
        <v>1</v>
      </c>
      <c r="AA372" s="8">
        <v>1</v>
      </c>
      <c r="AB372" s="8">
        <v>1</v>
      </c>
      <c r="AC372" s="8">
        <v>1</v>
      </c>
      <c r="AD372" s="8" t="s">
        <v>136</v>
      </c>
      <c r="AE372" s="8" t="s">
        <v>136</v>
      </c>
      <c r="AF372" s="8">
        <v>1</v>
      </c>
      <c r="AG372" s="8">
        <v>1</v>
      </c>
      <c r="AH372" s="8">
        <v>1</v>
      </c>
      <c r="AI372" s="8">
        <v>1</v>
      </c>
      <c r="AJ372" s="8">
        <v>1</v>
      </c>
      <c r="AK372" s="10">
        <v>23</v>
      </c>
      <c r="AL372" s="11">
        <v>23</v>
      </c>
      <c r="AM372" s="13">
        <v>23</v>
      </c>
      <c r="AN372" s="13">
        <v>0</v>
      </c>
      <c r="AO372" s="7" t="e">
        <v>#N/A</v>
      </c>
    </row>
    <row r="373" spans="1:41">
      <c r="A373" s="8" t="s">
        <v>131</v>
      </c>
      <c r="B373" s="8" t="s">
        <v>864</v>
      </c>
      <c r="C373" s="8" t="s">
        <v>879</v>
      </c>
      <c r="D373" s="8" t="s">
        <v>880</v>
      </c>
      <c r="E373" s="8" t="s">
        <v>135</v>
      </c>
      <c r="F373" s="8">
        <v>1</v>
      </c>
      <c r="G373" s="8">
        <v>1</v>
      </c>
      <c r="H373" s="8">
        <v>1</v>
      </c>
      <c r="I373" s="8" t="s">
        <v>136</v>
      </c>
      <c r="J373" s="8" t="s">
        <v>136</v>
      </c>
      <c r="K373" s="8">
        <v>1</v>
      </c>
      <c r="L373" s="8">
        <v>1</v>
      </c>
      <c r="M373" s="8">
        <v>1</v>
      </c>
      <c r="N373" s="8">
        <v>1</v>
      </c>
      <c r="O373" s="8">
        <v>1</v>
      </c>
      <c r="P373" s="8" t="s">
        <v>136</v>
      </c>
      <c r="Q373" s="8" t="s">
        <v>136</v>
      </c>
      <c r="R373" s="8">
        <v>1</v>
      </c>
      <c r="S373" s="8">
        <v>1</v>
      </c>
      <c r="T373" s="8">
        <v>1</v>
      </c>
      <c r="U373" s="8">
        <v>1</v>
      </c>
      <c r="V373" s="8">
        <v>1</v>
      </c>
      <c r="W373" s="8" t="s">
        <v>136</v>
      </c>
      <c r="X373" s="8" t="s">
        <v>136</v>
      </c>
      <c r="Y373" s="8">
        <v>1</v>
      </c>
      <c r="Z373" s="8">
        <v>1</v>
      </c>
      <c r="AA373" s="8">
        <v>1</v>
      </c>
      <c r="AB373" s="8">
        <v>1</v>
      </c>
      <c r="AC373" s="8">
        <v>1</v>
      </c>
      <c r="AD373" s="8" t="s">
        <v>136</v>
      </c>
      <c r="AE373" s="8" t="s">
        <v>136</v>
      </c>
      <c r="AF373" s="8">
        <v>1</v>
      </c>
      <c r="AG373" s="8">
        <v>1</v>
      </c>
      <c r="AH373" s="8">
        <v>1</v>
      </c>
      <c r="AI373" s="8">
        <v>1</v>
      </c>
      <c r="AJ373" s="8">
        <v>1</v>
      </c>
      <c r="AK373" s="10">
        <v>23</v>
      </c>
      <c r="AL373" s="11">
        <v>23</v>
      </c>
      <c r="AM373" s="13">
        <v>23</v>
      </c>
      <c r="AN373" s="13">
        <v>0</v>
      </c>
      <c r="AO373" s="7" t="e">
        <v>#N/A</v>
      </c>
    </row>
    <row r="374" spans="1:41">
      <c r="A374" s="8" t="s">
        <v>131</v>
      </c>
      <c r="B374" s="8" t="s">
        <v>864</v>
      </c>
      <c r="C374" s="8" t="s">
        <v>881</v>
      </c>
      <c r="D374" s="8" t="s">
        <v>882</v>
      </c>
      <c r="E374" s="8" t="s">
        <v>135</v>
      </c>
      <c r="F374" s="8">
        <v>1</v>
      </c>
      <c r="G374" s="8">
        <v>1</v>
      </c>
      <c r="H374" s="8">
        <v>1</v>
      </c>
      <c r="I374" s="8" t="s">
        <v>136</v>
      </c>
      <c r="J374" s="8" t="s">
        <v>136</v>
      </c>
      <c r="K374" s="8">
        <v>1</v>
      </c>
      <c r="L374" s="8">
        <v>1</v>
      </c>
      <c r="M374" s="8">
        <v>1</v>
      </c>
      <c r="N374" s="8">
        <v>1</v>
      </c>
      <c r="O374" s="8">
        <v>1</v>
      </c>
      <c r="P374" s="8" t="s">
        <v>136</v>
      </c>
      <c r="Q374" s="8" t="s">
        <v>136</v>
      </c>
      <c r="R374" s="8">
        <v>1</v>
      </c>
      <c r="S374" s="8">
        <v>1</v>
      </c>
      <c r="T374" s="8">
        <v>1</v>
      </c>
      <c r="U374" s="8">
        <v>1</v>
      </c>
      <c r="V374" s="8">
        <v>1</v>
      </c>
      <c r="W374" s="8" t="s">
        <v>136</v>
      </c>
      <c r="X374" s="8" t="s">
        <v>136</v>
      </c>
      <c r="Y374" s="8">
        <v>1</v>
      </c>
      <c r="Z374" s="8">
        <v>1</v>
      </c>
      <c r="AA374" s="8">
        <v>1</v>
      </c>
      <c r="AB374" s="8">
        <v>1</v>
      </c>
      <c r="AC374" s="8">
        <v>1</v>
      </c>
      <c r="AD374" s="8" t="s">
        <v>136</v>
      </c>
      <c r="AE374" s="8" t="s">
        <v>136</v>
      </c>
      <c r="AF374" s="8">
        <v>1</v>
      </c>
      <c r="AG374" s="8">
        <v>1</v>
      </c>
      <c r="AH374" s="8">
        <v>1</v>
      </c>
      <c r="AI374" s="8">
        <v>1</v>
      </c>
      <c r="AJ374" s="8">
        <v>1</v>
      </c>
      <c r="AK374" s="10">
        <v>23</v>
      </c>
      <c r="AL374" s="11">
        <v>23</v>
      </c>
      <c r="AM374" s="13">
        <v>23</v>
      </c>
      <c r="AN374" s="13">
        <v>0</v>
      </c>
      <c r="AO374" s="7" t="e">
        <v>#N/A</v>
      </c>
    </row>
    <row r="375" spans="1:41">
      <c r="A375" s="8" t="s">
        <v>131</v>
      </c>
      <c r="B375" s="8" t="s">
        <v>864</v>
      </c>
      <c r="C375" s="8" t="s">
        <v>883</v>
      </c>
      <c r="D375" s="8" t="s">
        <v>884</v>
      </c>
      <c r="E375" s="8" t="s">
        <v>135</v>
      </c>
      <c r="F375" s="8">
        <v>1</v>
      </c>
      <c r="G375" s="8">
        <v>1</v>
      </c>
      <c r="H375" s="8">
        <v>1</v>
      </c>
      <c r="I375" s="8" t="s">
        <v>136</v>
      </c>
      <c r="J375" s="8" t="s">
        <v>136</v>
      </c>
      <c r="K375" s="8">
        <v>1</v>
      </c>
      <c r="L375" s="8">
        <v>1</v>
      </c>
      <c r="M375" s="8">
        <v>1</v>
      </c>
      <c r="N375" s="8">
        <v>1</v>
      </c>
      <c r="O375" s="8">
        <v>1</v>
      </c>
      <c r="P375" s="8" t="s">
        <v>136</v>
      </c>
      <c r="Q375" s="8" t="s">
        <v>136</v>
      </c>
      <c r="R375" s="8">
        <v>1</v>
      </c>
      <c r="S375" s="8">
        <v>1</v>
      </c>
      <c r="T375" s="8">
        <v>1</v>
      </c>
      <c r="U375" s="8">
        <v>1</v>
      </c>
      <c r="V375" s="8">
        <v>1</v>
      </c>
      <c r="W375" s="8" t="s">
        <v>136</v>
      </c>
      <c r="X375" s="8" t="s">
        <v>136</v>
      </c>
      <c r="Y375" s="8">
        <v>1</v>
      </c>
      <c r="Z375" s="8">
        <v>1</v>
      </c>
      <c r="AA375" s="8">
        <v>1</v>
      </c>
      <c r="AB375" s="8">
        <v>1</v>
      </c>
      <c r="AC375" s="8">
        <v>1</v>
      </c>
      <c r="AD375" s="8" t="s">
        <v>136</v>
      </c>
      <c r="AE375" s="8" t="s">
        <v>136</v>
      </c>
      <c r="AF375" s="8">
        <v>1</v>
      </c>
      <c r="AG375" s="8">
        <v>1</v>
      </c>
      <c r="AH375" s="8">
        <v>1</v>
      </c>
      <c r="AI375" s="8">
        <v>1</v>
      </c>
      <c r="AJ375" s="8">
        <v>1</v>
      </c>
      <c r="AK375" s="10">
        <v>23</v>
      </c>
      <c r="AL375" s="11">
        <v>23</v>
      </c>
      <c r="AM375" s="13">
        <v>23</v>
      </c>
      <c r="AN375" s="13">
        <v>0</v>
      </c>
      <c r="AO375" s="7" t="e">
        <v>#N/A</v>
      </c>
    </row>
    <row r="376" spans="1:41">
      <c r="A376" s="8" t="s">
        <v>131</v>
      </c>
      <c r="B376" s="8" t="s">
        <v>864</v>
      </c>
      <c r="C376" s="8" t="s">
        <v>885</v>
      </c>
      <c r="D376" s="8" t="s">
        <v>886</v>
      </c>
      <c r="E376" s="8" t="s">
        <v>135</v>
      </c>
      <c r="F376" s="8">
        <v>1</v>
      </c>
      <c r="G376" s="8">
        <v>1</v>
      </c>
      <c r="H376" s="8">
        <v>1</v>
      </c>
      <c r="I376" s="8" t="s">
        <v>136</v>
      </c>
      <c r="J376" s="8" t="s">
        <v>136</v>
      </c>
      <c r="K376" s="8">
        <v>1</v>
      </c>
      <c r="L376" s="8">
        <v>1</v>
      </c>
      <c r="M376" s="8">
        <v>1</v>
      </c>
      <c r="N376" s="8">
        <v>1</v>
      </c>
      <c r="O376" s="8">
        <v>1</v>
      </c>
      <c r="P376" s="8" t="s">
        <v>136</v>
      </c>
      <c r="Q376" s="8" t="s">
        <v>136</v>
      </c>
      <c r="R376" s="8">
        <v>1</v>
      </c>
      <c r="S376" s="8">
        <v>1</v>
      </c>
      <c r="T376" s="8">
        <v>1</v>
      </c>
      <c r="U376" s="8">
        <v>1</v>
      </c>
      <c r="V376" s="8">
        <v>1</v>
      </c>
      <c r="W376" s="8" t="s">
        <v>136</v>
      </c>
      <c r="X376" s="8" t="s">
        <v>136</v>
      </c>
      <c r="Y376" s="8">
        <v>1</v>
      </c>
      <c r="Z376" s="8">
        <v>1</v>
      </c>
      <c r="AA376" s="8">
        <v>1</v>
      </c>
      <c r="AB376" s="8">
        <v>1</v>
      </c>
      <c r="AC376" s="8">
        <v>1</v>
      </c>
      <c r="AD376" s="8" t="s">
        <v>136</v>
      </c>
      <c r="AE376" s="8" t="s">
        <v>136</v>
      </c>
      <c r="AF376" s="8">
        <v>1</v>
      </c>
      <c r="AG376" s="8">
        <v>1</v>
      </c>
      <c r="AH376" s="8">
        <v>1</v>
      </c>
      <c r="AI376" s="8">
        <v>1</v>
      </c>
      <c r="AJ376" s="8">
        <v>1</v>
      </c>
      <c r="AK376" s="10">
        <v>23</v>
      </c>
      <c r="AL376" s="11">
        <v>23</v>
      </c>
      <c r="AM376" s="13">
        <v>23</v>
      </c>
      <c r="AN376" s="13">
        <v>0</v>
      </c>
      <c r="AO376" s="7" t="e">
        <v>#N/A</v>
      </c>
    </row>
    <row r="377" spans="1:41">
      <c r="A377" s="8" t="s">
        <v>131</v>
      </c>
      <c r="B377" s="8" t="s">
        <v>864</v>
      </c>
      <c r="C377" s="8" t="s">
        <v>887</v>
      </c>
      <c r="D377" s="8" t="s">
        <v>660</v>
      </c>
      <c r="E377" s="8" t="s">
        <v>135</v>
      </c>
      <c r="F377" s="8">
        <v>1</v>
      </c>
      <c r="G377" s="8">
        <v>1</v>
      </c>
      <c r="H377" s="8">
        <v>1</v>
      </c>
      <c r="I377" s="8" t="s">
        <v>136</v>
      </c>
      <c r="J377" s="8" t="s">
        <v>136</v>
      </c>
      <c r="K377" s="8">
        <v>1</v>
      </c>
      <c r="L377" s="8">
        <v>1</v>
      </c>
      <c r="M377" s="8">
        <v>1</v>
      </c>
      <c r="N377" s="8">
        <v>1</v>
      </c>
      <c r="O377" s="8">
        <v>1</v>
      </c>
      <c r="P377" s="8" t="s">
        <v>136</v>
      </c>
      <c r="Q377" s="8" t="s">
        <v>136</v>
      </c>
      <c r="R377" s="8">
        <v>1</v>
      </c>
      <c r="S377" s="8">
        <v>1</v>
      </c>
      <c r="T377" s="8">
        <v>1</v>
      </c>
      <c r="U377" s="8">
        <v>1</v>
      </c>
      <c r="V377" s="8">
        <v>1</v>
      </c>
      <c r="W377" s="8" t="s">
        <v>136</v>
      </c>
      <c r="X377" s="8" t="s">
        <v>136</v>
      </c>
      <c r="Y377" s="8">
        <v>1</v>
      </c>
      <c r="Z377" s="8">
        <v>1</v>
      </c>
      <c r="AA377" s="8">
        <v>1</v>
      </c>
      <c r="AB377" s="8">
        <v>1</v>
      </c>
      <c r="AC377" s="8">
        <v>1</v>
      </c>
      <c r="AD377" s="8" t="s">
        <v>136</v>
      </c>
      <c r="AE377" s="8" t="s">
        <v>136</v>
      </c>
      <c r="AF377" s="8">
        <v>1</v>
      </c>
      <c r="AG377" s="8">
        <v>1</v>
      </c>
      <c r="AH377" s="8">
        <v>1</v>
      </c>
      <c r="AI377" s="8">
        <v>1</v>
      </c>
      <c r="AJ377" s="8">
        <v>1</v>
      </c>
      <c r="AK377" s="10">
        <v>23</v>
      </c>
      <c r="AL377" s="11">
        <v>23</v>
      </c>
      <c r="AM377" s="13">
        <v>23</v>
      </c>
      <c r="AN377" s="13">
        <v>0</v>
      </c>
      <c r="AO377" s="7" t="e">
        <v>#N/A</v>
      </c>
    </row>
    <row r="378" spans="1:41">
      <c r="A378" s="8" t="s">
        <v>131</v>
      </c>
      <c r="B378" s="8" t="s">
        <v>864</v>
      </c>
      <c r="C378" s="8" t="s">
        <v>888</v>
      </c>
      <c r="D378" s="8" t="s">
        <v>889</v>
      </c>
      <c r="E378" s="8" t="s">
        <v>135</v>
      </c>
      <c r="F378" s="8">
        <v>1</v>
      </c>
      <c r="G378" s="8">
        <v>1</v>
      </c>
      <c r="H378" s="8">
        <v>1</v>
      </c>
      <c r="I378" s="8" t="s">
        <v>136</v>
      </c>
      <c r="J378" s="8" t="s">
        <v>136</v>
      </c>
      <c r="K378" s="8">
        <v>1</v>
      </c>
      <c r="L378" s="8">
        <v>1</v>
      </c>
      <c r="M378" s="8">
        <v>1</v>
      </c>
      <c r="N378" s="8">
        <v>1</v>
      </c>
      <c r="O378" s="8">
        <v>1</v>
      </c>
      <c r="P378" s="8" t="s">
        <v>136</v>
      </c>
      <c r="Q378" s="8" t="s">
        <v>136</v>
      </c>
      <c r="R378" s="8">
        <v>1</v>
      </c>
      <c r="S378" s="8">
        <v>1</v>
      </c>
      <c r="T378" s="8">
        <v>1</v>
      </c>
      <c r="U378" s="8">
        <v>1</v>
      </c>
      <c r="V378" s="8">
        <v>1</v>
      </c>
      <c r="W378" s="8" t="s">
        <v>136</v>
      </c>
      <c r="X378" s="8" t="s">
        <v>136</v>
      </c>
      <c r="Y378" s="8">
        <v>1</v>
      </c>
      <c r="Z378" s="8">
        <v>1</v>
      </c>
      <c r="AA378" s="8">
        <v>1</v>
      </c>
      <c r="AB378" s="8">
        <v>1</v>
      </c>
      <c r="AC378" s="8">
        <v>1</v>
      </c>
      <c r="AD378" s="8" t="s">
        <v>136</v>
      </c>
      <c r="AE378" s="8" t="s">
        <v>136</v>
      </c>
      <c r="AF378" s="8">
        <v>1</v>
      </c>
      <c r="AG378" s="8">
        <v>1</v>
      </c>
      <c r="AH378" s="8">
        <v>1</v>
      </c>
      <c r="AI378" s="8">
        <v>1</v>
      </c>
      <c r="AJ378" s="8">
        <v>1</v>
      </c>
      <c r="AK378" s="10">
        <v>23</v>
      </c>
      <c r="AL378" s="11">
        <v>23</v>
      </c>
      <c r="AM378" s="13">
        <v>23</v>
      </c>
      <c r="AN378" s="13">
        <v>0</v>
      </c>
      <c r="AO378" s="7" t="e">
        <v>#N/A</v>
      </c>
    </row>
    <row r="379" spans="1:41">
      <c r="A379" s="8" t="s">
        <v>131</v>
      </c>
      <c r="B379" s="8" t="s">
        <v>864</v>
      </c>
      <c r="C379" s="8" t="s">
        <v>890</v>
      </c>
      <c r="D379" s="8" t="s">
        <v>891</v>
      </c>
      <c r="E379" s="8" t="s">
        <v>135</v>
      </c>
      <c r="F379" s="8">
        <v>1</v>
      </c>
      <c r="G379" s="8">
        <v>1</v>
      </c>
      <c r="H379" s="8">
        <v>1</v>
      </c>
      <c r="I379" s="8" t="s">
        <v>136</v>
      </c>
      <c r="J379" s="8" t="s">
        <v>136</v>
      </c>
      <c r="K379" s="8">
        <v>1</v>
      </c>
      <c r="L379" s="8">
        <v>1</v>
      </c>
      <c r="M379" s="8">
        <v>1</v>
      </c>
      <c r="N379" s="8">
        <v>1</v>
      </c>
      <c r="O379" s="8">
        <v>1</v>
      </c>
      <c r="P379" s="8" t="s">
        <v>136</v>
      </c>
      <c r="Q379" s="8" t="s">
        <v>136</v>
      </c>
      <c r="R379" s="8">
        <v>1</v>
      </c>
      <c r="S379" s="8">
        <v>1</v>
      </c>
      <c r="T379" s="8">
        <v>1</v>
      </c>
      <c r="U379" s="8">
        <v>1</v>
      </c>
      <c r="V379" s="8">
        <v>1</v>
      </c>
      <c r="W379" s="8" t="s">
        <v>136</v>
      </c>
      <c r="X379" s="8" t="s">
        <v>136</v>
      </c>
      <c r="Y379" s="8">
        <v>1</v>
      </c>
      <c r="Z379" s="8">
        <v>1</v>
      </c>
      <c r="AA379" s="8">
        <v>1</v>
      </c>
      <c r="AB379" s="8">
        <v>1</v>
      </c>
      <c r="AC379" s="8">
        <v>1</v>
      </c>
      <c r="AD379" s="8" t="s">
        <v>136</v>
      </c>
      <c r="AE379" s="8" t="s">
        <v>136</v>
      </c>
      <c r="AF379" s="8">
        <v>1</v>
      </c>
      <c r="AG379" s="8">
        <v>1</v>
      </c>
      <c r="AH379" s="8">
        <v>1</v>
      </c>
      <c r="AI379" s="8">
        <v>1</v>
      </c>
      <c r="AJ379" s="8">
        <v>1</v>
      </c>
      <c r="AK379" s="10">
        <v>23</v>
      </c>
      <c r="AL379" s="11">
        <v>23</v>
      </c>
      <c r="AM379" s="13">
        <v>23</v>
      </c>
      <c r="AN379" s="13">
        <v>0</v>
      </c>
      <c r="AO379" s="7" t="e">
        <v>#N/A</v>
      </c>
    </row>
    <row r="380" spans="1:41">
      <c r="A380" s="8" t="s">
        <v>131</v>
      </c>
      <c r="B380" s="8" t="s">
        <v>864</v>
      </c>
      <c r="C380" s="8" t="s">
        <v>892</v>
      </c>
      <c r="D380" s="8" t="s">
        <v>893</v>
      </c>
      <c r="E380" s="8" t="s">
        <v>135</v>
      </c>
      <c r="F380" s="8">
        <v>1</v>
      </c>
      <c r="G380" s="8">
        <v>1</v>
      </c>
      <c r="H380" s="8">
        <v>1</v>
      </c>
      <c r="I380" s="8" t="s">
        <v>136</v>
      </c>
      <c r="J380" s="8" t="s">
        <v>136</v>
      </c>
      <c r="K380" s="8">
        <v>1</v>
      </c>
      <c r="L380" s="8">
        <v>1</v>
      </c>
      <c r="M380" s="8">
        <v>1</v>
      </c>
      <c r="N380" s="8">
        <v>1</v>
      </c>
      <c r="O380" s="8">
        <v>1</v>
      </c>
      <c r="P380" s="8" t="s">
        <v>136</v>
      </c>
      <c r="Q380" s="8" t="s">
        <v>136</v>
      </c>
      <c r="R380" s="8">
        <v>1</v>
      </c>
      <c r="S380" s="8">
        <v>1</v>
      </c>
      <c r="T380" s="8">
        <v>1</v>
      </c>
      <c r="U380" s="8">
        <v>1</v>
      </c>
      <c r="V380" s="8">
        <v>1</v>
      </c>
      <c r="W380" s="8" t="s">
        <v>136</v>
      </c>
      <c r="X380" s="8" t="s">
        <v>136</v>
      </c>
      <c r="Y380" s="8">
        <v>1</v>
      </c>
      <c r="Z380" s="8">
        <v>1</v>
      </c>
      <c r="AA380" s="8">
        <v>1</v>
      </c>
      <c r="AB380" s="8">
        <v>1</v>
      </c>
      <c r="AC380" s="8">
        <v>1</v>
      </c>
      <c r="AD380" s="8" t="s">
        <v>136</v>
      </c>
      <c r="AE380" s="8" t="s">
        <v>136</v>
      </c>
      <c r="AF380" s="8">
        <v>1</v>
      </c>
      <c r="AG380" s="8">
        <v>1</v>
      </c>
      <c r="AH380" s="8">
        <v>1</v>
      </c>
      <c r="AI380" s="8">
        <v>1</v>
      </c>
      <c r="AJ380" s="8">
        <v>1</v>
      </c>
      <c r="AK380" s="10">
        <v>23</v>
      </c>
      <c r="AL380" s="11">
        <v>23</v>
      </c>
      <c r="AM380" s="13">
        <v>23</v>
      </c>
      <c r="AN380" s="13">
        <v>0</v>
      </c>
      <c r="AO380" s="7" t="e">
        <v>#N/A</v>
      </c>
    </row>
    <row r="381" spans="1:41">
      <c r="A381" s="8" t="s">
        <v>131</v>
      </c>
      <c r="B381" s="8" t="s">
        <v>864</v>
      </c>
      <c r="C381" s="8" t="s">
        <v>894</v>
      </c>
      <c r="D381" s="8" t="s">
        <v>895</v>
      </c>
      <c r="E381" s="8" t="s">
        <v>135</v>
      </c>
      <c r="F381" s="8">
        <v>1</v>
      </c>
      <c r="G381" s="8">
        <v>1</v>
      </c>
      <c r="H381" s="8">
        <v>1</v>
      </c>
      <c r="I381" s="8" t="s">
        <v>136</v>
      </c>
      <c r="J381" s="8" t="s">
        <v>136</v>
      </c>
      <c r="K381" s="8">
        <v>1</v>
      </c>
      <c r="L381" s="8">
        <v>1</v>
      </c>
      <c r="M381" s="8">
        <v>1</v>
      </c>
      <c r="N381" s="8">
        <v>1</v>
      </c>
      <c r="O381" s="8">
        <v>1</v>
      </c>
      <c r="P381" s="8" t="s">
        <v>136</v>
      </c>
      <c r="Q381" s="8" t="s">
        <v>136</v>
      </c>
      <c r="R381" s="8">
        <v>1</v>
      </c>
      <c r="S381" s="8">
        <v>1</v>
      </c>
      <c r="T381" s="8">
        <v>1</v>
      </c>
      <c r="U381" s="8">
        <v>1</v>
      </c>
      <c r="V381" s="8">
        <v>1</v>
      </c>
      <c r="W381" s="8" t="s">
        <v>136</v>
      </c>
      <c r="X381" s="8" t="s">
        <v>136</v>
      </c>
      <c r="Y381" s="8">
        <v>1</v>
      </c>
      <c r="Z381" s="8">
        <v>1</v>
      </c>
      <c r="AA381" s="8">
        <v>1</v>
      </c>
      <c r="AB381" s="8">
        <v>1</v>
      </c>
      <c r="AC381" s="8">
        <v>1</v>
      </c>
      <c r="AD381" s="8" t="s">
        <v>136</v>
      </c>
      <c r="AE381" s="8" t="s">
        <v>136</v>
      </c>
      <c r="AF381" s="8">
        <v>1</v>
      </c>
      <c r="AG381" s="8">
        <v>1</v>
      </c>
      <c r="AH381" s="8">
        <v>1</v>
      </c>
      <c r="AI381" s="8">
        <v>1</v>
      </c>
      <c r="AJ381" s="8">
        <v>1</v>
      </c>
      <c r="AK381" s="10">
        <v>23</v>
      </c>
      <c r="AL381" s="11">
        <v>23</v>
      </c>
      <c r="AM381" s="13">
        <v>23</v>
      </c>
      <c r="AN381" s="13">
        <v>0</v>
      </c>
      <c r="AO381" s="7" t="e">
        <v>#N/A</v>
      </c>
    </row>
    <row r="382" spans="1:41">
      <c r="A382" s="8" t="s">
        <v>131</v>
      </c>
      <c r="B382" s="8" t="s">
        <v>864</v>
      </c>
      <c r="C382" s="8" t="s">
        <v>896</v>
      </c>
      <c r="D382" s="8" t="s">
        <v>897</v>
      </c>
      <c r="E382" s="8" t="s">
        <v>135</v>
      </c>
      <c r="F382" s="8">
        <v>1</v>
      </c>
      <c r="G382" s="8">
        <v>1</v>
      </c>
      <c r="H382" s="8">
        <v>1</v>
      </c>
      <c r="I382" s="8" t="s">
        <v>136</v>
      </c>
      <c r="J382" s="8" t="s">
        <v>136</v>
      </c>
      <c r="K382" s="8">
        <v>1</v>
      </c>
      <c r="L382" s="8">
        <v>1</v>
      </c>
      <c r="M382" s="8">
        <v>1</v>
      </c>
      <c r="N382" s="8">
        <v>1</v>
      </c>
      <c r="O382" s="8">
        <v>1</v>
      </c>
      <c r="P382" s="8" t="s">
        <v>136</v>
      </c>
      <c r="Q382" s="8" t="s">
        <v>136</v>
      </c>
      <c r="R382" s="8">
        <v>1</v>
      </c>
      <c r="S382" s="8">
        <v>1</v>
      </c>
      <c r="T382" s="8">
        <v>1</v>
      </c>
      <c r="U382" s="8">
        <v>1</v>
      </c>
      <c r="V382" s="8">
        <v>1</v>
      </c>
      <c r="W382" s="8" t="s">
        <v>136</v>
      </c>
      <c r="X382" s="8" t="s">
        <v>136</v>
      </c>
      <c r="Y382" s="8">
        <v>1</v>
      </c>
      <c r="Z382" s="8">
        <v>1</v>
      </c>
      <c r="AA382" s="8">
        <v>1</v>
      </c>
      <c r="AB382" s="8">
        <v>1</v>
      </c>
      <c r="AC382" s="8">
        <v>1</v>
      </c>
      <c r="AD382" s="8" t="s">
        <v>136</v>
      </c>
      <c r="AE382" s="8" t="s">
        <v>136</v>
      </c>
      <c r="AF382" s="8">
        <v>1</v>
      </c>
      <c r="AG382" s="8">
        <v>1</v>
      </c>
      <c r="AH382" s="8">
        <v>1</v>
      </c>
      <c r="AI382" s="8">
        <v>1</v>
      </c>
      <c r="AJ382" s="8">
        <v>1</v>
      </c>
      <c r="AK382" s="10">
        <v>23</v>
      </c>
      <c r="AL382" s="11">
        <v>23</v>
      </c>
      <c r="AM382" s="13">
        <v>23</v>
      </c>
      <c r="AN382" s="13">
        <v>0</v>
      </c>
      <c r="AO382" s="7" t="e">
        <v>#N/A</v>
      </c>
    </row>
    <row r="383" spans="1:41">
      <c r="A383" s="8" t="s">
        <v>131</v>
      </c>
      <c r="B383" s="8" t="s">
        <v>864</v>
      </c>
      <c r="C383" s="8" t="s">
        <v>898</v>
      </c>
      <c r="D383" s="8" t="s">
        <v>899</v>
      </c>
      <c r="E383" s="8" t="s">
        <v>135</v>
      </c>
      <c r="F383" s="8">
        <v>1</v>
      </c>
      <c r="G383" s="8">
        <v>1</v>
      </c>
      <c r="H383" s="8">
        <v>1</v>
      </c>
      <c r="I383" s="8" t="s">
        <v>136</v>
      </c>
      <c r="J383" s="8" t="s">
        <v>136</v>
      </c>
      <c r="K383" s="8">
        <v>1</v>
      </c>
      <c r="L383" s="8">
        <v>1</v>
      </c>
      <c r="M383" s="8">
        <v>1</v>
      </c>
      <c r="N383" s="8">
        <v>1</v>
      </c>
      <c r="O383" s="8">
        <v>1</v>
      </c>
      <c r="P383" s="8" t="s">
        <v>136</v>
      </c>
      <c r="Q383" s="8" t="s">
        <v>136</v>
      </c>
      <c r="R383" s="8">
        <v>1</v>
      </c>
      <c r="S383" s="8">
        <v>1</v>
      </c>
      <c r="T383" s="8">
        <v>1</v>
      </c>
      <c r="U383" s="8">
        <v>1</v>
      </c>
      <c r="V383" s="8">
        <v>1</v>
      </c>
      <c r="W383" s="8" t="s">
        <v>136</v>
      </c>
      <c r="X383" s="8" t="s">
        <v>136</v>
      </c>
      <c r="Y383" s="8">
        <v>1</v>
      </c>
      <c r="Z383" s="8">
        <v>1</v>
      </c>
      <c r="AA383" s="8">
        <v>1</v>
      </c>
      <c r="AB383" s="8">
        <v>1</v>
      </c>
      <c r="AC383" s="8">
        <v>1</v>
      </c>
      <c r="AD383" s="8" t="s">
        <v>136</v>
      </c>
      <c r="AE383" s="8" t="s">
        <v>136</v>
      </c>
      <c r="AF383" s="8">
        <v>1</v>
      </c>
      <c r="AG383" s="8">
        <v>1</v>
      </c>
      <c r="AH383" s="8">
        <v>1</v>
      </c>
      <c r="AI383" s="8">
        <v>1</v>
      </c>
      <c r="AJ383" s="8">
        <v>1</v>
      </c>
      <c r="AK383" s="10">
        <v>23</v>
      </c>
      <c r="AL383" s="11">
        <v>23</v>
      </c>
      <c r="AM383" s="13">
        <v>23</v>
      </c>
      <c r="AN383" s="13">
        <v>0</v>
      </c>
      <c r="AO383" s="7" t="e">
        <v>#N/A</v>
      </c>
    </row>
    <row r="384" spans="1:41">
      <c r="A384" s="8" t="s">
        <v>131</v>
      </c>
      <c r="B384" s="8" t="s">
        <v>864</v>
      </c>
      <c r="C384" s="8" t="s">
        <v>900</v>
      </c>
      <c r="D384" s="8" t="s">
        <v>901</v>
      </c>
      <c r="E384" s="8" t="s">
        <v>135</v>
      </c>
      <c r="F384" s="8">
        <v>1</v>
      </c>
      <c r="G384" s="8">
        <v>1</v>
      </c>
      <c r="H384" s="8">
        <v>1</v>
      </c>
      <c r="I384" s="8" t="s">
        <v>136</v>
      </c>
      <c r="J384" s="8" t="s">
        <v>136</v>
      </c>
      <c r="K384" s="8">
        <v>1</v>
      </c>
      <c r="L384" s="8">
        <v>1</v>
      </c>
      <c r="M384" s="8">
        <v>1</v>
      </c>
      <c r="N384" s="8">
        <v>1</v>
      </c>
      <c r="O384" s="8">
        <v>1</v>
      </c>
      <c r="P384" s="8" t="s">
        <v>136</v>
      </c>
      <c r="Q384" s="8" t="s">
        <v>136</v>
      </c>
      <c r="R384" s="8">
        <v>1</v>
      </c>
      <c r="S384" s="8">
        <v>1</v>
      </c>
      <c r="T384" s="8">
        <v>1</v>
      </c>
      <c r="U384" s="8">
        <v>1</v>
      </c>
      <c r="V384" s="8">
        <v>1</v>
      </c>
      <c r="W384" s="8" t="s">
        <v>136</v>
      </c>
      <c r="X384" s="8" t="s">
        <v>136</v>
      </c>
      <c r="Y384" s="8">
        <v>1</v>
      </c>
      <c r="Z384" s="8">
        <v>1</v>
      </c>
      <c r="AA384" s="8">
        <v>1</v>
      </c>
      <c r="AB384" s="8">
        <v>1</v>
      </c>
      <c r="AC384" s="8">
        <v>1</v>
      </c>
      <c r="AD384" s="8" t="s">
        <v>136</v>
      </c>
      <c r="AE384" s="8" t="s">
        <v>136</v>
      </c>
      <c r="AF384" s="8">
        <v>1</v>
      </c>
      <c r="AG384" s="8">
        <v>1</v>
      </c>
      <c r="AH384" s="8">
        <v>1</v>
      </c>
      <c r="AI384" s="8">
        <v>1</v>
      </c>
      <c r="AJ384" s="8">
        <v>1</v>
      </c>
      <c r="AK384" s="10">
        <v>23</v>
      </c>
      <c r="AL384" s="11">
        <v>23</v>
      </c>
      <c r="AM384" s="13">
        <v>23</v>
      </c>
      <c r="AN384" s="13">
        <v>0</v>
      </c>
      <c r="AO384" s="7" t="e">
        <v>#N/A</v>
      </c>
    </row>
    <row r="385" spans="1:41">
      <c r="A385" s="8" t="s">
        <v>131</v>
      </c>
      <c r="B385" s="8" t="s">
        <v>864</v>
      </c>
      <c r="C385" s="8" t="s">
        <v>902</v>
      </c>
      <c r="D385" s="8" t="s">
        <v>903</v>
      </c>
      <c r="E385" s="8" t="s">
        <v>135</v>
      </c>
      <c r="F385" s="8">
        <v>1</v>
      </c>
      <c r="G385" s="8">
        <v>1</v>
      </c>
      <c r="H385" s="8">
        <v>1</v>
      </c>
      <c r="I385" s="8" t="s">
        <v>136</v>
      </c>
      <c r="J385" s="8" t="s">
        <v>136</v>
      </c>
      <c r="K385" s="8">
        <v>1</v>
      </c>
      <c r="L385" s="8">
        <v>1</v>
      </c>
      <c r="M385" s="8">
        <v>1</v>
      </c>
      <c r="N385" s="8">
        <v>1</v>
      </c>
      <c r="O385" s="8">
        <v>1</v>
      </c>
      <c r="P385" s="8" t="s">
        <v>136</v>
      </c>
      <c r="Q385" s="8" t="s">
        <v>136</v>
      </c>
      <c r="R385" s="8">
        <v>1</v>
      </c>
      <c r="S385" s="8">
        <v>1</v>
      </c>
      <c r="T385" s="8">
        <v>1</v>
      </c>
      <c r="U385" s="8">
        <v>1</v>
      </c>
      <c r="V385" s="8">
        <v>1</v>
      </c>
      <c r="W385" s="8" t="s">
        <v>136</v>
      </c>
      <c r="X385" s="8" t="s">
        <v>136</v>
      </c>
      <c r="Y385" s="8">
        <v>1</v>
      </c>
      <c r="Z385" s="8">
        <v>1</v>
      </c>
      <c r="AA385" s="8">
        <v>1</v>
      </c>
      <c r="AB385" s="8">
        <v>1</v>
      </c>
      <c r="AC385" s="8">
        <v>1</v>
      </c>
      <c r="AD385" s="8" t="s">
        <v>136</v>
      </c>
      <c r="AE385" s="8" t="s">
        <v>136</v>
      </c>
      <c r="AF385" s="8">
        <v>1</v>
      </c>
      <c r="AG385" s="8">
        <v>1</v>
      </c>
      <c r="AH385" s="8">
        <v>1</v>
      </c>
      <c r="AI385" s="8">
        <v>1</v>
      </c>
      <c r="AJ385" s="8">
        <v>1</v>
      </c>
      <c r="AK385" s="10">
        <v>23</v>
      </c>
      <c r="AL385" s="11">
        <v>23</v>
      </c>
      <c r="AM385" s="13">
        <v>23</v>
      </c>
      <c r="AN385" s="13">
        <v>0</v>
      </c>
      <c r="AO385" s="7" t="e">
        <v>#N/A</v>
      </c>
    </row>
    <row r="386" spans="1:41">
      <c r="A386" s="8" t="s">
        <v>131</v>
      </c>
      <c r="B386" s="8" t="s">
        <v>864</v>
      </c>
      <c r="C386" s="8" t="s">
        <v>904</v>
      </c>
      <c r="D386" s="8" t="s">
        <v>905</v>
      </c>
      <c r="E386" s="8" t="s">
        <v>135</v>
      </c>
      <c r="F386" s="8">
        <v>1</v>
      </c>
      <c r="G386" s="8">
        <v>1</v>
      </c>
      <c r="H386" s="8">
        <v>1</v>
      </c>
      <c r="I386" s="8" t="s">
        <v>136</v>
      </c>
      <c r="J386" s="8" t="s">
        <v>136</v>
      </c>
      <c r="K386" s="8">
        <v>1</v>
      </c>
      <c r="L386" s="8">
        <v>1</v>
      </c>
      <c r="M386" s="8">
        <v>1</v>
      </c>
      <c r="N386" s="8">
        <v>1</v>
      </c>
      <c r="O386" s="8">
        <v>1</v>
      </c>
      <c r="P386" s="8" t="s">
        <v>136</v>
      </c>
      <c r="Q386" s="8" t="s">
        <v>136</v>
      </c>
      <c r="R386" s="8">
        <v>1</v>
      </c>
      <c r="S386" s="8">
        <v>1</v>
      </c>
      <c r="T386" s="8">
        <v>1</v>
      </c>
      <c r="U386" s="8">
        <v>1</v>
      </c>
      <c r="V386" s="8">
        <v>1</v>
      </c>
      <c r="W386" s="8" t="s">
        <v>136</v>
      </c>
      <c r="X386" s="8" t="s">
        <v>136</v>
      </c>
      <c r="Y386" s="8">
        <v>1</v>
      </c>
      <c r="Z386" s="8">
        <v>1</v>
      </c>
      <c r="AA386" s="8">
        <v>1</v>
      </c>
      <c r="AB386" s="8">
        <v>1</v>
      </c>
      <c r="AC386" s="8">
        <v>1</v>
      </c>
      <c r="AD386" s="8" t="s">
        <v>136</v>
      </c>
      <c r="AE386" s="8" t="s">
        <v>136</v>
      </c>
      <c r="AF386" s="8">
        <v>1</v>
      </c>
      <c r="AG386" s="8">
        <v>1</v>
      </c>
      <c r="AH386" s="8">
        <v>1</v>
      </c>
      <c r="AI386" s="8">
        <v>1</v>
      </c>
      <c r="AJ386" s="8">
        <v>1</v>
      </c>
      <c r="AK386" s="10">
        <v>23</v>
      </c>
      <c r="AL386" s="11">
        <v>23</v>
      </c>
      <c r="AM386" s="13">
        <v>23</v>
      </c>
      <c r="AN386" s="13">
        <v>0</v>
      </c>
      <c r="AO386" s="7" t="e">
        <v>#N/A</v>
      </c>
    </row>
    <row r="387" spans="1:41">
      <c r="A387" s="8" t="s">
        <v>131</v>
      </c>
      <c r="B387" s="8" t="s">
        <v>864</v>
      </c>
      <c r="C387" s="8" t="s">
        <v>906</v>
      </c>
      <c r="D387" s="8" t="s">
        <v>907</v>
      </c>
      <c r="E387" s="8" t="s">
        <v>135</v>
      </c>
      <c r="F387" s="8">
        <v>1</v>
      </c>
      <c r="G387" s="8">
        <v>1</v>
      </c>
      <c r="H387" s="8">
        <v>1</v>
      </c>
      <c r="I387" s="8" t="s">
        <v>136</v>
      </c>
      <c r="J387" s="8" t="s">
        <v>136</v>
      </c>
      <c r="K387" s="8">
        <v>1</v>
      </c>
      <c r="L387" s="8">
        <v>1</v>
      </c>
      <c r="M387" s="8">
        <v>1</v>
      </c>
      <c r="N387" s="8">
        <v>1</v>
      </c>
      <c r="O387" s="8">
        <v>1</v>
      </c>
      <c r="P387" s="8" t="s">
        <v>136</v>
      </c>
      <c r="Q387" s="8" t="s">
        <v>136</v>
      </c>
      <c r="R387" s="8">
        <v>1</v>
      </c>
      <c r="S387" s="8">
        <v>1</v>
      </c>
      <c r="T387" s="8">
        <v>1</v>
      </c>
      <c r="U387" s="8">
        <v>1</v>
      </c>
      <c r="V387" s="8">
        <v>1</v>
      </c>
      <c r="W387" s="8" t="s">
        <v>136</v>
      </c>
      <c r="X387" s="8" t="s">
        <v>136</v>
      </c>
      <c r="Y387" s="8">
        <v>1</v>
      </c>
      <c r="Z387" s="8">
        <v>1</v>
      </c>
      <c r="AA387" s="8">
        <v>1</v>
      </c>
      <c r="AB387" s="8">
        <v>1</v>
      </c>
      <c r="AC387" s="8">
        <v>1</v>
      </c>
      <c r="AD387" s="8" t="s">
        <v>136</v>
      </c>
      <c r="AE387" s="8" t="s">
        <v>136</v>
      </c>
      <c r="AF387" s="8">
        <v>1</v>
      </c>
      <c r="AG387" s="8">
        <v>1</v>
      </c>
      <c r="AH387" s="8">
        <v>1</v>
      </c>
      <c r="AI387" s="8">
        <v>1</v>
      </c>
      <c r="AJ387" s="8">
        <v>1</v>
      </c>
      <c r="AK387" s="10">
        <v>23</v>
      </c>
      <c r="AL387" s="11">
        <v>23</v>
      </c>
      <c r="AM387" s="13">
        <v>23</v>
      </c>
      <c r="AN387" s="13">
        <v>0</v>
      </c>
      <c r="AO387" s="7" t="e">
        <v>#N/A</v>
      </c>
    </row>
    <row r="388" spans="1:41">
      <c r="A388" s="8" t="s">
        <v>131</v>
      </c>
      <c r="B388" s="8" t="s">
        <v>864</v>
      </c>
      <c r="C388" s="8" t="s">
        <v>908</v>
      </c>
      <c r="D388" s="8" t="s">
        <v>909</v>
      </c>
      <c r="E388" s="8" t="s">
        <v>135</v>
      </c>
      <c r="F388" s="8">
        <v>1</v>
      </c>
      <c r="G388" s="8">
        <v>1</v>
      </c>
      <c r="H388" s="8">
        <v>1</v>
      </c>
      <c r="I388" s="8" t="s">
        <v>136</v>
      </c>
      <c r="J388" s="8" t="s">
        <v>136</v>
      </c>
      <c r="K388" s="8">
        <v>1</v>
      </c>
      <c r="L388" s="8">
        <v>1</v>
      </c>
      <c r="M388" s="8">
        <v>1</v>
      </c>
      <c r="N388" s="8">
        <v>1</v>
      </c>
      <c r="O388" s="8">
        <v>1</v>
      </c>
      <c r="P388" s="8" t="s">
        <v>136</v>
      </c>
      <c r="Q388" s="8" t="s">
        <v>136</v>
      </c>
      <c r="R388" s="8">
        <v>1</v>
      </c>
      <c r="S388" s="8">
        <v>1</v>
      </c>
      <c r="T388" s="8">
        <v>1</v>
      </c>
      <c r="U388" s="8">
        <v>1</v>
      </c>
      <c r="V388" s="8">
        <v>1</v>
      </c>
      <c r="W388" s="8" t="s">
        <v>136</v>
      </c>
      <c r="X388" s="8" t="s">
        <v>136</v>
      </c>
      <c r="Y388" s="8">
        <v>1</v>
      </c>
      <c r="Z388" s="8">
        <v>1</v>
      </c>
      <c r="AA388" s="8">
        <v>1</v>
      </c>
      <c r="AB388" s="8">
        <v>1</v>
      </c>
      <c r="AC388" s="8">
        <v>1</v>
      </c>
      <c r="AD388" s="8" t="s">
        <v>136</v>
      </c>
      <c r="AE388" s="8" t="s">
        <v>136</v>
      </c>
      <c r="AF388" s="8">
        <v>1</v>
      </c>
      <c r="AG388" s="8">
        <v>1</v>
      </c>
      <c r="AH388" s="8">
        <v>1</v>
      </c>
      <c r="AI388" s="8">
        <v>1</v>
      </c>
      <c r="AJ388" s="8">
        <v>1</v>
      </c>
      <c r="AK388" s="10">
        <v>23</v>
      </c>
      <c r="AL388" s="11">
        <v>23</v>
      </c>
      <c r="AM388" s="13">
        <v>23</v>
      </c>
      <c r="AN388" s="13">
        <v>0</v>
      </c>
      <c r="AO388" s="7" t="e">
        <v>#N/A</v>
      </c>
    </row>
    <row r="389" spans="1:41">
      <c r="A389" s="8" t="s">
        <v>910</v>
      </c>
      <c r="B389" s="8" t="s">
        <v>911</v>
      </c>
      <c r="C389" s="8" t="s">
        <v>912</v>
      </c>
      <c r="D389" s="8" t="s">
        <v>913</v>
      </c>
      <c r="E389" s="8" t="s">
        <v>135</v>
      </c>
      <c r="F389" s="8">
        <v>1</v>
      </c>
      <c r="G389" s="8">
        <v>1</v>
      </c>
      <c r="H389" s="8">
        <v>1</v>
      </c>
      <c r="I389" s="8" t="s">
        <v>136</v>
      </c>
      <c r="J389" s="8" t="s">
        <v>136</v>
      </c>
      <c r="K389" s="8">
        <v>1</v>
      </c>
      <c r="L389" s="8">
        <v>1</v>
      </c>
      <c r="M389" s="8">
        <v>1</v>
      </c>
      <c r="N389" s="8">
        <v>1</v>
      </c>
      <c r="O389" s="8">
        <v>1</v>
      </c>
      <c r="P389" s="8" t="s">
        <v>136</v>
      </c>
      <c r="Q389" s="8" t="s">
        <v>136</v>
      </c>
      <c r="R389" s="8">
        <v>1</v>
      </c>
      <c r="S389" s="8">
        <v>1</v>
      </c>
      <c r="T389" s="8">
        <v>1</v>
      </c>
      <c r="U389" s="8">
        <v>1</v>
      </c>
      <c r="V389" s="8">
        <v>1</v>
      </c>
      <c r="W389" s="8" t="s">
        <v>136</v>
      </c>
      <c r="X389" s="8" t="s">
        <v>136</v>
      </c>
      <c r="Y389" s="8">
        <v>1</v>
      </c>
      <c r="Z389" s="8">
        <v>1</v>
      </c>
      <c r="AA389" s="8">
        <v>1</v>
      </c>
      <c r="AB389" s="8">
        <v>1</v>
      </c>
      <c r="AC389" s="8">
        <v>1</v>
      </c>
      <c r="AD389" s="8" t="s">
        <v>136</v>
      </c>
      <c r="AE389" s="8" t="s">
        <v>136</v>
      </c>
      <c r="AF389" s="8">
        <v>1</v>
      </c>
      <c r="AG389" s="8">
        <v>1</v>
      </c>
      <c r="AH389" s="8">
        <v>1</v>
      </c>
      <c r="AI389" s="8">
        <v>1</v>
      </c>
      <c r="AJ389" s="8">
        <v>1</v>
      </c>
      <c r="AK389" s="10">
        <v>23</v>
      </c>
      <c r="AL389" s="11">
        <v>23</v>
      </c>
      <c r="AM389" s="13">
        <v>23</v>
      </c>
      <c r="AN389" s="13">
        <v>0</v>
      </c>
      <c r="AO389" s="7" t="e">
        <v>#N/A</v>
      </c>
    </row>
    <row r="390" spans="1:41">
      <c r="A390" s="8" t="s">
        <v>910</v>
      </c>
      <c r="B390" s="8" t="s">
        <v>914</v>
      </c>
      <c r="C390" s="8" t="s">
        <v>915</v>
      </c>
      <c r="D390" s="8" t="s">
        <v>916</v>
      </c>
      <c r="E390" s="8" t="s">
        <v>135</v>
      </c>
      <c r="F390" s="8">
        <v>1</v>
      </c>
      <c r="G390" s="8">
        <v>1</v>
      </c>
      <c r="H390" s="8">
        <v>1</v>
      </c>
      <c r="I390" s="8" t="s">
        <v>136</v>
      </c>
      <c r="J390" s="8" t="s">
        <v>136</v>
      </c>
      <c r="K390" s="8">
        <v>1</v>
      </c>
      <c r="L390" s="8">
        <v>1</v>
      </c>
      <c r="M390" s="8">
        <v>1</v>
      </c>
      <c r="N390" s="8">
        <v>1</v>
      </c>
      <c r="O390" s="8">
        <v>1</v>
      </c>
      <c r="P390" s="8" t="s">
        <v>136</v>
      </c>
      <c r="Q390" s="8" t="s">
        <v>136</v>
      </c>
      <c r="R390" s="8">
        <v>1</v>
      </c>
      <c r="S390" s="8">
        <v>1</v>
      </c>
      <c r="T390" s="8">
        <v>1</v>
      </c>
      <c r="U390" s="8">
        <v>1</v>
      </c>
      <c r="V390" s="8">
        <v>1</v>
      </c>
      <c r="W390" s="8" t="s">
        <v>136</v>
      </c>
      <c r="X390" s="8" t="s">
        <v>136</v>
      </c>
      <c r="Y390" s="8">
        <v>1</v>
      </c>
      <c r="Z390" s="8">
        <v>1</v>
      </c>
      <c r="AA390" s="8">
        <v>1</v>
      </c>
      <c r="AB390" s="8">
        <v>1</v>
      </c>
      <c r="AC390" s="8">
        <v>1</v>
      </c>
      <c r="AD390" s="8" t="s">
        <v>136</v>
      </c>
      <c r="AE390" s="8" t="s">
        <v>136</v>
      </c>
      <c r="AF390" s="8">
        <v>1</v>
      </c>
      <c r="AG390" s="8">
        <v>1</v>
      </c>
      <c r="AH390" s="8">
        <v>1</v>
      </c>
      <c r="AI390" s="8">
        <v>1</v>
      </c>
      <c r="AJ390" s="8">
        <v>1</v>
      </c>
      <c r="AK390" s="10">
        <v>23</v>
      </c>
      <c r="AL390" s="11">
        <v>23</v>
      </c>
      <c r="AM390" s="13">
        <v>23</v>
      </c>
      <c r="AN390" s="13">
        <v>0</v>
      </c>
      <c r="AO390" s="7" t="e">
        <v>#N/A</v>
      </c>
    </row>
    <row r="391" spans="1:41">
      <c r="A391" s="8" t="s">
        <v>910</v>
      </c>
      <c r="B391" s="8" t="s">
        <v>914</v>
      </c>
      <c r="C391" s="8" t="s">
        <v>917</v>
      </c>
      <c r="D391" s="8" t="s">
        <v>918</v>
      </c>
      <c r="E391" s="8" t="s">
        <v>135</v>
      </c>
      <c r="F391" s="8">
        <v>1</v>
      </c>
      <c r="G391" s="8">
        <v>1</v>
      </c>
      <c r="H391" s="8">
        <v>1</v>
      </c>
      <c r="I391" s="8" t="s">
        <v>136</v>
      </c>
      <c r="J391" s="8" t="s">
        <v>136</v>
      </c>
      <c r="K391" s="8">
        <v>1</v>
      </c>
      <c r="L391" s="8">
        <v>1</v>
      </c>
      <c r="M391" s="8">
        <v>1</v>
      </c>
      <c r="N391" s="8">
        <v>1</v>
      </c>
      <c r="O391" s="8">
        <v>1</v>
      </c>
      <c r="P391" s="8" t="s">
        <v>136</v>
      </c>
      <c r="Q391" s="8" t="s">
        <v>136</v>
      </c>
      <c r="R391" s="8">
        <v>1</v>
      </c>
      <c r="S391" s="8">
        <v>1</v>
      </c>
      <c r="T391" s="8">
        <v>1</v>
      </c>
      <c r="U391" s="8">
        <v>1</v>
      </c>
      <c r="V391" s="8">
        <v>1</v>
      </c>
      <c r="W391" s="8" t="s">
        <v>136</v>
      </c>
      <c r="X391" s="8" t="s">
        <v>136</v>
      </c>
      <c r="Y391" s="8">
        <v>1</v>
      </c>
      <c r="Z391" s="8">
        <v>1</v>
      </c>
      <c r="AA391" s="8">
        <v>1</v>
      </c>
      <c r="AB391" s="8">
        <v>1</v>
      </c>
      <c r="AC391" s="8">
        <v>1</v>
      </c>
      <c r="AD391" s="8" t="s">
        <v>136</v>
      </c>
      <c r="AE391" s="8" t="s">
        <v>136</v>
      </c>
      <c r="AF391" s="8">
        <v>1</v>
      </c>
      <c r="AG391" s="8">
        <v>1</v>
      </c>
      <c r="AH391" s="8">
        <v>1</v>
      </c>
      <c r="AI391" s="8">
        <v>1</v>
      </c>
      <c r="AJ391" s="8">
        <v>1</v>
      </c>
      <c r="AK391" s="10">
        <v>23</v>
      </c>
      <c r="AL391" s="11">
        <v>23</v>
      </c>
      <c r="AM391" s="13">
        <v>23</v>
      </c>
      <c r="AN391" s="13">
        <v>0</v>
      </c>
      <c r="AO391" s="7" t="e">
        <v>#N/A</v>
      </c>
    </row>
    <row r="392" spans="1:41">
      <c r="A392" s="8" t="s">
        <v>910</v>
      </c>
      <c r="B392" s="8" t="s">
        <v>914</v>
      </c>
      <c r="C392" s="8" t="s">
        <v>919</v>
      </c>
      <c r="D392" s="8" t="s">
        <v>920</v>
      </c>
      <c r="E392" s="8" t="s">
        <v>135</v>
      </c>
      <c r="F392" s="8">
        <v>1</v>
      </c>
      <c r="G392" s="8">
        <v>1</v>
      </c>
      <c r="H392" s="8">
        <v>1</v>
      </c>
      <c r="I392" s="8" t="s">
        <v>136</v>
      </c>
      <c r="J392" s="8" t="s">
        <v>136</v>
      </c>
      <c r="K392" s="8">
        <v>1</v>
      </c>
      <c r="L392" s="8">
        <v>1</v>
      </c>
      <c r="M392" s="8">
        <v>1</v>
      </c>
      <c r="N392" s="8">
        <v>1</v>
      </c>
      <c r="O392" s="8">
        <v>1</v>
      </c>
      <c r="P392" s="8" t="s">
        <v>136</v>
      </c>
      <c r="Q392" s="8" t="s">
        <v>136</v>
      </c>
      <c r="R392" s="8">
        <v>1</v>
      </c>
      <c r="S392" s="8">
        <v>1</v>
      </c>
      <c r="T392" s="8">
        <v>1</v>
      </c>
      <c r="U392" s="8">
        <v>1</v>
      </c>
      <c r="V392" s="8">
        <v>1</v>
      </c>
      <c r="W392" s="8" t="s">
        <v>136</v>
      </c>
      <c r="X392" s="8" t="s">
        <v>136</v>
      </c>
      <c r="Y392" s="8">
        <v>1</v>
      </c>
      <c r="Z392" s="8">
        <v>1</v>
      </c>
      <c r="AA392" s="8">
        <v>1</v>
      </c>
      <c r="AB392" s="8">
        <v>1</v>
      </c>
      <c r="AC392" s="8">
        <v>1</v>
      </c>
      <c r="AD392" s="8" t="s">
        <v>136</v>
      </c>
      <c r="AE392" s="8" t="s">
        <v>136</v>
      </c>
      <c r="AF392" s="8">
        <v>1</v>
      </c>
      <c r="AG392" s="8">
        <v>1</v>
      </c>
      <c r="AH392" s="8">
        <v>1</v>
      </c>
      <c r="AI392" s="8">
        <v>1</v>
      </c>
      <c r="AJ392" s="8">
        <v>1</v>
      </c>
      <c r="AK392" s="10">
        <v>23</v>
      </c>
      <c r="AL392" s="11">
        <v>23</v>
      </c>
      <c r="AM392" s="13">
        <v>23</v>
      </c>
      <c r="AN392" s="13">
        <v>0</v>
      </c>
      <c r="AO392" s="7" t="e">
        <v>#N/A</v>
      </c>
    </row>
    <row r="393" spans="1:41">
      <c r="A393" s="8" t="s">
        <v>910</v>
      </c>
      <c r="B393" s="8" t="s">
        <v>914</v>
      </c>
      <c r="C393" s="8" t="s">
        <v>921</v>
      </c>
      <c r="D393" s="8" t="s">
        <v>922</v>
      </c>
      <c r="E393" s="8" t="s">
        <v>135</v>
      </c>
      <c r="F393" s="8">
        <v>1</v>
      </c>
      <c r="G393" s="8">
        <v>1</v>
      </c>
      <c r="H393" s="8">
        <v>1</v>
      </c>
      <c r="I393" s="8" t="s">
        <v>136</v>
      </c>
      <c r="J393" s="8" t="s">
        <v>136</v>
      </c>
      <c r="K393" s="8">
        <v>1</v>
      </c>
      <c r="L393" s="8">
        <v>1</v>
      </c>
      <c r="M393" s="8">
        <v>1</v>
      </c>
      <c r="N393" s="8">
        <v>1</v>
      </c>
      <c r="O393" s="8">
        <v>1</v>
      </c>
      <c r="P393" s="8" t="s">
        <v>136</v>
      </c>
      <c r="Q393" s="8" t="s">
        <v>136</v>
      </c>
      <c r="R393" s="8">
        <v>1</v>
      </c>
      <c r="S393" s="8">
        <v>1</v>
      </c>
      <c r="T393" s="8">
        <v>1</v>
      </c>
      <c r="U393" s="8">
        <v>1</v>
      </c>
      <c r="V393" s="8">
        <v>1</v>
      </c>
      <c r="W393" s="8" t="s">
        <v>136</v>
      </c>
      <c r="X393" s="8" t="s">
        <v>136</v>
      </c>
      <c r="Y393" s="8">
        <v>1</v>
      </c>
      <c r="Z393" s="8">
        <v>1</v>
      </c>
      <c r="AA393" s="8">
        <v>1</v>
      </c>
      <c r="AB393" s="8">
        <v>1</v>
      </c>
      <c r="AC393" s="8">
        <v>1</v>
      </c>
      <c r="AD393" s="8" t="s">
        <v>136</v>
      </c>
      <c r="AE393" s="8" t="s">
        <v>136</v>
      </c>
      <c r="AF393" s="8">
        <v>1</v>
      </c>
      <c r="AG393" s="8">
        <v>1</v>
      </c>
      <c r="AH393" s="8">
        <v>1</v>
      </c>
      <c r="AI393" s="8">
        <v>1</v>
      </c>
      <c r="AJ393" s="8">
        <v>1</v>
      </c>
      <c r="AK393" s="10">
        <v>23</v>
      </c>
      <c r="AL393" s="11">
        <v>23</v>
      </c>
      <c r="AM393" s="13">
        <v>23</v>
      </c>
      <c r="AN393" s="13">
        <v>0</v>
      </c>
      <c r="AO393" s="7" t="e">
        <v>#N/A</v>
      </c>
    </row>
    <row r="394" spans="1:41">
      <c r="A394" s="8" t="s">
        <v>910</v>
      </c>
      <c r="B394" s="8" t="s">
        <v>914</v>
      </c>
      <c r="C394" s="8" t="s">
        <v>923</v>
      </c>
      <c r="D394" s="8" t="s">
        <v>924</v>
      </c>
      <c r="E394" s="8" t="s">
        <v>135</v>
      </c>
      <c r="F394" s="8">
        <v>1</v>
      </c>
      <c r="G394" s="8">
        <v>1</v>
      </c>
      <c r="H394" s="8">
        <v>1</v>
      </c>
      <c r="I394" s="8" t="s">
        <v>136</v>
      </c>
      <c r="J394" s="8" t="s">
        <v>136</v>
      </c>
      <c r="K394" s="8">
        <v>1</v>
      </c>
      <c r="L394" s="8">
        <v>1</v>
      </c>
      <c r="M394" s="8">
        <v>1</v>
      </c>
      <c r="N394" s="8">
        <v>1</v>
      </c>
      <c r="O394" s="8">
        <v>1</v>
      </c>
      <c r="P394" s="8" t="s">
        <v>136</v>
      </c>
      <c r="Q394" s="8" t="s">
        <v>136</v>
      </c>
      <c r="R394" s="8">
        <v>1</v>
      </c>
      <c r="S394" s="8">
        <v>1</v>
      </c>
      <c r="T394" s="8">
        <v>1</v>
      </c>
      <c r="U394" s="8">
        <v>1</v>
      </c>
      <c r="V394" s="8">
        <v>1</v>
      </c>
      <c r="W394" s="8" t="s">
        <v>136</v>
      </c>
      <c r="X394" s="8" t="s">
        <v>136</v>
      </c>
      <c r="Y394" s="8">
        <v>1</v>
      </c>
      <c r="Z394" s="8">
        <v>1</v>
      </c>
      <c r="AA394" s="8">
        <v>1</v>
      </c>
      <c r="AB394" s="8">
        <v>1</v>
      </c>
      <c r="AC394" s="8">
        <v>1</v>
      </c>
      <c r="AD394" s="8" t="s">
        <v>136</v>
      </c>
      <c r="AE394" s="8" t="s">
        <v>136</v>
      </c>
      <c r="AF394" s="8">
        <v>1</v>
      </c>
      <c r="AG394" s="8">
        <v>1</v>
      </c>
      <c r="AH394" s="8">
        <v>1</v>
      </c>
      <c r="AI394" s="8">
        <v>1</v>
      </c>
      <c r="AJ394" s="8">
        <v>1</v>
      </c>
      <c r="AK394" s="10">
        <v>23</v>
      </c>
      <c r="AL394" s="11">
        <v>23</v>
      </c>
      <c r="AM394" s="13">
        <v>23</v>
      </c>
      <c r="AN394" s="13">
        <v>0</v>
      </c>
      <c r="AO394" s="7" t="e">
        <v>#N/A</v>
      </c>
    </row>
    <row r="395" spans="1:41">
      <c r="A395" s="8" t="s">
        <v>910</v>
      </c>
      <c r="B395" s="8" t="s">
        <v>925</v>
      </c>
      <c r="C395" s="8" t="s">
        <v>926</v>
      </c>
      <c r="D395" s="8" t="s">
        <v>927</v>
      </c>
      <c r="E395" s="8" t="s">
        <v>135</v>
      </c>
      <c r="F395" s="8">
        <v>1</v>
      </c>
      <c r="G395" s="8">
        <v>1</v>
      </c>
      <c r="H395" s="8">
        <v>1</v>
      </c>
      <c r="I395" s="8" t="s">
        <v>136</v>
      </c>
      <c r="J395" s="8" t="s">
        <v>136</v>
      </c>
      <c r="K395" s="8">
        <v>1</v>
      </c>
      <c r="L395" s="8">
        <v>1</v>
      </c>
      <c r="M395" s="8">
        <v>1</v>
      </c>
      <c r="N395" s="8">
        <v>1</v>
      </c>
      <c r="O395" s="8">
        <v>1</v>
      </c>
      <c r="P395" s="8" t="s">
        <v>136</v>
      </c>
      <c r="Q395" s="8" t="s">
        <v>136</v>
      </c>
      <c r="R395" s="8">
        <v>1</v>
      </c>
      <c r="S395" s="8">
        <v>1</v>
      </c>
      <c r="T395" s="8">
        <v>1</v>
      </c>
      <c r="U395" s="8">
        <v>1</v>
      </c>
      <c r="V395" s="8">
        <v>1</v>
      </c>
      <c r="W395" s="8" t="s">
        <v>136</v>
      </c>
      <c r="X395" s="8" t="s">
        <v>136</v>
      </c>
      <c r="Y395" s="8">
        <v>1</v>
      </c>
      <c r="Z395" s="8">
        <v>1</v>
      </c>
      <c r="AA395" s="8">
        <v>1</v>
      </c>
      <c r="AB395" s="8">
        <v>1</v>
      </c>
      <c r="AC395" s="8">
        <v>1</v>
      </c>
      <c r="AD395" s="8" t="s">
        <v>136</v>
      </c>
      <c r="AE395" s="8" t="s">
        <v>136</v>
      </c>
      <c r="AF395" s="8">
        <v>1</v>
      </c>
      <c r="AG395" s="8">
        <v>1</v>
      </c>
      <c r="AH395" s="8">
        <v>1</v>
      </c>
      <c r="AI395" s="8">
        <v>1</v>
      </c>
      <c r="AJ395" s="8">
        <v>1</v>
      </c>
      <c r="AK395" s="10">
        <v>23</v>
      </c>
      <c r="AL395" s="11">
        <v>23</v>
      </c>
      <c r="AM395" s="13">
        <v>23</v>
      </c>
      <c r="AN395" s="13">
        <v>0</v>
      </c>
      <c r="AO395" s="7" t="e">
        <v>#N/A</v>
      </c>
    </row>
    <row r="396" spans="1:41">
      <c r="A396" s="8" t="s">
        <v>910</v>
      </c>
      <c r="B396" s="8" t="s">
        <v>925</v>
      </c>
      <c r="C396" s="8" t="s">
        <v>928</v>
      </c>
      <c r="D396" s="8" t="s">
        <v>929</v>
      </c>
      <c r="E396" s="8" t="s">
        <v>135</v>
      </c>
      <c r="F396" s="8">
        <v>1</v>
      </c>
      <c r="G396" s="8">
        <v>1</v>
      </c>
      <c r="H396" s="8">
        <v>1</v>
      </c>
      <c r="I396" s="8" t="s">
        <v>136</v>
      </c>
      <c r="J396" s="8" t="s">
        <v>136</v>
      </c>
      <c r="K396" s="8">
        <v>1</v>
      </c>
      <c r="L396" s="8">
        <v>1</v>
      </c>
      <c r="M396" s="8">
        <v>1</v>
      </c>
      <c r="N396" s="8">
        <v>1</v>
      </c>
      <c r="O396" s="8">
        <v>1</v>
      </c>
      <c r="P396" s="8" t="s">
        <v>136</v>
      </c>
      <c r="Q396" s="8" t="s">
        <v>136</v>
      </c>
      <c r="R396" s="8">
        <v>1</v>
      </c>
      <c r="S396" s="8">
        <v>1</v>
      </c>
      <c r="T396" s="8">
        <v>1</v>
      </c>
      <c r="U396" s="8">
        <v>1</v>
      </c>
      <c r="V396" s="8">
        <v>1</v>
      </c>
      <c r="W396" s="8" t="s">
        <v>136</v>
      </c>
      <c r="X396" s="8" t="s">
        <v>136</v>
      </c>
      <c r="Y396" s="8">
        <v>1</v>
      </c>
      <c r="Z396" s="8">
        <v>1</v>
      </c>
      <c r="AA396" s="8">
        <v>1</v>
      </c>
      <c r="AB396" s="8">
        <v>1</v>
      </c>
      <c r="AC396" s="8">
        <v>1</v>
      </c>
      <c r="AD396" s="8" t="s">
        <v>136</v>
      </c>
      <c r="AE396" s="8" t="s">
        <v>136</v>
      </c>
      <c r="AF396" s="8">
        <v>1</v>
      </c>
      <c r="AG396" s="8">
        <v>1</v>
      </c>
      <c r="AH396" s="8">
        <v>1</v>
      </c>
      <c r="AI396" s="8">
        <v>1</v>
      </c>
      <c r="AJ396" s="8">
        <v>1</v>
      </c>
      <c r="AK396" s="10">
        <v>23</v>
      </c>
      <c r="AL396" s="11">
        <v>23</v>
      </c>
      <c r="AM396" s="13">
        <v>23</v>
      </c>
      <c r="AN396" s="13">
        <v>0</v>
      </c>
      <c r="AO396" s="7" t="e">
        <v>#N/A</v>
      </c>
    </row>
    <row r="397" spans="1:41">
      <c r="A397" s="8" t="s">
        <v>910</v>
      </c>
      <c r="B397" s="8" t="s">
        <v>925</v>
      </c>
      <c r="C397" s="8" t="s">
        <v>930</v>
      </c>
      <c r="D397" s="8" t="s">
        <v>931</v>
      </c>
      <c r="E397" s="8" t="s">
        <v>135</v>
      </c>
      <c r="F397" s="8">
        <v>1</v>
      </c>
      <c r="G397" s="8">
        <v>1</v>
      </c>
      <c r="H397" s="8">
        <v>1</v>
      </c>
      <c r="I397" s="8" t="s">
        <v>136</v>
      </c>
      <c r="J397" s="8" t="s">
        <v>136</v>
      </c>
      <c r="K397" s="8">
        <v>1</v>
      </c>
      <c r="L397" s="8">
        <v>1</v>
      </c>
      <c r="M397" s="8">
        <v>1</v>
      </c>
      <c r="N397" s="8">
        <v>1</v>
      </c>
      <c r="O397" s="8">
        <v>1</v>
      </c>
      <c r="P397" s="8" t="s">
        <v>136</v>
      </c>
      <c r="Q397" s="8" t="s">
        <v>136</v>
      </c>
      <c r="R397" s="8">
        <v>1</v>
      </c>
      <c r="S397" s="8">
        <v>1</v>
      </c>
      <c r="T397" s="8">
        <v>1</v>
      </c>
      <c r="U397" s="8">
        <v>1</v>
      </c>
      <c r="V397" s="8">
        <v>1</v>
      </c>
      <c r="W397" s="8" t="s">
        <v>136</v>
      </c>
      <c r="X397" s="8" t="s">
        <v>136</v>
      </c>
      <c r="Y397" s="8">
        <v>1</v>
      </c>
      <c r="Z397" s="8">
        <v>1</v>
      </c>
      <c r="AA397" s="8">
        <v>1</v>
      </c>
      <c r="AB397" s="8">
        <v>1</v>
      </c>
      <c r="AC397" s="8">
        <v>1</v>
      </c>
      <c r="AD397" s="8" t="s">
        <v>136</v>
      </c>
      <c r="AE397" s="8" t="s">
        <v>136</v>
      </c>
      <c r="AF397" s="8">
        <v>1</v>
      </c>
      <c r="AG397" s="8">
        <v>1</v>
      </c>
      <c r="AH397" s="8">
        <v>1</v>
      </c>
      <c r="AI397" s="8">
        <v>1</v>
      </c>
      <c r="AJ397" s="8">
        <v>1</v>
      </c>
      <c r="AK397" s="10">
        <v>23</v>
      </c>
      <c r="AL397" s="11">
        <v>23</v>
      </c>
      <c r="AM397" s="13">
        <v>23</v>
      </c>
      <c r="AN397" s="13">
        <v>0</v>
      </c>
      <c r="AO397" s="7" t="e">
        <v>#N/A</v>
      </c>
    </row>
    <row r="398" spans="1:41">
      <c r="A398" s="8" t="s">
        <v>910</v>
      </c>
      <c r="B398" s="8" t="s">
        <v>925</v>
      </c>
      <c r="C398" s="8" t="s">
        <v>932</v>
      </c>
      <c r="D398" s="8" t="s">
        <v>933</v>
      </c>
      <c r="E398" s="8" t="s">
        <v>135</v>
      </c>
      <c r="F398" s="8">
        <v>1</v>
      </c>
      <c r="G398" s="8">
        <v>1</v>
      </c>
      <c r="H398" s="8">
        <v>1</v>
      </c>
      <c r="I398" s="8" t="s">
        <v>136</v>
      </c>
      <c r="J398" s="8" t="s">
        <v>136</v>
      </c>
      <c r="K398" s="8">
        <v>1</v>
      </c>
      <c r="L398" s="8">
        <v>1</v>
      </c>
      <c r="M398" s="8">
        <v>1</v>
      </c>
      <c r="N398" s="8">
        <v>1</v>
      </c>
      <c r="O398" s="8">
        <v>1</v>
      </c>
      <c r="P398" s="8" t="s">
        <v>136</v>
      </c>
      <c r="Q398" s="8" t="s">
        <v>136</v>
      </c>
      <c r="R398" s="8">
        <v>1</v>
      </c>
      <c r="S398" s="8">
        <v>1</v>
      </c>
      <c r="T398" s="8">
        <v>1</v>
      </c>
      <c r="U398" s="8">
        <v>1</v>
      </c>
      <c r="V398" s="8">
        <v>1</v>
      </c>
      <c r="W398" s="8" t="s">
        <v>136</v>
      </c>
      <c r="X398" s="8" t="s">
        <v>136</v>
      </c>
      <c r="Y398" s="8">
        <v>1</v>
      </c>
      <c r="Z398" s="8">
        <v>1</v>
      </c>
      <c r="AA398" s="8">
        <v>1</v>
      </c>
      <c r="AB398" s="8">
        <v>1</v>
      </c>
      <c r="AC398" s="8">
        <v>1</v>
      </c>
      <c r="AD398" s="8" t="s">
        <v>136</v>
      </c>
      <c r="AE398" s="8" t="s">
        <v>136</v>
      </c>
      <c r="AF398" s="8">
        <v>1</v>
      </c>
      <c r="AG398" s="8">
        <v>1</v>
      </c>
      <c r="AH398" s="8">
        <v>1</v>
      </c>
      <c r="AI398" s="8">
        <v>1</v>
      </c>
      <c r="AJ398" s="8">
        <v>1</v>
      </c>
      <c r="AK398" s="10">
        <v>23</v>
      </c>
      <c r="AL398" s="11">
        <v>23</v>
      </c>
      <c r="AM398" s="13">
        <v>23</v>
      </c>
      <c r="AN398" s="13">
        <v>0</v>
      </c>
      <c r="AO398" s="7" t="e">
        <v>#N/A</v>
      </c>
    </row>
    <row r="399" spans="1:41">
      <c r="A399" s="8" t="s">
        <v>910</v>
      </c>
      <c r="B399" s="8" t="s">
        <v>925</v>
      </c>
      <c r="C399" s="8" t="s">
        <v>934</v>
      </c>
      <c r="D399" s="8" t="s">
        <v>935</v>
      </c>
      <c r="E399" s="8" t="s">
        <v>135</v>
      </c>
      <c r="F399" s="8">
        <v>1</v>
      </c>
      <c r="G399" s="8">
        <v>1</v>
      </c>
      <c r="H399" s="8">
        <v>1</v>
      </c>
      <c r="I399" s="8" t="s">
        <v>136</v>
      </c>
      <c r="J399" s="8" t="s">
        <v>136</v>
      </c>
      <c r="K399" s="8">
        <v>1</v>
      </c>
      <c r="L399" s="8">
        <v>1</v>
      </c>
      <c r="M399" s="8">
        <v>1</v>
      </c>
      <c r="N399" s="8">
        <v>1</v>
      </c>
      <c r="O399" s="8">
        <v>1</v>
      </c>
      <c r="P399" s="8" t="s">
        <v>136</v>
      </c>
      <c r="Q399" s="8" t="s">
        <v>136</v>
      </c>
      <c r="R399" s="8">
        <v>1</v>
      </c>
      <c r="S399" s="8">
        <v>1</v>
      </c>
      <c r="T399" s="8">
        <v>1</v>
      </c>
      <c r="U399" s="8">
        <v>1</v>
      </c>
      <c r="V399" s="8">
        <v>1</v>
      </c>
      <c r="W399" s="8" t="s">
        <v>136</v>
      </c>
      <c r="X399" s="8" t="s">
        <v>136</v>
      </c>
      <c r="Y399" s="8">
        <v>1</v>
      </c>
      <c r="Z399" s="8">
        <v>1</v>
      </c>
      <c r="AA399" s="8">
        <v>1</v>
      </c>
      <c r="AB399" s="8">
        <v>1</v>
      </c>
      <c r="AC399" s="8">
        <v>1</v>
      </c>
      <c r="AD399" s="8" t="s">
        <v>136</v>
      </c>
      <c r="AE399" s="8" t="s">
        <v>136</v>
      </c>
      <c r="AF399" s="8">
        <v>1</v>
      </c>
      <c r="AG399" s="8">
        <v>1</v>
      </c>
      <c r="AH399" s="8">
        <v>1</v>
      </c>
      <c r="AI399" s="8">
        <v>1</v>
      </c>
      <c r="AJ399" s="8">
        <v>1</v>
      </c>
      <c r="AK399" s="10">
        <v>23</v>
      </c>
      <c r="AL399" s="11">
        <v>23</v>
      </c>
      <c r="AM399" s="13">
        <v>23</v>
      </c>
      <c r="AN399" s="13">
        <v>0</v>
      </c>
      <c r="AO399" s="7" t="e">
        <v>#N/A</v>
      </c>
    </row>
    <row r="400" spans="1:41">
      <c r="A400" s="8" t="s">
        <v>910</v>
      </c>
      <c r="B400" s="8" t="s">
        <v>925</v>
      </c>
      <c r="C400" s="8" t="s">
        <v>936</v>
      </c>
      <c r="D400" s="8" t="s">
        <v>937</v>
      </c>
      <c r="E400" s="8" t="s">
        <v>135</v>
      </c>
      <c r="F400" s="8">
        <v>1</v>
      </c>
      <c r="G400" s="8">
        <v>1</v>
      </c>
      <c r="H400" s="8">
        <v>1</v>
      </c>
      <c r="I400" s="8" t="s">
        <v>136</v>
      </c>
      <c r="J400" s="8" t="s">
        <v>136</v>
      </c>
      <c r="K400" s="8">
        <v>1</v>
      </c>
      <c r="L400" s="8">
        <v>1</v>
      </c>
      <c r="M400" s="8">
        <v>1</v>
      </c>
      <c r="N400" s="8">
        <v>1</v>
      </c>
      <c r="O400" s="8">
        <v>1</v>
      </c>
      <c r="P400" s="8" t="s">
        <v>136</v>
      </c>
      <c r="Q400" s="8" t="s">
        <v>136</v>
      </c>
      <c r="R400" s="8">
        <v>1</v>
      </c>
      <c r="S400" s="8">
        <v>1</v>
      </c>
      <c r="T400" s="8">
        <v>1</v>
      </c>
      <c r="U400" s="8">
        <v>1</v>
      </c>
      <c r="V400" s="8">
        <v>1</v>
      </c>
      <c r="W400" s="8" t="s">
        <v>136</v>
      </c>
      <c r="X400" s="8" t="s">
        <v>136</v>
      </c>
      <c r="Y400" s="8">
        <v>1</v>
      </c>
      <c r="Z400" s="8">
        <v>1</v>
      </c>
      <c r="AA400" s="8">
        <v>1</v>
      </c>
      <c r="AB400" s="8">
        <v>1</v>
      </c>
      <c r="AC400" s="8">
        <v>1</v>
      </c>
      <c r="AD400" s="8" t="s">
        <v>136</v>
      </c>
      <c r="AE400" s="8" t="s">
        <v>136</v>
      </c>
      <c r="AF400" s="8">
        <v>1</v>
      </c>
      <c r="AG400" s="8">
        <v>1</v>
      </c>
      <c r="AH400" s="8">
        <v>1</v>
      </c>
      <c r="AI400" s="8">
        <v>1</v>
      </c>
      <c r="AJ400" s="8">
        <v>1</v>
      </c>
      <c r="AK400" s="10">
        <v>23</v>
      </c>
      <c r="AL400" s="11">
        <v>23</v>
      </c>
      <c r="AM400" s="13">
        <v>23</v>
      </c>
      <c r="AN400" s="13">
        <v>0</v>
      </c>
      <c r="AO400" s="7" t="e">
        <v>#N/A</v>
      </c>
    </row>
    <row r="401" spans="1:41">
      <c r="A401" s="8" t="s">
        <v>910</v>
      </c>
      <c r="B401" s="8" t="s">
        <v>925</v>
      </c>
      <c r="C401" s="8" t="s">
        <v>938</v>
      </c>
      <c r="D401" s="8" t="s">
        <v>939</v>
      </c>
      <c r="E401" s="8" t="s">
        <v>135</v>
      </c>
      <c r="F401" s="8">
        <v>1</v>
      </c>
      <c r="G401" s="8">
        <v>1</v>
      </c>
      <c r="H401" s="8">
        <v>1</v>
      </c>
      <c r="I401" s="8" t="s">
        <v>136</v>
      </c>
      <c r="J401" s="8" t="s">
        <v>136</v>
      </c>
      <c r="K401" s="8">
        <v>1</v>
      </c>
      <c r="L401" s="8">
        <v>1</v>
      </c>
      <c r="M401" s="8">
        <v>1</v>
      </c>
      <c r="N401" s="8">
        <v>1</v>
      </c>
      <c r="O401" s="8">
        <v>1</v>
      </c>
      <c r="P401" s="8" t="s">
        <v>136</v>
      </c>
      <c r="Q401" s="8" t="s">
        <v>136</v>
      </c>
      <c r="R401" s="8">
        <v>1</v>
      </c>
      <c r="S401" s="8">
        <v>1</v>
      </c>
      <c r="T401" s="8">
        <v>1</v>
      </c>
      <c r="U401" s="8">
        <v>1</v>
      </c>
      <c r="V401" s="8">
        <v>1</v>
      </c>
      <c r="W401" s="8" t="s">
        <v>136</v>
      </c>
      <c r="X401" s="8" t="s">
        <v>136</v>
      </c>
      <c r="Y401" s="8">
        <v>1</v>
      </c>
      <c r="Z401" s="8">
        <v>1</v>
      </c>
      <c r="AA401" s="8">
        <v>1</v>
      </c>
      <c r="AB401" s="8">
        <v>1</v>
      </c>
      <c r="AC401" s="8">
        <v>1</v>
      </c>
      <c r="AD401" s="8" t="s">
        <v>136</v>
      </c>
      <c r="AE401" s="8" t="s">
        <v>136</v>
      </c>
      <c r="AF401" s="8">
        <v>1</v>
      </c>
      <c r="AG401" s="8">
        <v>1</v>
      </c>
      <c r="AH401" s="8">
        <v>1</v>
      </c>
      <c r="AI401" s="8">
        <v>1</v>
      </c>
      <c r="AJ401" s="8">
        <v>1</v>
      </c>
      <c r="AK401" s="10">
        <v>23</v>
      </c>
      <c r="AL401" s="11">
        <v>23</v>
      </c>
      <c r="AM401" s="13">
        <v>23</v>
      </c>
      <c r="AN401" s="13">
        <v>0</v>
      </c>
      <c r="AO401" s="7" t="e">
        <v>#N/A</v>
      </c>
    </row>
    <row r="402" spans="1:41">
      <c r="A402" s="8" t="s">
        <v>910</v>
      </c>
      <c r="B402" s="8" t="s">
        <v>925</v>
      </c>
      <c r="C402" s="8" t="s">
        <v>940</v>
      </c>
      <c r="D402" s="8" t="s">
        <v>941</v>
      </c>
      <c r="E402" s="8" t="s">
        <v>135</v>
      </c>
      <c r="F402" s="8">
        <v>1</v>
      </c>
      <c r="G402" s="8">
        <v>1</v>
      </c>
      <c r="H402" s="8">
        <v>1</v>
      </c>
      <c r="I402" s="8" t="s">
        <v>136</v>
      </c>
      <c r="J402" s="8" t="s">
        <v>136</v>
      </c>
      <c r="K402" s="8">
        <v>1</v>
      </c>
      <c r="L402" s="8">
        <v>1</v>
      </c>
      <c r="M402" s="8">
        <v>1</v>
      </c>
      <c r="N402" s="8">
        <v>1</v>
      </c>
      <c r="O402" s="8">
        <v>1</v>
      </c>
      <c r="P402" s="8" t="s">
        <v>136</v>
      </c>
      <c r="Q402" s="8" t="s">
        <v>136</v>
      </c>
      <c r="R402" s="8">
        <v>1</v>
      </c>
      <c r="S402" s="8">
        <v>1</v>
      </c>
      <c r="T402" s="8">
        <v>1</v>
      </c>
      <c r="U402" s="8">
        <v>1</v>
      </c>
      <c r="V402" s="8">
        <v>1</v>
      </c>
      <c r="W402" s="8" t="s">
        <v>136</v>
      </c>
      <c r="X402" s="8" t="s">
        <v>136</v>
      </c>
      <c r="Y402" s="8">
        <v>1</v>
      </c>
      <c r="Z402" s="8">
        <v>1</v>
      </c>
      <c r="AA402" s="8">
        <v>1</v>
      </c>
      <c r="AB402" s="8">
        <v>1</v>
      </c>
      <c r="AC402" s="8">
        <v>1</v>
      </c>
      <c r="AD402" s="8" t="s">
        <v>136</v>
      </c>
      <c r="AE402" s="8" t="s">
        <v>136</v>
      </c>
      <c r="AF402" s="8">
        <v>1</v>
      </c>
      <c r="AG402" s="8">
        <v>1</v>
      </c>
      <c r="AH402" s="8">
        <v>1</v>
      </c>
      <c r="AI402" s="8">
        <v>1</v>
      </c>
      <c r="AJ402" s="8">
        <v>1</v>
      </c>
      <c r="AK402" s="10">
        <v>23</v>
      </c>
      <c r="AL402" s="11">
        <v>23</v>
      </c>
      <c r="AM402" s="13">
        <v>23</v>
      </c>
      <c r="AN402" s="13">
        <v>0</v>
      </c>
      <c r="AO402" s="7" t="e">
        <v>#N/A</v>
      </c>
    </row>
    <row r="403" spans="1:41">
      <c r="A403" s="8" t="s">
        <v>910</v>
      </c>
      <c r="B403" s="8" t="s">
        <v>942</v>
      </c>
      <c r="C403" s="8" t="s">
        <v>943</v>
      </c>
      <c r="D403" s="8" t="s">
        <v>944</v>
      </c>
      <c r="E403" s="8" t="s">
        <v>135</v>
      </c>
      <c r="F403" s="8">
        <v>1</v>
      </c>
      <c r="G403" s="8">
        <v>1</v>
      </c>
      <c r="H403" s="8">
        <v>1</v>
      </c>
      <c r="I403" s="8" t="s">
        <v>136</v>
      </c>
      <c r="J403" s="8" t="s">
        <v>136</v>
      </c>
      <c r="K403" s="8">
        <v>1</v>
      </c>
      <c r="L403" s="8">
        <v>1</v>
      </c>
      <c r="M403" s="8">
        <v>1</v>
      </c>
      <c r="N403" s="8">
        <v>1</v>
      </c>
      <c r="O403" s="8">
        <v>1</v>
      </c>
      <c r="P403" s="8" t="s">
        <v>136</v>
      </c>
      <c r="Q403" s="8" t="s">
        <v>136</v>
      </c>
      <c r="R403" s="8">
        <v>1</v>
      </c>
      <c r="S403" s="8">
        <v>1</v>
      </c>
      <c r="T403" s="8">
        <v>1</v>
      </c>
      <c r="U403" s="8">
        <v>1</v>
      </c>
      <c r="V403" s="8">
        <v>1</v>
      </c>
      <c r="W403" s="8" t="s">
        <v>136</v>
      </c>
      <c r="X403" s="8" t="s">
        <v>136</v>
      </c>
      <c r="Y403" s="8">
        <v>1</v>
      </c>
      <c r="Z403" s="8">
        <v>1</v>
      </c>
      <c r="AA403" s="8">
        <v>1</v>
      </c>
      <c r="AB403" s="8">
        <v>1</v>
      </c>
      <c r="AC403" s="8">
        <v>1</v>
      </c>
      <c r="AD403" s="8" t="s">
        <v>136</v>
      </c>
      <c r="AE403" s="8" t="s">
        <v>136</v>
      </c>
      <c r="AF403" s="8">
        <v>1</v>
      </c>
      <c r="AG403" s="8">
        <v>1</v>
      </c>
      <c r="AH403" s="8">
        <v>1</v>
      </c>
      <c r="AI403" s="8">
        <v>1</v>
      </c>
      <c r="AJ403" s="8">
        <v>1</v>
      </c>
      <c r="AK403" s="10">
        <v>23</v>
      </c>
      <c r="AL403" s="11">
        <v>23</v>
      </c>
      <c r="AM403" s="13">
        <v>23</v>
      </c>
      <c r="AN403" s="13">
        <v>0</v>
      </c>
      <c r="AO403" s="7" t="e">
        <v>#N/A</v>
      </c>
    </row>
    <row r="404" spans="1:41">
      <c r="A404" s="8" t="s">
        <v>910</v>
      </c>
      <c r="B404" s="8" t="s">
        <v>942</v>
      </c>
      <c r="C404" s="8" t="s">
        <v>945</v>
      </c>
      <c r="D404" s="8" t="s">
        <v>946</v>
      </c>
      <c r="E404" s="8" t="s">
        <v>135</v>
      </c>
      <c r="F404" s="8">
        <v>1</v>
      </c>
      <c r="G404" s="8">
        <v>1</v>
      </c>
      <c r="H404" s="8">
        <v>1</v>
      </c>
      <c r="I404" s="8" t="s">
        <v>136</v>
      </c>
      <c r="J404" s="8" t="s">
        <v>136</v>
      </c>
      <c r="K404" s="8">
        <v>1</v>
      </c>
      <c r="L404" s="8">
        <v>1</v>
      </c>
      <c r="M404" s="8">
        <v>1</v>
      </c>
      <c r="N404" s="8">
        <v>1</v>
      </c>
      <c r="O404" s="8">
        <v>1</v>
      </c>
      <c r="P404" s="8" t="s">
        <v>136</v>
      </c>
      <c r="Q404" s="8" t="s">
        <v>136</v>
      </c>
      <c r="R404" s="8">
        <v>1</v>
      </c>
      <c r="S404" s="8">
        <v>1</v>
      </c>
      <c r="T404" s="8">
        <v>1</v>
      </c>
      <c r="U404" s="8">
        <v>1</v>
      </c>
      <c r="V404" s="8">
        <v>1</v>
      </c>
      <c r="W404" s="8" t="s">
        <v>136</v>
      </c>
      <c r="X404" s="8" t="s">
        <v>136</v>
      </c>
      <c r="Y404" s="8">
        <v>1</v>
      </c>
      <c r="Z404" s="8">
        <v>1</v>
      </c>
      <c r="AA404" s="8">
        <v>1</v>
      </c>
      <c r="AB404" s="8">
        <v>1</v>
      </c>
      <c r="AC404" s="8">
        <v>1</v>
      </c>
      <c r="AD404" s="8" t="s">
        <v>136</v>
      </c>
      <c r="AE404" s="8" t="s">
        <v>136</v>
      </c>
      <c r="AF404" s="8">
        <v>1</v>
      </c>
      <c r="AG404" s="8">
        <v>1</v>
      </c>
      <c r="AH404" s="8">
        <v>1</v>
      </c>
      <c r="AI404" s="8">
        <v>1</v>
      </c>
      <c r="AJ404" s="8">
        <v>1</v>
      </c>
      <c r="AK404" s="10">
        <v>23</v>
      </c>
      <c r="AL404" s="11">
        <v>23</v>
      </c>
      <c r="AM404" s="13">
        <v>23</v>
      </c>
      <c r="AN404" s="13">
        <v>0</v>
      </c>
      <c r="AO404" s="7" t="e">
        <v>#N/A</v>
      </c>
    </row>
    <row r="405" spans="1:41">
      <c r="A405" s="8" t="s">
        <v>910</v>
      </c>
      <c r="B405" s="8" t="s">
        <v>942</v>
      </c>
      <c r="C405" s="8" t="s">
        <v>947</v>
      </c>
      <c r="D405" s="8" t="s">
        <v>948</v>
      </c>
      <c r="E405" s="8" t="s">
        <v>135</v>
      </c>
      <c r="F405" s="8">
        <v>1</v>
      </c>
      <c r="G405" s="8">
        <v>1</v>
      </c>
      <c r="H405" s="8">
        <v>1</v>
      </c>
      <c r="I405" s="8" t="s">
        <v>136</v>
      </c>
      <c r="J405" s="8" t="s">
        <v>136</v>
      </c>
      <c r="K405" s="8">
        <v>1</v>
      </c>
      <c r="L405" s="8">
        <v>1</v>
      </c>
      <c r="M405" s="8">
        <v>1</v>
      </c>
      <c r="N405" s="8">
        <v>1</v>
      </c>
      <c r="O405" s="8">
        <v>1</v>
      </c>
      <c r="P405" s="8" t="s">
        <v>136</v>
      </c>
      <c r="Q405" s="8" t="s">
        <v>136</v>
      </c>
      <c r="R405" s="8">
        <v>1</v>
      </c>
      <c r="S405" s="8">
        <v>1</v>
      </c>
      <c r="T405" s="8">
        <v>1</v>
      </c>
      <c r="U405" s="8">
        <v>1</v>
      </c>
      <c r="V405" s="8">
        <v>1</v>
      </c>
      <c r="W405" s="8" t="s">
        <v>136</v>
      </c>
      <c r="X405" s="8" t="s">
        <v>136</v>
      </c>
      <c r="Y405" s="8">
        <v>1</v>
      </c>
      <c r="Z405" s="8">
        <v>1</v>
      </c>
      <c r="AA405" s="8">
        <v>1</v>
      </c>
      <c r="AB405" s="8">
        <v>1</v>
      </c>
      <c r="AC405" s="8">
        <v>1</v>
      </c>
      <c r="AD405" s="8" t="s">
        <v>136</v>
      </c>
      <c r="AE405" s="8" t="s">
        <v>136</v>
      </c>
      <c r="AF405" s="8">
        <v>1</v>
      </c>
      <c r="AG405" s="8">
        <v>1</v>
      </c>
      <c r="AH405" s="8">
        <v>1</v>
      </c>
      <c r="AI405" s="8">
        <v>1</v>
      </c>
      <c r="AJ405" s="8">
        <v>1</v>
      </c>
      <c r="AK405" s="10">
        <v>23</v>
      </c>
      <c r="AL405" s="11">
        <v>23</v>
      </c>
      <c r="AM405" s="13">
        <v>23</v>
      </c>
      <c r="AN405" s="13">
        <v>0</v>
      </c>
      <c r="AO405" s="7" t="e">
        <v>#N/A</v>
      </c>
    </row>
    <row r="406" spans="1:41">
      <c r="A406" s="8" t="s">
        <v>910</v>
      </c>
      <c r="B406" s="8" t="s">
        <v>942</v>
      </c>
      <c r="C406" s="8" t="s">
        <v>949</v>
      </c>
      <c r="D406" s="8" t="s">
        <v>950</v>
      </c>
      <c r="E406" s="8" t="s">
        <v>135</v>
      </c>
      <c r="F406" s="8">
        <v>1</v>
      </c>
      <c r="G406" s="8">
        <v>1</v>
      </c>
      <c r="H406" s="8">
        <v>1</v>
      </c>
      <c r="I406" s="8" t="s">
        <v>136</v>
      </c>
      <c r="J406" s="8" t="s">
        <v>136</v>
      </c>
      <c r="K406" s="8">
        <v>1</v>
      </c>
      <c r="L406" s="8">
        <v>1</v>
      </c>
      <c r="M406" s="8">
        <v>1</v>
      </c>
      <c r="N406" s="8">
        <v>1</v>
      </c>
      <c r="O406" s="8">
        <v>1</v>
      </c>
      <c r="P406" s="8" t="s">
        <v>136</v>
      </c>
      <c r="Q406" s="8" t="s">
        <v>136</v>
      </c>
      <c r="R406" s="8">
        <v>1</v>
      </c>
      <c r="S406" s="8">
        <v>1</v>
      </c>
      <c r="T406" s="8">
        <v>1</v>
      </c>
      <c r="U406" s="8">
        <v>1</v>
      </c>
      <c r="V406" s="8">
        <v>1</v>
      </c>
      <c r="W406" s="8" t="s">
        <v>136</v>
      </c>
      <c r="X406" s="8" t="s">
        <v>136</v>
      </c>
      <c r="Y406" s="8">
        <v>1</v>
      </c>
      <c r="Z406" s="8">
        <v>1</v>
      </c>
      <c r="AA406" s="8">
        <v>1</v>
      </c>
      <c r="AB406" s="8">
        <v>1</v>
      </c>
      <c r="AC406" s="8">
        <v>1</v>
      </c>
      <c r="AD406" s="8" t="s">
        <v>136</v>
      </c>
      <c r="AE406" s="8" t="s">
        <v>136</v>
      </c>
      <c r="AF406" s="8">
        <v>1</v>
      </c>
      <c r="AG406" s="8">
        <v>1</v>
      </c>
      <c r="AH406" s="8">
        <v>1</v>
      </c>
      <c r="AI406" s="8">
        <v>1</v>
      </c>
      <c r="AJ406" s="8">
        <v>1</v>
      </c>
      <c r="AK406" s="10">
        <v>23</v>
      </c>
      <c r="AL406" s="11">
        <v>23</v>
      </c>
      <c r="AM406" s="13">
        <v>23</v>
      </c>
      <c r="AN406" s="13">
        <v>0</v>
      </c>
      <c r="AO406" s="7" t="e">
        <v>#N/A</v>
      </c>
    </row>
    <row r="407" spans="1:41">
      <c r="A407" s="8" t="s">
        <v>910</v>
      </c>
      <c r="B407" s="8" t="s">
        <v>942</v>
      </c>
      <c r="C407" s="8" t="s">
        <v>951</v>
      </c>
      <c r="D407" s="8" t="s">
        <v>952</v>
      </c>
      <c r="E407" s="8" t="s">
        <v>135</v>
      </c>
      <c r="F407" s="8">
        <v>1</v>
      </c>
      <c r="G407" s="8">
        <v>1</v>
      </c>
      <c r="H407" s="8">
        <v>1</v>
      </c>
      <c r="I407" s="8" t="s">
        <v>136</v>
      </c>
      <c r="J407" s="8" t="s">
        <v>136</v>
      </c>
      <c r="K407" s="8">
        <v>1</v>
      </c>
      <c r="L407" s="8">
        <v>1</v>
      </c>
      <c r="M407" s="8">
        <v>1</v>
      </c>
      <c r="N407" s="8">
        <v>1</v>
      </c>
      <c r="O407" s="8">
        <v>1</v>
      </c>
      <c r="P407" s="8" t="s">
        <v>136</v>
      </c>
      <c r="Q407" s="8" t="s">
        <v>136</v>
      </c>
      <c r="R407" s="8">
        <v>1</v>
      </c>
      <c r="S407" s="8">
        <v>1</v>
      </c>
      <c r="T407" s="8">
        <v>1</v>
      </c>
      <c r="U407" s="8">
        <v>1</v>
      </c>
      <c r="V407" s="8">
        <v>1</v>
      </c>
      <c r="W407" s="8" t="s">
        <v>136</v>
      </c>
      <c r="X407" s="8" t="s">
        <v>136</v>
      </c>
      <c r="Y407" s="8">
        <v>1</v>
      </c>
      <c r="Z407" s="8">
        <v>1</v>
      </c>
      <c r="AA407" s="8">
        <v>1</v>
      </c>
      <c r="AB407" s="8">
        <v>1</v>
      </c>
      <c r="AC407" s="8">
        <v>1</v>
      </c>
      <c r="AD407" s="8" t="s">
        <v>136</v>
      </c>
      <c r="AE407" s="8" t="s">
        <v>136</v>
      </c>
      <c r="AF407" s="8">
        <v>1</v>
      </c>
      <c r="AG407" s="8">
        <v>1</v>
      </c>
      <c r="AH407" s="8">
        <v>1</v>
      </c>
      <c r="AI407" s="8">
        <v>1</v>
      </c>
      <c r="AJ407" s="8">
        <v>1</v>
      </c>
      <c r="AK407" s="10">
        <v>23</v>
      </c>
      <c r="AL407" s="11">
        <v>23</v>
      </c>
      <c r="AM407" s="13">
        <v>23</v>
      </c>
      <c r="AN407" s="13">
        <v>0</v>
      </c>
      <c r="AO407" s="7" t="e">
        <v>#N/A</v>
      </c>
    </row>
    <row r="408" spans="1:41">
      <c r="A408" s="8" t="s">
        <v>910</v>
      </c>
      <c r="B408" s="8" t="s">
        <v>953</v>
      </c>
      <c r="C408" s="8" t="s">
        <v>954</v>
      </c>
      <c r="D408" s="8" t="s">
        <v>955</v>
      </c>
      <c r="E408" s="8" t="s">
        <v>135</v>
      </c>
      <c r="F408" s="8">
        <v>1</v>
      </c>
      <c r="G408" s="8">
        <v>1</v>
      </c>
      <c r="H408" s="8">
        <v>1</v>
      </c>
      <c r="I408" s="8" t="s">
        <v>136</v>
      </c>
      <c r="J408" s="8" t="s">
        <v>136</v>
      </c>
      <c r="K408" s="8">
        <v>1</v>
      </c>
      <c r="L408" s="8">
        <v>1</v>
      </c>
      <c r="M408" s="8">
        <v>1</v>
      </c>
      <c r="N408" s="8">
        <v>1</v>
      </c>
      <c r="O408" s="8">
        <v>1</v>
      </c>
      <c r="P408" s="8" t="s">
        <v>136</v>
      </c>
      <c r="Q408" s="8" t="s">
        <v>136</v>
      </c>
      <c r="R408" s="8">
        <v>1</v>
      </c>
      <c r="S408" s="8">
        <v>1</v>
      </c>
      <c r="T408" s="8">
        <v>1</v>
      </c>
      <c r="U408" s="8">
        <v>1</v>
      </c>
      <c r="V408" s="8">
        <v>1</v>
      </c>
      <c r="W408" s="8" t="s">
        <v>136</v>
      </c>
      <c r="X408" s="8" t="s">
        <v>136</v>
      </c>
      <c r="Y408" s="8">
        <v>1</v>
      </c>
      <c r="Z408" s="8">
        <v>1</v>
      </c>
      <c r="AA408" s="8">
        <v>1</v>
      </c>
      <c r="AB408" s="8">
        <v>1</v>
      </c>
      <c r="AC408" s="8">
        <v>1</v>
      </c>
      <c r="AD408" s="8" t="s">
        <v>136</v>
      </c>
      <c r="AE408" s="8" t="s">
        <v>136</v>
      </c>
      <c r="AF408" s="8">
        <v>1</v>
      </c>
      <c r="AG408" s="8">
        <v>1</v>
      </c>
      <c r="AH408" s="8">
        <v>1</v>
      </c>
      <c r="AI408" s="8">
        <v>1</v>
      </c>
      <c r="AJ408" s="8">
        <v>1</v>
      </c>
      <c r="AK408" s="10">
        <v>23</v>
      </c>
      <c r="AL408" s="11">
        <v>23</v>
      </c>
      <c r="AM408" s="13">
        <v>23</v>
      </c>
      <c r="AN408" s="13">
        <v>0</v>
      </c>
      <c r="AO408" s="7" t="e">
        <v>#N/A</v>
      </c>
    </row>
    <row r="409" spans="1:41">
      <c r="A409" s="8" t="s">
        <v>910</v>
      </c>
      <c r="B409" s="8" t="s">
        <v>953</v>
      </c>
      <c r="C409" s="8" t="s">
        <v>956</v>
      </c>
      <c r="D409" s="8" t="s">
        <v>957</v>
      </c>
      <c r="E409" s="8" t="s">
        <v>135</v>
      </c>
      <c r="F409" s="8">
        <v>1</v>
      </c>
      <c r="G409" s="8">
        <v>1</v>
      </c>
      <c r="H409" s="8">
        <v>1</v>
      </c>
      <c r="I409" s="8" t="s">
        <v>136</v>
      </c>
      <c r="J409" s="8" t="s">
        <v>136</v>
      </c>
      <c r="K409" s="8">
        <v>1</v>
      </c>
      <c r="L409" s="8">
        <v>1</v>
      </c>
      <c r="M409" s="8">
        <v>1</v>
      </c>
      <c r="N409" s="8">
        <v>1</v>
      </c>
      <c r="O409" s="8">
        <v>1</v>
      </c>
      <c r="P409" s="8" t="s">
        <v>136</v>
      </c>
      <c r="Q409" s="8" t="s">
        <v>136</v>
      </c>
      <c r="R409" s="8">
        <v>1</v>
      </c>
      <c r="S409" s="8">
        <v>1</v>
      </c>
      <c r="T409" s="8">
        <v>1</v>
      </c>
      <c r="U409" s="8">
        <v>1</v>
      </c>
      <c r="V409" s="8">
        <v>1</v>
      </c>
      <c r="W409" s="8" t="s">
        <v>136</v>
      </c>
      <c r="X409" s="8" t="s">
        <v>136</v>
      </c>
      <c r="Y409" s="8">
        <v>1</v>
      </c>
      <c r="Z409" s="8">
        <v>1</v>
      </c>
      <c r="AA409" s="8">
        <v>1</v>
      </c>
      <c r="AB409" s="8">
        <v>1</v>
      </c>
      <c r="AC409" s="8">
        <v>1</v>
      </c>
      <c r="AD409" s="8" t="s">
        <v>136</v>
      </c>
      <c r="AE409" s="8" t="s">
        <v>136</v>
      </c>
      <c r="AF409" s="8">
        <v>1</v>
      </c>
      <c r="AG409" s="8">
        <v>1</v>
      </c>
      <c r="AH409" s="8">
        <v>1</v>
      </c>
      <c r="AI409" s="8">
        <v>1</v>
      </c>
      <c r="AJ409" s="8">
        <v>1</v>
      </c>
      <c r="AK409" s="10">
        <v>23</v>
      </c>
      <c r="AL409" s="11">
        <v>23</v>
      </c>
      <c r="AM409" s="13">
        <v>23</v>
      </c>
      <c r="AN409" s="13">
        <v>0</v>
      </c>
      <c r="AO409" s="7" t="e">
        <v>#N/A</v>
      </c>
    </row>
    <row r="410" spans="1:41">
      <c r="A410" s="8" t="s">
        <v>910</v>
      </c>
      <c r="B410" s="8" t="s">
        <v>953</v>
      </c>
      <c r="C410" s="8" t="s">
        <v>958</v>
      </c>
      <c r="D410" s="8" t="s">
        <v>959</v>
      </c>
      <c r="E410" s="8" t="s">
        <v>135</v>
      </c>
      <c r="F410" s="8">
        <v>1</v>
      </c>
      <c r="G410" s="8">
        <v>1</v>
      </c>
      <c r="H410" s="8">
        <v>1</v>
      </c>
      <c r="I410" s="8" t="s">
        <v>136</v>
      </c>
      <c r="J410" s="8" t="s">
        <v>136</v>
      </c>
      <c r="K410" s="8">
        <v>1</v>
      </c>
      <c r="L410" s="8">
        <v>1</v>
      </c>
      <c r="M410" s="8">
        <v>1</v>
      </c>
      <c r="N410" s="8">
        <v>1</v>
      </c>
      <c r="O410" s="8">
        <v>1</v>
      </c>
      <c r="P410" s="8" t="s">
        <v>136</v>
      </c>
      <c r="Q410" s="8" t="s">
        <v>136</v>
      </c>
      <c r="R410" s="8">
        <v>1</v>
      </c>
      <c r="S410" s="8">
        <v>1</v>
      </c>
      <c r="T410" s="8">
        <v>1</v>
      </c>
      <c r="U410" s="8">
        <v>1</v>
      </c>
      <c r="V410" s="8">
        <v>1</v>
      </c>
      <c r="W410" s="8" t="s">
        <v>136</v>
      </c>
      <c r="X410" s="8" t="s">
        <v>136</v>
      </c>
      <c r="Y410" s="8">
        <v>1</v>
      </c>
      <c r="Z410" s="8">
        <v>1</v>
      </c>
      <c r="AA410" s="8">
        <v>1</v>
      </c>
      <c r="AB410" s="8">
        <v>1</v>
      </c>
      <c r="AC410" s="8">
        <v>1</v>
      </c>
      <c r="AD410" s="8" t="s">
        <v>136</v>
      </c>
      <c r="AE410" s="8" t="s">
        <v>136</v>
      </c>
      <c r="AF410" s="8">
        <v>1</v>
      </c>
      <c r="AG410" s="8">
        <v>1</v>
      </c>
      <c r="AH410" s="8">
        <v>1</v>
      </c>
      <c r="AI410" s="8">
        <v>1</v>
      </c>
      <c r="AJ410" s="8">
        <v>1</v>
      </c>
      <c r="AK410" s="10">
        <v>23</v>
      </c>
      <c r="AL410" s="11">
        <v>23</v>
      </c>
      <c r="AM410" s="13">
        <v>23</v>
      </c>
      <c r="AN410" s="13">
        <v>0</v>
      </c>
      <c r="AO410" s="7" t="e">
        <v>#N/A</v>
      </c>
    </row>
    <row r="411" spans="1:41">
      <c r="A411" s="8" t="s">
        <v>910</v>
      </c>
      <c r="B411" s="8" t="s">
        <v>953</v>
      </c>
      <c r="C411" s="8" t="s">
        <v>960</v>
      </c>
      <c r="D411" s="8" t="s">
        <v>961</v>
      </c>
      <c r="E411" s="8" t="s">
        <v>135</v>
      </c>
      <c r="F411" s="8">
        <v>1</v>
      </c>
      <c r="G411" s="8">
        <v>1</v>
      </c>
      <c r="H411" s="8">
        <v>1</v>
      </c>
      <c r="I411" s="8" t="s">
        <v>136</v>
      </c>
      <c r="J411" s="8" t="s">
        <v>136</v>
      </c>
      <c r="K411" s="8">
        <v>1</v>
      </c>
      <c r="L411" s="8">
        <v>1</v>
      </c>
      <c r="M411" s="8">
        <v>1</v>
      </c>
      <c r="N411" s="8">
        <v>1</v>
      </c>
      <c r="O411" s="8">
        <v>1</v>
      </c>
      <c r="P411" s="8" t="s">
        <v>136</v>
      </c>
      <c r="Q411" s="8" t="s">
        <v>136</v>
      </c>
      <c r="R411" s="8">
        <v>1</v>
      </c>
      <c r="S411" s="8">
        <v>1</v>
      </c>
      <c r="T411" s="8">
        <v>1</v>
      </c>
      <c r="U411" s="8">
        <v>1</v>
      </c>
      <c r="V411" s="8">
        <v>1</v>
      </c>
      <c r="W411" s="8" t="s">
        <v>136</v>
      </c>
      <c r="X411" s="8" t="s">
        <v>136</v>
      </c>
      <c r="Y411" s="8">
        <v>1</v>
      </c>
      <c r="Z411" s="8">
        <v>1</v>
      </c>
      <c r="AA411" s="8">
        <v>1</v>
      </c>
      <c r="AB411" s="8">
        <v>1</v>
      </c>
      <c r="AC411" s="8">
        <v>1</v>
      </c>
      <c r="AD411" s="8" t="s">
        <v>136</v>
      </c>
      <c r="AE411" s="8" t="s">
        <v>136</v>
      </c>
      <c r="AF411" s="8">
        <v>1</v>
      </c>
      <c r="AG411" s="8">
        <v>1</v>
      </c>
      <c r="AH411" s="8">
        <v>1</v>
      </c>
      <c r="AI411" s="8">
        <v>1</v>
      </c>
      <c r="AJ411" s="8">
        <v>1</v>
      </c>
      <c r="AK411" s="10">
        <v>23</v>
      </c>
      <c r="AL411" s="11">
        <v>23</v>
      </c>
      <c r="AM411" s="13">
        <v>23</v>
      </c>
      <c r="AN411" s="13">
        <v>0</v>
      </c>
      <c r="AO411" s="7" t="e">
        <v>#N/A</v>
      </c>
    </row>
    <row r="412" spans="1:41">
      <c r="A412" s="8" t="s">
        <v>910</v>
      </c>
      <c r="B412" s="8" t="s">
        <v>953</v>
      </c>
      <c r="C412" s="8" t="s">
        <v>962</v>
      </c>
      <c r="D412" s="8" t="s">
        <v>963</v>
      </c>
      <c r="E412" s="8" t="s">
        <v>135</v>
      </c>
      <c r="F412" s="8">
        <v>1</v>
      </c>
      <c r="G412" s="8">
        <v>1</v>
      </c>
      <c r="H412" s="8">
        <v>1</v>
      </c>
      <c r="I412" s="8" t="s">
        <v>136</v>
      </c>
      <c r="J412" s="8" t="s">
        <v>136</v>
      </c>
      <c r="K412" s="8">
        <v>1</v>
      </c>
      <c r="L412" s="8">
        <v>1</v>
      </c>
      <c r="M412" s="8">
        <v>1</v>
      </c>
      <c r="N412" s="8">
        <v>1</v>
      </c>
      <c r="O412" s="8">
        <v>1</v>
      </c>
      <c r="P412" s="8" t="s">
        <v>136</v>
      </c>
      <c r="Q412" s="8" t="s">
        <v>136</v>
      </c>
      <c r="R412" s="8">
        <v>1</v>
      </c>
      <c r="S412" s="8">
        <v>1</v>
      </c>
      <c r="T412" s="8">
        <v>1</v>
      </c>
      <c r="U412" s="8">
        <v>1</v>
      </c>
      <c r="V412" s="8">
        <v>1</v>
      </c>
      <c r="W412" s="8" t="s">
        <v>136</v>
      </c>
      <c r="X412" s="8" t="s">
        <v>136</v>
      </c>
      <c r="Y412" s="8">
        <v>1</v>
      </c>
      <c r="Z412" s="8">
        <v>1</v>
      </c>
      <c r="AA412" s="8">
        <v>1</v>
      </c>
      <c r="AB412" s="8">
        <v>1</v>
      </c>
      <c r="AC412" s="8">
        <v>1</v>
      </c>
      <c r="AD412" s="8" t="s">
        <v>136</v>
      </c>
      <c r="AE412" s="8" t="s">
        <v>136</v>
      </c>
      <c r="AF412" s="8">
        <v>1</v>
      </c>
      <c r="AG412" s="8">
        <v>1</v>
      </c>
      <c r="AH412" s="8">
        <v>1</v>
      </c>
      <c r="AI412" s="8">
        <v>1</v>
      </c>
      <c r="AJ412" s="8">
        <v>1</v>
      </c>
      <c r="AK412" s="10">
        <v>23</v>
      </c>
      <c r="AL412" s="11">
        <v>23</v>
      </c>
      <c r="AM412" s="13">
        <v>23</v>
      </c>
      <c r="AN412" s="13">
        <v>0</v>
      </c>
      <c r="AO412" s="7" t="e">
        <v>#N/A</v>
      </c>
    </row>
    <row r="413" spans="1:41">
      <c r="A413" s="8" t="s">
        <v>910</v>
      </c>
      <c r="B413" s="8" t="s">
        <v>953</v>
      </c>
      <c r="C413" s="8" t="s">
        <v>964</v>
      </c>
      <c r="D413" s="8" t="s">
        <v>965</v>
      </c>
      <c r="E413" s="8" t="s">
        <v>135</v>
      </c>
      <c r="F413" s="8">
        <v>1</v>
      </c>
      <c r="G413" s="8">
        <v>1</v>
      </c>
      <c r="H413" s="8">
        <v>1</v>
      </c>
      <c r="I413" s="8" t="s">
        <v>136</v>
      </c>
      <c r="J413" s="8" t="s">
        <v>136</v>
      </c>
      <c r="K413" s="8">
        <v>1</v>
      </c>
      <c r="L413" s="8">
        <v>1</v>
      </c>
      <c r="M413" s="8">
        <v>1</v>
      </c>
      <c r="N413" s="8">
        <v>1</v>
      </c>
      <c r="O413" s="8">
        <v>1</v>
      </c>
      <c r="P413" s="8" t="s">
        <v>136</v>
      </c>
      <c r="Q413" s="8" t="s">
        <v>136</v>
      </c>
      <c r="R413" s="8">
        <v>1</v>
      </c>
      <c r="S413" s="8">
        <v>1</v>
      </c>
      <c r="T413" s="8">
        <v>1</v>
      </c>
      <c r="U413" s="8">
        <v>1</v>
      </c>
      <c r="V413" s="8">
        <v>1</v>
      </c>
      <c r="W413" s="8" t="s">
        <v>136</v>
      </c>
      <c r="X413" s="8" t="s">
        <v>136</v>
      </c>
      <c r="Y413" s="8">
        <v>1</v>
      </c>
      <c r="Z413" s="8">
        <v>1</v>
      </c>
      <c r="AA413" s="8">
        <v>1</v>
      </c>
      <c r="AB413" s="8">
        <v>1</v>
      </c>
      <c r="AC413" s="8">
        <v>1</v>
      </c>
      <c r="AD413" s="8" t="s">
        <v>136</v>
      </c>
      <c r="AE413" s="8" t="s">
        <v>136</v>
      </c>
      <c r="AF413" s="8">
        <v>1</v>
      </c>
      <c r="AG413" s="8">
        <v>1</v>
      </c>
      <c r="AH413" s="8">
        <v>1</v>
      </c>
      <c r="AI413" s="8">
        <v>1</v>
      </c>
      <c r="AJ413" s="8">
        <v>1</v>
      </c>
      <c r="AK413" s="10">
        <v>23</v>
      </c>
      <c r="AL413" s="11">
        <v>23</v>
      </c>
      <c r="AM413" s="13">
        <v>23</v>
      </c>
      <c r="AN413" s="13">
        <v>0</v>
      </c>
      <c r="AO413" s="7" t="e">
        <v>#N/A</v>
      </c>
    </row>
    <row r="414" spans="1:41">
      <c r="A414" s="8" t="s">
        <v>910</v>
      </c>
      <c r="B414" s="8" t="s">
        <v>953</v>
      </c>
      <c r="C414" s="8" t="s">
        <v>966</v>
      </c>
      <c r="D414" s="8" t="s">
        <v>967</v>
      </c>
      <c r="E414" s="8" t="s">
        <v>135</v>
      </c>
      <c r="F414" s="8">
        <v>1</v>
      </c>
      <c r="G414" s="8">
        <v>1</v>
      </c>
      <c r="H414" s="8">
        <v>1</v>
      </c>
      <c r="I414" s="8" t="s">
        <v>136</v>
      </c>
      <c r="J414" s="8" t="s">
        <v>136</v>
      </c>
      <c r="K414" s="8">
        <v>1</v>
      </c>
      <c r="L414" s="8">
        <v>1</v>
      </c>
      <c r="M414" s="8">
        <v>1</v>
      </c>
      <c r="N414" s="8">
        <v>1</v>
      </c>
      <c r="O414" s="8">
        <v>1</v>
      </c>
      <c r="P414" s="8" t="s">
        <v>136</v>
      </c>
      <c r="Q414" s="8" t="s">
        <v>136</v>
      </c>
      <c r="R414" s="8">
        <v>1</v>
      </c>
      <c r="S414" s="8">
        <v>1</v>
      </c>
      <c r="T414" s="8">
        <v>1</v>
      </c>
      <c r="U414" s="8">
        <v>1</v>
      </c>
      <c r="V414" s="8">
        <v>1</v>
      </c>
      <c r="W414" s="8" t="s">
        <v>136</v>
      </c>
      <c r="X414" s="8" t="s">
        <v>136</v>
      </c>
      <c r="Y414" s="8">
        <v>1</v>
      </c>
      <c r="Z414" s="8">
        <v>1</v>
      </c>
      <c r="AA414" s="8">
        <v>1</v>
      </c>
      <c r="AB414" s="8">
        <v>1</v>
      </c>
      <c r="AC414" s="8">
        <v>1</v>
      </c>
      <c r="AD414" s="8" t="s">
        <v>136</v>
      </c>
      <c r="AE414" s="8" t="s">
        <v>136</v>
      </c>
      <c r="AF414" s="8">
        <v>1</v>
      </c>
      <c r="AG414" s="8">
        <v>1</v>
      </c>
      <c r="AH414" s="8">
        <v>1</v>
      </c>
      <c r="AI414" s="8">
        <v>1</v>
      </c>
      <c r="AJ414" s="8">
        <v>1</v>
      </c>
      <c r="AK414" s="10">
        <v>23</v>
      </c>
      <c r="AL414" s="11">
        <v>23</v>
      </c>
      <c r="AM414" s="13">
        <v>23</v>
      </c>
      <c r="AN414" s="13">
        <v>0</v>
      </c>
      <c r="AO414" s="7" t="e">
        <v>#N/A</v>
      </c>
    </row>
    <row r="415" spans="1:41">
      <c r="A415" s="8" t="s">
        <v>910</v>
      </c>
      <c r="B415" s="8" t="s">
        <v>953</v>
      </c>
      <c r="C415" s="8" t="s">
        <v>968</v>
      </c>
      <c r="D415" s="8" t="s">
        <v>969</v>
      </c>
      <c r="E415" s="8" t="s">
        <v>135</v>
      </c>
      <c r="F415" s="8">
        <v>1</v>
      </c>
      <c r="G415" s="8">
        <v>1</v>
      </c>
      <c r="H415" s="8">
        <v>1</v>
      </c>
      <c r="I415" s="8" t="s">
        <v>136</v>
      </c>
      <c r="J415" s="8" t="s">
        <v>136</v>
      </c>
      <c r="K415" s="8">
        <v>1</v>
      </c>
      <c r="L415" s="8">
        <v>1</v>
      </c>
      <c r="M415" s="8">
        <v>1</v>
      </c>
      <c r="N415" s="8">
        <v>1</v>
      </c>
      <c r="O415" s="8">
        <v>1</v>
      </c>
      <c r="P415" s="8" t="s">
        <v>136</v>
      </c>
      <c r="Q415" s="8" t="s">
        <v>136</v>
      </c>
      <c r="R415" s="8">
        <v>1</v>
      </c>
      <c r="S415" s="8">
        <v>1</v>
      </c>
      <c r="T415" s="8">
        <v>1</v>
      </c>
      <c r="U415" s="8">
        <v>1</v>
      </c>
      <c r="V415" s="8">
        <v>1</v>
      </c>
      <c r="W415" s="8" t="s">
        <v>136</v>
      </c>
      <c r="X415" s="8" t="s">
        <v>136</v>
      </c>
      <c r="Y415" s="8">
        <v>1</v>
      </c>
      <c r="Z415" s="8">
        <v>1</v>
      </c>
      <c r="AA415" s="8">
        <v>1</v>
      </c>
      <c r="AB415" s="8">
        <v>1</v>
      </c>
      <c r="AC415" s="8">
        <v>1</v>
      </c>
      <c r="AD415" s="8" t="s">
        <v>136</v>
      </c>
      <c r="AE415" s="8" t="s">
        <v>136</v>
      </c>
      <c r="AF415" s="8">
        <v>1</v>
      </c>
      <c r="AG415" s="8">
        <v>1</v>
      </c>
      <c r="AH415" s="8">
        <v>1</v>
      </c>
      <c r="AI415" s="8">
        <v>1</v>
      </c>
      <c r="AJ415" s="8">
        <v>1</v>
      </c>
      <c r="AK415" s="10">
        <v>23</v>
      </c>
      <c r="AL415" s="11">
        <v>23</v>
      </c>
      <c r="AM415" s="13">
        <v>23</v>
      </c>
      <c r="AN415" s="13">
        <v>0</v>
      </c>
      <c r="AO415" s="7" t="e">
        <v>#N/A</v>
      </c>
    </row>
    <row r="416" spans="1:41">
      <c r="A416" s="8" t="s">
        <v>910</v>
      </c>
      <c r="B416" s="8" t="s">
        <v>953</v>
      </c>
      <c r="C416" s="8" t="s">
        <v>970</v>
      </c>
      <c r="D416" s="8" t="s">
        <v>971</v>
      </c>
      <c r="E416" s="8" t="s">
        <v>135</v>
      </c>
      <c r="F416" s="8">
        <v>1</v>
      </c>
      <c r="G416" s="8">
        <v>1</v>
      </c>
      <c r="H416" s="8">
        <v>1</v>
      </c>
      <c r="I416" s="8" t="s">
        <v>136</v>
      </c>
      <c r="J416" s="8" t="s">
        <v>136</v>
      </c>
      <c r="K416" s="8">
        <v>1</v>
      </c>
      <c r="L416" s="8">
        <v>1</v>
      </c>
      <c r="M416" s="8">
        <v>1</v>
      </c>
      <c r="N416" s="8">
        <v>1</v>
      </c>
      <c r="O416" s="8">
        <v>1</v>
      </c>
      <c r="P416" s="8" t="s">
        <v>136</v>
      </c>
      <c r="Q416" s="8" t="s">
        <v>136</v>
      </c>
      <c r="R416" s="8">
        <v>1</v>
      </c>
      <c r="S416" s="8">
        <v>1</v>
      </c>
      <c r="T416" s="8">
        <v>1</v>
      </c>
      <c r="U416" s="8">
        <v>1</v>
      </c>
      <c r="V416" s="8">
        <v>1</v>
      </c>
      <c r="W416" s="8" t="s">
        <v>136</v>
      </c>
      <c r="X416" s="8" t="s">
        <v>136</v>
      </c>
      <c r="Y416" s="8">
        <v>1</v>
      </c>
      <c r="Z416" s="8">
        <v>1</v>
      </c>
      <c r="AA416" s="8">
        <v>1</v>
      </c>
      <c r="AB416" s="8">
        <v>1</v>
      </c>
      <c r="AC416" s="8">
        <v>1</v>
      </c>
      <c r="AD416" s="8" t="s">
        <v>136</v>
      </c>
      <c r="AE416" s="8" t="s">
        <v>136</v>
      </c>
      <c r="AF416" s="8">
        <v>1</v>
      </c>
      <c r="AG416" s="8">
        <v>1</v>
      </c>
      <c r="AH416" s="8">
        <v>1</v>
      </c>
      <c r="AI416" s="8">
        <v>1</v>
      </c>
      <c r="AJ416" s="8">
        <v>1</v>
      </c>
      <c r="AK416" s="10">
        <v>23</v>
      </c>
      <c r="AL416" s="11">
        <v>23</v>
      </c>
      <c r="AM416" s="13">
        <v>23</v>
      </c>
      <c r="AN416" s="13">
        <v>0</v>
      </c>
      <c r="AO416" s="7" t="e">
        <v>#N/A</v>
      </c>
    </row>
    <row r="417" spans="1:41">
      <c r="A417" s="8" t="s">
        <v>910</v>
      </c>
      <c r="B417" s="8" t="s">
        <v>953</v>
      </c>
      <c r="C417" s="8" t="s">
        <v>972</v>
      </c>
      <c r="D417" s="8" t="s">
        <v>973</v>
      </c>
      <c r="E417" s="8" t="s">
        <v>135</v>
      </c>
      <c r="F417" s="8">
        <v>1</v>
      </c>
      <c r="G417" s="8">
        <v>1</v>
      </c>
      <c r="H417" s="8">
        <v>1</v>
      </c>
      <c r="I417" s="8" t="s">
        <v>136</v>
      </c>
      <c r="J417" s="8" t="s">
        <v>136</v>
      </c>
      <c r="K417" s="8">
        <v>1</v>
      </c>
      <c r="L417" s="8">
        <v>1</v>
      </c>
      <c r="M417" s="8">
        <v>1</v>
      </c>
      <c r="N417" s="8">
        <v>1</v>
      </c>
      <c r="O417" s="8">
        <v>1</v>
      </c>
      <c r="P417" s="8" t="s">
        <v>136</v>
      </c>
      <c r="Q417" s="8" t="s">
        <v>136</v>
      </c>
      <c r="R417" s="8">
        <v>1</v>
      </c>
      <c r="S417" s="8">
        <v>1</v>
      </c>
      <c r="T417" s="8">
        <v>1</v>
      </c>
      <c r="U417" s="8">
        <v>1</v>
      </c>
      <c r="V417" s="8">
        <v>1</v>
      </c>
      <c r="W417" s="8" t="s">
        <v>136</v>
      </c>
      <c r="X417" s="8" t="s">
        <v>136</v>
      </c>
      <c r="Y417" s="8">
        <v>1</v>
      </c>
      <c r="Z417" s="8">
        <v>1</v>
      </c>
      <c r="AA417" s="8">
        <v>1</v>
      </c>
      <c r="AB417" s="8">
        <v>1</v>
      </c>
      <c r="AC417" s="8">
        <v>1</v>
      </c>
      <c r="AD417" s="8" t="s">
        <v>136</v>
      </c>
      <c r="AE417" s="8" t="s">
        <v>136</v>
      </c>
      <c r="AF417" s="8">
        <v>1</v>
      </c>
      <c r="AG417" s="8">
        <v>1</v>
      </c>
      <c r="AH417" s="8">
        <v>1</v>
      </c>
      <c r="AI417" s="8">
        <v>1</v>
      </c>
      <c r="AJ417" s="8">
        <v>1</v>
      </c>
      <c r="AK417" s="10">
        <v>23</v>
      </c>
      <c r="AL417" s="11">
        <v>23</v>
      </c>
      <c r="AM417" s="13">
        <v>23</v>
      </c>
      <c r="AN417" s="13">
        <v>0</v>
      </c>
      <c r="AO417" s="7" t="e">
        <v>#N/A</v>
      </c>
    </row>
    <row r="418" spans="1:41">
      <c r="A418" s="8" t="s">
        <v>910</v>
      </c>
      <c r="B418" s="8" t="s">
        <v>953</v>
      </c>
      <c r="C418" s="8" t="s">
        <v>974</v>
      </c>
      <c r="D418" s="8" t="s">
        <v>975</v>
      </c>
      <c r="E418" s="8" t="s">
        <v>135</v>
      </c>
      <c r="F418" s="8">
        <v>1</v>
      </c>
      <c r="G418" s="8">
        <v>1</v>
      </c>
      <c r="H418" s="8">
        <v>1</v>
      </c>
      <c r="I418" s="8" t="s">
        <v>136</v>
      </c>
      <c r="J418" s="8" t="s">
        <v>136</v>
      </c>
      <c r="K418" s="8">
        <v>1</v>
      </c>
      <c r="L418" s="8">
        <v>1</v>
      </c>
      <c r="M418" s="8">
        <v>1</v>
      </c>
      <c r="N418" s="8">
        <v>1</v>
      </c>
      <c r="O418" s="8">
        <v>1</v>
      </c>
      <c r="P418" s="8" t="s">
        <v>136</v>
      </c>
      <c r="Q418" s="8" t="s">
        <v>136</v>
      </c>
      <c r="R418" s="8">
        <v>1</v>
      </c>
      <c r="S418" s="8">
        <v>1</v>
      </c>
      <c r="T418" s="8">
        <v>1</v>
      </c>
      <c r="U418" s="8">
        <v>1</v>
      </c>
      <c r="V418" s="8">
        <v>1</v>
      </c>
      <c r="W418" s="8" t="s">
        <v>136</v>
      </c>
      <c r="X418" s="8" t="s">
        <v>136</v>
      </c>
      <c r="Y418" s="8">
        <v>1</v>
      </c>
      <c r="Z418" s="8">
        <v>1</v>
      </c>
      <c r="AA418" s="8">
        <v>1</v>
      </c>
      <c r="AB418" s="8">
        <v>1</v>
      </c>
      <c r="AC418" s="8">
        <v>1</v>
      </c>
      <c r="AD418" s="8" t="s">
        <v>136</v>
      </c>
      <c r="AE418" s="8" t="s">
        <v>136</v>
      </c>
      <c r="AF418" s="8">
        <v>1</v>
      </c>
      <c r="AG418" s="8">
        <v>1</v>
      </c>
      <c r="AH418" s="8">
        <v>1</v>
      </c>
      <c r="AI418" s="8">
        <v>1</v>
      </c>
      <c r="AJ418" s="8">
        <v>1</v>
      </c>
      <c r="AK418" s="10">
        <v>23</v>
      </c>
      <c r="AL418" s="11">
        <v>23</v>
      </c>
      <c r="AM418" s="13">
        <v>23</v>
      </c>
      <c r="AN418" s="13">
        <v>0</v>
      </c>
      <c r="AO418" s="7" t="e">
        <v>#N/A</v>
      </c>
    </row>
    <row r="419" spans="1:41">
      <c r="A419" s="8" t="s">
        <v>910</v>
      </c>
      <c r="B419" s="8" t="s">
        <v>953</v>
      </c>
      <c r="C419" s="8" t="s">
        <v>976</v>
      </c>
      <c r="D419" s="8" t="s">
        <v>977</v>
      </c>
      <c r="E419" s="8" t="s">
        <v>135</v>
      </c>
      <c r="F419" s="8">
        <v>1</v>
      </c>
      <c r="G419" s="8">
        <v>1</v>
      </c>
      <c r="H419" s="8">
        <v>1</v>
      </c>
      <c r="I419" s="8" t="s">
        <v>136</v>
      </c>
      <c r="J419" s="8" t="s">
        <v>136</v>
      </c>
      <c r="K419" s="8">
        <v>1</v>
      </c>
      <c r="L419" s="8">
        <v>1</v>
      </c>
      <c r="M419" s="8">
        <v>1</v>
      </c>
      <c r="N419" s="8">
        <v>1</v>
      </c>
      <c r="O419" s="8">
        <v>1</v>
      </c>
      <c r="P419" s="8" t="s">
        <v>136</v>
      </c>
      <c r="Q419" s="8" t="s">
        <v>136</v>
      </c>
      <c r="R419" s="8">
        <v>1</v>
      </c>
      <c r="S419" s="8">
        <v>1</v>
      </c>
      <c r="T419" s="8">
        <v>1</v>
      </c>
      <c r="U419" s="8">
        <v>1</v>
      </c>
      <c r="V419" s="8">
        <v>1</v>
      </c>
      <c r="W419" s="8" t="s">
        <v>136</v>
      </c>
      <c r="X419" s="8" t="s">
        <v>136</v>
      </c>
      <c r="Y419" s="8">
        <v>1</v>
      </c>
      <c r="Z419" s="8">
        <v>1</v>
      </c>
      <c r="AA419" s="8">
        <v>1</v>
      </c>
      <c r="AB419" s="8">
        <v>1</v>
      </c>
      <c r="AC419" s="8">
        <v>1</v>
      </c>
      <c r="AD419" s="8" t="s">
        <v>136</v>
      </c>
      <c r="AE419" s="8" t="s">
        <v>136</v>
      </c>
      <c r="AF419" s="8">
        <v>0</v>
      </c>
      <c r="AG419" s="8">
        <v>0</v>
      </c>
      <c r="AH419" s="8">
        <v>0</v>
      </c>
      <c r="AI419" s="8">
        <v>0</v>
      </c>
      <c r="AJ419" s="8">
        <v>0</v>
      </c>
      <c r="AK419" s="10">
        <v>23</v>
      </c>
      <c r="AL419" s="11">
        <v>18</v>
      </c>
      <c r="AM419" s="13">
        <v>18</v>
      </c>
      <c r="AN419" s="13">
        <v>0</v>
      </c>
      <c r="AO419" s="7" t="e">
        <v>#N/A</v>
      </c>
    </row>
    <row r="420" spans="1:41">
      <c r="A420" s="8" t="s">
        <v>910</v>
      </c>
      <c r="B420" s="8" t="s">
        <v>953</v>
      </c>
      <c r="C420" s="8" t="s">
        <v>978</v>
      </c>
      <c r="D420" s="8" t="s">
        <v>979</v>
      </c>
      <c r="E420" s="8" t="s">
        <v>135</v>
      </c>
      <c r="F420" s="8">
        <v>1</v>
      </c>
      <c r="G420" s="8">
        <v>1</v>
      </c>
      <c r="H420" s="8">
        <v>1</v>
      </c>
      <c r="I420" s="8" t="s">
        <v>136</v>
      </c>
      <c r="J420" s="8" t="s">
        <v>136</v>
      </c>
      <c r="K420" s="8">
        <v>1</v>
      </c>
      <c r="L420" s="8">
        <v>1</v>
      </c>
      <c r="M420" s="8">
        <v>1</v>
      </c>
      <c r="N420" s="8">
        <v>1</v>
      </c>
      <c r="O420" s="8">
        <v>1</v>
      </c>
      <c r="P420" s="8" t="s">
        <v>136</v>
      </c>
      <c r="Q420" s="8" t="s">
        <v>136</v>
      </c>
      <c r="R420" s="8">
        <v>1</v>
      </c>
      <c r="S420" s="8">
        <v>1</v>
      </c>
      <c r="T420" s="8">
        <v>1</v>
      </c>
      <c r="U420" s="8">
        <v>1</v>
      </c>
      <c r="V420" s="8">
        <v>1</v>
      </c>
      <c r="W420" s="8" t="s">
        <v>136</v>
      </c>
      <c r="X420" s="8" t="s">
        <v>136</v>
      </c>
      <c r="Y420" s="8">
        <v>1</v>
      </c>
      <c r="Z420" s="8">
        <v>1</v>
      </c>
      <c r="AA420" s="8">
        <v>1</v>
      </c>
      <c r="AB420" s="8">
        <v>1</v>
      </c>
      <c r="AC420" s="8">
        <v>1</v>
      </c>
      <c r="AD420" s="8" t="s">
        <v>136</v>
      </c>
      <c r="AE420" s="8" t="s">
        <v>136</v>
      </c>
      <c r="AF420" s="8">
        <v>1</v>
      </c>
      <c r="AG420" s="8">
        <v>1</v>
      </c>
      <c r="AH420" s="8">
        <v>1</v>
      </c>
      <c r="AI420" s="8">
        <v>1</v>
      </c>
      <c r="AJ420" s="8">
        <v>1</v>
      </c>
      <c r="AK420" s="10">
        <v>23</v>
      </c>
      <c r="AL420" s="11">
        <v>23</v>
      </c>
      <c r="AM420" s="13">
        <v>23</v>
      </c>
      <c r="AN420" s="13">
        <v>0</v>
      </c>
      <c r="AO420" s="7" t="e">
        <v>#N/A</v>
      </c>
    </row>
    <row r="421" spans="1:41">
      <c r="A421" s="8" t="s">
        <v>910</v>
      </c>
      <c r="B421" s="8" t="s">
        <v>953</v>
      </c>
      <c r="C421" s="8" t="s">
        <v>980</v>
      </c>
      <c r="D421" s="8" t="s">
        <v>981</v>
      </c>
      <c r="E421" s="8" t="s">
        <v>135</v>
      </c>
      <c r="F421" s="8">
        <v>1</v>
      </c>
      <c r="G421" s="8">
        <v>1</v>
      </c>
      <c r="H421" s="8">
        <v>1</v>
      </c>
      <c r="I421" s="8" t="s">
        <v>136</v>
      </c>
      <c r="J421" s="8" t="s">
        <v>136</v>
      </c>
      <c r="K421" s="8">
        <v>1</v>
      </c>
      <c r="L421" s="8">
        <v>1</v>
      </c>
      <c r="M421" s="8">
        <v>1</v>
      </c>
      <c r="N421" s="8">
        <v>1</v>
      </c>
      <c r="O421" s="8">
        <v>1</v>
      </c>
      <c r="P421" s="8" t="s">
        <v>136</v>
      </c>
      <c r="Q421" s="8" t="s">
        <v>136</v>
      </c>
      <c r="R421" s="8">
        <v>1</v>
      </c>
      <c r="S421" s="8">
        <v>1</v>
      </c>
      <c r="T421" s="8">
        <v>1</v>
      </c>
      <c r="U421" s="8">
        <v>1</v>
      </c>
      <c r="V421" s="8">
        <v>1</v>
      </c>
      <c r="W421" s="8" t="s">
        <v>136</v>
      </c>
      <c r="X421" s="8" t="s">
        <v>136</v>
      </c>
      <c r="Y421" s="8">
        <v>1</v>
      </c>
      <c r="Z421" s="8">
        <v>1</v>
      </c>
      <c r="AA421" s="8">
        <v>1</v>
      </c>
      <c r="AB421" s="8">
        <v>1</v>
      </c>
      <c r="AC421" s="8">
        <v>1</v>
      </c>
      <c r="AD421" s="8" t="s">
        <v>136</v>
      </c>
      <c r="AE421" s="8" t="s">
        <v>136</v>
      </c>
      <c r="AF421" s="8">
        <v>1</v>
      </c>
      <c r="AG421" s="8">
        <v>1</v>
      </c>
      <c r="AH421" s="8">
        <v>1</v>
      </c>
      <c r="AI421" s="8">
        <v>1</v>
      </c>
      <c r="AJ421" s="8">
        <v>1</v>
      </c>
      <c r="AK421" s="10">
        <v>23</v>
      </c>
      <c r="AL421" s="11">
        <v>23</v>
      </c>
      <c r="AM421" s="13">
        <v>23</v>
      </c>
      <c r="AN421" s="13">
        <v>0</v>
      </c>
      <c r="AO421" s="7" t="e">
        <v>#N/A</v>
      </c>
    </row>
    <row r="422" spans="1:41">
      <c r="A422" s="8" t="s">
        <v>910</v>
      </c>
      <c r="B422" s="8" t="s">
        <v>953</v>
      </c>
      <c r="C422" s="8" t="s">
        <v>982</v>
      </c>
      <c r="D422" s="8" t="s">
        <v>983</v>
      </c>
      <c r="E422" s="8" t="s">
        <v>135</v>
      </c>
      <c r="F422" s="8">
        <v>1</v>
      </c>
      <c r="G422" s="8">
        <v>1</v>
      </c>
      <c r="H422" s="8">
        <v>1</v>
      </c>
      <c r="I422" s="8" t="s">
        <v>136</v>
      </c>
      <c r="J422" s="8" t="s">
        <v>136</v>
      </c>
      <c r="K422" s="8">
        <v>1</v>
      </c>
      <c r="L422" s="8">
        <v>1</v>
      </c>
      <c r="M422" s="8">
        <v>1</v>
      </c>
      <c r="N422" s="8">
        <v>1</v>
      </c>
      <c r="O422" s="8">
        <v>1</v>
      </c>
      <c r="P422" s="8" t="s">
        <v>136</v>
      </c>
      <c r="Q422" s="8" t="s">
        <v>136</v>
      </c>
      <c r="R422" s="8">
        <v>1</v>
      </c>
      <c r="S422" s="8">
        <v>1</v>
      </c>
      <c r="T422" s="8">
        <v>1</v>
      </c>
      <c r="U422" s="8">
        <v>1</v>
      </c>
      <c r="V422" s="8">
        <v>1</v>
      </c>
      <c r="W422" s="8" t="s">
        <v>136</v>
      </c>
      <c r="X422" s="8" t="s">
        <v>136</v>
      </c>
      <c r="Y422" s="8">
        <v>1</v>
      </c>
      <c r="Z422" s="8">
        <v>1</v>
      </c>
      <c r="AA422" s="8">
        <v>1</v>
      </c>
      <c r="AB422" s="8">
        <v>1</v>
      </c>
      <c r="AC422" s="8">
        <v>1</v>
      </c>
      <c r="AD422" s="8" t="s">
        <v>136</v>
      </c>
      <c r="AE422" s="8" t="s">
        <v>136</v>
      </c>
      <c r="AF422" s="8">
        <v>1</v>
      </c>
      <c r="AG422" s="8">
        <v>1</v>
      </c>
      <c r="AH422" s="8">
        <v>1</v>
      </c>
      <c r="AI422" s="8">
        <v>1</v>
      </c>
      <c r="AJ422" s="8">
        <v>1</v>
      </c>
      <c r="AK422" s="10">
        <v>23</v>
      </c>
      <c r="AL422" s="11">
        <v>23</v>
      </c>
      <c r="AM422" s="13">
        <v>23</v>
      </c>
      <c r="AN422" s="13">
        <v>0</v>
      </c>
      <c r="AO422" s="7" t="e">
        <v>#N/A</v>
      </c>
    </row>
    <row r="423" spans="1:41">
      <c r="A423" s="8" t="s">
        <v>910</v>
      </c>
      <c r="B423" s="8" t="s">
        <v>953</v>
      </c>
      <c r="C423" s="8" t="s">
        <v>984</v>
      </c>
      <c r="D423" s="8" t="s">
        <v>985</v>
      </c>
      <c r="E423" s="8" t="s">
        <v>135</v>
      </c>
      <c r="F423" s="8">
        <v>1</v>
      </c>
      <c r="G423" s="8">
        <v>1</v>
      </c>
      <c r="H423" s="8">
        <v>1</v>
      </c>
      <c r="I423" s="8" t="s">
        <v>136</v>
      </c>
      <c r="J423" s="8" t="s">
        <v>136</v>
      </c>
      <c r="K423" s="8">
        <v>1</v>
      </c>
      <c r="L423" s="8">
        <v>1</v>
      </c>
      <c r="M423" s="8">
        <v>1</v>
      </c>
      <c r="N423" s="8">
        <v>1</v>
      </c>
      <c r="O423" s="8">
        <v>1</v>
      </c>
      <c r="P423" s="8" t="s">
        <v>136</v>
      </c>
      <c r="Q423" s="8" t="s">
        <v>136</v>
      </c>
      <c r="R423" s="8">
        <v>1</v>
      </c>
      <c r="S423" s="8">
        <v>1</v>
      </c>
      <c r="T423" s="8">
        <v>1</v>
      </c>
      <c r="U423" s="8">
        <v>1</v>
      </c>
      <c r="V423" s="8">
        <v>1</v>
      </c>
      <c r="W423" s="8" t="s">
        <v>136</v>
      </c>
      <c r="X423" s="8" t="s">
        <v>136</v>
      </c>
      <c r="Y423" s="8">
        <v>1</v>
      </c>
      <c r="Z423" s="8">
        <v>1</v>
      </c>
      <c r="AA423" s="8">
        <v>1</v>
      </c>
      <c r="AB423" s="8">
        <v>1</v>
      </c>
      <c r="AC423" s="8">
        <v>1</v>
      </c>
      <c r="AD423" s="8" t="s">
        <v>136</v>
      </c>
      <c r="AE423" s="8" t="s">
        <v>136</v>
      </c>
      <c r="AF423" s="8">
        <v>1</v>
      </c>
      <c r="AG423" s="8">
        <v>1</v>
      </c>
      <c r="AH423" s="8">
        <v>1</v>
      </c>
      <c r="AI423" s="8">
        <v>1</v>
      </c>
      <c r="AJ423" s="8">
        <v>1</v>
      </c>
      <c r="AK423" s="10">
        <v>23</v>
      </c>
      <c r="AL423" s="11">
        <v>23</v>
      </c>
      <c r="AM423" s="13">
        <v>23</v>
      </c>
      <c r="AN423" s="13">
        <v>0</v>
      </c>
      <c r="AO423" s="7" t="e">
        <v>#N/A</v>
      </c>
    </row>
    <row r="424" spans="1:41">
      <c r="A424" s="8" t="s">
        <v>910</v>
      </c>
      <c r="B424" s="8" t="s">
        <v>953</v>
      </c>
      <c r="C424" s="8" t="s">
        <v>986</v>
      </c>
      <c r="D424" s="8" t="s">
        <v>987</v>
      </c>
      <c r="E424" s="8" t="s">
        <v>135</v>
      </c>
      <c r="F424" s="8">
        <v>1</v>
      </c>
      <c r="G424" s="8">
        <v>1</v>
      </c>
      <c r="H424" s="8">
        <v>1</v>
      </c>
      <c r="I424" s="8" t="s">
        <v>136</v>
      </c>
      <c r="J424" s="8" t="s">
        <v>136</v>
      </c>
      <c r="K424" s="8">
        <v>1</v>
      </c>
      <c r="L424" s="8">
        <v>1</v>
      </c>
      <c r="M424" s="8">
        <v>1</v>
      </c>
      <c r="N424" s="8">
        <v>1</v>
      </c>
      <c r="O424" s="8">
        <v>1</v>
      </c>
      <c r="P424" s="8" t="s">
        <v>136</v>
      </c>
      <c r="Q424" s="8" t="s">
        <v>136</v>
      </c>
      <c r="R424" s="8">
        <v>1</v>
      </c>
      <c r="S424" s="8">
        <v>1</v>
      </c>
      <c r="T424" s="8">
        <v>1</v>
      </c>
      <c r="U424" s="8">
        <v>1</v>
      </c>
      <c r="V424" s="8">
        <v>1</v>
      </c>
      <c r="W424" s="8" t="s">
        <v>136</v>
      </c>
      <c r="X424" s="8" t="s">
        <v>136</v>
      </c>
      <c r="Y424" s="8">
        <v>1</v>
      </c>
      <c r="Z424" s="8">
        <v>1</v>
      </c>
      <c r="AA424" s="8">
        <v>1</v>
      </c>
      <c r="AB424" s="8">
        <v>1</v>
      </c>
      <c r="AC424" s="8">
        <v>1</v>
      </c>
      <c r="AD424" s="8" t="s">
        <v>136</v>
      </c>
      <c r="AE424" s="8" t="s">
        <v>136</v>
      </c>
      <c r="AF424" s="8">
        <v>1</v>
      </c>
      <c r="AG424" s="8">
        <v>1</v>
      </c>
      <c r="AH424" s="8">
        <v>1</v>
      </c>
      <c r="AI424" s="8">
        <v>1</v>
      </c>
      <c r="AJ424" s="8">
        <v>1</v>
      </c>
      <c r="AK424" s="10">
        <v>23</v>
      </c>
      <c r="AL424" s="11">
        <v>23</v>
      </c>
      <c r="AM424" s="13">
        <v>23</v>
      </c>
      <c r="AN424" s="13">
        <v>0</v>
      </c>
      <c r="AO424" s="7" t="e">
        <v>#N/A</v>
      </c>
    </row>
    <row r="425" spans="1:41">
      <c r="A425" s="8" t="s">
        <v>910</v>
      </c>
      <c r="B425" s="8" t="s">
        <v>953</v>
      </c>
      <c r="C425" s="8" t="s">
        <v>988</v>
      </c>
      <c r="D425" s="8" t="s">
        <v>989</v>
      </c>
      <c r="E425" s="8" t="s">
        <v>135</v>
      </c>
      <c r="F425" s="8">
        <v>1</v>
      </c>
      <c r="G425" s="8">
        <v>1</v>
      </c>
      <c r="H425" s="8">
        <v>1</v>
      </c>
      <c r="I425" s="8" t="s">
        <v>136</v>
      </c>
      <c r="J425" s="8" t="s">
        <v>136</v>
      </c>
      <c r="K425" s="8">
        <v>1</v>
      </c>
      <c r="L425" s="8">
        <v>1</v>
      </c>
      <c r="M425" s="8">
        <v>1</v>
      </c>
      <c r="N425" s="8">
        <v>1</v>
      </c>
      <c r="O425" s="8">
        <v>1</v>
      </c>
      <c r="P425" s="8" t="s">
        <v>136</v>
      </c>
      <c r="Q425" s="8" t="s">
        <v>136</v>
      </c>
      <c r="R425" s="8">
        <v>1</v>
      </c>
      <c r="S425" s="8">
        <v>1</v>
      </c>
      <c r="T425" s="8">
        <v>1</v>
      </c>
      <c r="U425" s="8">
        <v>1</v>
      </c>
      <c r="V425" s="8">
        <v>1</v>
      </c>
      <c r="W425" s="8" t="s">
        <v>136</v>
      </c>
      <c r="X425" s="8" t="s">
        <v>136</v>
      </c>
      <c r="Y425" s="8">
        <v>1</v>
      </c>
      <c r="Z425" s="8">
        <v>1</v>
      </c>
      <c r="AA425" s="8">
        <v>1</v>
      </c>
      <c r="AB425" s="8">
        <v>1</v>
      </c>
      <c r="AC425" s="8">
        <v>1</v>
      </c>
      <c r="AD425" s="8" t="s">
        <v>136</v>
      </c>
      <c r="AE425" s="8" t="s">
        <v>136</v>
      </c>
      <c r="AF425" s="8">
        <v>1</v>
      </c>
      <c r="AG425" s="8">
        <v>1</v>
      </c>
      <c r="AH425" s="8">
        <v>1</v>
      </c>
      <c r="AI425" s="8">
        <v>1</v>
      </c>
      <c r="AJ425" s="8">
        <v>1</v>
      </c>
      <c r="AK425" s="10">
        <v>23</v>
      </c>
      <c r="AL425" s="11">
        <v>23</v>
      </c>
      <c r="AM425" s="13">
        <v>23</v>
      </c>
      <c r="AN425" s="13">
        <v>0</v>
      </c>
      <c r="AO425" s="7" t="e">
        <v>#N/A</v>
      </c>
    </row>
    <row r="426" spans="1:41">
      <c r="A426" s="8" t="s">
        <v>910</v>
      </c>
      <c r="B426" s="8" t="s">
        <v>953</v>
      </c>
      <c r="C426" s="8" t="s">
        <v>990</v>
      </c>
      <c r="D426" s="8" t="s">
        <v>991</v>
      </c>
      <c r="E426" s="8" t="s">
        <v>135</v>
      </c>
      <c r="F426" s="8">
        <v>1</v>
      </c>
      <c r="G426" s="8">
        <v>1</v>
      </c>
      <c r="H426" s="8">
        <v>1</v>
      </c>
      <c r="I426" s="8" t="s">
        <v>136</v>
      </c>
      <c r="J426" s="8" t="s">
        <v>136</v>
      </c>
      <c r="K426" s="8">
        <v>1</v>
      </c>
      <c r="L426" s="8">
        <v>1</v>
      </c>
      <c r="M426" s="8">
        <v>1</v>
      </c>
      <c r="N426" s="8">
        <v>1</v>
      </c>
      <c r="O426" s="8">
        <v>1</v>
      </c>
      <c r="P426" s="8" t="s">
        <v>136</v>
      </c>
      <c r="Q426" s="8" t="s">
        <v>136</v>
      </c>
      <c r="R426" s="8">
        <v>1</v>
      </c>
      <c r="S426" s="8">
        <v>1</v>
      </c>
      <c r="T426" s="8">
        <v>1</v>
      </c>
      <c r="U426" s="8">
        <v>1</v>
      </c>
      <c r="V426" s="8">
        <v>1</v>
      </c>
      <c r="W426" s="8" t="s">
        <v>136</v>
      </c>
      <c r="X426" s="8" t="s">
        <v>136</v>
      </c>
      <c r="Y426" s="8">
        <v>1</v>
      </c>
      <c r="Z426" s="8">
        <v>1</v>
      </c>
      <c r="AA426" s="8">
        <v>1</v>
      </c>
      <c r="AB426" s="8">
        <v>1</v>
      </c>
      <c r="AC426" s="8">
        <v>1</v>
      </c>
      <c r="AD426" s="8" t="s">
        <v>136</v>
      </c>
      <c r="AE426" s="8" t="s">
        <v>136</v>
      </c>
      <c r="AF426" s="8">
        <v>1</v>
      </c>
      <c r="AG426" s="8">
        <v>1</v>
      </c>
      <c r="AH426" s="8">
        <v>1</v>
      </c>
      <c r="AI426" s="8">
        <v>1</v>
      </c>
      <c r="AJ426" s="8">
        <v>1</v>
      </c>
      <c r="AK426" s="10">
        <v>23</v>
      </c>
      <c r="AL426" s="11">
        <v>23</v>
      </c>
      <c r="AM426" s="13">
        <v>23</v>
      </c>
      <c r="AN426" s="13">
        <v>0</v>
      </c>
      <c r="AO426" s="7" t="e">
        <v>#N/A</v>
      </c>
    </row>
    <row r="427" spans="1:41">
      <c r="A427" s="8" t="s">
        <v>910</v>
      </c>
      <c r="B427" s="8" t="s">
        <v>953</v>
      </c>
      <c r="C427" s="8" t="s">
        <v>992</v>
      </c>
      <c r="D427" s="8" t="s">
        <v>993</v>
      </c>
      <c r="E427" s="8" t="s">
        <v>135</v>
      </c>
      <c r="F427" s="8">
        <v>1</v>
      </c>
      <c r="G427" s="8">
        <v>1</v>
      </c>
      <c r="H427" s="8">
        <v>1</v>
      </c>
      <c r="I427" s="8" t="s">
        <v>136</v>
      </c>
      <c r="J427" s="8" t="s">
        <v>136</v>
      </c>
      <c r="K427" s="8">
        <v>1</v>
      </c>
      <c r="L427" s="8">
        <v>1</v>
      </c>
      <c r="M427" s="8">
        <v>1</v>
      </c>
      <c r="N427" s="8">
        <v>1</v>
      </c>
      <c r="O427" s="8">
        <v>1</v>
      </c>
      <c r="P427" s="8" t="s">
        <v>136</v>
      </c>
      <c r="Q427" s="8" t="s">
        <v>136</v>
      </c>
      <c r="R427" s="8">
        <v>1</v>
      </c>
      <c r="S427" s="8">
        <v>1</v>
      </c>
      <c r="T427" s="8">
        <v>1</v>
      </c>
      <c r="U427" s="8">
        <v>1</v>
      </c>
      <c r="V427" s="8">
        <v>1</v>
      </c>
      <c r="W427" s="8" t="s">
        <v>136</v>
      </c>
      <c r="X427" s="8" t="s">
        <v>136</v>
      </c>
      <c r="Y427" s="8">
        <v>1</v>
      </c>
      <c r="Z427" s="8">
        <v>1</v>
      </c>
      <c r="AA427" s="8">
        <v>1</v>
      </c>
      <c r="AB427" s="8">
        <v>1</v>
      </c>
      <c r="AC427" s="8">
        <v>1</v>
      </c>
      <c r="AD427" s="8" t="s">
        <v>136</v>
      </c>
      <c r="AE427" s="8" t="s">
        <v>136</v>
      </c>
      <c r="AF427" s="8">
        <v>1</v>
      </c>
      <c r="AG427" s="8">
        <v>1</v>
      </c>
      <c r="AH427" s="8">
        <v>1</v>
      </c>
      <c r="AI427" s="8">
        <v>1</v>
      </c>
      <c r="AJ427" s="8">
        <v>1</v>
      </c>
      <c r="AK427" s="10">
        <v>23</v>
      </c>
      <c r="AL427" s="11">
        <v>23</v>
      </c>
      <c r="AM427" s="13">
        <v>23</v>
      </c>
      <c r="AN427" s="13">
        <v>0</v>
      </c>
      <c r="AO427" s="7" t="e">
        <v>#N/A</v>
      </c>
    </row>
    <row r="428" spans="1:41">
      <c r="A428" s="8" t="s">
        <v>910</v>
      </c>
      <c r="B428" s="8" t="s">
        <v>953</v>
      </c>
      <c r="C428" s="8" t="s">
        <v>994</v>
      </c>
      <c r="D428" s="8" t="s">
        <v>880</v>
      </c>
      <c r="E428" s="8" t="s">
        <v>135</v>
      </c>
      <c r="F428" s="8">
        <v>1</v>
      </c>
      <c r="G428" s="8">
        <v>1</v>
      </c>
      <c r="H428" s="8">
        <v>1</v>
      </c>
      <c r="I428" s="8" t="s">
        <v>136</v>
      </c>
      <c r="J428" s="8" t="s">
        <v>136</v>
      </c>
      <c r="K428" s="8">
        <v>1</v>
      </c>
      <c r="L428" s="8">
        <v>1</v>
      </c>
      <c r="M428" s="8">
        <v>1</v>
      </c>
      <c r="N428" s="8">
        <v>1</v>
      </c>
      <c r="O428" s="8">
        <v>1</v>
      </c>
      <c r="P428" s="8" t="s">
        <v>136</v>
      </c>
      <c r="Q428" s="8" t="s">
        <v>136</v>
      </c>
      <c r="R428" s="8">
        <v>1</v>
      </c>
      <c r="S428" s="8">
        <v>1</v>
      </c>
      <c r="T428" s="8">
        <v>1</v>
      </c>
      <c r="U428" s="8">
        <v>1</v>
      </c>
      <c r="V428" s="8">
        <v>1</v>
      </c>
      <c r="W428" s="8" t="s">
        <v>136</v>
      </c>
      <c r="X428" s="8" t="s">
        <v>136</v>
      </c>
      <c r="Y428" s="8">
        <v>1</v>
      </c>
      <c r="Z428" s="8">
        <v>1</v>
      </c>
      <c r="AA428" s="8">
        <v>1</v>
      </c>
      <c r="AB428" s="8">
        <v>1</v>
      </c>
      <c r="AC428" s="8">
        <v>1</v>
      </c>
      <c r="AD428" s="8" t="s">
        <v>136</v>
      </c>
      <c r="AE428" s="8" t="s">
        <v>136</v>
      </c>
      <c r="AF428" s="8">
        <v>1</v>
      </c>
      <c r="AG428" s="8">
        <v>1</v>
      </c>
      <c r="AH428" s="8">
        <v>1</v>
      </c>
      <c r="AI428" s="8">
        <v>1</v>
      </c>
      <c r="AJ428" s="8">
        <v>1</v>
      </c>
      <c r="AK428" s="10">
        <v>23</v>
      </c>
      <c r="AL428" s="11">
        <v>23</v>
      </c>
      <c r="AM428" s="13">
        <v>23</v>
      </c>
      <c r="AN428" s="13">
        <v>0</v>
      </c>
      <c r="AO428" s="7" t="e">
        <v>#N/A</v>
      </c>
    </row>
    <row r="429" spans="1:41">
      <c r="A429" s="8" t="s">
        <v>910</v>
      </c>
      <c r="B429" s="8" t="s">
        <v>953</v>
      </c>
      <c r="C429" s="8" t="s">
        <v>995</v>
      </c>
      <c r="D429" s="8" t="s">
        <v>996</v>
      </c>
      <c r="E429" s="8" t="s">
        <v>135</v>
      </c>
      <c r="F429" s="8">
        <v>1</v>
      </c>
      <c r="G429" s="8">
        <v>1</v>
      </c>
      <c r="H429" s="8">
        <v>1</v>
      </c>
      <c r="I429" s="8" t="s">
        <v>136</v>
      </c>
      <c r="J429" s="8" t="s">
        <v>136</v>
      </c>
      <c r="K429" s="8">
        <v>1</v>
      </c>
      <c r="L429" s="8">
        <v>1</v>
      </c>
      <c r="M429" s="8">
        <v>1</v>
      </c>
      <c r="N429" s="8">
        <v>1</v>
      </c>
      <c r="O429" s="8">
        <v>1</v>
      </c>
      <c r="P429" s="8" t="s">
        <v>136</v>
      </c>
      <c r="Q429" s="8" t="s">
        <v>136</v>
      </c>
      <c r="R429" s="8">
        <v>1</v>
      </c>
      <c r="S429" s="8">
        <v>1</v>
      </c>
      <c r="T429" s="8">
        <v>1</v>
      </c>
      <c r="U429" s="8">
        <v>1</v>
      </c>
      <c r="V429" s="8">
        <v>1</v>
      </c>
      <c r="W429" s="8" t="s">
        <v>136</v>
      </c>
      <c r="X429" s="8" t="s">
        <v>136</v>
      </c>
      <c r="Y429" s="8">
        <v>1</v>
      </c>
      <c r="Z429" s="8">
        <v>1</v>
      </c>
      <c r="AA429" s="8">
        <v>1</v>
      </c>
      <c r="AB429" s="8">
        <v>1</v>
      </c>
      <c r="AC429" s="8">
        <v>1</v>
      </c>
      <c r="AD429" s="8" t="s">
        <v>136</v>
      </c>
      <c r="AE429" s="8" t="s">
        <v>136</v>
      </c>
      <c r="AF429" s="8">
        <v>1</v>
      </c>
      <c r="AG429" s="8">
        <v>1</v>
      </c>
      <c r="AH429" s="8">
        <v>1</v>
      </c>
      <c r="AI429" s="8">
        <v>1</v>
      </c>
      <c r="AJ429" s="8">
        <v>1</v>
      </c>
      <c r="AK429" s="10">
        <v>23</v>
      </c>
      <c r="AL429" s="11">
        <v>23</v>
      </c>
      <c r="AM429" s="13">
        <v>23</v>
      </c>
      <c r="AN429" s="13">
        <v>0</v>
      </c>
      <c r="AO429" s="7" t="e">
        <v>#N/A</v>
      </c>
    </row>
    <row r="430" spans="1:41">
      <c r="A430" s="8" t="s">
        <v>910</v>
      </c>
      <c r="B430" s="8" t="s">
        <v>953</v>
      </c>
      <c r="C430" s="8" t="s">
        <v>997</v>
      </c>
      <c r="D430" s="8" t="s">
        <v>998</v>
      </c>
      <c r="E430" s="8" t="s">
        <v>135</v>
      </c>
      <c r="F430" s="8">
        <v>1</v>
      </c>
      <c r="G430" s="8">
        <v>1</v>
      </c>
      <c r="H430" s="8">
        <v>1</v>
      </c>
      <c r="I430" s="8" t="s">
        <v>136</v>
      </c>
      <c r="J430" s="8" t="s">
        <v>136</v>
      </c>
      <c r="K430" s="8">
        <v>1</v>
      </c>
      <c r="L430" s="8">
        <v>1</v>
      </c>
      <c r="M430" s="8">
        <v>1</v>
      </c>
      <c r="N430" s="8">
        <v>1</v>
      </c>
      <c r="O430" s="8">
        <v>1</v>
      </c>
      <c r="P430" s="8" t="s">
        <v>136</v>
      </c>
      <c r="Q430" s="8" t="s">
        <v>136</v>
      </c>
      <c r="R430" s="8">
        <v>1</v>
      </c>
      <c r="S430" s="8">
        <v>1</v>
      </c>
      <c r="T430" s="8">
        <v>1</v>
      </c>
      <c r="U430" s="8">
        <v>1</v>
      </c>
      <c r="V430" s="8">
        <v>1</v>
      </c>
      <c r="W430" s="8" t="s">
        <v>136</v>
      </c>
      <c r="X430" s="8" t="s">
        <v>136</v>
      </c>
      <c r="Y430" s="8">
        <v>1</v>
      </c>
      <c r="Z430" s="8">
        <v>1</v>
      </c>
      <c r="AA430" s="8">
        <v>1</v>
      </c>
      <c r="AB430" s="8">
        <v>1</v>
      </c>
      <c r="AC430" s="8">
        <v>1</v>
      </c>
      <c r="AD430" s="8" t="s">
        <v>136</v>
      </c>
      <c r="AE430" s="8" t="s">
        <v>136</v>
      </c>
      <c r="AF430" s="8">
        <v>1</v>
      </c>
      <c r="AG430" s="8">
        <v>1</v>
      </c>
      <c r="AH430" s="8">
        <v>1</v>
      </c>
      <c r="AI430" s="8">
        <v>1</v>
      </c>
      <c r="AJ430" s="8">
        <v>1</v>
      </c>
      <c r="AK430" s="10">
        <v>23</v>
      </c>
      <c r="AL430" s="11">
        <v>23</v>
      </c>
      <c r="AM430" s="13">
        <v>23</v>
      </c>
      <c r="AN430" s="13">
        <v>0</v>
      </c>
      <c r="AO430" s="7" t="e">
        <v>#N/A</v>
      </c>
    </row>
    <row r="431" spans="1:41">
      <c r="A431" s="8" t="s">
        <v>910</v>
      </c>
      <c r="B431" s="8" t="s">
        <v>953</v>
      </c>
      <c r="C431" s="8" t="s">
        <v>999</v>
      </c>
      <c r="D431" s="8" t="s">
        <v>1000</v>
      </c>
      <c r="E431" s="8" t="s">
        <v>135</v>
      </c>
      <c r="F431" s="8">
        <v>1</v>
      </c>
      <c r="G431" s="8">
        <v>1</v>
      </c>
      <c r="H431" s="8">
        <v>1</v>
      </c>
      <c r="I431" s="8" t="s">
        <v>136</v>
      </c>
      <c r="J431" s="8" t="s">
        <v>136</v>
      </c>
      <c r="K431" s="8">
        <v>1</v>
      </c>
      <c r="L431" s="8">
        <v>1</v>
      </c>
      <c r="M431" s="8">
        <v>1</v>
      </c>
      <c r="N431" s="8">
        <v>1</v>
      </c>
      <c r="O431" s="8">
        <v>1</v>
      </c>
      <c r="P431" s="8" t="s">
        <v>136</v>
      </c>
      <c r="Q431" s="8" t="s">
        <v>136</v>
      </c>
      <c r="R431" s="8">
        <v>1</v>
      </c>
      <c r="S431" s="8">
        <v>1</v>
      </c>
      <c r="T431" s="8">
        <v>1</v>
      </c>
      <c r="U431" s="8">
        <v>1</v>
      </c>
      <c r="V431" s="8">
        <v>1</v>
      </c>
      <c r="W431" s="8" t="s">
        <v>136</v>
      </c>
      <c r="X431" s="8" t="s">
        <v>136</v>
      </c>
      <c r="Y431" s="8">
        <v>1</v>
      </c>
      <c r="Z431" s="8">
        <v>1</v>
      </c>
      <c r="AA431" s="8">
        <v>1</v>
      </c>
      <c r="AB431" s="8">
        <v>1</v>
      </c>
      <c r="AC431" s="8">
        <v>1</v>
      </c>
      <c r="AD431" s="8" t="s">
        <v>136</v>
      </c>
      <c r="AE431" s="8" t="s">
        <v>136</v>
      </c>
      <c r="AF431" s="8">
        <v>1</v>
      </c>
      <c r="AG431" s="8">
        <v>1</v>
      </c>
      <c r="AH431" s="8">
        <v>1</v>
      </c>
      <c r="AI431" s="8">
        <v>1</v>
      </c>
      <c r="AJ431" s="8">
        <v>1</v>
      </c>
      <c r="AK431" s="10">
        <v>23</v>
      </c>
      <c r="AL431" s="11">
        <v>23</v>
      </c>
      <c r="AM431" s="13">
        <v>23</v>
      </c>
      <c r="AN431" s="13">
        <v>0</v>
      </c>
      <c r="AO431" s="7" t="e">
        <v>#N/A</v>
      </c>
    </row>
    <row r="432" spans="1:41">
      <c r="A432" s="8" t="s">
        <v>910</v>
      </c>
      <c r="B432" s="8" t="s">
        <v>953</v>
      </c>
      <c r="C432" s="8" t="s">
        <v>1001</v>
      </c>
      <c r="D432" s="8" t="s">
        <v>1002</v>
      </c>
      <c r="E432" s="8" t="s">
        <v>135</v>
      </c>
      <c r="F432" s="8">
        <v>1</v>
      </c>
      <c r="G432" s="8">
        <v>1</v>
      </c>
      <c r="H432" s="8">
        <v>1</v>
      </c>
      <c r="I432" s="8" t="s">
        <v>136</v>
      </c>
      <c r="J432" s="8" t="s">
        <v>136</v>
      </c>
      <c r="K432" s="8">
        <v>1</v>
      </c>
      <c r="L432" s="8">
        <v>1</v>
      </c>
      <c r="M432" s="8">
        <v>1</v>
      </c>
      <c r="N432" s="8">
        <v>1</v>
      </c>
      <c r="O432" s="8">
        <v>1</v>
      </c>
      <c r="P432" s="8" t="s">
        <v>136</v>
      </c>
      <c r="Q432" s="8" t="s">
        <v>136</v>
      </c>
      <c r="R432" s="8">
        <v>1</v>
      </c>
      <c r="S432" s="8">
        <v>1</v>
      </c>
      <c r="T432" s="8">
        <v>1</v>
      </c>
      <c r="U432" s="8">
        <v>1</v>
      </c>
      <c r="V432" s="8">
        <v>1</v>
      </c>
      <c r="W432" s="8" t="s">
        <v>136</v>
      </c>
      <c r="X432" s="8" t="s">
        <v>136</v>
      </c>
      <c r="Y432" s="8">
        <v>1</v>
      </c>
      <c r="Z432" s="8">
        <v>1</v>
      </c>
      <c r="AA432" s="8">
        <v>1</v>
      </c>
      <c r="AB432" s="8">
        <v>1</v>
      </c>
      <c r="AC432" s="8">
        <v>1</v>
      </c>
      <c r="AD432" s="8" t="s">
        <v>136</v>
      </c>
      <c r="AE432" s="8" t="s">
        <v>136</v>
      </c>
      <c r="AF432" s="8">
        <v>1</v>
      </c>
      <c r="AG432" s="8">
        <v>1</v>
      </c>
      <c r="AH432" s="8">
        <v>1</v>
      </c>
      <c r="AI432" s="8">
        <v>1</v>
      </c>
      <c r="AJ432" s="8">
        <v>1</v>
      </c>
      <c r="AK432" s="10">
        <v>23</v>
      </c>
      <c r="AL432" s="11">
        <v>23</v>
      </c>
      <c r="AM432" s="13">
        <v>23</v>
      </c>
      <c r="AN432" s="13">
        <v>0</v>
      </c>
      <c r="AO432" s="7" t="e">
        <v>#N/A</v>
      </c>
    </row>
    <row r="433" spans="1:41">
      <c r="A433" s="8" t="s">
        <v>910</v>
      </c>
      <c r="B433" s="8" t="s">
        <v>953</v>
      </c>
      <c r="C433" s="8" t="s">
        <v>1003</v>
      </c>
      <c r="D433" s="8" t="s">
        <v>1004</v>
      </c>
      <c r="E433" s="8" t="s">
        <v>135</v>
      </c>
      <c r="F433" s="8">
        <v>1</v>
      </c>
      <c r="G433" s="8">
        <v>1</v>
      </c>
      <c r="H433" s="8">
        <v>1</v>
      </c>
      <c r="I433" s="8" t="s">
        <v>136</v>
      </c>
      <c r="J433" s="8" t="s">
        <v>136</v>
      </c>
      <c r="K433" s="8">
        <v>1</v>
      </c>
      <c r="L433" s="8">
        <v>1</v>
      </c>
      <c r="M433" s="8">
        <v>1</v>
      </c>
      <c r="N433" s="8">
        <v>1</v>
      </c>
      <c r="O433" s="8">
        <v>1</v>
      </c>
      <c r="P433" s="8" t="s">
        <v>136</v>
      </c>
      <c r="Q433" s="8" t="s">
        <v>136</v>
      </c>
      <c r="R433" s="8">
        <v>1</v>
      </c>
      <c r="S433" s="8">
        <v>1</v>
      </c>
      <c r="T433" s="8">
        <v>1</v>
      </c>
      <c r="U433" s="8">
        <v>1</v>
      </c>
      <c r="V433" s="8">
        <v>1</v>
      </c>
      <c r="W433" s="8" t="s">
        <v>136</v>
      </c>
      <c r="X433" s="8" t="s">
        <v>136</v>
      </c>
      <c r="Y433" s="8">
        <v>1</v>
      </c>
      <c r="Z433" s="8">
        <v>1</v>
      </c>
      <c r="AA433" s="8">
        <v>1</v>
      </c>
      <c r="AB433" s="8">
        <v>1</v>
      </c>
      <c r="AC433" s="8">
        <v>1</v>
      </c>
      <c r="AD433" s="8" t="s">
        <v>136</v>
      </c>
      <c r="AE433" s="8" t="s">
        <v>136</v>
      </c>
      <c r="AF433" s="8">
        <v>1</v>
      </c>
      <c r="AG433" s="8">
        <v>1</v>
      </c>
      <c r="AH433" s="8">
        <v>1</v>
      </c>
      <c r="AI433" s="8">
        <v>1</v>
      </c>
      <c r="AJ433" s="8">
        <v>1</v>
      </c>
      <c r="AK433" s="10">
        <v>23</v>
      </c>
      <c r="AL433" s="11">
        <v>23</v>
      </c>
      <c r="AM433" s="13">
        <v>23</v>
      </c>
      <c r="AN433" s="13">
        <v>0</v>
      </c>
      <c r="AO433" s="7" t="e">
        <v>#N/A</v>
      </c>
    </row>
    <row r="434" spans="1:41">
      <c r="A434" s="8" t="s">
        <v>910</v>
      </c>
      <c r="B434" s="8" t="s">
        <v>953</v>
      </c>
      <c r="C434" s="8" t="s">
        <v>1005</v>
      </c>
      <c r="D434" s="8" t="s">
        <v>1006</v>
      </c>
      <c r="E434" s="8" t="s">
        <v>135</v>
      </c>
      <c r="F434" s="8">
        <v>0</v>
      </c>
      <c r="G434" s="8">
        <v>0</v>
      </c>
      <c r="H434" s="8">
        <v>0</v>
      </c>
      <c r="I434" s="8" t="s">
        <v>136</v>
      </c>
      <c r="J434" s="8" t="s">
        <v>136</v>
      </c>
      <c r="K434" s="8">
        <v>0</v>
      </c>
      <c r="L434" s="8">
        <v>0</v>
      </c>
      <c r="M434" s="8">
        <v>0</v>
      </c>
      <c r="N434" s="8">
        <v>0</v>
      </c>
      <c r="O434" s="8">
        <v>0</v>
      </c>
      <c r="P434" s="8" t="s">
        <v>136</v>
      </c>
      <c r="Q434" s="8" t="s">
        <v>136</v>
      </c>
      <c r="R434" s="8">
        <v>1</v>
      </c>
      <c r="S434" s="8">
        <v>1</v>
      </c>
      <c r="T434" s="8">
        <v>1</v>
      </c>
      <c r="U434" s="8">
        <v>1</v>
      </c>
      <c r="V434" s="8">
        <v>1</v>
      </c>
      <c r="W434" s="8" t="s">
        <v>136</v>
      </c>
      <c r="X434" s="8" t="s">
        <v>136</v>
      </c>
      <c r="Y434" s="8">
        <v>1</v>
      </c>
      <c r="Z434" s="8">
        <v>1</v>
      </c>
      <c r="AA434" s="8">
        <v>1</v>
      </c>
      <c r="AB434" s="8">
        <v>1</v>
      </c>
      <c r="AC434" s="8">
        <v>1</v>
      </c>
      <c r="AD434" s="8" t="s">
        <v>136</v>
      </c>
      <c r="AE434" s="8" t="s">
        <v>136</v>
      </c>
      <c r="AF434" s="8">
        <v>1</v>
      </c>
      <c r="AG434" s="8">
        <v>1</v>
      </c>
      <c r="AH434" s="8">
        <v>1</v>
      </c>
      <c r="AI434" s="8">
        <v>1</v>
      </c>
      <c r="AJ434" s="8">
        <v>1</v>
      </c>
      <c r="AK434" s="10">
        <v>23</v>
      </c>
      <c r="AL434" s="11">
        <v>15</v>
      </c>
      <c r="AM434" s="13">
        <v>15</v>
      </c>
      <c r="AN434" s="13">
        <v>0</v>
      </c>
      <c r="AO434" s="7" t="e">
        <v>#N/A</v>
      </c>
    </row>
    <row r="435" spans="1:41">
      <c r="A435" s="8" t="s">
        <v>910</v>
      </c>
      <c r="B435" s="8" t="s">
        <v>953</v>
      </c>
      <c r="C435" s="8" t="s">
        <v>1007</v>
      </c>
      <c r="D435" s="8" t="s">
        <v>1008</v>
      </c>
      <c r="E435" s="8" t="s">
        <v>135</v>
      </c>
      <c r="F435" s="8">
        <v>1</v>
      </c>
      <c r="G435" s="8">
        <v>1</v>
      </c>
      <c r="H435" s="8">
        <v>1</v>
      </c>
      <c r="I435" s="8" t="s">
        <v>136</v>
      </c>
      <c r="J435" s="8" t="s">
        <v>136</v>
      </c>
      <c r="K435" s="8">
        <v>1</v>
      </c>
      <c r="L435" s="8">
        <v>1</v>
      </c>
      <c r="M435" s="8">
        <v>1</v>
      </c>
      <c r="N435" s="8">
        <v>1</v>
      </c>
      <c r="O435" s="8">
        <v>1</v>
      </c>
      <c r="P435" s="8" t="s">
        <v>136</v>
      </c>
      <c r="Q435" s="8" t="s">
        <v>136</v>
      </c>
      <c r="R435" s="8">
        <v>1</v>
      </c>
      <c r="S435" s="8">
        <v>1</v>
      </c>
      <c r="T435" s="8">
        <v>1</v>
      </c>
      <c r="U435" s="8">
        <v>1</v>
      </c>
      <c r="V435" s="8">
        <v>1</v>
      </c>
      <c r="W435" s="8" t="s">
        <v>136</v>
      </c>
      <c r="X435" s="8" t="s">
        <v>136</v>
      </c>
      <c r="Y435" s="8">
        <v>1</v>
      </c>
      <c r="Z435" s="8">
        <v>1</v>
      </c>
      <c r="AA435" s="8">
        <v>1</v>
      </c>
      <c r="AB435" s="8">
        <v>1</v>
      </c>
      <c r="AC435" s="8">
        <v>1</v>
      </c>
      <c r="AD435" s="8" t="s">
        <v>136</v>
      </c>
      <c r="AE435" s="8" t="s">
        <v>136</v>
      </c>
      <c r="AF435" s="8">
        <v>1</v>
      </c>
      <c r="AG435" s="8">
        <v>1</v>
      </c>
      <c r="AH435" s="8">
        <v>1</v>
      </c>
      <c r="AI435" s="8">
        <v>1</v>
      </c>
      <c r="AJ435" s="8">
        <v>1</v>
      </c>
      <c r="AK435" s="10">
        <v>23</v>
      </c>
      <c r="AL435" s="11">
        <v>23</v>
      </c>
      <c r="AM435" s="13">
        <v>23</v>
      </c>
      <c r="AN435" s="13">
        <v>0</v>
      </c>
      <c r="AO435" s="7" t="e">
        <v>#N/A</v>
      </c>
    </row>
    <row r="436" spans="1:41">
      <c r="A436" s="8" t="s">
        <v>910</v>
      </c>
      <c r="B436" s="8" t="s">
        <v>953</v>
      </c>
      <c r="C436" s="8" t="s">
        <v>1009</v>
      </c>
      <c r="D436" s="8" t="s">
        <v>1010</v>
      </c>
      <c r="E436" s="8" t="s">
        <v>135</v>
      </c>
      <c r="F436" s="8">
        <v>1</v>
      </c>
      <c r="G436" s="8">
        <v>1</v>
      </c>
      <c r="H436" s="8">
        <v>1</v>
      </c>
      <c r="I436" s="8" t="s">
        <v>136</v>
      </c>
      <c r="J436" s="8" t="s">
        <v>136</v>
      </c>
      <c r="K436" s="8">
        <v>1</v>
      </c>
      <c r="L436" s="8">
        <v>1</v>
      </c>
      <c r="M436" s="8">
        <v>1</v>
      </c>
      <c r="N436" s="8">
        <v>1</v>
      </c>
      <c r="O436" s="8">
        <v>1</v>
      </c>
      <c r="P436" s="8" t="s">
        <v>136</v>
      </c>
      <c r="Q436" s="8" t="s">
        <v>136</v>
      </c>
      <c r="R436" s="8">
        <v>1</v>
      </c>
      <c r="S436" s="8">
        <v>1</v>
      </c>
      <c r="T436" s="8">
        <v>1</v>
      </c>
      <c r="U436" s="8">
        <v>1</v>
      </c>
      <c r="V436" s="8">
        <v>1</v>
      </c>
      <c r="W436" s="8" t="s">
        <v>136</v>
      </c>
      <c r="X436" s="8" t="s">
        <v>136</v>
      </c>
      <c r="Y436" s="8">
        <v>1</v>
      </c>
      <c r="Z436" s="8">
        <v>1</v>
      </c>
      <c r="AA436" s="8">
        <v>1</v>
      </c>
      <c r="AB436" s="8">
        <v>1</v>
      </c>
      <c r="AC436" s="8">
        <v>1</v>
      </c>
      <c r="AD436" s="8" t="s">
        <v>136</v>
      </c>
      <c r="AE436" s="8" t="s">
        <v>136</v>
      </c>
      <c r="AF436" s="8">
        <v>1</v>
      </c>
      <c r="AG436" s="8">
        <v>1</v>
      </c>
      <c r="AH436" s="8">
        <v>1</v>
      </c>
      <c r="AI436" s="8">
        <v>1</v>
      </c>
      <c r="AJ436" s="8">
        <v>1</v>
      </c>
      <c r="AK436" s="10">
        <v>23</v>
      </c>
      <c r="AL436" s="11">
        <v>23</v>
      </c>
      <c r="AM436" s="13">
        <v>23</v>
      </c>
      <c r="AN436" s="13">
        <v>0</v>
      </c>
      <c r="AO436" s="7" t="e">
        <v>#N/A</v>
      </c>
    </row>
    <row r="437" spans="1:41">
      <c r="A437" s="8" t="s">
        <v>910</v>
      </c>
      <c r="B437" s="8" t="s">
        <v>953</v>
      </c>
      <c r="C437" s="8" t="s">
        <v>1011</v>
      </c>
      <c r="D437" s="8" t="s">
        <v>815</v>
      </c>
      <c r="E437" s="8" t="s">
        <v>135</v>
      </c>
      <c r="F437" s="8">
        <v>1</v>
      </c>
      <c r="G437" s="8">
        <v>1</v>
      </c>
      <c r="H437" s="8">
        <v>1</v>
      </c>
      <c r="I437" s="8" t="s">
        <v>136</v>
      </c>
      <c r="J437" s="8" t="s">
        <v>136</v>
      </c>
      <c r="K437" s="8">
        <v>1</v>
      </c>
      <c r="L437" s="8">
        <v>1</v>
      </c>
      <c r="M437" s="8">
        <v>1</v>
      </c>
      <c r="N437" s="8">
        <v>1</v>
      </c>
      <c r="O437" s="8">
        <v>1</v>
      </c>
      <c r="P437" s="8" t="s">
        <v>136</v>
      </c>
      <c r="Q437" s="8" t="s">
        <v>136</v>
      </c>
      <c r="R437" s="8">
        <v>1</v>
      </c>
      <c r="S437" s="8">
        <v>1</v>
      </c>
      <c r="T437" s="8">
        <v>1</v>
      </c>
      <c r="U437" s="8">
        <v>1</v>
      </c>
      <c r="V437" s="8">
        <v>1</v>
      </c>
      <c r="W437" s="8" t="s">
        <v>136</v>
      </c>
      <c r="X437" s="8" t="s">
        <v>136</v>
      </c>
      <c r="Y437" s="8">
        <v>1</v>
      </c>
      <c r="Z437" s="8">
        <v>1</v>
      </c>
      <c r="AA437" s="8">
        <v>1</v>
      </c>
      <c r="AB437" s="8">
        <v>1</v>
      </c>
      <c r="AC437" s="8">
        <v>1</v>
      </c>
      <c r="AD437" s="8" t="s">
        <v>136</v>
      </c>
      <c r="AE437" s="8" t="s">
        <v>136</v>
      </c>
      <c r="AF437" s="8">
        <v>1</v>
      </c>
      <c r="AG437" s="8">
        <v>1</v>
      </c>
      <c r="AH437" s="8">
        <v>1</v>
      </c>
      <c r="AI437" s="8">
        <v>1</v>
      </c>
      <c r="AJ437" s="8">
        <v>1</v>
      </c>
      <c r="AK437" s="10">
        <v>23</v>
      </c>
      <c r="AL437" s="11">
        <v>23</v>
      </c>
      <c r="AM437" s="13">
        <v>23</v>
      </c>
      <c r="AN437" s="13">
        <v>0</v>
      </c>
      <c r="AO437" s="7" t="e">
        <v>#N/A</v>
      </c>
    </row>
    <row r="438" spans="1:41">
      <c r="A438" s="8" t="s">
        <v>910</v>
      </c>
      <c r="B438" s="8" t="s">
        <v>953</v>
      </c>
      <c r="C438" s="8" t="s">
        <v>1012</v>
      </c>
      <c r="D438" s="8" t="s">
        <v>1013</v>
      </c>
      <c r="E438" s="8" t="s">
        <v>135</v>
      </c>
      <c r="F438" s="8">
        <v>1</v>
      </c>
      <c r="G438" s="8">
        <v>1</v>
      </c>
      <c r="H438" s="8">
        <v>1</v>
      </c>
      <c r="I438" s="8" t="s">
        <v>136</v>
      </c>
      <c r="J438" s="8" t="s">
        <v>136</v>
      </c>
      <c r="K438" s="8">
        <v>1</v>
      </c>
      <c r="L438" s="8">
        <v>1</v>
      </c>
      <c r="M438" s="8">
        <v>1</v>
      </c>
      <c r="N438" s="8">
        <v>1</v>
      </c>
      <c r="O438" s="8">
        <v>1</v>
      </c>
      <c r="P438" s="8" t="s">
        <v>136</v>
      </c>
      <c r="Q438" s="8" t="s">
        <v>136</v>
      </c>
      <c r="R438" s="8">
        <v>1</v>
      </c>
      <c r="S438" s="8">
        <v>1</v>
      </c>
      <c r="T438" s="8">
        <v>1</v>
      </c>
      <c r="U438" s="8">
        <v>1</v>
      </c>
      <c r="V438" s="8">
        <v>1</v>
      </c>
      <c r="W438" s="8" t="s">
        <v>136</v>
      </c>
      <c r="X438" s="8" t="s">
        <v>136</v>
      </c>
      <c r="Y438" s="8">
        <v>1</v>
      </c>
      <c r="Z438" s="8">
        <v>1</v>
      </c>
      <c r="AA438" s="8">
        <v>1</v>
      </c>
      <c r="AB438" s="8">
        <v>1</v>
      </c>
      <c r="AC438" s="8">
        <v>1</v>
      </c>
      <c r="AD438" s="8" t="s">
        <v>136</v>
      </c>
      <c r="AE438" s="8" t="s">
        <v>136</v>
      </c>
      <c r="AF438" s="8">
        <v>1</v>
      </c>
      <c r="AG438" s="8">
        <v>1</v>
      </c>
      <c r="AH438" s="8">
        <v>1</v>
      </c>
      <c r="AI438" s="8">
        <v>1</v>
      </c>
      <c r="AJ438" s="8">
        <v>1</v>
      </c>
      <c r="AK438" s="10">
        <v>23</v>
      </c>
      <c r="AL438" s="11">
        <v>23</v>
      </c>
      <c r="AM438" s="13">
        <v>23</v>
      </c>
      <c r="AN438" s="13">
        <v>0</v>
      </c>
      <c r="AO438" s="7" t="e">
        <v>#N/A</v>
      </c>
    </row>
    <row r="439" spans="1:41">
      <c r="A439" s="8" t="s">
        <v>910</v>
      </c>
      <c r="B439" s="8" t="s">
        <v>953</v>
      </c>
      <c r="C439" s="8" t="s">
        <v>1014</v>
      </c>
      <c r="D439" s="8" t="s">
        <v>1015</v>
      </c>
      <c r="E439" s="8" t="s">
        <v>135</v>
      </c>
      <c r="F439" s="8">
        <v>1</v>
      </c>
      <c r="G439" s="8">
        <v>1</v>
      </c>
      <c r="H439" s="8">
        <v>1</v>
      </c>
      <c r="I439" s="8" t="s">
        <v>136</v>
      </c>
      <c r="J439" s="8" t="s">
        <v>136</v>
      </c>
      <c r="K439" s="8">
        <v>1</v>
      </c>
      <c r="L439" s="8">
        <v>1</v>
      </c>
      <c r="M439" s="8">
        <v>1</v>
      </c>
      <c r="N439" s="8">
        <v>1</v>
      </c>
      <c r="O439" s="8">
        <v>1</v>
      </c>
      <c r="P439" s="8" t="s">
        <v>136</v>
      </c>
      <c r="Q439" s="8" t="s">
        <v>136</v>
      </c>
      <c r="R439" s="8">
        <v>1</v>
      </c>
      <c r="S439" s="8">
        <v>1</v>
      </c>
      <c r="T439" s="8">
        <v>1</v>
      </c>
      <c r="U439" s="8">
        <v>1</v>
      </c>
      <c r="V439" s="8">
        <v>1</v>
      </c>
      <c r="W439" s="8" t="s">
        <v>136</v>
      </c>
      <c r="X439" s="8" t="s">
        <v>136</v>
      </c>
      <c r="Y439" s="8">
        <v>1</v>
      </c>
      <c r="Z439" s="8">
        <v>1</v>
      </c>
      <c r="AA439" s="8">
        <v>1</v>
      </c>
      <c r="AB439" s="8">
        <v>1</v>
      </c>
      <c r="AC439" s="8">
        <v>1</v>
      </c>
      <c r="AD439" s="8" t="s">
        <v>136</v>
      </c>
      <c r="AE439" s="8" t="s">
        <v>136</v>
      </c>
      <c r="AF439" s="8">
        <v>1</v>
      </c>
      <c r="AG439" s="8">
        <v>1</v>
      </c>
      <c r="AH439" s="8">
        <v>1</v>
      </c>
      <c r="AI439" s="8">
        <v>1</v>
      </c>
      <c r="AJ439" s="8">
        <v>1</v>
      </c>
      <c r="AK439" s="10">
        <v>23</v>
      </c>
      <c r="AL439" s="11">
        <v>23</v>
      </c>
      <c r="AM439" s="13">
        <v>23</v>
      </c>
      <c r="AN439" s="13">
        <v>0</v>
      </c>
      <c r="AO439" s="7" t="e">
        <v>#N/A</v>
      </c>
    </row>
    <row r="440" spans="1:41">
      <c r="A440" s="8" t="s">
        <v>910</v>
      </c>
      <c r="B440" s="8" t="s">
        <v>953</v>
      </c>
      <c r="C440" s="8" t="s">
        <v>1016</v>
      </c>
      <c r="D440" s="8" t="s">
        <v>1017</v>
      </c>
      <c r="E440" s="8" t="s">
        <v>135</v>
      </c>
      <c r="F440" s="8">
        <v>1</v>
      </c>
      <c r="G440" s="8">
        <v>1</v>
      </c>
      <c r="H440" s="8">
        <v>1</v>
      </c>
      <c r="I440" s="8" t="s">
        <v>136</v>
      </c>
      <c r="J440" s="8" t="s">
        <v>136</v>
      </c>
      <c r="K440" s="8">
        <v>1</v>
      </c>
      <c r="L440" s="8">
        <v>1</v>
      </c>
      <c r="M440" s="8">
        <v>1</v>
      </c>
      <c r="N440" s="8">
        <v>1</v>
      </c>
      <c r="O440" s="8">
        <v>1</v>
      </c>
      <c r="P440" s="8" t="s">
        <v>136</v>
      </c>
      <c r="Q440" s="8" t="s">
        <v>136</v>
      </c>
      <c r="R440" s="8">
        <v>1</v>
      </c>
      <c r="S440" s="8">
        <v>1</v>
      </c>
      <c r="T440" s="8">
        <v>1</v>
      </c>
      <c r="U440" s="8">
        <v>1</v>
      </c>
      <c r="V440" s="8">
        <v>1</v>
      </c>
      <c r="W440" s="8" t="s">
        <v>136</v>
      </c>
      <c r="X440" s="8" t="s">
        <v>136</v>
      </c>
      <c r="Y440" s="8">
        <v>1</v>
      </c>
      <c r="Z440" s="8">
        <v>1</v>
      </c>
      <c r="AA440" s="8">
        <v>1</v>
      </c>
      <c r="AB440" s="8">
        <v>1</v>
      </c>
      <c r="AC440" s="8">
        <v>1</v>
      </c>
      <c r="AD440" s="8" t="s">
        <v>136</v>
      </c>
      <c r="AE440" s="8" t="s">
        <v>136</v>
      </c>
      <c r="AF440" s="8">
        <v>1</v>
      </c>
      <c r="AG440" s="8">
        <v>1</v>
      </c>
      <c r="AH440" s="8">
        <v>1</v>
      </c>
      <c r="AI440" s="8">
        <v>1</v>
      </c>
      <c r="AJ440" s="8">
        <v>1</v>
      </c>
      <c r="AK440" s="10">
        <v>23</v>
      </c>
      <c r="AL440" s="11">
        <v>23</v>
      </c>
      <c r="AM440" s="13">
        <v>23</v>
      </c>
      <c r="AN440" s="13">
        <v>0</v>
      </c>
      <c r="AO440" s="7" t="e">
        <v>#N/A</v>
      </c>
    </row>
    <row r="441" spans="1:41">
      <c r="A441" s="8" t="s">
        <v>910</v>
      </c>
      <c r="B441" s="8" t="s">
        <v>953</v>
      </c>
      <c r="C441" s="8" t="s">
        <v>1018</v>
      </c>
      <c r="D441" s="8" t="s">
        <v>1019</v>
      </c>
      <c r="E441" s="8" t="s">
        <v>135</v>
      </c>
      <c r="F441" s="8">
        <v>1</v>
      </c>
      <c r="G441" s="8">
        <v>1</v>
      </c>
      <c r="H441" s="8">
        <v>1</v>
      </c>
      <c r="I441" s="8" t="s">
        <v>136</v>
      </c>
      <c r="J441" s="8" t="s">
        <v>136</v>
      </c>
      <c r="K441" s="8">
        <v>1</v>
      </c>
      <c r="L441" s="8">
        <v>1</v>
      </c>
      <c r="M441" s="8">
        <v>1</v>
      </c>
      <c r="N441" s="8">
        <v>1</v>
      </c>
      <c r="O441" s="8">
        <v>1</v>
      </c>
      <c r="P441" s="8" t="s">
        <v>136</v>
      </c>
      <c r="Q441" s="8" t="s">
        <v>136</v>
      </c>
      <c r="R441" s="8">
        <v>1</v>
      </c>
      <c r="S441" s="8">
        <v>1</v>
      </c>
      <c r="T441" s="8">
        <v>1</v>
      </c>
      <c r="U441" s="8">
        <v>1</v>
      </c>
      <c r="V441" s="8">
        <v>1</v>
      </c>
      <c r="W441" s="8" t="s">
        <v>136</v>
      </c>
      <c r="X441" s="8" t="s">
        <v>136</v>
      </c>
      <c r="Y441" s="8">
        <v>1</v>
      </c>
      <c r="Z441" s="8">
        <v>1</v>
      </c>
      <c r="AA441" s="8">
        <v>1</v>
      </c>
      <c r="AB441" s="8">
        <v>1</v>
      </c>
      <c r="AC441" s="8">
        <v>1</v>
      </c>
      <c r="AD441" s="8" t="s">
        <v>136</v>
      </c>
      <c r="AE441" s="8" t="s">
        <v>136</v>
      </c>
      <c r="AF441" s="8">
        <v>1</v>
      </c>
      <c r="AG441" s="8">
        <v>1</v>
      </c>
      <c r="AH441" s="8">
        <v>1</v>
      </c>
      <c r="AI441" s="8">
        <v>1</v>
      </c>
      <c r="AJ441" s="8">
        <v>1</v>
      </c>
      <c r="AK441" s="10">
        <v>23</v>
      </c>
      <c r="AL441" s="11">
        <v>23</v>
      </c>
      <c r="AM441" s="13">
        <v>23</v>
      </c>
      <c r="AN441" s="13">
        <v>0</v>
      </c>
      <c r="AO441" s="7" t="e">
        <v>#N/A</v>
      </c>
    </row>
    <row r="442" spans="1:41">
      <c r="A442" s="8" t="s">
        <v>910</v>
      </c>
      <c r="B442" s="8" t="s">
        <v>953</v>
      </c>
      <c r="C442" s="8" t="s">
        <v>1020</v>
      </c>
      <c r="D442" s="8" t="s">
        <v>1021</v>
      </c>
      <c r="E442" s="8" t="s">
        <v>135</v>
      </c>
      <c r="F442" s="8">
        <v>1</v>
      </c>
      <c r="G442" s="8">
        <v>1</v>
      </c>
      <c r="H442" s="8">
        <v>1</v>
      </c>
      <c r="I442" s="8" t="s">
        <v>136</v>
      </c>
      <c r="J442" s="8" t="s">
        <v>136</v>
      </c>
      <c r="K442" s="8">
        <v>1</v>
      </c>
      <c r="L442" s="8">
        <v>1</v>
      </c>
      <c r="M442" s="8">
        <v>1</v>
      </c>
      <c r="N442" s="8">
        <v>1</v>
      </c>
      <c r="O442" s="8">
        <v>1</v>
      </c>
      <c r="P442" s="8" t="s">
        <v>136</v>
      </c>
      <c r="Q442" s="8" t="s">
        <v>136</v>
      </c>
      <c r="R442" s="8">
        <v>1</v>
      </c>
      <c r="S442" s="8">
        <v>1</v>
      </c>
      <c r="T442" s="8">
        <v>1</v>
      </c>
      <c r="U442" s="8">
        <v>1</v>
      </c>
      <c r="V442" s="8">
        <v>1</v>
      </c>
      <c r="W442" s="8" t="s">
        <v>136</v>
      </c>
      <c r="X442" s="8" t="s">
        <v>136</v>
      </c>
      <c r="Y442" s="8">
        <v>1</v>
      </c>
      <c r="Z442" s="8">
        <v>1</v>
      </c>
      <c r="AA442" s="8">
        <v>1</v>
      </c>
      <c r="AB442" s="8">
        <v>1</v>
      </c>
      <c r="AC442" s="8">
        <v>1</v>
      </c>
      <c r="AD442" s="8" t="s">
        <v>136</v>
      </c>
      <c r="AE442" s="8" t="s">
        <v>136</v>
      </c>
      <c r="AF442" s="8">
        <v>0</v>
      </c>
      <c r="AG442" s="8">
        <v>0</v>
      </c>
      <c r="AH442" s="8">
        <v>0</v>
      </c>
      <c r="AI442" s="8">
        <v>0</v>
      </c>
      <c r="AJ442" s="8">
        <v>0</v>
      </c>
      <c r="AK442" s="10">
        <v>23</v>
      </c>
      <c r="AL442" s="11">
        <v>18</v>
      </c>
      <c r="AM442" s="13">
        <v>18</v>
      </c>
      <c r="AN442" s="13">
        <v>0</v>
      </c>
      <c r="AO442" s="7" t="e">
        <v>#N/A</v>
      </c>
    </row>
    <row r="443" spans="1:41">
      <c r="A443" s="8" t="s">
        <v>910</v>
      </c>
      <c r="B443" s="8" t="s">
        <v>953</v>
      </c>
      <c r="C443" s="8" t="s">
        <v>1022</v>
      </c>
      <c r="D443" s="8" t="s">
        <v>1023</v>
      </c>
      <c r="E443" s="8" t="s">
        <v>135</v>
      </c>
      <c r="F443" s="8">
        <v>1</v>
      </c>
      <c r="G443" s="8">
        <v>1</v>
      </c>
      <c r="H443" s="8">
        <v>1</v>
      </c>
      <c r="I443" s="8" t="s">
        <v>136</v>
      </c>
      <c r="J443" s="8" t="s">
        <v>136</v>
      </c>
      <c r="K443" s="8">
        <v>1</v>
      </c>
      <c r="L443" s="8">
        <v>1</v>
      </c>
      <c r="M443" s="8">
        <v>1</v>
      </c>
      <c r="N443" s="8">
        <v>1</v>
      </c>
      <c r="O443" s="8">
        <v>1</v>
      </c>
      <c r="P443" s="8" t="s">
        <v>136</v>
      </c>
      <c r="Q443" s="8" t="s">
        <v>136</v>
      </c>
      <c r="R443" s="8">
        <v>1</v>
      </c>
      <c r="S443" s="8">
        <v>1</v>
      </c>
      <c r="T443" s="8">
        <v>1</v>
      </c>
      <c r="U443" s="8">
        <v>1</v>
      </c>
      <c r="V443" s="8">
        <v>1</v>
      </c>
      <c r="W443" s="8" t="s">
        <v>136</v>
      </c>
      <c r="X443" s="8" t="s">
        <v>136</v>
      </c>
      <c r="Y443" s="8">
        <v>1</v>
      </c>
      <c r="Z443" s="8">
        <v>1</v>
      </c>
      <c r="AA443" s="8">
        <v>1</v>
      </c>
      <c r="AB443" s="8">
        <v>1</v>
      </c>
      <c r="AC443" s="8">
        <v>1</v>
      </c>
      <c r="AD443" s="8" t="s">
        <v>136</v>
      </c>
      <c r="AE443" s="8" t="s">
        <v>136</v>
      </c>
      <c r="AF443" s="8">
        <v>1</v>
      </c>
      <c r="AG443" s="8">
        <v>1</v>
      </c>
      <c r="AH443" s="8">
        <v>1</v>
      </c>
      <c r="AI443" s="8">
        <v>1</v>
      </c>
      <c r="AJ443" s="8">
        <v>1</v>
      </c>
      <c r="AK443" s="10">
        <v>23</v>
      </c>
      <c r="AL443" s="11">
        <v>23</v>
      </c>
      <c r="AM443" s="13">
        <v>23</v>
      </c>
      <c r="AN443" s="13">
        <v>0</v>
      </c>
      <c r="AO443" s="7" t="e">
        <v>#N/A</v>
      </c>
    </row>
    <row r="444" spans="1:41">
      <c r="A444" s="8" t="s">
        <v>910</v>
      </c>
      <c r="B444" s="8" t="s">
        <v>953</v>
      </c>
      <c r="C444" s="8" t="s">
        <v>1024</v>
      </c>
      <c r="D444" s="8" t="s">
        <v>654</v>
      </c>
      <c r="E444" s="8" t="s">
        <v>135</v>
      </c>
      <c r="F444" s="8">
        <v>1</v>
      </c>
      <c r="G444" s="8">
        <v>1</v>
      </c>
      <c r="H444" s="8">
        <v>1</v>
      </c>
      <c r="I444" s="8" t="s">
        <v>136</v>
      </c>
      <c r="J444" s="8" t="s">
        <v>136</v>
      </c>
      <c r="K444" s="8">
        <v>1</v>
      </c>
      <c r="L444" s="8">
        <v>1</v>
      </c>
      <c r="M444" s="8">
        <v>1</v>
      </c>
      <c r="N444" s="8">
        <v>1</v>
      </c>
      <c r="O444" s="8">
        <v>1</v>
      </c>
      <c r="P444" s="8" t="s">
        <v>136</v>
      </c>
      <c r="Q444" s="8" t="s">
        <v>136</v>
      </c>
      <c r="R444" s="8">
        <v>1</v>
      </c>
      <c r="S444" s="8">
        <v>1</v>
      </c>
      <c r="T444" s="8">
        <v>1</v>
      </c>
      <c r="U444" s="8">
        <v>1</v>
      </c>
      <c r="V444" s="8">
        <v>1</v>
      </c>
      <c r="W444" s="8" t="s">
        <v>136</v>
      </c>
      <c r="X444" s="8" t="s">
        <v>136</v>
      </c>
      <c r="Y444" s="8">
        <v>1</v>
      </c>
      <c r="Z444" s="8">
        <v>1</v>
      </c>
      <c r="AA444" s="8">
        <v>1</v>
      </c>
      <c r="AB444" s="8">
        <v>1</v>
      </c>
      <c r="AC444" s="8">
        <v>1</v>
      </c>
      <c r="AD444" s="8" t="s">
        <v>136</v>
      </c>
      <c r="AE444" s="8" t="s">
        <v>136</v>
      </c>
      <c r="AF444" s="8">
        <v>1</v>
      </c>
      <c r="AG444" s="8">
        <v>1</v>
      </c>
      <c r="AH444" s="8">
        <v>1</v>
      </c>
      <c r="AI444" s="8">
        <v>1</v>
      </c>
      <c r="AJ444" s="8">
        <v>1</v>
      </c>
      <c r="AK444" s="10">
        <v>23</v>
      </c>
      <c r="AL444" s="11">
        <v>23</v>
      </c>
      <c r="AM444" s="13">
        <v>23</v>
      </c>
      <c r="AN444" s="13">
        <v>0</v>
      </c>
      <c r="AO444" s="7" t="e">
        <v>#N/A</v>
      </c>
    </row>
    <row r="445" spans="1:41">
      <c r="A445" s="8" t="s">
        <v>910</v>
      </c>
      <c r="B445" s="8" t="s">
        <v>953</v>
      </c>
      <c r="C445" s="8" t="s">
        <v>1025</v>
      </c>
      <c r="D445" s="8" t="s">
        <v>1026</v>
      </c>
      <c r="E445" s="8" t="s">
        <v>135</v>
      </c>
      <c r="F445" s="8">
        <v>1</v>
      </c>
      <c r="G445" s="8">
        <v>1</v>
      </c>
      <c r="H445" s="8">
        <v>1</v>
      </c>
      <c r="I445" s="8" t="s">
        <v>136</v>
      </c>
      <c r="J445" s="8" t="s">
        <v>136</v>
      </c>
      <c r="K445" s="8">
        <v>1</v>
      </c>
      <c r="L445" s="8">
        <v>1</v>
      </c>
      <c r="M445" s="8">
        <v>1</v>
      </c>
      <c r="N445" s="8">
        <v>1</v>
      </c>
      <c r="O445" s="8">
        <v>1</v>
      </c>
      <c r="P445" s="8" t="s">
        <v>136</v>
      </c>
      <c r="Q445" s="8" t="s">
        <v>136</v>
      </c>
      <c r="R445" s="8">
        <v>1</v>
      </c>
      <c r="S445" s="8">
        <v>1</v>
      </c>
      <c r="T445" s="8">
        <v>1</v>
      </c>
      <c r="U445" s="8">
        <v>1</v>
      </c>
      <c r="V445" s="8">
        <v>1</v>
      </c>
      <c r="W445" s="8" t="s">
        <v>136</v>
      </c>
      <c r="X445" s="8" t="s">
        <v>136</v>
      </c>
      <c r="Y445" s="8">
        <v>1</v>
      </c>
      <c r="Z445" s="8">
        <v>1</v>
      </c>
      <c r="AA445" s="8">
        <v>1</v>
      </c>
      <c r="AB445" s="8">
        <v>1</v>
      </c>
      <c r="AC445" s="8">
        <v>1</v>
      </c>
      <c r="AD445" s="8" t="s">
        <v>136</v>
      </c>
      <c r="AE445" s="8" t="s">
        <v>136</v>
      </c>
      <c r="AF445" s="8">
        <v>1</v>
      </c>
      <c r="AG445" s="8">
        <v>1</v>
      </c>
      <c r="AH445" s="8">
        <v>1</v>
      </c>
      <c r="AI445" s="8">
        <v>1</v>
      </c>
      <c r="AJ445" s="8">
        <v>1</v>
      </c>
      <c r="AK445" s="10">
        <v>23</v>
      </c>
      <c r="AL445" s="11">
        <v>23</v>
      </c>
      <c r="AM445" s="13">
        <v>23</v>
      </c>
      <c r="AN445" s="13">
        <v>0</v>
      </c>
      <c r="AO445" s="7" t="e">
        <v>#N/A</v>
      </c>
    </row>
    <row r="446" spans="1:41">
      <c r="A446" s="8" t="s">
        <v>910</v>
      </c>
      <c r="B446" s="8" t="s">
        <v>953</v>
      </c>
      <c r="C446" s="8" t="s">
        <v>1027</v>
      </c>
      <c r="D446" s="8" t="s">
        <v>1028</v>
      </c>
      <c r="E446" s="8" t="s">
        <v>135</v>
      </c>
      <c r="F446" s="8">
        <v>1</v>
      </c>
      <c r="G446" s="8">
        <v>1</v>
      </c>
      <c r="H446" s="8">
        <v>1</v>
      </c>
      <c r="I446" s="8" t="s">
        <v>136</v>
      </c>
      <c r="J446" s="8" t="s">
        <v>136</v>
      </c>
      <c r="K446" s="8">
        <v>1</v>
      </c>
      <c r="L446" s="8">
        <v>1</v>
      </c>
      <c r="M446" s="8">
        <v>1</v>
      </c>
      <c r="N446" s="8">
        <v>1</v>
      </c>
      <c r="O446" s="8">
        <v>1</v>
      </c>
      <c r="P446" s="8" t="s">
        <v>136</v>
      </c>
      <c r="Q446" s="8" t="s">
        <v>136</v>
      </c>
      <c r="R446" s="8">
        <v>1</v>
      </c>
      <c r="S446" s="8">
        <v>1</v>
      </c>
      <c r="T446" s="8">
        <v>1</v>
      </c>
      <c r="U446" s="8">
        <v>1</v>
      </c>
      <c r="V446" s="8">
        <v>1</v>
      </c>
      <c r="W446" s="8" t="s">
        <v>136</v>
      </c>
      <c r="X446" s="8" t="s">
        <v>136</v>
      </c>
      <c r="Y446" s="8">
        <v>1</v>
      </c>
      <c r="Z446" s="8">
        <v>1</v>
      </c>
      <c r="AA446" s="8">
        <v>1</v>
      </c>
      <c r="AB446" s="8">
        <v>1</v>
      </c>
      <c r="AC446" s="8">
        <v>1</v>
      </c>
      <c r="AD446" s="8" t="s">
        <v>136</v>
      </c>
      <c r="AE446" s="8" t="s">
        <v>136</v>
      </c>
      <c r="AF446" s="8">
        <v>1</v>
      </c>
      <c r="AG446" s="8">
        <v>1</v>
      </c>
      <c r="AH446" s="8">
        <v>1</v>
      </c>
      <c r="AI446" s="8">
        <v>1</v>
      </c>
      <c r="AJ446" s="8">
        <v>1</v>
      </c>
      <c r="AK446" s="10">
        <v>23</v>
      </c>
      <c r="AL446" s="11">
        <v>23</v>
      </c>
      <c r="AM446" s="13">
        <v>23</v>
      </c>
      <c r="AN446" s="13">
        <v>0</v>
      </c>
      <c r="AO446" s="7" t="e">
        <v>#N/A</v>
      </c>
    </row>
    <row r="447" spans="1:41">
      <c r="A447" s="8" t="s">
        <v>910</v>
      </c>
      <c r="B447" s="8" t="s">
        <v>953</v>
      </c>
      <c r="C447" s="8" t="s">
        <v>1029</v>
      </c>
      <c r="D447" s="8" t="s">
        <v>1030</v>
      </c>
      <c r="E447" s="8" t="s">
        <v>135</v>
      </c>
      <c r="F447" s="8">
        <v>1</v>
      </c>
      <c r="G447" s="8">
        <v>1</v>
      </c>
      <c r="H447" s="8">
        <v>1</v>
      </c>
      <c r="I447" s="8" t="s">
        <v>136</v>
      </c>
      <c r="J447" s="8" t="s">
        <v>136</v>
      </c>
      <c r="K447" s="8">
        <v>1</v>
      </c>
      <c r="L447" s="8">
        <v>1</v>
      </c>
      <c r="M447" s="8">
        <v>1</v>
      </c>
      <c r="N447" s="8">
        <v>1</v>
      </c>
      <c r="O447" s="8">
        <v>1</v>
      </c>
      <c r="P447" s="8" t="s">
        <v>136</v>
      </c>
      <c r="Q447" s="8" t="s">
        <v>136</v>
      </c>
      <c r="R447" s="8">
        <v>1</v>
      </c>
      <c r="S447" s="8">
        <v>1</v>
      </c>
      <c r="T447" s="8">
        <v>1</v>
      </c>
      <c r="U447" s="8">
        <v>1</v>
      </c>
      <c r="V447" s="8">
        <v>1</v>
      </c>
      <c r="W447" s="8" t="s">
        <v>136</v>
      </c>
      <c r="X447" s="8" t="s">
        <v>136</v>
      </c>
      <c r="Y447" s="8">
        <v>1</v>
      </c>
      <c r="Z447" s="8">
        <v>1</v>
      </c>
      <c r="AA447" s="8">
        <v>1</v>
      </c>
      <c r="AB447" s="8">
        <v>1</v>
      </c>
      <c r="AC447" s="8">
        <v>1</v>
      </c>
      <c r="AD447" s="8" t="s">
        <v>136</v>
      </c>
      <c r="AE447" s="8" t="s">
        <v>136</v>
      </c>
      <c r="AF447" s="8">
        <v>1</v>
      </c>
      <c r="AG447" s="8">
        <v>1</v>
      </c>
      <c r="AH447" s="8">
        <v>1</v>
      </c>
      <c r="AI447" s="8">
        <v>1</v>
      </c>
      <c r="AJ447" s="8">
        <v>1</v>
      </c>
      <c r="AK447" s="10">
        <v>23</v>
      </c>
      <c r="AL447" s="11">
        <v>23</v>
      </c>
      <c r="AM447" s="13">
        <v>23</v>
      </c>
      <c r="AN447" s="13">
        <v>0</v>
      </c>
      <c r="AO447" s="7" t="e">
        <v>#N/A</v>
      </c>
    </row>
    <row r="448" spans="1:41">
      <c r="A448" s="8" t="s">
        <v>910</v>
      </c>
      <c r="B448" s="8" t="s">
        <v>953</v>
      </c>
      <c r="C448" s="8" t="s">
        <v>1031</v>
      </c>
      <c r="D448" s="8" t="s">
        <v>1032</v>
      </c>
      <c r="E448" s="8" t="s">
        <v>135</v>
      </c>
      <c r="F448" s="8">
        <v>1</v>
      </c>
      <c r="G448" s="8">
        <v>1</v>
      </c>
      <c r="H448" s="8">
        <v>1</v>
      </c>
      <c r="I448" s="8" t="s">
        <v>136</v>
      </c>
      <c r="J448" s="8" t="s">
        <v>136</v>
      </c>
      <c r="K448" s="8">
        <v>1</v>
      </c>
      <c r="L448" s="8">
        <v>1</v>
      </c>
      <c r="M448" s="8">
        <v>1</v>
      </c>
      <c r="N448" s="8">
        <v>1</v>
      </c>
      <c r="O448" s="8">
        <v>1</v>
      </c>
      <c r="P448" s="8" t="s">
        <v>136</v>
      </c>
      <c r="Q448" s="8" t="s">
        <v>136</v>
      </c>
      <c r="R448" s="8">
        <v>1</v>
      </c>
      <c r="S448" s="8">
        <v>1</v>
      </c>
      <c r="T448" s="8">
        <v>1</v>
      </c>
      <c r="U448" s="8">
        <v>1</v>
      </c>
      <c r="V448" s="8">
        <v>1</v>
      </c>
      <c r="W448" s="8" t="s">
        <v>136</v>
      </c>
      <c r="X448" s="8" t="s">
        <v>136</v>
      </c>
      <c r="Y448" s="8">
        <v>1</v>
      </c>
      <c r="Z448" s="8">
        <v>1</v>
      </c>
      <c r="AA448" s="8">
        <v>1</v>
      </c>
      <c r="AB448" s="8">
        <v>1</v>
      </c>
      <c r="AC448" s="8">
        <v>1</v>
      </c>
      <c r="AD448" s="8" t="s">
        <v>136</v>
      </c>
      <c r="AE448" s="8" t="s">
        <v>136</v>
      </c>
      <c r="AF448" s="8">
        <v>1</v>
      </c>
      <c r="AG448" s="8">
        <v>1</v>
      </c>
      <c r="AH448" s="8">
        <v>1</v>
      </c>
      <c r="AI448" s="8">
        <v>1</v>
      </c>
      <c r="AJ448" s="8">
        <v>1</v>
      </c>
      <c r="AK448" s="10">
        <v>23</v>
      </c>
      <c r="AL448" s="11">
        <v>23</v>
      </c>
      <c r="AM448" s="13">
        <v>23</v>
      </c>
      <c r="AN448" s="13">
        <v>0</v>
      </c>
      <c r="AO448" s="7" t="e">
        <v>#N/A</v>
      </c>
    </row>
    <row r="449" spans="1:41">
      <c r="A449" s="8" t="s">
        <v>910</v>
      </c>
      <c r="B449" s="8" t="s">
        <v>953</v>
      </c>
      <c r="C449" s="8" t="s">
        <v>1033</v>
      </c>
      <c r="D449" s="8" t="s">
        <v>1034</v>
      </c>
      <c r="E449" s="8" t="s">
        <v>135</v>
      </c>
      <c r="F449" s="8">
        <v>1</v>
      </c>
      <c r="G449" s="8">
        <v>1</v>
      </c>
      <c r="H449" s="8">
        <v>1</v>
      </c>
      <c r="I449" s="8" t="s">
        <v>136</v>
      </c>
      <c r="J449" s="8" t="s">
        <v>136</v>
      </c>
      <c r="K449" s="8">
        <v>1</v>
      </c>
      <c r="L449" s="8">
        <v>1</v>
      </c>
      <c r="M449" s="8">
        <v>1</v>
      </c>
      <c r="N449" s="8">
        <v>1</v>
      </c>
      <c r="O449" s="8">
        <v>1</v>
      </c>
      <c r="P449" s="8" t="s">
        <v>136</v>
      </c>
      <c r="Q449" s="8" t="s">
        <v>136</v>
      </c>
      <c r="R449" s="8">
        <v>1</v>
      </c>
      <c r="S449" s="8">
        <v>1</v>
      </c>
      <c r="T449" s="8">
        <v>1</v>
      </c>
      <c r="U449" s="8">
        <v>1</v>
      </c>
      <c r="V449" s="8">
        <v>1</v>
      </c>
      <c r="W449" s="8" t="s">
        <v>136</v>
      </c>
      <c r="X449" s="8" t="s">
        <v>136</v>
      </c>
      <c r="Y449" s="8">
        <v>1</v>
      </c>
      <c r="Z449" s="8">
        <v>1</v>
      </c>
      <c r="AA449" s="8">
        <v>1</v>
      </c>
      <c r="AB449" s="8">
        <v>1</v>
      </c>
      <c r="AC449" s="8">
        <v>1</v>
      </c>
      <c r="AD449" s="8" t="s">
        <v>136</v>
      </c>
      <c r="AE449" s="8" t="s">
        <v>136</v>
      </c>
      <c r="AF449" s="8">
        <v>1</v>
      </c>
      <c r="AG449" s="8">
        <v>1</v>
      </c>
      <c r="AH449" s="8">
        <v>1</v>
      </c>
      <c r="AI449" s="8">
        <v>1</v>
      </c>
      <c r="AJ449" s="8">
        <v>1</v>
      </c>
      <c r="AK449" s="10">
        <v>23</v>
      </c>
      <c r="AL449" s="11">
        <v>23</v>
      </c>
      <c r="AM449" s="13">
        <v>23</v>
      </c>
      <c r="AN449" s="13">
        <v>0</v>
      </c>
      <c r="AO449" s="7" t="e">
        <v>#N/A</v>
      </c>
    </row>
    <row r="450" spans="1:41">
      <c r="A450" s="8" t="s">
        <v>910</v>
      </c>
      <c r="B450" s="8" t="s">
        <v>953</v>
      </c>
      <c r="C450" s="8" t="s">
        <v>1035</v>
      </c>
      <c r="D450" s="8" t="s">
        <v>1036</v>
      </c>
      <c r="E450" s="8" t="s">
        <v>135</v>
      </c>
      <c r="F450" s="8">
        <v>1</v>
      </c>
      <c r="G450" s="8">
        <v>1</v>
      </c>
      <c r="H450" s="8">
        <v>1</v>
      </c>
      <c r="I450" s="8" t="s">
        <v>136</v>
      </c>
      <c r="J450" s="8" t="s">
        <v>136</v>
      </c>
      <c r="K450" s="8">
        <v>1</v>
      </c>
      <c r="L450" s="8">
        <v>1</v>
      </c>
      <c r="M450" s="8">
        <v>1</v>
      </c>
      <c r="N450" s="8">
        <v>1</v>
      </c>
      <c r="O450" s="8">
        <v>1</v>
      </c>
      <c r="P450" s="8" t="s">
        <v>136</v>
      </c>
      <c r="Q450" s="8" t="s">
        <v>136</v>
      </c>
      <c r="R450" s="8">
        <v>1</v>
      </c>
      <c r="S450" s="8">
        <v>1</v>
      </c>
      <c r="T450" s="8">
        <v>1</v>
      </c>
      <c r="U450" s="8">
        <v>1</v>
      </c>
      <c r="V450" s="8">
        <v>1</v>
      </c>
      <c r="W450" s="8" t="s">
        <v>136</v>
      </c>
      <c r="X450" s="8" t="s">
        <v>136</v>
      </c>
      <c r="Y450" s="8">
        <v>1</v>
      </c>
      <c r="Z450" s="8">
        <v>1</v>
      </c>
      <c r="AA450" s="8">
        <v>1</v>
      </c>
      <c r="AB450" s="8">
        <v>1</v>
      </c>
      <c r="AC450" s="8">
        <v>1</v>
      </c>
      <c r="AD450" s="8" t="s">
        <v>136</v>
      </c>
      <c r="AE450" s="8" t="s">
        <v>136</v>
      </c>
      <c r="AF450" s="8">
        <v>1</v>
      </c>
      <c r="AG450" s="8">
        <v>1</v>
      </c>
      <c r="AH450" s="8">
        <v>1</v>
      </c>
      <c r="AI450" s="8">
        <v>1</v>
      </c>
      <c r="AJ450" s="8">
        <v>1</v>
      </c>
      <c r="AK450" s="10">
        <v>23</v>
      </c>
      <c r="AL450" s="11">
        <v>23</v>
      </c>
      <c r="AM450" s="13">
        <v>23</v>
      </c>
      <c r="AN450" s="13">
        <v>0</v>
      </c>
      <c r="AO450" s="7" t="e">
        <v>#N/A</v>
      </c>
    </row>
    <row r="451" spans="1:41">
      <c r="A451" s="8" t="s">
        <v>910</v>
      </c>
      <c r="B451" s="8" t="s">
        <v>953</v>
      </c>
      <c r="C451" s="8" t="s">
        <v>1037</v>
      </c>
      <c r="D451" s="8" t="s">
        <v>1038</v>
      </c>
      <c r="E451" s="8" t="s">
        <v>135</v>
      </c>
      <c r="F451" s="8">
        <v>1</v>
      </c>
      <c r="G451" s="8">
        <v>1</v>
      </c>
      <c r="H451" s="8">
        <v>1</v>
      </c>
      <c r="I451" s="8" t="s">
        <v>136</v>
      </c>
      <c r="J451" s="8" t="s">
        <v>136</v>
      </c>
      <c r="K451" s="8">
        <v>1</v>
      </c>
      <c r="L451" s="8">
        <v>1</v>
      </c>
      <c r="M451" s="8">
        <v>1</v>
      </c>
      <c r="N451" s="8">
        <v>1</v>
      </c>
      <c r="O451" s="8">
        <v>1</v>
      </c>
      <c r="P451" s="8" t="s">
        <v>136</v>
      </c>
      <c r="Q451" s="8" t="s">
        <v>136</v>
      </c>
      <c r="R451" s="8">
        <v>1</v>
      </c>
      <c r="S451" s="8">
        <v>1</v>
      </c>
      <c r="T451" s="8">
        <v>1</v>
      </c>
      <c r="U451" s="8">
        <v>1</v>
      </c>
      <c r="V451" s="8">
        <v>1</v>
      </c>
      <c r="W451" s="8" t="s">
        <v>136</v>
      </c>
      <c r="X451" s="8" t="s">
        <v>136</v>
      </c>
      <c r="Y451" s="8">
        <v>1</v>
      </c>
      <c r="Z451" s="8">
        <v>1</v>
      </c>
      <c r="AA451" s="8">
        <v>1</v>
      </c>
      <c r="AB451" s="8">
        <v>1</v>
      </c>
      <c r="AC451" s="8">
        <v>1</v>
      </c>
      <c r="AD451" s="8" t="s">
        <v>136</v>
      </c>
      <c r="AE451" s="8" t="s">
        <v>136</v>
      </c>
      <c r="AF451" s="8">
        <v>1</v>
      </c>
      <c r="AG451" s="8">
        <v>1</v>
      </c>
      <c r="AH451" s="8">
        <v>1</v>
      </c>
      <c r="AI451" s="8">
        <v>1</v>
      </c>
      <c r="AJ451" s="8">
        <v>1</v>
      </c>
      <c r="AK451" s="10">
        <v>23</v>
      </c>
      <c r="AL451" s="11">
        <v>23</v>
      </c>
      <c r="AM451" s="13">
        <v>23</v>
      </c>
      <c r="AN451" s="13">
        <v>0</v>
      </c>
      <c r="AO451" s="7" t="e">
        <v>#N/A</v>
      </c>
    </row>
    <row r="452" spans="1:41">
      <c r="A452" s="8" t="s">
        <v>910</v>
      </c>
      <c r="B452" s="8" t="s">
        <v>953</v>
      </c>
      <c r="C452" s="8" t="s">
        <v>1039</v>
      </c>
      <c r="D452" s="8" t="s">
        <v>1040</v>
      </c>
      <c r="E452" s="8" t="s">
        <v>135</v>
      </c>
      <c r="F452" s="8">
        <v>1</v>
      </c>
      <c r="G452" s="8">
        <v>1</v>
      </c>
      <c r="H452" s="8">
        <v>1</v>
      </c>
      <c r="I452" s="8" t="s">
        <v>136</v>
      </c>
      <c r="J452" s="8" t="s">
        <v>136</v>
      </c>
      <c r="K452" s="8">
        <v>1</v>
      </c>
      <c r="L452" s="8">
        <v>1</v>
      </c>
      <c r="M452" s="8">
        <v>1</v>
      </c>
      <c r="N452" s="8">
        <v>1</v>
      </c>
      <c r="O452" s="8">
        <v>1</v>
      </c>
      <c r="P452" s="8" t="s">
        <v>136</v>
      </c>
      <c r="Q452" s="8" t="s">
        <v>136</v>
      </c>
      <c r="R452" s="8">
        <v>1</v>
      </c>
      <c r="S452" s="8">
        <v>1</v>
      </c>
      <c r="T452" s="8">
        <v>1</v>
      </c>
      <c r="U452" s="8">
        <v>1</v>
      </c>
      <c r="V452" s="8">
        <v>1</v>
      </c>
      <c r="W452" s="8" t="s">
        <v>136</v>
      </c>
      <c r="X452" s="8" t="s">
        <v>136</v>
      </c>
      <c r="Y452" s="8">
        <v>1</v>
      </c>
      <c r="Z452" s="8">
        <v>1</v>
      </c>
      <c r="AA452" s="8">
        <v>1</v>
      </c>
      <c r="AB452" s="8">
        <v>1</v>
      </c>
      <c r="AC452" s="8">
        <v>1</v>
      </c>
      <c r="AD452" s="8" t="s">
        <v>136</v>
      </c>
      <c r="AE452" s="8" t="s">
        <v>136</v>
      </c>
      <c r="AF452" s="8">
        <v>1</v>
      </c>
      <c r="AG452" s="8">
        <v>1</v>
      </c>
      <c r="AH452" s="8">
        <v>1</v>
      </c>
      <c r="AI452" s="8">
        <v>1</v>
      </c>
      <c r="AJ452" s="8">
        <v>1</v>
      </c>
      <c r="AK452" s="10">
        <v>23</v>
      </c>
      <c r="AL452" s="11">
        <v>23</v>
      </c>
      <c r="AM452" s="13">
        <v>23</v>
      </c>
      <c r="AN452" s="13">
        <v>0</v>
      </c>
      <c r="AO452" s="7" t="e">
        <v>#N/A</v>
      </c>
    </row>
    <row r="453" spans="1:41">
      <c r="A453" s="8" t="s">
        <v>910</v>
      </c>
      <c r="B453" s="8" t="s">
        <v>953</v>
      </c>
      <c r="C453" s="8" t="s">
        <v>1041</v>
      </c>
      <c r="D453" s="8" t="s">
        <v>1042</v>
      </c>
      <c r="E453" s="8" t="s">
        <v>135</v>
      </c>
      <c r="F453" s="8">
        <v>1</v>
      </c>
      <c r="G453" s="8">
        <v>1</v>
      </c>
      <c r="H453" s="8">
        <v>1</v>
      </c>
      <c r="I453" s="8" t="s">
        <v>136</v>
      </c>
      <c r="J453" s="8" t="s">
        <v>136</v>
      </c>
      <c r="K453" s="8">
        <v>1</v>
      </c>
      <c r="L453" s="8">
        <v>1</v>
      </c>
      <c r="M453" s="8">
        <v>1</v>
      </c>
      <c r="N453" s="8">
        <v>1</v>
      </c>
      <c r="O453" s="8">
        <v>1</v>
      </c>
      <c r="P453" s="8" t="s">
        <v>136</v>
      </c>
      <c r="Q453" s="8" t="s">
        <v>136</v>
      </c>
      <c r="R453" s="8">
        <v>1</v>
      </c>
      <c r="S453" s="8">
        <v>1</v>
      </c>
      <c r="T453" s="8">
        <v>1</v>
      </c>
      <c r="U453" s="8">
        <v>1</v>
      </c>
      <c r="V453" s="8">
        <v>1</v>
      </c>
      <c r="W453" s="8" t="s">
        <v>136</v>
      </c>
      <c r="X453" s="8" t="s">
        <v>136</v>
      </c>
      <c r="Y453" s="8">
        <v>1</v>
      </c>
      <c r="Z453" s="8">
        <v>1</v>
      </c>
      <c r="AA453" s="8">
        <v>1</v>
      </c>
      <c r="AB453" s="8">
        <v>1</v>
      </c>
      <c r="AC453" s="8">
        <v>1</v>
      </c>
      <c r="AD453" s="8" t="s">
        <v>136</v>
      </c>
      <c r="AE453" s="8" t="s">
        <v>136</v>
      </c>
      <c r="AF453" s="8">
        <v>1</v>
      </c>
      <c r="AG453" s="8">
        <v>1</v>
      </c>
      <c r="AH453" s="8">
        <v>1</v>
      </c>
      <c r="AI453" s="8">
        <v>1</v>
      </c>
      <c r="AJ453" s="8">
        <v>1</v>
      </c>
      <c r="AK453" s="10">
        <v>23</v>
      </c>
      <c r="AL453" s="11">
        <v>23</v>
      </c>
      <c r="AM453" s="13">
        <v>23</v>
      </c>
      <c r="AN453" s="13">
        <v>0</v>
      </c>
      <c r="AO453" s="7" t="e">
        <v>#N/A</v>
      </c>
    </row>
    <row r="454" spans="1:41">
      <c r="A454" s="8" t="s">
        <v>910</v>
      </c>
      <c r="B454" s="8" t="s">
        <v>953</v>
      </c>
      <c r="C454" s="8" t="s">
        <v>1043</v>
      </c>
      <c r="D454" s="8" t="s">
        <v>1044</v>
      </c>
      <c r="E454" s="8" t="s">
        <v>135</v>
      </c>
      <c r="F454" s="8">
        <v>1</v>
      </c>
      <c r="G454" s="8">
        <v>1</v>
      </c>
      <c r="H454" s="8">
        <v>1</v>
      </c>
      <c r="I454" s="8" t="s">
        <v>136</v>
      </c>
      <c r="J454" s="8" t="s">
        <v>136</v>
      </c>
      <c r="K454" s="8">
        <v>1</v>
      </c>
      <c r="L454" s="8">
        <v>1</v>
      </c>
      <c r="M454" s="8">
        <v>1</v>
      </c>
      <c r="N454" s="8">
        <v>1</v>
      </c>
      <c r="O454" s="8">
        <v>1</v>
      </c>
      <c r="P454" s="8" t="s">
        <v>136</v>
      </c>
      <c r="Q454" s="8" t="s">
        <v>136</v>
      </c>
      <c r="R454" s="8">
        <v>1</v>
      </c>
      <c r="S454" s="8">
        <v>1</v>
      </c>
      <c r="T454" s="8">
        <v>1</v>
      </c>
      <c r="U454" s="8">
        <v>1</v>
      </c>
      <c r="V454" s="8">
        <v>1</v>
      </c>
      <c r="W454" s="8" t="s">
        <v>136</v>
      </c>
      <c r="X454" s="8" t="s">
        <v>136</v>
      </c>
      <c r="Y454" s="8">
        <v>1</v>
      </c>
      <c r="Z454" s="8">
        <v>1</v>
      </c>
      <c r="AA454" s="8">
        <v>1</v>
      </c>
      <c r="AB454" s="8">
        <v>1</v>
      </c>
      <c r="AC454" s="8">
        <v>1</v>
      </c>
      <c r="AD454" s="8" t="s">
        <v>136</v>
      </c>
      <c r="AE454" s="8" t="s">
        <v>136</v>
      </c>
      <c r="AF454" s="8">
        <v>1</v>
      </c>
      <c r="AG454" s="8">
        <v>1</v>
      </c>
      <c r="AH454" s="8">
        <v>1</v>
      </c>
      <c r="AI454" s="8">
        <v>1</v>
      </c>
      <c r="AJ454" s="8">
        <v>1</v>
      </c>
      <c r="AK454" s="10">
        <v>23</v>
      </c>
      <c r="AL454" s="11">
        <v>23</v>
      </c>
      <c r="AM454" s="13">
        <v>23</v>
      </c>
      <c r="AN454" s="13">
        <v>0</v>
      </c>
      <c r="AO454" s="7" t="e">
        <v>#N/A</v>
      </c>
    </row>
    <row r="455" spans="1:41">
      <c r="A455" s="8" t="s">
        <v>910</v>
      </c>
      <c r="B455" s="8" t="s">
        <v>953</v>
      </c>
      <c r="C455" s="8" t="s">
        <v>1045</v>
      </c>
      <c r="D455" s="8" t="s">
        <v>1046</v>
      </c>
      <c r="E455" s="8" t="s">
        <v>135</v>
      </c>
      <c r="F455" s="8">
        <v>1</v>
      </c>
      <c r="G455" s="8">
        <v>1</v>
      </c>
      <c r="H455" s="8">
        <v>1</v>
      </c>
      <c r="I455" s="8" t="s">
        <v>136</v>
      </c>
      <c r="J455" s="8" t="s">
        <v>136</v>
      </c>
      <c r="K455" s="8">
        <v>1</v>
      </c>
      <c r="L455" s="8">
        <v>1</v>
      </c>
      <c r="M455" s="8">
        <v>1</v>
      </c>
      <c r="N455" s="8">
        <v>1</v>
      </c>
      <c r="O455" s="8">
        <v>1</v>
      </c>
      <c r="P455" s="8" t="s">
        <v>136</v>
      </c>
      <c r="Q455" s="8" t="s">
        <v>136</v>
      </c>
      <c r="R455" s="8">
        <v>1</v>
      </c>
      <c r="S455" s="8">
        <v>1</v>
      </c>
      <c r="T455" s="8">
        <v>1</v>
      </c>
      <c r="U455" s="8">
        <v>1</v>
      </c>
      <c r="V455" s="8">
        <v>1</v>
      </c>
      <c r="W455" s="8" t="s">
        <v>136</v>
      </c>
      <c r="X455" s="8" t="s">
        <v>136</v>
      </c>
      <c r="Y455" s="8">
        <v>1</v>
      </c>
      <c r="Z455" s="8">
        <v>1</v>
      </c>
      <c r="AA455" s="8">
        <v>1</v>
      </c>
      <c r="AB455" s="8">
        <v>1</v>
      </c>
      <c r="AC455" s="8">
        <v>1</v>
      </c>
      <c r="AD455" s="8" t="s">
        <v>136</v>
      </c>
      <c r="AE455" s="8" t="s">
        <v>136</v>
      </c>
      <c r="AF455" s="8">
        <v>1</v>
      </c>
      <c r="AG455" s="8">
        <v>1</v>
      </c>
      <c r="AH455" s="8">
        <v>1</v>
      </c>
      <c r="AI455" s="8">
        <v>1</v>
      </c>
      <c r="AJ455" s="8">
        <v>1</v>
      </c>
      <c r="AK455" s="10">
        <v>23</v>
      </c>
      <c r="AL455" s="11">
        <v>23</v>
      </c>
      <c r="AM455" s="13">
        <v>23</v>
      </c>
      <c r="AN455" s="13">
        <v>0</v>
      </c>
      <c r="AO455" s="7" t="e">
        <v>#N/A</v>
      </c>
    </row>
    <row r="456" spans="1:41">
      <c r="A456" s="8" t="s">
        <v>910</v>
      </c>
      <c r="B456" s="8" t="s">
        <v>953</v>
      </c>
      <c r="C456" s="8" t="s">
        <v>1047</v>
      </c>
      <c r="D456" s="8" t="s">
        <v>1048</v>
      </c>
      <c r="E456" s="8" t="s">
        <v>135</v>
      </c>
      <c r="F456" s="8">
        <v>1</v>
      </c>
      <c r="G456" s="8">
        <v>1</v>
      </c>
      <c r="H456" s="8">
        <v>1</v>
      </c>
      <c r="I456" s="8" t="s">
        <v>136</v>
      </c>
      <c r="J456" s="8" t="s">
        <v>136</v>
      </c>
      <c r="K456" s="8">
        <v>1</v>
      </c>
      <c r="L456" s="8">
        <v>1</v>
      </c>
      <c r="M456" s="8">
        <v>1</v>
      </c>
      <c r="N456" s="8">
        <v>1</v>
      </c>
      <c r="O456" s="8">
        <v>1</v>
      </c>
      <c r="P456" s="8" t="s">
        <v>136</v>
      </c>
      <c r="Q456" s="8" t="s">
        <v>136</v>
      </c>
      <c r="R456" s="8">
        <v>1</v>
      </c>
      <c r="S456" s="8">
        <v>1</v>
      </c>
      <c r="T456" s="8">
        <v>1</v>
      </c>
      <c r="U456" s="8">
        <v>1</v>
      </c>
      <c r="V456" s="8">
        <v>1</v>
      </c>
      <c r="W456" s="8" t="s">
        <v>136</v>
      </c>
      <c r="X456" s="8" t="s">
        <v>136</v>
      </c>
      <c r="Y456" s="8">
        <v>1</v>
      </c>
      <c r="Z456" s="8">
        <v>1</v>
      </c>
      <c r="AA456" s="8">
        <v>1</v>
      </c>
      <c r="AB456" s="8">
        <v>1</v>
      </c>
      <c r="AC456" s="8">
        <v>1</v>
      </c>
      <c r="AD456" s="8" t="s">
        <v>136</v>
      </c>
      <c r="AE456" s="8" t="s">
        <v>136</v>
      </c>
      <c r="AF456" s="8">
        <v>1</v>
      </c>
      <c r="AG456" s="8">
        <v>1</v>
      </c>
      <c r="AH456" s="8">
        <v>1</v>
      </c>
      <c r="AI456" s="8">
        <v>1</v>
      </c>
      <c r="AJ456" s="8">
        <v>1</v>
      </c>
      <c r="AK456" s="10">
        <v>23</v>
      </c>
      <c r="AL456" s="11">
        <v>23</v>
      </c>
      <c r="AM456" s="13">
        <v>23</v>
      </c>
      <c r="AN456" s="13">
        <v>0</v>
      </c>
      <c r="AO456" s="7" t="e">
        <v>#N/A</v>
      </c>
    </row>
    <row r="457" spans="1:41">
      <c r="A457" s="8" t="s">
        <v>910</v>
      </c>
      <c r="B457" s="8" t="s">
        <v>953</v>
      </c>
      <c r="C457" s="8" t="s">
        <v>1049</v>
      </c>
      <c r="D457" s="8" t="s">
        <v>1050</v>
      </c>
      <c r="E457" s="8" t="s">
        <v>135</v>
      </c>
      <c r="F457" s="8">
        <v>1</v>
      </c>
      <c r="G457" s="8">
        <v>1</v>
      </c>
      <c r="H457" s="8">
        <v>1</v>
      </c>
      <c r="I457" s="8" t="s">
        <v>136</v>
      </c>
      <c r="J457" s="8" t="s">
        <v>136</v>
      </c>
      <c r="K457" s="8">
        <v>1</v>
      </c>
      <c r="L457" s="8">
        <v>1</v>
      </c>
      <c r="M457" s="8">
        <v>1</v>
      </c>
      <c r="N457" s="8">
        <v>1</v>
      </c>
      <c r="O457" s="8">
        <v>1</v>
      </c>
      <c r="P457" s="8" t="s">
        <v>136</v>
      </c>
      <c r="Q457" s="8" t="s">
        <v>136</v>
      </c>
      <c r="R457" s="8">
        <v>1</v>
      </c>
      <c r="S457" s="8">
        <v>1</v>
      </c>
      <c r="T457" s="8">
        <v>1</v>
      </c>
      <c r="U457" s="8">
        <v>1</v>
      </c>
      <c r="V457" s="8">
        <v>1</v>
      </c>
      <c r="W457" s="8" t="s">
        <v>136</v>
      </c>
      <c r="X457" s="8" t="s">
        <v>136</v>
      </c>
      <c r="Y457" s="8">
        <v>1</v>
      </c>
      <c r="Z457" s="8">
        <v>1</v>
      </c>
      <c r="AA457" s="8">
        <v>1</v>
      </c>
      <c r="AB457" s="8">
        <v>1</v>
      </c>
      <c r="AC457" s="8">
        <v>1</v>
      </c>
      <c r="AD457" s="8" t="s">
        <v>136</v>
      </c>
      <c r="AE457" s="8" t="s">
        <v>136</v>
      </c>
      <c r="AF457" s="8">
        <v>1</v>
      </c>
      <c r="AG457" s="8">
        <v>1</v>
      </c>
      <c r="AH457" s="8">
        <v>1</v>
      </c>
      <c r="AI457" s="8">
        <v>1</v>
      </c>
      <c r="AJ457" s="8">
        <v>1</v>
      </c>
      <c r="AK457" s="10">
        <v>23</v>
      </c>
      <c r="AL457" s="11">
        <v>23</v>
      </c>
      <c r="AM457" s="13">
        <v>23</v>
      </c>
      <c r="AN457" s="13">
        <v>0</v>
      </c>
      <c r="AO457" s="7" t="e">
        <v>#N/A</v>
      </c>
    </row>
    <row r="458" spans="1:41">
      <c r="A458" s="8" t="s">
        <v>910</v>
      </c>
      <c r="B458" s="8" t="s">
        <v>953</v>
      </c>
      <c r="C458" s="8" t="s">
        <v>1051</v>
      </c>
      <c r="D458" s="8" t="s">
        <v>1052</v>
      </c>
      <c r="E458" s="8" t="s">
        <v>135</v>
      </c>
      <c r="F458" s="8">
        <v>1</v>
      </c>
      <c r="G458" s="8">
        <v>1</v>
      </c>
      <c r="H458" s="8">
        <v>1</v>
      </c>
      <c r="I458" s="8" t="s">
        <v>136</v>
      </c>
      <c r="J458" s="8" t="s">
        <v>136</v>
      </c>
      <c r="K458" s="8">
        <v>1</v>
      </c>
      <c r="L458" s="8">
        <v>1</v>
      </c>
      <c r="M458" s="8">
        <v>1</v>
      </c>
      <c r="N458" s="8">
        <v>1</v>
      </c>
      <c r="O458" s="8">
        <v>1</v>
      </c>
      <c r="P458" s="8" t="s">
        <v>136</v>
      </c>
      <c r="Q458" s="8" t="s">
        <v>136</v>
      </c>
      <c r="R458" s="8">
        <v>1</v>
      </c>
      <c r="S458" s="8">
        <v>1</v>
      </c>
      <c r="T458" s="8">
        <v>1</v>
      </c>
      <c r="U458" s="8">
        <v>1</v>
      </c>
      <c r="V458" s="8">
        <v>1</v>
      </c>
      <c r="W458" s="8" t="s">
        <v>136</v>
      </c>
      <c r="X458" s="8" t="s">
        <v>136</v>
      </c>
      <c r="Y458" s="8">
        <v>1</v>
      </c>
      <c r="Z458" s="8">
        <v>1</v>
      </c>
      <c r="AA458" s="8">
        <v>1</v>
      </c>
      <c r="AB458" s="8">
        <v>1</v>
      </c>
      <c r="AC458" s="8">
        <v>1</v>
      </c>
      <c r="AD458" s="8" t="s">
        <v>136</v>
      </c>
      <c r="AE458" s="8" t="s">
        <v>136</v>
      </c>
      <c r="AF458" s="8">
        <v>1</v>
      </c>
      <c r="AG458" s="8">
        <v>1</v>
      </c>
      <c r="AH458" s="8">
        <v>1</v>
      </c>
      <c r="AI458" s="8">
        <v>1</v>
      </c>
      <c r="AJ458" s="8">
        <v>1</v>
      </c>
      <c r="AK458" s="10">
        <v>23</v>
      </c>
      <c r="AL458" s="11">
        <v>23</v>
      </c>
      <c r="AM458" s="13">
        <v>23</v>
      </c>
      <c r="AN458" s="13">
        <v>0</v>
      </c>
      <c r="AO458" s="7" t="e">
        <v>#N/A</v>
      </c>
    </row>
    <row r="459" spans="1:41">
      <c r="A459" s="8" t="s">
        <v>910</v>
      </c>
      <c r="B459" s="8" t="s">
        <v>953</v>
      </c>
      <c r="C459" s="8" t="s">
        <v>1053</v>
      </c>
      <c r="D459" s="8" t="s">
        <v>1054</v>
      </c>
      <c r="E459" s="8" t="s">
        <v>135</v>
      </c>
      <c r="F459" s="8">
        <v>1</v>
      </c>
      <c r="G459" s="8">
        <v>1</v>
      </c>
      <c r="H459" s="8">
        <v>1</v>
      </c>
      <c r="I459" s="8" t="s">
        <v>136</v>
      </c>
      <c r="J459" s="8" t="s">
        <v>136</v>
      </c>
      <c r="K459" s="8">
        <v>1</v>
      </c>
      <c r="L459" s="8">
        <v>1</v>
      </c>
      <c r="M459" s="8">
        <v>1</v>
      </c>
      <c r="N459" s="8">
        <v>1</v>
      </c>
      <c r="O459" s="8">
        <v>1</v>
      </c>
      <c r="P459" s="8" t="s">
        <v>136</v>
      </c>
      <c r="Q459" s="8" t="s">
        <v>136</v>
      </c>
      <c r="R459" s="8">
        <v>1</v>
      </c>
      <c r="S459" s="8">
        <v>1</v>
      </c>
      <c r="T459" s="8">
        <v>1</v>
      </c>
      <c r="U459" s="8">
        <v>1</v>
      </c>
      <c r="V459" s="8">
        <v>1</v>
      </c>
      <c r="W459" s="8" t="s">
        <v>136</v>
      </c>
      <c r="X459" s="8" t="s">
        <v>136</v>
      </c>
      <c r="Y459" s="8">
        <v>1</v>
      </c>
      <c r="Z459" s="8">
        <v>1</v>
      </c>
      <c r="AA459" s="8">
        <v>1</v>
      </c>
      <c r="AB459" s="8">
        <v>1</v>
      </c>
      <c r="AC459" s="8">
        <v>1</v>
      </c>
      <c r="AD459" s="8" t="s">
        <v>136</v>
      </c>
      <c r="AE459" s="8" t="s">
        <v>136</v>
      </c>
      <c r="AF459" s="8">
        <v>1</v>
      </c>
      <c r="AG459" s="8">
        <v>1</v>
      </c>
      <c r="AH459" s="8">
        <v>1</v>
      </c>
      <c r="AI459" s="8">
        <v>1</v>
      </c>
      <c r="AJ459" s="8">
        <v>1</v>
      </c>
      <c r="AK459" s="10">
        <v>23</v>
      </c>
      <c r="AL459" s="11">
        <v>23</v>
      </c>
      <c r="AM459" s="13">
        <v>23</v>
      </c>
      <c r="AN459" s="13">
        <v>0</v>
      </c>
      <c r="AO459" s="7" t="e">
        <v>#N/A</v>
      </c>
    </row>
    <row r="460" spans="1:41">
      <c r="A460" s="8" t="s">
        <v>910</v>
      </c>
      <c r="B460" s="8" t="s">
        <v>953</v>
      </c>
      <c r="C460" s="8" t="s">
        <v>1055</v>
      </c>
      <c r="D460" s="8" t="s">
        <v>1056</v>
      </c>
      <c r="E460" s="8" t="s">
        <v>135</v>
      </c>
      <c r="F460" s="8">
        <v>1</v>
      </c>
      <c r="G460" s="8">
        <v>1</v>
      </c>
      <c r="H460" s="8">
        <v>1</v>
      </c>
      <c r="I460" s="8" t="s">
        <v>136</v>
      </c>
      <c r="J460" s="8" t="s">
        <v>136</v>
      </c>
      <c r="K460" s="8">
        <v>1</v>
      </c>
      <c r="L460" s="8">
        <v>1</v>
      </c>
      <c r="M460" s="8">
        <v>1</v>
      </c>
      <c r="N460" s="8">
        <v>1</v>
      </c>
      <c r="O460" s="8">
        <v>1</v>
      </c>
      <c r="P460" s="8" t="s">
        <v>136</v>
      </c>
      <c r="Q460" s="8" t="s">
        <v>136</v>
      </c>
      <c r="R460" s="8">
        <v>1</v>
      </c>
      <c r="S460" s="8">
        <v>1</v>
      </c>
      <c r="T460" s="8">
        <v>1</v>
      </c>
      <c r="U460" s="8">
        <v>1</v>
      </c>
      <c r="V460" s="8">
        <v>1</v>
      </c>
      <c r="W460" s="8" t="s">
        <v>136</v>
      </c>
      <c r="X460" s="8" t="s">
        <v>136</v>
      </c>
      <c r="Y460" s="8">
        <v>1</v>
      </c>
      <c r="Z460" s="8">
        <v>1</v>
      </c>
      <c r="AA460" s="8">
        <v>1</v>
      </c>
      <c r="AB460" s="8">
        <v>1</v>
      </c>
      <c r="AC460" s="8">
        <v>1</v>
      </c>
      <c r="AD460" s="8" t="s">
        <v>136</v>
      </c>
      <c r="AE460" s="8" t="s">
        <v>136</v>
      </c>
      <c r="AF460" s="8">
        <v>1</v>
      </c>
      <c r="AG460" s="8">
        <v>1</v>
      </c>
      <c r="AH460" s="8">
        <v>1</v>
      </c>
      <c r="AI460" s="8">
        <v>1</v>
      </c>
      <c r="AJ460" s="8">
        <v>1</v>
      </c>
      <c r="AK460" s="10">
        <v>23</v>
      </c>
      <c r="AL460" s="11">
        <v>23</v>
      </c>
      <c r="AM460" s="13">
        <v>23</v>
      </c>
      <c r="AN460" s="13">
        <v>0</v>
      </c>
      <c r="AO460" s="7" t="e">
        <v>#N/A</v>
      </c>
    </row>
    <row r="461" spans="1:41">
      <c r="A461" s="8" t="s">
        <v>910</v>
      </c>
      <c r="B461" s="8" t="s">
        <v>953</v>
      </c>
      <c r="C461" s="8" t="s">
        <v>1057</v>
      </c>
      <c r="D461" s="8" t="s">
        <v>1058</v>
      </c>
      <c r="E461" s="8" t="s">
        <v>135</v>
      </c>
      <c r="F461" s="8">
        <v>1</v>
      </c>
      <c r="G461" s="8">
        <v>1</v>
      </c>
      <c r="H461" s="8">
        <v>1</v>
      </c>
      <c r="I461" s="8" t="s">
        <v>136</v>
      </c>
      <c r="J461" s="8" t="s">
        <v>136</v>
      </c>
      <c r="K461" s="8">
        <v>1</v>
      </c>
      <c r="L461" s="8">
        <v>1</v>
      </c>
      <c r="M461" s="8">
        <v>1</v>
      </c>
      <c r="N461" s="8">
        <v>1</v>
      </c>
      <c r="O461" s="8">
        <v>1</v>
      </c>
      <c r="P461" s="8" t="s">
        <v>136</v>
      </c>
      <c r="Q461" s="8" t="s">
        <v>136</v>
      </c>
      <c r="R461" s="8">
        <v>1</v>
      </c>
      <c r="S461" s="8">
        <v>1</v>
      </c>
      <c r="T461" s="8">
        <v>1</v>
      </c>
      <c r="U461" s="8">
        <v>1</v>
      </c>
      <c r="V461" s="8">
        <v>1</v>
      </c>
      <c r="W461" s="8" t="s">
        <v>136</v>
      </c>
      <c r="X461" s="8" t="s">
        <v>136</v>
      </c>
      <c r="Y461" s="8">
        <v>1</v>
      </c>
      <c r="Z461" s="8">
        <v>1</v>
      </c>
      <c r="AA461" s="8">
        <v>1</v>
      </c>
      <c r="AB461" s="8">
        <v>1</v>
      </c>
      <c r="AC461" s="8">
        <v>1</v>
      </c>
      <c r="AD461" s="8" t="s">
        <v>136</v>
      </c>
      <c r="AE461" s="8" t="s">
        <v>136</v>
      </c>
      <c r="AF461" s="8">
        <v>1</v>
      </c>
      <c r="AG461" s="8">
        <v>1</v>
      </c>
      <c r="AH461" s="8">
        <v>1</v>
      </c>
      <c r="AI461" s="8">
        <v>1</v>
      </c>
      <c r="AJ461" s="8">
        <v>1</v>
      </c>
      <c r="AK461" s="10">
        <v>23</v>
      </c>
      <c r="AL461" s="11">
        <v>23</v>
      </c>
      <c r="AM461" s="13">
        <v>23</v>
      </c>
      <c r="AN461" s="13">
        <v>0</v>
      </c>
      <c r="AO461" s="7" t="e">
        <v>#N/A</v>
      </c>
    </row>
    <row r="462" spans="1:41">
      <c r="A462" s="8" t="s">
        <v>910</v>
      </c>
      <c r="B462" s="8" t="s">
        <v>953</v>
      </c>
      <c r="C462" s="8" t="s">
        <v>1059</v>
      </c>
      <c r="D462" s="8" t="s">
        <v>1060</v>
      </c>
      <c r="E462" s="8" t="s">
        <v>135</v>
      </c>
      <c r="F462" s="8">
        <v>1</v>
      </c>
      <c r="G462" s="8">
        <v>1</v>
      </c>
      <c r="H462" s="8">
        <v>1</v>
      </c>
      <c r="I462" s="8" t="s">
        <v>136</v>
      </c>
      <c r="J462" s="8" t="s">
        <v>136</v>
      </c>
      <c r="K462" s="8">
        <v>1</v>
      </c>
      <c r="L462" s="8">
        <v>1</v>
      </c>
      <c r="M462" s="8">
        <v>1</v>
      </c>
      <c r="N462" s="8">
        <v>1</v>
      </c>
      <c r="O462" s="8">
        <v>1</v>
      </c>
      <c r="P462" s="8" t="s">
        <v>136</v>
      </c>
      <c r="Q462" s="8" t="s">
        <v>136</v>
      </c>
      <c r="R462" s="8">
        <v>1</v>
      </c>
      <c r="S462" s="8">
        <v>1</v>
      </c>
      <c r="T462" s="8">
        <v>1</v>
      </c>
      <c r="U462" s="8">
        <v>1</v>
      </c>
      <c r="V462" s="8">
        <v>1</v>
      </c>
      <c r="W462" s="8" t="s">
        <v>136</v>
      </c>
      <c r="X462" s="8" t="s">
        <v>136</v>
      </c>
      <c r="Y462" s="8">
        <v>1</v>
      </c>
      <c r="Z462" s="8">
        <v>1</v>
      </c>
      <c r="AA462" s="8">
        <v>1</v>
      </c>
      <c r="AB462" s="8">
        <v>1</v>
      </c>
      <c r="AC462" s="8">
        <v>1</v>
      </c>
      <c r="AD462" s="8" t="s">
        <v>136</v>
      </c>
      <c r="AE462" s="8" t="s">
        <v>136</v>
      </c>
      <c r="AF462" s="8">
        <v>1</v>
      </c>
      <c r="AG462" s="8">
        <v>1</v>
      </c>
      <c r="AH462" s="8">
        <v>1</v>
      </c>
      <c r="AI462" s="8">
        <v>1</v>
      </c>
      <c r="AJ462" s="8">
        <v>1</v>
      </c>
      <c r="AK462" s="10">
        <v>23</v>
      </c>
      <c r="AL462" s="11">
        <v>23</v>
      </c>
      <c r="AM462" s="13">
        <v>23</v>
      </c>
      <c r="AN462" s="13">
        <v>0</v>
      </c>
      <c r="AO462" s="7" t="e">
        <v>#N/A</v>
      </c>
    </row>
    <row r="463" spans="1:41">
      <c r="A463" s="8" t="s">
        <v>910</v>
      </c>
      <c r="B463" s="8" t="s">
        <v>953</v>
      </c>
      <c r="C463" s="8" t="s">
        <v>1061</v>
      </c>
      <c r="D463" s="8" t="s">
        <v>1062</v>
      </c>
      <c r="E463" s="8" t="s">
        <v>135</v>
      </c>
      <c r="F463" s="8">
        <v>1</v>
      </c>
      <c r="G463" s="8">
        <v>1</v>
      </c>
      <c r="H463" s="8">
        <v>1</v>
      </c>
      <c r="I463" s="8" t="s">
        <v>136</v>
      </c>
      <c r="J463" s="8" t="s">
        <v>136</v>
      </c>
      <c r="K463" s="8">
        <v>1</v>
      </c>
      <c r="L463" s="8">
        <v>1</v>
      </c>
      <c r="M463" s="8">
        <v>1</v>
      </c>
      <c r="N463" s="8">
        <v>1</v>
      </c>
      <c r="O463" s="8">
        <v>1</v>
      </c>
      <c r="P463" s="8" t="s">
        <v>136</v>
      </c>
      <c r="Q463" s="8" t="s">
        <v>136</v>
      </c>
      <c r="R463" s="8">
        <v>1</v>
      </c>
      <c r="S463" s="8">
        <v>1</v>
      </c>
      <c r="T463" s="8">
        <v>1</v>
      </c>
      <c r="U463" s="8">
        <v>1</v>
      </c>
      <c r="V463" s="8">
        <v>1</v>
      </c>
      <c r="W463" s="8" t="s">
        <v>136</v>
      </c>
      <c r="X463" s="8" t="s">
        <v>136</v>
      </c>
      <c r="Y463" s="8">
        <v>1</v>
      </c>
      <c r="Z463" s="8">
        <v>1</v>
      </c>
      <c r="AA463" s="8">
        <v>1</v>
      </c>
      <c r="AB463" s="8">
        <v>1</v>
      </c>
      <c r="AC463" s="8">
        <v>1</v>
      </c>
      <c r="AD463" s="8" t="s">
        <v>136</v>
      </c>
      <c r="AE463" s="8" t="s">
        <v>136</v>
      </c>
      <c r="AF463" s="8">
        <v>1</v>
      </c>
      <c r="AG463" s="8">
        <v>1</v>
      </c>
      <c r="AH463" s="8">
        <v>1</v>
      </c>
      <c r="AI463" s="8">
        <v>1</v>
      </c>
      <c r="AJ463" s="8">
        <v>1</v>
      </c>
      <c r="AK463" s="10">
        <v>23</v>
      </c>
      <c r="AL463" s="11">
        <v>23</v>
      </c>
      <c r="AM463" s="13">
        <v>23</v>
      </c>
      <c r="AN463" s="13">
        <v>0</v>
      </c>
      <c r="AO463" s="7" t="e">
        <v>#N/A</v>
      </c>
    </row>
    <row r="464" spans="1:41">
      <c r="A464" s="8" t="s">
        <v>910</v>
      </c>
      <c r="B464" s="8" t="s">
        <v>953</v>
      </c>
      <c r="C464" s="8" t="s">
        <v>1063</v>
      </c>
      <c r="D464" s="8" t="s">
        <v>1064</v>
      </c>
      <c r="E464" s="8" t="s">
        <v>135</v>
      </c>
      <c r="F464" s="8">
        <v>1</v>
      </c>
      <c r="G464" s="8">
        <v>1</v>
      </c>
      <c r="H464" s="8">
        <v>1</v>
      </c>
      <c r="I464" s="8" t="s">
        <v>136</v>
      </c>
      <c r="J464" s="8" t="s">
        <v>136</v>
      </c>
      <c r="K464" s="8">
        <v>1</v>
      </c>
      <c r="L464" s="8">
        <v>1</v>
      </c>
      <c r="M464" s="8">
        <v>1</v>
      </c>
      <c r="N464" s="8">
        <v>1</v>
      </c>
      <c r="O464" s="8">
        <v>1</v>
      </c>
      <c r="P464" s="8" t="s">
        <v>136</v>
      </c>
      <c r="Q464" s="8" t="s">
        <v>136</v>
      </c>
      <c r="R464" s="8">
        <v>1</v>
      </c>
      <c r="S464" s="8">
        <v>1</v>
      </c>
      <c r="T464" s="8">
        <v>1</v>
      </c>
      <c r="U464" s="8">
        <v>1</v>
      </c>
      <c r="V464" s="8">
        <v>1</v>
      </c>
      <c r="W464" s="8" t="s">
        <v>136</v>
      </c>
      <c r="X464" s="8" t="s">
        <v>136</v>
      </c>
      <c r="Y464" s="8">
        <v>1</v>
      </c>
      <c r="Z464" s="8">
        <v>1</v>
      </c>
      <c r="AA464" s="8">
        <v>1</v>
      </c>
      <c r="AB464" s="8">
        <v>1</v>
      </c>
      <c r="AC464" s="8">
        <v>1</v>
      </c>
      <c r="AD464" s="8" t="s">
        <v>136</v>
      </c>
      <c r="AE464" s="8" t="s">
        <v>136</v>
      </c>
      <c r="AF464" s="8">
        <v>1</v>
      </c>
      <c r="AG464" s="8">
        <v>1</v>
      </c>
      <c r="AH464" s="8">
        <v>1</v>
      </c>
      <c r="AI464" s="8">
        <v>1</v>
      </c>
      <c r="AJ464" s="8">
        <v>1</v>
      </c>
      <c r="AK464" s="10">
        <v>23</v>
      </c>
      <c r="AL464" s="11">
        <v>23</v>
      </c>
      <c r="AM464" s="13">
        <v>23</v>
      </c>
      <c r="AN464" s="13">
        <v>0</v>
      </c>
      <c r="AO464" s="7" t="e">
        <v>#N/A</v>
      </c>
    </row>
    <row r="465" spans="1:41">
      <c r="A465" s="8" t="s">
        <v>910</v>
      </c>
      <c r="B465" s="8" t="s">
        <v>953</v>
      </c>
      <c r="C465" s="8" t="s">
        <v>1065</v>
      </c>
      <c r="D465" s="8" t="s">
        <v>1066</v>
      </c>
      <c r="E465" s="8" t="s">
        <v>135</v>
      </c>
      <c r="F465" s="8">
        <v>1</v>
      </c>
      <c r="G465" s="8">
        <v>1</v>
      </c>
      <c r="H465" s="8">
        <v>1</v>
      </c>
      <c r="I465" s="8" t="s">
        <v>136</v>
      </c>
      <c r="J465" s="8" t="s">
        <v>136</v>
      </c>
      <c r="K465" s="8">
        <v>1</v>
      </c>
      <c r="L465" s="8">
        <v>1</v>
      </c>
      <c r="M465" s="8">
        <v>1</v>
      </c>
      <c r="N465" s="8">
        <v>1</v>
      </c>
      <c r="O465" s="8">
        <v>1</v>
      </c>
      <c r="P465" s="8" t="s">
        <v>136</v>
      </c>
      <c r="Q465" s="8" t="s">
        <v>136</v>
      </c>
      <c r="R465" s="8">
        <v>1</v>
      </c>
      <c r="S465" s="8">
        <v>1</v>
      </c>
      <c r="T465" s="8">
        <v>1</v>
      </c>
      <c r="U465" s="8">
        <v>1</v>
      </c>
      <c r="V465" s="8">
        <v>1</v>
      </c>
      <c r="W465" s="8" t="s">
        <v>136</v>
      </c>
      <c r="X465" s="8" t="s">
        <v>136</v>
      </c>
      <c r="Y465" s="8">
        <v>1</v>
      </c>
      <c r="Z465" s="8">
        <v>1</v>
      </c>
      <c r="AA465" s="8">
        <v>1</v>
      </c>
      <c r="AB465" s="8">
        <v>1</v>
      </c>
      <c r="AC465" s="8">
        <v>1</v>
      </c>
      <c r="AD465" s="8" t="s">
        <v>136</v>
      </c>
      <c r="AE465" s="8" t="s">
        <v>136</v>
      </c>
      <c r="AF465" s="8">
        <v>1</v>
      </c>
      <c r="AG465" s="8">
        <v>1</v>
      </c>
      <c r="AH465" s="8">
        <v>1</v>
      </c>
      <c r="AI465" s="8">
        <v>1</v>
      </c>
      <c r="AJ465" s="8">
        <v>1</v>
      </c>
      <c r="AK465" s="10">
        <v>23</v>
      </c>
      <c r="AL465" s="11">
        <v>23</v>
      </c>
      <c r="AM465" s="13">
        <v>23</v>
      </c>
      <c r="AN465" s="13">
        <v>0</v>
      </c>
      <c r="AO465" s="7" t="e">
        <v>#N/A</v>
      </c>
    </row>
    <row r="466" spans="1:41">
      <c r="A466" s="8" t="s">
        <v>910</v>
      </c>
      <c r="B466" s="8" t="s">
        <v>953</v>
      </c>
      <c r="C466" s="8" t="s">
        <v>1067</v>
      </c>
      <c r="D466" s="8" t="s">
        <v>1068</v>
      </c>
      <c r="E466" s="8" t="s">
        <v>135</v>
      </c>
      <c r="F466" s="8">
        <v>1</v>
      </c>
      <c r="G466" s="8">
        <v>1</v>
      </c>
      <c r="H466" s="8">
        <v>1</v>
      </c>
      <c r="I466" s="8" t="s">
        <v>136</v>
      </c>
      <c r="J466" s="8" t="s">
        <v>136</v>
      </c>
      <c r="K466" s="8">
        <v>1</v>
      </c>
      <c r="L466" s="8">
        <v>1</v>
      </c>
      <c r="M466" s="8">
        <v>1</v>
      </c>
      <c r="N466" s="8">
        <v>1</v>
      </c>
      <c r="O466" s="8">
        <v>1</v>
      </c>
      <c r="P466" s="8" t="s">
        <v>136</v>
      </c>
      <c r="Q466" s="8" t="s">
        <v>136</v>
      </c>
      <c r="R466" s="8">
        <v>1</v>
      </c>
      <c r="S466" s="8">
        <v>1</v>
      </c>
      <c r="T466" s="8">
        <v>1</v>
      </c>
      <c r="U466" s="8">
        <v>1</v>
      </c>
      <c r="V466" s="8">
        <v>1</v>
      </c>
      <c r="W466" s="8" t="s">
        <v>136</v>
      </c>
      <c r="X466" s="8" t="s">
        <v>136</v>
      </c>
      <c r="Y466" s="8">
        <v>1</v>
      </c>
      <c r="Z466" s="8">
        <v>1</v>
      </c>
      <c r="AA466" s="8">
        <v>1</v>
      </c>
      <c r="AB466" s="8">
        <v>1</v>
      </c>
      <c r="AC466" s="8">
        <v>1</v>
      </c>
      <c r="AD466" s="8" t="s">
        <v>136</v>
      </c>
      <c r="AE466" s="8" t="s">
        <v>136</v>
      </c>
      <c r="AF466" s="8">
        <v>1</v>
      </c>
      <c r="AG466" s="8">
        <v>1</v>
      </c>
      <c r="AH466" s="8">
        <v>1</v>
      </c>
      <c r="AI466" s="8">
        <v>1</v>
      </c>
      <c r="AJ466" s="8">
        <v>1</v>
      </c>
      <c r="AK466" s="10">
        <v>23</v>
      </c>
      <c r="AL466" s="11">
        <v>23</v>
      </c>
      <c r="AM466" s="13">
        <v>23</v>
      </c>
      <c r="AN466" s="13">
        <v>0</v>
      </c>
      <c r="AO466" s="7" t="e">
        <v>#N/A</v>
      </c>
    </row>
    <row r="467" spans="1:41">
      <c r="A467" s="8" t="s">
        <v>910</v>
      </c>
      <c r="B467" s="8" t="s">
        <v>953</v>
      </c>
      <c r="C467" s="8" t="s">
        <v>1069</v>
      </c>
      <c r="D467" s="8" t="s">
        <v>1070</v>
      </c>
      <c r="E467" s="8" t="s">
        <v>135</v>
      </c>
      <c r="F467" s="8">
        <v>1</v>
      </c>
      <c r="G467" s="8">
        <v>1</v>
      </c>
      <c r="H467" s="8">
        <v>1</v>
      </c>
      <c r="I467" s="8" t="s">
        <v>136</v>
      </c>
      <c r="J467" s="8" t="s">
        <v>136</v>
      </c>
      <c r="K467" s="8">
        <v>1</v>
      </c>
      <c r="L467" s="8">
        <v>1</v>
      </c>
      <c r="M467" s="8">
        <v>1</v>
      </c>
      <c r="N467" s="8">
        <v>1</v>
      </c>
      <c r="O467" s="8">
        <v>1</v>
      </c>
      <c r="P467" s="8" t="s">
        <v>136</v>
      </c>
      <c r="Q467" s="8" t="s">
        <v>136</v>
      </c>
      <c r="R467" s="8">
        <v>1</v>
      </c>
      <c r="S467" s="8">
        <v>1</v>
      </c>
      <c r="T467" s="8">
        <v>1</v>
      </c>
      <c r="U467" s="8">
        <v>1</v>
      </c>
      <c r="V467" s="8">
        <v>1</v>
      </c>
      <c r="W467" s="8" t="s">
        <v>136</v>
      </c>
      <c r="X467" s="8" t="s">
        <v>136</v>
      </c>
      <c r="Y467" s="8">
        <v>1</v>
      </c>
      <c r="Z467" s="8">
        <v>1</v>
      </c>
      <c r="AA467" s="8">
        <v>1</v>
      </c>
      <c r="AB467" s="8">
        <v>1</v>
      </c>
      <c r="AC467" s="8">
        <v>1</v>
      </c>
      <c r="AD467" s="8" t="s">
        <v>136</v>
      </c>
      <c r="AE467" s="8" t="s">
        <v>136</v>
      </c>
      <c r="AF467" s="8">
        <v>1</v>
      </c>
      <c r="AG467" s="8">
        <v>1</v>
      </c>
      <c r="AH467" s="8">
        <v>1</v>
      </c>
      <c r="AI467" s="8">
        <v>1</v>
      </c>
      <c r="AJ467" s="8">
        <v>1</v>
      </c>
      <c r="AK467" s="10">
        <v>23</v>
      </c>
      <c r="AL467" s="11">
        <v>23</v>
      </c>
      <c r="AM467" s="13">
        <v>23</v>
      </c>
      <c r="AN467" s="13">
        <v>0</v>
      </c>
      <c r="AO467" s="7" t="e">
        <v>#N/A</v>
      </c>
    </row>
    <row r="468" spans="1:41">
      <c r="A468" s="8" t="s">
        <v>910</v>
      </c>
      <c r="B468" s="8" t="s">
        <v>953</v>
      </c>
      <c r="C468" s="8" t="s">
        <v>1071</v>
      </c>
      <c r="D468" s="8" t="s">
        <v>1072</v>
      </c>
      <c r="E468" s="8" t="s">
        <v>135</v>
      </c>
      <c r="F468" s="8">
        <v>1</v>
      </c>
      <c r="G468" s="8">
        <v>1</v>
      </c>
      <c r="H468" s="8">
        <v>1</v>
      </c>
      <c r="I468" s="8" t="s">
        <v>136</v>
      </c>
      <c r="J468" s="8" t="s">
        <v>136</v>
      </c>
      <c r="K468" s="8">
        <v>1</v>
      </c>
      <c r="L468" s="8">
        <v>1</v>
      </c>
      <c r="M468" s="8">
        <v>1</v>
      </c>
      <c r="N468" s="8">
        <v>1</v>
      </c>
      <c r="O468" s="8">
        <v>1</v>
      </c>
      <c r="P468" s="8" t="s">
        <v>136</v>
      </c>
      <c r="Q468" s="8" t="s">
        <v>136</v>
      </c>
      <c r="R468" s="8">
        <v>1</v>
      </c>
      <c r="S468" s="8">
        <v>1</v>
      </c>
      <c r="T468" s="8">
        <v>1</v>
      </c>
      <c r="U468" s="8">
        <v>1</v>
      </c>
      <c r="V468" s="8">
        <v>1</v>
      </c>
      <c r="W468" s="8" t="s">
        <v>136</v>
      </c>
      <c r="X468" s="8" t="s">
        <v>136</v>
      </c>
      <c r="Y468" s="8">
        <v>1</v>
      </c>
      <c r="Z468" s="8">
        <v>1</v>
      </c>
      <c r="AA468" s="8">
        <v>1</v>
      </c>
      <c r="AB468" s="8">
        <v>1</v>
      </c>
      <c r="AC468" s="8">
        <v>1</v>
      </c>
      <c r="AD468" s="8" t="s">
        <v>136</v>
      </c>
      <c r="AE468" s="8" t="s">
        <v>136</v>
      </c>
      <c r="AF468" s="8">
        <v>1</v>
      </c>
      <c r="AG468" s="8">
        <v>1</v>
      </c>
      <c r="AH468" s="8">
        <v>1</v>
      </c>
      <c r="AI468" s="8">
        <v>1</v>
      </c>
      <c r="AJ468" s="8">
        <v>1</v>
      </c>
      <c r="AK468" s="10">
        <v>23</v>
      </c>
      <c r="AL468" s="11">
        <v>23</v>
      </c>
      <c r="AM468" s="13">
        <v>23</v>
      </c>
      <c r="AN468" s="13">
        <v>0</v>
      </c>
      <c r="AO468" s="7" t="e">
        <v>#N/A</v>
      </c>
    </row>
    <row r="469" spans="1:41">
      <c r="A469" s="8" t="s">
        <v>910</v>
      </c>
      <c r="B469" s="8" t="s">
        <v>953</v>
      </c>
      <c r="C469" s="8" t="s">
        <v>1073</v>
      </c>
      <c r="D469" s="8" t="s">
        <v>1074</v>
      </c>
      <c r="E469" s="8" t="s">
        <v>135</v>
      </c>
      <c r="F469" s="8">
        <v>1</v>
      </c>
      <c r="G469" s="8">
        <v>1</v>
      </c>
      <c r="H469" s="8">
        <v>1</v>
      </c>
      <c r="I469" s="8" t="s">
        <v>136</v>
      </c>
      <c r="J469" s="8" t="s">
        <v>136</v>
      </c>
      <c r="K469" s="8">
        <v>1</v>
      </c>
      <c r="L469" s="8">
        <v>1</v>
      </c>
      <c r="M469" s="8">
        <v>1</v>
      </c>
      <c r="N469" s="8">
        <v>1</v>
      </c>
      <c r="O469" s="8">
        <v>1</v>
      </c>
      <c r="P469" s="8" t="s">
        <v>136</v>
      </c>
      <c r="Q469" s="8" t="s">
        <v>136</v>
      </c>
      <c r="R469" s="8">
        <v>1</v>
      </c>
      <c r="S469" s="8">
        <v>1</v>
      </c>
      <c r="T469" s="8">
        <v>1</v>
      </c>
      <c r="U469" s="8">
        <v>1</v>
      </c>
      <c r="V469" s="8">
        <v>1</v>
      </c>
      <c r="W469" s="8" t="s">
        <v>136</v>
      </c>
      <c r="X469" s="8" t="s">
        <v>136</v>
      </c>
      <c r="Y469" s="8">
        <v>1</v>
      </c>
      <c r="Z469" s="8">
        <v>1</v>
      </c>
      <c r="AA469" s="8">
        <v>1</v>
      </c>
      <c r="AB469" s="8">
        <v>1</v>
      </c>
      <c r="AC469" s="8">
        <v>1</v>
      </c>
      <c r="AD469" s="8" t="s">
        <v>136</v>
      </c>
      <c r="AE469" s="8" t="s">
        <v>136</v>
      </c>
      <c r="AF469" s="8">
        <v>1</v>
      </c>
      <c r="AG469" s="8">
        <v>1</v>
      </c>
      <c r="AH469" s="8">
        <v>1</v>
      </c>
      <c r="AI469" s="8">
        <v>1</v>
      </c>
      <c r="AJ469" s="8">
        <v>1</v>
      </c>
      <c r="AK469" s="10">
        <v>23</v>
      </c>
      <c r="AL469" s="11">
        <v>23</v>
      </c>
      <c r="AM469" s="13">
        <v>23</v>
      </c>
      <c r="AN469" s="13">
        <v>0</v>
      </c>
      <c r="AO469" s="7" t="e">
        <v>#N/A</v>
      </c>
    </row>
    <row r="470" spans="1:41">
      <c r="A470" s="8" t="s">
        <v>910</v>
      </c>
      <c r="B470" s="8" t="s">
        <v>953</v>
      </c>
      <c r="C470" s="8" t="s">
        <v>1075</v>
      </c>
      <c r="D470" s="8" t="s">
        <v>1076</v>
      </c>
      <c r="E470" s="8" t="s">
        <v>135</v>
      </c>
      <c r="F470" s="8">
        <v>1</v>
      </c>
      <c r="G470" s="8">
        <v>1</v>
      </c>
      <c r="H470" s="8">
        <v>1</v>
      </c>
      <c r="I470" s="8" t="s">
        <v>136</v>
      </c>
      <c r="J470" s="8" t="s">
        <v>136</v>
      </c>
      <c r="K470" s="8">
        <v>1</v>
      </c>
      <c r="L470" s="8">
        <v>1</v>
      </c>
      <c r="M470" s="8">
        <v>1</v>
      </c>
      <c r="N470" s="8">
        <v>1</v>
      </c>
      <c r="O470" s="8">
        <v>1</v>
      </c>
      <c r="P470" s="8" t="s">
        <v>136</v>
      </c>
      <c r="Q470" s="8" t="s">
        <v>136</v>
      </c>
      <c r="R470" s="8">
        <v>1</v>
      </c>
      <c r="S470" s="8">
        <v>1</v>
      </c>
      <c r="T470" s="8">
        <v>1</v>
      </c>
      <c r="U470" s="8">
        <v>1</v>
      </c>
      <c r="V470" s="8">
        <v>1</v>
      </c>
      <c r="W470" s="8" t="s">
        <v>136</v>
      </c>
      <c r="X470" s="8" t="s">
        <v>136</v>
      </c>
      <c r="Y470" s="8">
        <v>1</v>
      </c>
      <c r="Z470" s="8">
        <v>1</v>
      </c>
      <c r="AA470" s="8">
        <v>1</v>
      </c>
      <c r="AB470" s="8">
        <v>1</v>
      </c>
      <c r="AC470" s="8">
        <v>1</v>
      </c>
      <c r="AD470" s="8" t="s">
        <v>136</v>
      </c>
      <c r="AE470" s="8" t="s">
        <v>136</v>
      </c>
      <c r="AF470" s="8">
        <v>1</v>
      </c>
      <c r="AG470" s="8">
        <v>1</v>
      </c>
      <c r="AH470" s="8">
        <v>1</v>
      </c>
      <c r="AI470" s="8">
        <v>1</v>
      </c>
      <c r="AJ470" s="8">
        <v>1</v>
      </c>
      <c r="AK470" s="10">
        <v>23</v>
      </c>
      <c r="AL470" s="11">
        <v>23</v>
      </c>
      <c r="AM470" s="13">
        <v>23</v>
      </c>
      <c r="AN470" s="13">
        <v>0</v>
      </c>
      <c r="AO470" s="7" t="e">
        <v>#N/A</v>
      </c>
    </row>
    <row r="471" spans="1:41">
      <c r="A471" s="8" t="s">
        <v>910</v>
      </c>
      <c r="B471" s="8" t="s">
        <v>953</v>
      </c>
      <c r="C471" s="8" t="s">
        <v>1077</v>
      </c>
      <c r="D471" s="8" t="s">
        <v>1078</v>
      </c>
      <c r="E471" s="8" t="s">
        <v>135</v>
      </c>
      <c r="F471" s="8">
        <v>1</v>
      </c>
      <c r="G471" s="8">
        <v>1</v>
      </c>
      <c r="H471" s="8">
        <v>1</v>
      </c>
      <c r="I471" s="8" t="s">
        <v>136</v>
      </c>
      <c r="J471" s="8" t="s">
        <v>136</v>
      </c>
      <c r="K471" s="8">
        <v>1</v>
      </c>
      <c r="L471" s="8">
        <v>1</v>
      </c>
      <c r="M471" s="8">
        <v>1</v>
      </c>
      <c r="N471" s="8">
        <v>1</v>
      </c>
      <c r="O471" s="8">
        <v>1</v>
      </c>
      <c r="P471" s="8" t="s">
        <v>136</v>
      </c>
      <c r="Q471" s="8" t="s">
        <v>136</v>
      </c>
      <c r="R471" s="8">
        <v>1</v>
      </c>
      <c r="S471" s="8">
        <v>1</v>
      </c>
      <c r="T471" s="8">
        <v>1</v>
      </c>
      <c r="U471" s="8">
        <v>1</v>
      </c>
      <c r="V471" s="8">
        <v>1</v>
      </c>
      <c r="W471" s="8" t="s">
        <v>136</v>
      </c>
      <c r="X471" s="8" t="s">
        <v>136</v>
      </c>
      <c r="Y471" s="8">
        <v>1</v>
      </c>
      <c r="Z471" s="8">
        <v>1</v>
      </c>
      <c r="AA471" s="8">
        <v>1</v>
      </c>
      <c r="AB471" s="8">
        <v>1</v>
      </c>
      <c r="AC471" s="8">
        <v>1</v>
      </c>
      <c r="AD471" s="8" t="s">
        <v>136</v>
      </c>
      <c r="AE471" s="8" t="s">
        <v>136</v>
      </c>
      <c r="AF471" s="8">
        <v>1</v>
      </c>
      <c r="AG471" s="8">
        <v>1</v>
      </c>
      <c r="AH471" s="8">
        <v>1</v>
      </c>
      <c r="AI471" s="8">
        <v>1</v>
      </c>
      <c r="AJ471" s="8">
        <v>1</v>
      </c>
      <c r="AK471" s="10">
        <v>23</v>
      </c>
      <c r="AL471" s="11">
        <v>23</v>
      </c>
      <c r="AM471" s="13">
        <v>23</v>
      </c>
      <c r="AN471" s="13">
        <v>0</v>
      </c>
      <c r="AO471" s="7" t="e">
        <v>#N/A</v>
      </c>
    </row>
    <row r="472" spans="1:41">
      <c r="A472" s="8" t="s">
        <v>910</v>
      </c>
      <c r="B472" s="8" t="s">
        <v>953</v>
      </c>
      <c r="C472" s="8" t="s">
        <v>1079</v>
      </c>
      <c r="D472" s="8" t="s">
        <v>1080</v>
      </c>
      <c r="E472" s="8" t="s">
        <v>135</v>
      </c>
      <c r="F472" s="8">
        <v>1</v>
      </c>
      <c r="G472" s="8">
        <v>1</v>
      </c>
      <c r="H472" s="8">
        <v>1</v>
      </c>
      <c r="I472" s="8" t="s">
        <v>136</v>
      </c>
      <c r="J472" s="8" t="s">
        <v>136</v>
      </c>
      <c r="K472" s="8">
        <v>1</v>
      </c>
      <c r="L472" s="8">
        <v>1</v>
      </c>
      <c r="M472" s="8">
        <v>1</v>
      </c>
      <c r="N472" s="8">
        <v>1</v>
      </c>
      <c r="O472" s="8">
        <v>1</v>
      </c>
      <c r="P472" s="8" t="s">
        <v>136</v>
      </c>
      <c r="Q472" s="8" t="s">
        <v>136</v>
      </c>
      <c r="R472" s="8">
        <v>1</v>
      </c>
      <c r="S472" s="8">
        <v>1</v>
      </c>
      <c r="T472" s="8">
        <v>1</v>
      </c>
      <c r="U472" s="8">
        <v>1</v>
      </c>
      <c r="V472" s="8">
        <v>1</v>
      </c>
      <c r="W472" s="8" t="s">
        <v>136</v>
      </c>
      <c r="X472" s="8" t="s">
        <v>136</v>
      </c>
      <c r="Y472" s="8">
        <v>1</v>
      </c>
      <c r="Z472" s="8">
        <v>1</v>
      </c>
      <c r="AA472" s="8">
        <v>1</v>
      </c>
      <c r="AB472" s="8">
        <v>1</v>
      </c>
      <c r="AC472" s="8">
        <v>1</v>
      </c>
      <c r="AD472" s="8" t="s">
        <v>136</v>
      </c>
      <c r="AE472" s="8" t="s">
        <v>136</v>
      </c>
      <c r="AF472" s="8">
        <v>1</v>
      </c>
      <c r="AG472" s="8">
        <v>1</v>
      </c>
      <c r="AH472" s="8">
        <v>1</v>
      </c>
      <c r="AI472" s="8">
        <v>1</v>
      </c>
      <c r="AJ472" s="8">
        <v>1</v>
      </c>
      <c r="AK472" s="10">
        <v>23</v>
      </c>
      <c r="AL472" s="11">
        <v>23</v>
      </c>
      <c r="AM472" s="13">
        <v>23</v>
      </c>
      <c r="AN472" s="13">
        <v>0</v>
      </c>
      <c r="AO472" s="7" t="e">
        <v>#N/A</v>
      </c>
    </row>
    <row r="473" spans="1:41">
      <c r="A473" s="8" t="s">
        <v>910</v>
      </c>
      <c r="B473" s="8" t="s">
        <v>953</v>
      </c>
      <c r="C473" s="8" t="s">
        <v>1081</v>
      </c>
      <c r="D473" s="8" t="s">
        <v>1082</v>
      </c>
      <c r="E473" s="8" t="s">
        <v>135</v>
      </c>
      <c r="F473" s="8">
        <v>1</v>
      </c>
      <c r="G473" s="8">
        <v>1</v>
      </c>
      <c r="H473" s="8">
        <v>1</v>
      </c>
      <c r="I473" s="8" t="s">
        <v>136</v>
      </c>
      <c r="J473" s="8" t="s">
        <v>136</v>
      </c>
      <c r="K473" s="8">
        <v>1</v>
      </c>
      <c r="L473" s="8">
        <v>1</v>
      </c>
      <c r="M473" s="8">
        <v>1</v>
      </c>
      <c r="N473" s="8">
        <v>1</v>
      </c>
      <c r="O473" s="8">
        <v>1</v>
      </c>
      <c r="P473" s="8" t="s">
        <v>136</v>
      </c>
      <c r="Q473" s="8" t="s">
        <v>136</v>
      </c>
      <c r="R473" s="8">
        <v>1</v>
      </c>
      <c r="S473" s="8">
        <v>1</v>
      </c>
      <c r="T473" s="8">
        <v>1</v>
      </c>
      <c r="U473" s="8">
        <v>1</v>
      </c>
      <c r="V473" s="8">
        <v>1</v>
      </c>
      <c r="W473" s="8" t="s">
        <v>136</v>
      </c>
      <c r="X473" s="8" t="s">
        <v>136</v>
      </c>
      <c r="Y473" s="8">
        <v>1</v>
      </c>
      <c r="Z473" s="8">
        <v>1</v>
      </c>
      <c r="AA473" s="8">
        <v>1</v>
      </c>
      <c r="AB473" s="8">
        <v>1</v>
      </c>
      <c r="AC473" s="8">
        <v>1</v>
      </c>
      <c r="AD473" s="8" t="s">
        <v>136</v>
      </c>
      <c r="AE473" s="8" t="s">
        <v>136</v>
      </c>
      <c r="AF473" s="8">
        <v>1</v>
      </c>
      <c r="AG473" s="8">
        <v>1</v>
      </c>
      <c r="AH473" s="8">
        <v>1</v>
      </c>
      <c r="AI473" s="8">
        <v>1</v>
      </c>
      <c r="AJ473" s="8">
        <v>1</v>
      </c>
      <c r="AK473" s="10">
        <v>23</v>
      </c>
      <c r="AL473" s="11">
        <v>23</v>
      </c>
      <c r="AM473" s="13">
        <v>23</v>
      </c>
      <c r="AN473" s="13">
        <v>0</v>
      </c>
      <c r="AO473" s="7" t="e">
        <v>#N/A</v>
      </c>
    </row>
    <row r="474" spans="1:41">
      <c r="A474" s="8" t="s">
        <v>910</v>
      </c>
      <c r="B474" s="8" t="s">
        <v>953</v>
      </c>
      <c r="C474" s="8" t="s">
        <v>1083</v>
      </c>
      <c r="D474" s="8" t="s">
        <v>1084</v>
      </c>
      <c r="E474" s="8" t="s">
        <v>135</v>
      </c>
      <c r="F474" s="8">
        <v>1</v>
      </c>
      <c r="G474" s="8">
        <v>1</v>
      </c>
      <c r="H474" s="8">
        <v>1</v>
      </c>
      <c r="I474" s="8" t="s">
        <v>136</v>
      </c>
      <c r="J474" s="8" t="s">
        <v>136</v>
      </c>
      <c r="K474" s="8">
        <v>1</v>
      </c>
      <c r="L474" s="8">
        <v>1</v>
      </c>
      <c r="M474" s="8">
        <v>1</v>
      </c>
      <c r="N474" s="8">
        <v>1</v>
      </c>
      <c r="O474" s="8">
        <v>1</v>
      </c>
      <c r="P474" s="8" t="s">
        <v>136</v>
      </c>
      <c r="Q474" s="8" t="s">
        <v>136</v>
      </c>
      <c r="R474" s="8">
        <v>1</v>
      </c>
      <c r="S474" s="8">
        <v>1</v>
      </c>
      <c r="T474" s="8">
        <v>1</v>
      </c>
      <c r="U474" s="8">
        <v>1</v>
      </c>
      <c r="V474" s="8">
        <v>1</v>
      </c>
      <c r="W474" s="8" t="s">
        <v>136</v>
      </c>
      <c r="X474" s="8" t="s">
        <v>136</v>
      </c>
      <c r="Y474" s="8">
        <v>1</v>
      </c>
      <c r="Z474" s="8">
        <v>1</v>
      </c>
      <c r="AA474" s="8">
        <v>1</v>
      </c>
      <c r="AB474" s="8">
        <v>1</v>
      </c>
      <c r="AC474" s="8">
        <v>1</v>
      </c>
      <c r="AD474" s="8" t="s">
        <v>136</v>
      </c>
      <c r="AE474" s="8" t="s">
        <v>136</v>
      </c>
      <c r="AF474" s="8">
        <v>1</v>
      </c>
      <c r="AG474" s="8">
        <v>1</v>
      </c>
      <c r="AH474" s="8">
        <v>1</v>
      </c>
      <c r="AI474" s="8">
        <v>1</v>
      </c>
      <c r="AJ474" s="8">
        <v>1</v>
      </c>
      <c r="AK474" s="10">
        <v>23</v>
      </c>
      <c r="AL474" s="11">
        <v>23</v>
      </c>
      <c r="AM474" s="13">
        <v>23</v>
      </c>
      <c r="AN474" s="13">
        <v>0</v>
      </c>
      <c r="AO474" s="7" t="e">
        <v>#N/A</v>
      </c>
    </row>
    <row r="475" spans="1:41">
      <c r="A475" s="8" t="s">
        <v>910</v>
      </c>
      <c r="B475" s="8" t="s">
        <v>953</v>
      </c>
      <c r="C475" s="8" t="s">
        <v>1085</v>
      </c>
      <c r="D475" s="8" t="s">
        <v>1086</v>
      </c>
      <c r="E475" s="8" t="s">
        <v>135</v>
      </c>
      <c r="F475" s="8">
        <v>1</v>
      </c>
      <c r="G475" s="8">
        <v>1</v>
      </c>
      <c r="H475" s="8">
        <v>1</v>
      </c>
      <c r="I475" s="8" t="s">
        <v>136</v>
      </c>
      <c r="J475" s="8" t="s">
        <v>136</v>
      </c>
      <c r="K475" s="8">
        <v>1</v>
      </c>
      <c r="L475" s="8">
        <v>1</v>
      </c>
      <c r="M475" s="8">
        <v>1</v>
      </c>
      <c r="N475" s="8">
        <v>1</v>
      </c>
      <c r="O475" s="8">
        <v>1</v>
      </c>
      <c r="P475" s="8" t="s">
        <v>136</v>
      </c>
      <c r="Q475" s="8" t="s">
        <v>136</v>
      </c>
      <c r="R475" s="8">
        <v>1</v>
      </c>
      <c r="S475" s="8">
        <v>1</v>
      </c>
      <c r="T475" s="8">
        <v>1</v>
      </c>
      <c r="U475" s="8">
        <v>1</v>
      </c>
      <c r="V475" s="8">
        <v>1</v>
      </c>
      <c r="W475" s="8" t="s">
        <v>136</v>
      </c>
      <c r="X475" s="8" t="s">
        <v>136</v>
      </c>
      <c r="Y475" s="8">
        <v>1</v>
      </c>
      <c r="Z475" s="8">
        <v>1</v>
      </c>
      <c r="AA475" s="8">
        <v>1</v>
      </c>
      <c r="AB475" s="8">
        <v>1</v>
      </c>
      <c r="AC475" s="8">
        <v>1</v>
      </c>
      <c r="AD475" s="8" t="s">
        <v>136</v>
      </c>
      <c r="AE475" s="8" t="s">
        <v>136</v>
      </c>
      <c r="AF475" s="8">
        <v>1</v>
      </c>
      <c r="AG475" s="8">
        <v>1</v>
      </c>
      <c r="AH475" s="8">
        <v>1</v>
      </c>
      <c r="AI475" s="8">
        <v>1</v>
      </c>
      <c r="AJ475" s="8">
        <v>1</v>
      </c>
      <c r="AK475" s="10">
        <v>23</v>
      </c>
      <c r="AL475" s="11">
        <v>23</v>
      </c>
      <c r="AM475" s="13">
        <v>23</v>
      </c>
      <c r="AN475" s="13">
        <v>0</v>
      </c>
      <c r="AO475" s="7" t="e">
        <v>#N/A</v>
      </c>
    </row>
    <row r="476" spans="1:41">
      <c r="A476" s="8" t="s">
        <v>910</v>
      </c>
      <c r="B476" s="8" t="s">
        <v>953</v>
      </c>
      <c r="C476" s="8" t="s">
        <v>1087</v>
      </c>
      <c r="D476" s="8" t="s">
        <v>1088</v>
      </c>
      <c r="E476" s="8" t="s">
        <v>135</v>
      </c>
      <c r="F476" s="8">
        <v>1</v>
      </c>
      <c r="G476" s="8">
        <v>1</v>
      </c>
      <c r="H476" s="8">
        <v>1</v>
      </c>
      <c r="I476" s="8" t="s">
        <v>136</v>
      </c>
      <c r="J476" s="8" t="s">
        <v>136</v>
      </c>
      <c r="K476" s="8">
        <v>1</v>
      </c>
      <c r="L476" s="8">
        <v>1</v>
      </c>
      <c r="M476" s="8">
        <v>1</v>
      </c>
      <c r="N476" s="8">
        <v>1</v>
      </c>
      <c r="O476" s="8">
        <v>1</v>
      </c>
      <c r="P476" s="8" t="s">
        <v>136</v>
      </c>
      <c r="Q476" s="8" t="s">
        <v>136</v>
      </c>
      <c r="R476" s="8">
        <v>1</v>
      </c>
      <c r="S476" s="8">
        <v>1</v>
      </c>
      <c r="T476" s="8">
        <v>1</v>
      </c>
      <c r="U476" s="8">
        <v>1</v>
      </c>
      <c r="V476" s="8">
        <v>1</v>
      </c>
      <c r="W476" s="8" t="s">
        <v>136</v>
      </c>
      <c r="X476" s="8" t="s">
        <v>136</v>
      </c>
      <c r="Y476" s="8">
        <v>1</v>
      </c>
      <c r="Z476" s="8">
        <v>1</v>
      </c>
      <c r="AA476" s="8">
        <v>1</v>
      </c>
      <c r="AB476" s="8">
        <v>1</v>
      </c>
      <c r="AC476" s="8">
        <v>1</v>
      </c>
      <c r="AD476" s="8" t="s">
        <v>136</v>
      </c>
      <c r="AE476" s="8" t="s">
        <v>136</v>
      </c>
      <c r="AF476" s="8">
        <v>1</v>
      </c>
      <c r="AG476" s="8">
        <v>1</v>
      </c>
      <c r="AH476" s="8">
        <v>1</v>
      </c>
      <c r="AI476" s="8">
        <v>1</v>
      </c>
      <c r="AJ476" s="8">
        <v>1</v>
      </c>
      <c r="AK476" s="10">
        <v>23</v>
      </c>
      <c r="AL476" s="11">
        <v>23</v>
      </c>
      <c r="AM476" s="13">
        <v>23</v>
      </c>
      <c r="AN476" s="13">
        <v>0</v>
      </c>
      <c r="AO476" s="7" t="e">
        <v>#N/A</v>
      </c>
    </row>
    <row r="477" spans="1:41">
      <c r="A477" s="8" t="s">
        <v>910</v>
      </c>
      <c r="B477" s="8" t="s">
        <v>953</v>
      </c>
      <c r="C477" s="8" t="s">
        <v>1089</v>
      </c>
      <c r="D477" s="8" t="s">
        <v>1090</v>
      </c>
      <c r="E477" s="8" t="s">
        <v>135</v>
      </c>
      <c r="F477" s="8">
        <v>1</v>
      </c>
      <c r="G477" s="8">
        <v>1</v>
      </c>
      <c r="H477" s="8">
        <v>1</v>
      </c>
      <c r="I477" s="8" t="s">
        <v>136</v>
      </c>
      <c r="J477" s="8" t="s">
        <v>136</v>
      </c>
      <c r="K477" s="8">
        <v>1</v>
      </c>
      <c r="L477" s="8">
        <v>1</v>
      </c>
      <c r="M477" s="8">
        <v>1</v>
      </c>
      <c r="N477" s="8">
        <v>1</v>
      </c>
      <c r="O477" s="8">
        <v>1</v>
      </c>
      <c r="P477" s="8" t="s">
        <v>136</v>
      </c>
      <c r="Q477" s="8" t="s">
        <v>136</v>
      </c>
      <c r="R477" s="8">
        <v>1</v>
      </c>
      <c r="S477" s="8">
        <v>1</v>
      </c>
      <c r="T477" s="8">
        <v>1</v>
      </c>
      <c r="U477" s="8">
        <v>1</v>
      </c>
      <c r="V477" s="8">
        <v>1</v>
      </c>
      <c r="W477" s="8" t="s">
        <v>136</v>
      </c>
      <c r="X477" s="8" t="s">
        <v>136</v>
      </c>
      <c r="Y477" s="8">
        <v>1</v>
      </c>
      <c r="Z477" s="8">
        <v>1</v>
      </c>
      <c r="AA477" s="8">
        <v>1</v>
      </c>
      <c r="AB477" s="8">
        <v>1</v>
      </c>
      <c r="AC477" s="8">
        <v>1</v>
      </c>
      <c r="AD477" s="8" t="s">
        <v>136</v>
      </c>
      <c r="AE477" s="8" t="s">
        <v>136</v>
      </c>
      <c r="AF477" s="8">
        <v>1</v>
      </c>
      <c r="AG477" s="8">
        <v>1</v>
      </c>
      <c r="AH477" s="8">
        <v>1</v>
      </c>
      <c r="AI477" s="8">
        <v>1</v>
      </c>
      <c r="AJ477" s="8">
        <v>1</v>
      </c>
      <c r="AK477" s="10">
        <v>23</v>
      </c>
      <c r="AL477" s="11">
        <v>23</v>
      </c>
      <c r="AM477" s="13">
        <v>23</v>
      </c>
      <c r="AN477" s="13">
        <v>0</v>
      </c>
      <c r="AO477" s="7" t="e">
        <v>#N/A</v>
      </c>
    </row>
    <row r="478" spans="1:41">
      <c r="A478" s="8" t="s">
        <v>910</v>
      </c>
      <c r="B478" s="8" t="s">
        <v>953</v>
      </c>
      <c r="C478" s="8" t="s">
        <v>1091</v>
      </c>
      <c r="D478" s="8" t="s">
        <v>1092</v>
      </c>
      <c r="E478" s="8" t="s">
        <v>135</v>
      </c>
      <c r="F478" s="8">
        <v>1</v>
      </c>
      <c r="G478" s="8">
        <v>1</v>
      </c>
      <c r="H478" s="8">
        <v>1</v>
      </c>
      <c r="I478" s="8" t="s">
        <v>136</v>
      </c>
      <c r="J478" s="8" t="s">
        <v>136</v>
      </c>
      <c r="K478" s="8">
        <v>1</v>
      </c>
      <c r="L478" s="8">
        <v>1</v>
      </c>
      <c r="M478" s="8">
        <v>1</v>
      </c>
      <c r="N478" s="8">
        <v>1</v>
      </c>
      <c r="O478" s="8">
        <v>1</v>
      </c>
      <c r="P478" s="8" t="s">
        <v>136</v>
      </c>
      <c r="Q478" s="8" t="s">
        <v>136</v>
      </c>
      <c r="R478" s="8">
        <v>1</v>
      </c>
      <c r="S478" s="8">
        <v>1</v>
      </c>
      <c r="T478" s="8">
        <v>1</v>
      </c>
      <c r="U478" s="8">
        <v>1</v>
      </c>
      <c r="V478" s="8">
        <v>1</v>
      </c>
      <c r="W478" s="8" t="s">
        <v>136</v>
      </c>
      <c r="X478" s="8" t="s">
        <v>136</v>
      </c>
      <c r="Y478" s="8">
        <v>1</v>
      </c>
      <c r="Z478" s="8">
        <v>1</v>
      </c>
      <c r="AA478" s="8">
        <v>1</v>
      </c>
      <c r="AB478" s="8">
        <v>1</v>
      </c>
      <c r="AC478" s="8">
        <v>1</v>
      </c>
      <c r="AD478" s="8" t="s">
        <v>136</v>
      </c>
      <c r="AE478" s="8" t="s">
        <v>136</v>
      </c>
      <c r="AF478" s="8">
        <v>1</v>
      </c>
      <c r="AG478" s="8">
        <v>1</v>
      </c>
      <c r="AH478" s="8">
        <v>1</v>
      </c>
      <c r="AI478" s="8">
        <v>1</v>
      </c>
      <c r="AJ478" s="8">
        <v>1</v>
      </c>
      <c r="AK478" s="10">
        <v>23</v>
      </c>
      <c r="AL478" s="11">
        <v>23</v>
      </c>
      <c r="AM478" s="13">
        <v>23</v>
      </c>
      <c r="AN478" s="13">
        <v>0</v>
      </c>
      <c r="AO478" s="7" t="e">
        <v>#N/A</v>
      </c>
    </row>
    <row r="479" spans="1:41">
      <c r="A479" s="8" t="s">
        <v>910</v>
      </c>
      <c r="B479" s="8" t="s">
        <v>1093</v>
      </c>
      <c r="C479" s="8" t="s">
        <v>1094</v>
      </c>
      <c r="D479" s="8" t="s">
        <v>1095</v>
      </c>
      <c r="E479" s="8" t="s">
        <v>135</v>
      </c>
      <c r="F479" s="8">
        <v>1</v>
      </c>
      <c r="G479" s="8">
        <v>1</v>
      </c>
      <c r="H479" s="8">
        <v>1</v>
      </c>
      <c r="I479" s="8" t="s">
        <v>136</v>
      </c>
      <c r="J479" s="8" t="s">
        <v>136</v>
      </c>
      <c r="K479" s="8">
        <v>1</v>
      </c>
      <c r="L479" s="8">
        <v>1</v>
      </c>
      <c r="M479" s="8">
        <v>1</v>
      </c>
      <c r="N479" s="8">
        <v>1</v>
      </c>
      <c r="O479" s="8">
        <v>1</v>
      </c>
      <c r="P479" s="8" t="s">
        <v>136</v>
      </c>
      <c r="Q479" s="8" t="s">
        <v>136</v>
      </c>
      <c r="R479" s="8">
        <v>1</v>
      </c>
      <c r="S479" s="8">
        <v>1</v>
      </c>
      <c r="T479" s="8">
        <v>1</v>
      </c>
      <c r="U479" s="8">
        <v>1</v>
      </c>
      <c r="V479" s="8">
        <v>1</v>
      </c>
      <c r="W479" s="8" t="s">
        <v>136</v>
      </c>
      <c r="X479" s="8" t="s">
        <v>136</v>
      </c>
      <c r="Y479" s="8">
        <v>1</v>
      </c>
      <c r="Z479" s="8">
        <v>1</v>
      </c>
      <c r="AA479" s="8">
        <v>1</v>
      </c>
      <c r="AB479" s="8">
        <v>1</v>
      </c>
      <c r="AC479" s="8">
        <v>1</v>
      </c>
      <c r="AD479" s="8" t="s">
        <v>136</v>
      </c>
      <c r="AE479" s="8" t="s">
        <v>136</v>
      </c>
      <c r="AF479" s="8">
        <v>1</v>
      </c>
      <c r="AG479" s="8">
        <v>1</v>
      </c>
      <c r="AH479" s="8">
        <v>1</v>
      </c>
      <c r="AI479" s="8">
        <v>1</v>
      </c>
      <c r="AJ479" s="8">
        <v>1</v>
      </c>
      <c r="AK479" s="10">
        <v>23</v>
      </c>
      <c r="AL479" s="11">
        <v>23</v>
      </c>
      <c r="AM479" s="13">
        <v>23</v>
      </c>
      <c r="AN479" s="13">
        <v>0</v>
      </c>
      <c r="AO479" s="7" t="e">
        <v>#N/A</v>
      </c>
    </row>
    <row r="480" spans="1:41">
      <c r="A480" s="8" t="s">
        <v>910</v>
      </c>
      <c r="B480" s="8" t="s">
        <v>1093</v>
      </c>
      <c r="C480" s="8" t="s">
        <v>1096</v>
      </c>
      <c r="D480" s="8" t="s">
        <v>1097</v>
      </c>
      <c r="E480" s="8" t="s">
        <v>135</v>
      </c>
      <c r="F480" s="8">
        <v>1</v>
      </c>
      <c r="G480" s="8">
        <v>1</v>
      </c>
      <c r="H480" s="8">
        <v>1</v>
      </c>
      <c r="I480" s="8" t="s">
        <v>136</v>
      </c>
      <c r="J480" s="8" t="s">
        <v>136</v>
      </c>
      <c r="K480" s="8">
        <v>1</v>
      </c>
      <c r="L480" s="8">
        <v>1</v>
      </c>
      <c r="M480" s="8">
        <v>1</v>
      </c>
      <c r="N480" s="8">
        <v>1</v>
      </c>
      <c r="O480" s="8">
        <v>1</v>
      </c>
      <c r="P480" s="8" t="s">
        <v>136</v>
      </c>
      <c r="Q480" s="8" t="s">
        <v>136</v>
      </c>
      <c r="R480" s="8">
        <v>1</v>
      </c>
      <c r="S480" s="8">
        <v>1</v>
      </c>
      <c r="T480" s="8">
        <v>1</v>
      </c>
      <c r="U480" s="8">
        <v>1</v>
      </c>
      <c r="V480" s="8">
        <v>1</v>
      </c>
      <c r="W480" s="8" t="s">
        <v>136</v>
      </c>
      <c r="X480" s="8" t="s">
        <v>136</v>
      </c>
      <c r="Y480" s="8">
        <v>1</v>
      </c>
      <c r="Z480" s="8">
        <v>1</v>
      </c>
      <c r="AA480" s="8">
        <v>1</v>
      </c>
      <c r="AB480" s="8">
        <v>1</v>
      </c>
      <c r="AC480" s="8">
        <v>1</v>
      </c>
      <c r="AD480" s="8" t="s">
        <v>136</v>
      </c>
      <c r="AE480" s="8" t="s">
        <v>136</v>
      </c>
      <c r="AF480" s="8">
        <v>1</v>
      </c>
      <c r="AG480" s="8">
        <v>1</v>
      </c>
      <c r="AH480" s="8">
        <v>1</v>
      </c>
      <c r="AI480" s="8">
        <v>1</v>
      </c>
      <c r="AJ480" s="8">
        <v>1</v>
      </c>
      <c r="AK480" s="10">
        <v>23</v>
      </c>
      <c r="AL480" s="11">
        <v>23</v>
      </c>
      <c r="AM480" s="13">
        <v>23</v>
      </c>
      <c r="AN480" s="13">
        <v>0</v>
      </c>
      <c r="AO480" s="7" t="e">
        <v>#N/A</v>
      </c>
    </row>
    <row r="481" spans="1:41">
      <c r="A481" s="8" t="s">
        <v>910</v>
      </c>
      <c r="B481" s="8" t="s">
        <v>1093</v>
      </c>
      <c r="C481" s="8" t="s">
        <v>1098</v>
      </c>
      <c r="D481" s="8" t="s">
        <v>1099</v>
      </c>
      <c r="E481" s="8" t="s">
        <v>135</v>
      </c>
      <c r="F481" s="8">
        <v>1</v>
      </c>
      <c r="G481" s="8">
        <v>1</v>
      </c>
      <c r="H481" s="8">
        <v>1</v>
      </c>
      <c r="I481" s="8" t="s">
        <v>136</v>
      </c>
      <c r="J481" s="8" t="s">
        <v>136</v>
      </c>
      <c r="K481" s="8">
        <v>1</v>
      </c>
      <c r="L481" s="8">
        <v>1</v>
      </c>
      <c r="M481" s="8">
        <v>1</v>
      </c>
      <c r="N481" s="8">
        <v>1</v>
      </c>
      <c r="O481" s="8">
        <v>1</v>
      </c>
      <c r="P481" s="8" t="s">
        <v>136</v>
      </c>
      <c r="Q481" s="8" t="s">
        <v>136</v>
      </c>
      <c r="R481" s="8">
        <v>1</v>
      </c>
      <c r="S481" s="8">
        <v>1</v>
      </c>
      <c r="T481" s="8">
        <v>1</v>
      </c>
      <c r="U481" s="8">
        <v>1</v>
      </c>
      <c r="V481" s="8">
        <v>1</v>
      </c>
      <c r="W481" s="8" t="s">
        <v>136</v>
      </c>
      <c r="X481" s="8" t="s">
        <v>136</v>
      </c>
      <c r="Y481" s="8">
        <v>1</v>
      </c>
      <c r="Z481" s="8">
        <v>1</v>
      </c>
      <c r="AA481" s="8">
        <v>1</v>
      </c>
      <c r="AB481" s="8">
        <v>1</v>
      </c>
      <c r="AC481" s="8">
        <v>1</v>
      </c>
      <c r="AD481" s="8" t="s">
        <v>136</v>
      </c>
      <c r="AE481" s="8" t="s">
        <v>136</v>
      </c>
      <c r="AF481" s="8">
        <v>1</v>
      </c>
      <c r="AG481" s="8">
        <v>1</v>
      </c>
      <c r="AH481" s="8">
        <v>1</v>
      </c>
      <c r="AI481" s="8">
        <v>1</v>
      </c>
      <c r="AJ481" s="8">
        <v>1</v>
      </c>
      <c r="AK481" s="10">
        <v>23</v>
      </c>
      <c r="AL481" s="11">
        <v>23</v>
      </c>
      <c r="AM481" s="13">
        <v>23</v>
      </c>
      <c r="AN481" s="13">
        <v>0</v>
      </c>
      <c r="AO481" s="7" t="e">
        <v>#N/A</v>
      </c>
    </row>
    <row r="482" spans="1:41">
      <c r="A482" s="8" t="s">
        <v>910</v>
      </c>
      <c r="B482" s="8" t="s">
        <v>1093</v>
      </c>
      <c r="C482" s="8" t="s">
        <v>1100</v>
      </c>
      <c r="D482" s="8" t="s">
        <v>1101</v>
      </c>
      <c r="E482" s="8" t="s">
        <v>135</v>
      </c>
      <c r="F482" s="8">
        <v>1</v>
      </c>
      <c r="G482" s="8">
        <v>1</v>
      </c>
      <c r="H482" s="8">
        <v>1</v>
      </c>
      <c r="I482" s="8" t="s">
        <v>136</v>
      </c>
      <c r="J482" s="8" t="s">
        <v>136</v>
      </c>
      <c r="K482" s="8">
        <v>1</v>
      </c>
      <c r="L482" s="8">
        <v>1</v>
      </c>
      <c r="M482" s="8">
        <v>1</v>
      </c>
      <c r="N482" s="8">
        <v>1</v>
      </c>
      <c r="O482" s="8">
        <v>1</v>
      </c>
      <c r="P482" s="8" t="s">
        <v>136</v>
      </c>
      <c r="Q482" s="8" t="s">
        <v>136</v>
      </c>
      <c r="R482" s="8">
        <v>1</v>
      </c>
      <c r="S482" s="8">
        <v>1</v>
      </c>
      <c r="T482" s="8">
        <v>1</v>
      </c>
      <c r="U482" s="8">
        <v>1</v>
      </c>
      <c r="V482" s="8">
        <v>1</v>
      </c>
      <c r="W482" s="8" t="s">
        <v>136</v>
      </c>
      <c r="X482" s="8" t="s">
        <v>136</v>
      </c>
      <c r="Y482" s="8">
        <v>1</v>
      </c>
      <c r="Z482" s="8">
        <v>1</v>
      </c>
      <c r="AA482" s="8">
        <v>1</v>
      </c>
      <c r="AB482" s="8">
        <v>1</v>
      </c>
      <c r="AC482" s="8">
        <v>1</v>
      </c>
      <c r="AD482" s="8" t="s">
        <v>136</v>
      </c>
      <c r="AE482" s="8" t="s">
        <v>136</v>
      </c>
      <c r="AF482" s="8">
        <v>1</v>
      </c>
      <c r="AG482" s="8">
        <v>1</v>
      </c>
      <c r="AH482" s="8">
        <v>1</v>
      </c>
      <c r="AI482" s="8">
        <v>1</v>
      </c>
      <c r="AJ482" s="8">
        <v>1</v>
      </c>
      <c r="AK482" s="10">
        <v>23</v>
      </c>
      <c r="AL482" s="11">
        <v>23</v>
      </c>
      <c r="AM482" s="13">
        <v>23</v>
      </c>
      <c r="AN482" s="13">
        <v>0</v>
      </c>
      <c r="AO482" s="7" t="e">
        <v>#N/A</v>
      </c>
    </row>
    <row r="483" spans="1:41">
      <c r="A483" s="8" t="s">
        <v>910</v>
      </c>
      <c r="B483" s="8" t="s">
        <v>1093</v>
      </c>
      <c r="C483" s="8" t="s">
        <v>1102</v>
      </c>
      <c r="D483" s="8" t="s">
        <v>1103</v>
      </c>
      <c r="E483" s="8" t="s">
        <v>135</v>
      </c>
      <c r="F483" s="8">
        <v>1</v>
      </c>
      <c r="G483" s="8">
        <v>1</v>
      </c>
      <c r="H483" s="8">
        <v>1</v>
      </c>
      <c r="I483" s="8" t="s">
        <v>136</v>
      </c>
      <c r="J483" s="8" t="s">
        <v>136</v>
      </c>
      <c r="K483" s="8">
        <v>1</v>
      </c>
      <c r="L483" s="8">
        <v>1</v>
      </c>
      <c r="M483" s="8">
        <v>1</v>
      </c>
      <c r="N483" s="8">
        <v>1</v>
      </c>
      <c r="O483" s="8">
        <v>1</v>
      </c>
      <c r="P483" s="8" t="s">
        <v>136</v>
      </c>
      <c r="Q483" s="8" t="s">
        <v>136</v>
      </c>
      <c r="R483" s="8">
        <v>1</v>
      </c>
      <c r="S483" s="8">
        <v>1</v>
      </c>
      <c r="T483" s="8">
        <v>1</v>
      </c>
      <c r="U483" s="8">
        <v>1</v>
      </c>
      <c r="V483" s="8">
        <v>1</v>
      </c>
      <c r="W483" s="8" t="s">
        <v>136</v>
      </c>
      <c r="X483" s="8" t="s">
        <v>136</v>
      </c>
      <c r="Y483" s="8">
        <v>1</v>
      </c>
      <c r="Z483" s="8">
        <v>1</v>
      </c>
      <c r="AA483" s="8">
        <v>1</v>
      </c>
      <c r="AB483" s="8">
        <v>1</v>
      </c>
      <c r="AC483" s="8">
        <v>1</v>
      </c>
      <c r="AD483" s="8" t="s">
        <v>136</v>
      </c>
      <c r="AE483" s="8" t="s">
        <v>136</v>
      </c>
      <c r="AF483" s="8">
        <v>1</v>
      </c>
      <c r="AG483" s="8">
        <v>1</v>
      </c>
      <c r="AH483" s="8">
        <v>1</v>
      </c>
      <c r="AI483" s="8">
        <v>1</v>
      </c>
      <c r="AJ483" s="8">
        <v>1</v>
      </c>
      <c r="AK483" s="10">
        <v>23</v>
      </c>
      <c r="AL483" s="11">
        <v>23</v>
      </c>
      <c r="AM483" s="13">
        <v>23</v>
      </c>
      <c r="AN483" s="13">
        <v>0</v>
      </c>
      <c r="AO483" s="7" t="e">
        <v>#N/A</v>
      </c>
    </row>
    <row r="484" spans="1:41">
      <c r="A484" s="8" t="s">
        <v>910</v>
      </c>
      <c r="B484" s="8" t="s">
        <v>1093</v>
      </c>
      <c r="C484" s="8" t="s">
        <v>1104</v>
      </c>
      <c r="D484" s="8" t="s">
        <v>1105</v>
      </c>
      <c r="E484" s="8" t="s">
        <v>135</v>
      </c>
      <c r="F484" s="8">
        <v>1</v>
      </c>
      <c r="G484" s="8">
        <v>1</v>
      </c>
      <c r="H484" s="8">
        <v>1</v>
      </c>
      <c r="I484" s="8" t="s">
        <v>136</v>
      </c>
      <c r="J484" s="8" t="s">
        <v>136</v>
      </c>
      <c r="K484" s="8">
        <v>1</v>
      </c>
      <c r="L484" s="8">
        <v>1</v>
      </c>
      <c r="M484" s="8">
        <v>1</v>
      </c>
      <c r="N484" s="8">
        <v>1</v>
      </c>
      <c r="O484" s="8">
        <v>1</v>
      </c>
      <c r="P484" s="8" t="s">
        <v>136</v>
      </c>
      <c r="Q484" s="8" t="s">
        <v>136</v>
      </c>
      <c r="R484" s="8">
        <v>1</v>
      </c>
      <c r="S484" s="8">
        <v>1</v>
      </c>
      <c r="T484" s="8">
        <v>1</v>
      </c>
      <c r="U484" s="8">
        <v>1</v>
      </c>
      <c r="V484" s="8">
        <v>1</v>
      </c>
      <c r="W484" s="8" t="s">
        <v>136</v>
      </c>
      <c r="X484" s="8" t="s">
        <v>136</v>
      </c>
      <c r="Y484" s="8">
        <v>1</v>
      </c>
      <c r="Z484" s="8">
        <v>1</v>
      </c>
      <c r="AA484" s="8">
        <v>1</v>
      </c>
      <c r="AB484" s="8">
        <v>1</v>
      </c>
      <c r="AC484" s="8">
        <v>1</v>
      </c>
      <c r="AD484" s="8" t="s">
        <v>136</v>
      </c>
      <c r="AE484" s="8" t="s">
        <v>136</v>
      </c>
      <c r="AF484" s="8">
        <v>1</v>
      </c>
      <c r="AG484" s="8">
        <v>1</v>
      </c>
      <c r="AH484" s="8">
        <v>1</v>
      </c>
      <c r="AI484" s="8">
        <v>1</v>
      </c>
      <c r="AJ484" s="8">
        <v>1</v>
      </c>
      <c r="AK484" s="10">
        <v>23</v>
      </c>
      <c r="AL484" s="11">
        <v>23</v>
      </c>
      <c r="AM484" s="13">
        <v>23</v>
      </c>
      <c r="AN484" s="13">
        <v>0</v>
      </c>
      <c r="AO484" s="7" t="e">
        <v>#N/A</v>
      </c>
    </row>
    <row r="485" spans="1:41">
      <c r="A485" s="8" t="s">
        <v>910</v>
      </c>
      <c r="B485" s="8" t="s">
        <v>1093</v>
      </c>
      <c r="C485" s="8" t="s">
        <v>1106</v>
      </c>
      <c r="D485" s="8" t="s">
        <v>1107</v>
      </c>
      <c r="E485" s="8" t="s">
        <v>135</v>
      </c>
      <c r="F485" s="8">
        <v>1</v>
      </c>
      <c r="G485" s="8">
        <v>1</v>
      </c>
      <c r="H485" s="8">
        <v>1</v>
      </c>
      <c r="I485" s="8" t="s">
        <v>136</v>
      </c>
      <c r="J485" s="8" t="s">
        <v>136</v>
      </c>
      <c r="K485" s="8">
        <v>1</v>
      </c>
      <c r="L485" s="8">
        <v>1</v>
      </c>
      <c r="M485" s="8">
        <v>1</v>
      </c>
      <c r="N485" s="8">
        <v>1</v>
      </c>
      <c r="O485" s="8">
        <v>1</v>
      </c>
      <c r="P485" s="8" t="s">
        <v>136</v>
      </c>
      <c r="Q485" s="8" t="s">
        <v>136</v>
      </c>
      <c r="R485" s="8">
        <v>1</v>
      </c>
      <c r="S485" s="8">
        <v>1</v>
      </c>
      <c r="T485" s="8">
        <v>1</v>
      </c>
      <c r="U485" s="8">
        <v>1</v>
      </c>
      <c r="V485" s="8">
        <v>1</v>
      </c>
      <c r="W485" s="8" t="s">
        <v>136</v>
      </c>
      <c r="X485" s="8" t="s">
        <v>136</v>
      </c>
      <c r="Y485" s="8">
        <v>1</v>
      </c>
      <c r="Z485" s="8">
        <v>1</v>
      </c>
      <c r="AA485" s="8">
        <v>1</v>
      </c>
      <c r="AB485" s="8">
        <v>1</v>
      </c>
      <c r="AC485" s="8">
        <v>1</v>
      </c>
      <c r="AD485" s="8" t="s">
        <v>136</v>
      </c>
      <c r="AE485" s="8" t="s">
        <v>136</v>
      </c>
      <c r="AF485" s="8">
        <v>1</v>
      </c>
      <c r="AG485" s="8">
        <v>1</v>
      </c>
      <c r="AH485" s="8">
        <v>1</v>
      </c>
      <c r="AI485" s="8">
        <v>1</v>
      </c>
      <c r="AJ485" s="8">
        <v>1</v>
      </c>
      <c r="AK485" s="10">
        <v>23</v>
      </c>
      <c r="AL485" s="11">
        <v>23</v>
      </c>
      <c r="AM485" s="13">
        <v>23</v>
      </c>
      <c r="AN485" s="13">
        <v>0</v>
      </c>
      <c r="AO485" s="7" t="e">
        <v>#N/A</v>
      </c>
    </row>
    <row r="486" spans="1:41">
      <c r="A486" s="8" t="s">
        <v>910</v>
      </c>
      <c r="B486" s="8" t="s">
        <v>1093</v>
      </c>
      <c r="C486" s="8" t="s">
        <v>1108</v>
      </c>
      <c r="D486" s="8" t="s">
        <v>1109</v>
      </c>
      <c r="E486" s="8" t="s">
        <v>135</v>
      </c>
      <c r="F486" s="8">
        <v>1</v>
      </c>
      <c r="G486" s="8">
        <v>1</v>
      </c>
      <c r="H486" s="8">
        <v>1</v>
      </c>
      <c r="I486" s="8" t="s">
        <v>136</v>
      </c>
      <c r="J486" s="8" t="s">
        <v>136</v>
      </c>
      <c r="K486" s="8">
        <v>1</v>
      </c>
      <c r="L486" s="8">
        <v>1</v>
      </c>
      <c r="M486" s="8">
        <v>1</v>
      </c>
      <c r="N486" s="8">
        <v>1</v>
      </c>
      <c r="O486" s="8">
        <v>1</v>
      </c>
      <c r="P486" s="8" t="s">
        <v>136</v>
      </c>
      <c r="Q486" s="8" t="s">
        <v>136</v>
      </c>
      <c r="R486" s="8">
        <v>1</v>
      </c>
      <c r="S486" s="8">
        <v>1</v>
      </c>
      <c r="T486" s="8">
        <v>1</v>
      </c>
      <c r="U486" s="8">
        <v>1</v>
      </c>
      <c r="V486" s="8">
        <v>1</v>
      </c>
      <c r="W486" s="8" t="s">
        <v>136</v>
      </c>
      <c r="X486" s="8" t="s">
        <v>136</v>
      </c>
      <c r="Y486" s="8">
        <v>1</v>
      </c>
      <c r="Z486" s="8">
        <v>1</v>
      </c>
      <c r="AA486" s="8">
        <v>1</v>
      </c>
      <c r="AB486" s="8">
        <v>1</v>
      </c>
      <c r="AC486" s="8">
        <v>1</v>
      </c>
      <c r="AD486" s="8" t="s">
        <v>136</v>
      </c>
      <c r="AE486" s="8" t="s">
        <v>136</v>
      </c>
      <c r="AF486" s="8">
        <v>1</v>
      </c>
      <c r="AG486" s="8">
        <v>1</v>
      </c>
      <c r="AH486" s="8">
        <v>1</v>
      </c>
      <c r="AI486" s="8">
        <v>1</v>
      </c>
      <c r="AJ486" s="8">
        <v>1</v>
      </c>
      <c r="AK486" s="10">
        <v>23</v>
      </c>
      <c r="AL486" s="11">
        <v>23</v>
      </c>
      <c r="AM486" s="13">
        <v>23</v>
      </c>
      <c r="AN486" s="13">
        <v>0</v>
      </c>
      <c r="AO486" s="7" t="e">
        <v>#N/A</v>
      </c>
    </row>
    <row r="487" spans="1:41">
      <c r="A487" s="8" t="s">
        <v>910</v>
      </c>
      <c r="B487" s="8" t="s">
        <v>1093</v>
      </c>
      <c r="C487" s="8" t="s">
        <v>1110</v>
      </c>
      <c r="D487" s="8" t="s">
        <v>1111</v>
      </c>
      <c r="E487" s="8" t="s">
        <v>135</v>
      </c>
      <c r="F487" s="8">
        <v>1</v>
      </c>
      <c r="G487" s="8">
        <v>1</v>
      </c>
      <c r="H487" s="8">
        <v>1</v>
      </c>
      <c r="I487" s="8" t="s">
        <v>136</v>
      </c>
      <c r="J487" s="8" t="s">
        <v>136</v>
      </c>
      <c r="K487" s="8">
        <v>1</v>
      </c>
      <c r="L487" s="8">
        <v>1</v>
      </c>
      <c r="M487" s="8">
        <v>1</v>
      </c>
      <c r="N487" s="8">
        <v>1</v>
      </c>
      <c r="O487" s="8">
        <v>1</v>
      </c>
      <c r="P487" s="8" t="s">
        <v>136</v>
      </c>
      <c r="Q487" s="8" t="s">
        <v>136</v>
      </c>
      <c r="R487" s="8">
        <v>1</v>
      </c>
      <c r="S487" s="8">
        <v>1</v>
      </c>
      <c r="T487" s="8">
        <v>1</v>
      </c>
      <c r="U487" s="8">
        <v>1</v>
      </c>
      <c r="V487" s="8">
        <v>1</v>
      </c>
      <c r="W487" s="8" t="s">
        <v>136</v>
      </c>
      <c r="X487" s="8" t="s">
        <v>136</v>
      </c>
      <c r="Y487" s="8">
        <v>1</v>
      </c>
      <c r="Z487" s="8">
        <v>1</v>
      </c>
      <c r="AA487" s="8">
        <v>1</v>
      </c>
      <c r="AB487" s="8">
        <v>1</v>
      </c>
      <c r="AC487" s="8">
        <v>1</v>
      </c>
      <c r="AD487" s="8" t="s">
        <v>136</v>
      </c>
      <c r="AE487" s="8" t="s">
        <v>136</v>
      </c>
      <c r="AF487" s="8">
        <v>1</v>
      </c>
      <c r="AG487" s="8">
        <v>1</v>
      </c>
      <c r="AH487" s="8">
        <v>1</v>
      </c>
      <c r="AI487" s="8">
        <v>1</v>
      </c>
      <c r="AJ487" s="8">
        <v>1</v>
      </c>
      <c r="AK487" s="10">
        <v>23</v>
      </c>
      <c r="AL487" s="11">
        <v>23</v>
      </c>
      <c r="AM487" s="13">
        <v>23</v>
      </c>
      <c r="AN487" s="13">
        <v>0</v>
      </c>
      <c r="AO487" s="7" t="e">
        <v>#N/A</v>
      </c>
    </row>
    <row r="488" spans="1:41">
      <c r="A488" s="8" t="s">
        <v>910</v>
      </c>
      <c r="B488" s="8" t="s">
        <v>1093</v>
      </c>
      <c r="C488" s="8" t="s">
        <v>1112</v>
      </c>
      <c r="D488" s="8" t="s">
        <v>1113</v>
      </c>
      <c r="E488" s="8" t="s">
        <v>135</v>
      </c>
      <c r="F488" s="8">
        <v>1</v>
      </c>
      <c r="G488" s="8">
        <v>1</v>
      </c>
      <c r="H488" s="8">
        <v>1</v>
      </c>
      <c r="I488" s="8" t="s">
        <v>136</v>
      </c>
      <c r="J488" s="8" t="s">
        <v>136</v>
      </c>
      <c r="K488" s="8">
        <v>1</v>
      </c>
      <c r="L488" s="8">
        <v>1</v>
      </c>
      <c r="M488" s="8">
        <v>1</v>
      </c>
      <c r="N488" s="8">
        <v>1</v>
      </c>
      <c r="O488" s="8">
        <v>1</v>
      </c>
      <c r="P488" s="8" t="s">
        <v>136</v>
      </c>
      <c r="Q488" s="8" t="s">
        <v>136</v>
      </c>
      <c r="R488" s="8">
        <v>1</v>
      </c>
      <c r="S488" s="8">
        <v>1</v>
      </c>
      <c r="T488" s="8">
        <v>1</v>
      </c>
      <c r="U488" s="8">
        <v>1</v>
      </c>
      <c r="V488" s="8">
        <v>1</v>
      </c>
      <c r="W488" s="8" t="s">
        <v>136</v>
      </c>
      <c r="X488" s="8" t="s">
        <v>136</v>
      </c>
      <c r="Y488" s="8">
        <v>1</v>
      </c>
      <c r="Z488" s="8">
        <v>1</v>
      </c>
      <c r="AA488" s="8">
        <v>1</v>
      </c>
      <c r="AB488" s="8">
        <v>1</v>
      </c>
      <c r="AC488" s="8">
        <v>1</v>
      </c>
      <c r="AD488" s="8" t="s">
        <v>136</v>
      </c>
      <c r="AE488" s="8" t="s">
        <v>136</v>
      </c>
      <c r="AF488" s="8">
        <v>1</v>
      </c>
      <c r="AG488" s="8">
        <v>1</v>
      </c>
      <c r="AH488" s="8">
        <v>1</v>
      </c>
      <c r="AI488" s="8">
        <v>1</v>
      </c>
      <c r="AJ488" s="8">
        <v>1</v>
      </c>
      <c r="AK488" s="10">
        <v>23</v>
      </c>
      <c r="AL488" s="11">
        <v>23</v>
      </c>
      <c r="AM488" s="13">
        <v>23</v>
      </c>
      <c r="AN488" s="13">
        <v>0</v>
      </c>
      <c r="AO488" s="7" t="e">
        <v>#N/A</v>
      </c>
    </row>
    <row r="489" spans="1:41">
      <c r="A489" s="8" t="s">
        <v>910</v>
      </c>
      <c r="B489" s="8" t="s">
        <v>1093</v>
      </c>
      <c r="C489" s="8" t="s">
        <v>1114</v>
      </c>
      <c r="D489" s="8" t="s">
        <v>1115</v>
      </c>
      <c r="E489" s="8" t="s">
        <v>135</v>
      </c>
      <c r="F489" s="8">
        <v>1</v>
      </c>
      <c r="G489" s="8">
        <v>1</v>
      </c>
      <c r="H489" s="8">
        <v>1</v>
      </c>
      <c r="I489" s="8" t="s">
        <v>136</v>
      </c>
      <c r="J489" s="8" t="s">
        <v>136</v>
      </c>
      <c r="K489" s="8">
        <v>1</v>
      </c>
      <c r="L489" s="8">
        <v>1</v>
      </c>
      <c r="M489" s="8">
        <v>1</v>
      </c>
      <c r="N489" s="8">
        <v>1</v>
      </c>
      <c r="O489" s="8">
        <v>1</v>
      </c>
      <c r="P489" s="8" t="s">
        <v>136</v>
      </c>
      <c r="Q489" s="8" t="s">
        <v>136</v>
      </c>
      <c r="R489" s="8">
        <v>1</v>
      </c>
      <c r="S489" s="8">
        <v>1</v>
      </c>
      <c r="T489" s="8">
        <v>1</v>
      </c>
      <c r="U489" s="8">
        <v>1</v>
      </c>
      <c r="V489" s="8">
        <v>1</v>
      </c>
      <c r="W489" s="8" t="s">
        <v>136</v>
      </c>
      <c r="X489" s="8" t="s">
        <v>136</v>
      </c>
      <c r="Y489" s="8">
        <v>1</v>
      </c>
      <c r="Z489" s="8">
        <v>1</v>
      </c>
      <c r="AA489" s="8">
        <v>1</v>
      </c>
      <c r="AB489" s="8">
        <v>1</v>
      </c>
      <c r="AC489" s="8">
        <v>1</v>
      </c>
      <c r="AD489" s="8" t="s">
        <v>136</v>
      </c>
      <c r="AE489" s="8" t="s">
        <v>136</v>
      </c>
      <c r="AF489" s="8">
        <v>1</v>
      </c>
      <c r="AG489" s="8">
        <v>1</v>
      </c>
      <c r="AH489" s="8">
        <v>1</v>
      </c>
      <c r="AI489" s="8">
        <v>1</v>
      </c>
      <c r="AJ489" s="8">
        <v>1</v>
      </c>
      <c r="AK489" s="10">
        <v>23</v>
      </c>
      <c r="AL489" s="11">
        <v>23</v>
      </c>
      <c r="AM489" s="13">
        <v>23</v>
      </c>
      <c r="AN489" s="13">
        <v>0</v>
      </c>
      <c r="AO489" s="7" t="e">
        <v>#N/A</v>
      </c>
    </row>
    <row r="490" spans="1:41">
      <c r="A490" s="8" t="s">
        <v>910</v>
      </c>
      <c r="B490" s="8" t="s">
        <v>1093</v>
      </c>
      <c r="C490" s="8" t="s">
        <v>1116</v>
      </c>
      <c r="D490" s="8" t="s">
        <v>1117</v>
      </c>
      <c r="E490" s="8" t="s">
        <v>135</v>
      </c>
      <c r="F490" s="8">
        <v>1</v>
      </c>
      <c r="G490" s="8">
        <v>1</v>
      </c>
      <c r="H490" s="8">
        <v>1</v>
      </c>
      <c r="I490" s="8" t="s">
        <v>136</v>
      </c>
      <c r="J490" s="8" t="s">
        <v>136</v>
      </c>
      <c r="K490" s="8">
        <v>1</v>
      </c>
      <c r="L490" s="8">
        <v>1</v>
      </c>
      <c r="M490" s="8">
        <v>1</v>
      </c>
      <c r="N490" s="8">
        <v>1</v>
      </c>
      <c r="O490" s="8">
        <v>1</v>
      </c>
      <c r="P490" s="8" t="s">
        <v>136</v>
      </c>
      <c r="Q490" s="8" t="s">
        <v>136</v>
      </c>
      <c r="R490" s="8">
        <v>1</v>
      </c>
      <c r="S490" s="8">
        <v>1</v>
      </c>
      <c r="T490" s="8">
        <v>1</v>
      </c>
      <c r="U490" s="8">
        <v>1</v>
      </c>
      <c r="V490" s="8">
        <v>1</v>
      </c>
      <c r="W490" s="8" t="s">
        <v>136</v>
      </c>
      <c r="X490" s="8" t="s">
        <v>136</v>
      </c>
      <c r="Y490" s="8">
        <v>1</v>
      </c>
      <c r="Z490" s="8">
        <v>1</v>
      </c>
      <c r="AA490" s="8">
        <v>1</v>
      </c>
      <c r="AB490" s="8">
        <v>1</v>
      </c>
      <c r="AC490" s="8">
        <v>1</v>
      </c>
      <c r="AD490" s="8" t="s">
        <v>136</v>
      </c>
      <c r="AE490" s="8" t="s">
        <v>136</v>
      </c>
      <c r="AF490" s="8">
        <v>1</v>
      </c>
      <c r="AG490" s="8">
        <v>1</v>
      </c>
      <c r="AH490" s="8">
        <v>1</v>
      </c>
      <c r="AI490" s="8">
        <v>1</v>
      </c>
      <c r="AJ490" s="8">
        <v>1</v>
      </c>
      <c r="AK490" s="10">
        <v>23</v>
      </c>
      <c r="AL490" s="11">
        <v>23</v>
      </c>
      <c r="AM490" s="13">
        <v>23</v>
      </c>
      <c r="AN490" s="13">
        <v>0</v>
      </c>
      <c r="AO490" s="7" t="e">
        <v>#N/A</v>
      </c>
    </row>
    <row r="491" spans="1:41">
      <c r="A491" s="8" t="s">
        <v>910</v>
      </c>
      <c r="B491" s="8" t="s">
        <v>1093</v>
      </c>
      <c r="C491" s="8" t="s">
        <v>1118</v>
      </c>
      <c r="D491" s="8" t="s">
        <v>1119</v>
      </c>
      <c r="E491" s="8" t="s">
        <v>135</v>
      </c>
      <c r="F491" s="8">
        <v>1</v>
      </c>
      <c r="G491" s="8">
        <v>1</v>
      </c>
      <c r="H491" s="8">
        <v>1</v>
      </c>
      <c r="I491" s="8" t="s">
        <v>136</v>
      </c>
      <c r="J491" s="8" t="s">
        <v>136</v>
      </c>
      <c r="K491" s="8">
        <v>1</v>
      </c>
      <c r="L491" s="8">
        <v>1</v>
      </c>
      <c r="M491" s="8">
        <v>1</v>
      </c>
      <c r="N491" s="8">
        <v>1</v>
      </c>
      <c r="O491" s="8">
        <v>1</v>
      </c>
      <c r="P491" s="8" t="s">
        <v>136</v>
      </c>
      <c r="Q491" s="8" t="s">
        <v>136</v>
      </c>
      <c r="R491" s="8">
        <v>1</v>
      </c>
      <c r="S491" s="8">
        <v>1</v>
      </c>
      <c r="T491" s="8">
        <v>1</v>
      </c>
      <c r="U491" s="8">
        <v>1</v>
      </c>
      <c r="V491" s="8">
        <v>1</v>
      </c>
      <c r="W491" s="8" t="s">
        <v>136</v>
      </c>
      <c r="X491" s="8" t="s">
        <v>136</v>
      </c>
      <c r="Y491" s="8">
        <v>1</v>
      </c>
      <c r="Z491" s="8">
        <v>1</v>
      </c>
      <c r="AA491" s="8">
        <v>1</v>
      </c>
      <c r="AB491" s="8">
        <v>1</v>
      </c>
      <c r="AC491" s="8">
        <v>1</v>
      </c>
      <c r="AD491" s="8" t="s">
        <v>136</v>
      </c>
      <c r="AE491" s="8" t="s">
        <v>136</v>
      </c>
      <c r="AF491" s="8">
        <v>1</v>
      </c>
      <c r="AG491" s="8">
        <v>1</v>
      </c>
      <c r="AH491" s="8">
        <v>1</v>
      </c>
      <c r="AI491" s="8">
        <v>1</v>
      </c>
      <c r="AJ491" s="8">
        <v>1</v>
      </c>
      <c r="AK491" s="10">
        <v>23</v>
      </c>
      <c r="AL491" s="11">
        <v>23</v>
      </c>
      <c r="AM491" s="13">
        <v>23</v>
      </c>
      <c r="AN491" s="13">
        <v>0</v>
      </c>
      <c r="AO491" s="7" t="e">
        <v>#N/A</v>
      </c>
    </row>
    <row r="492" spans="1:41">
      <c r="A492" s="8" t="s">
        <v>910</v>
      </c>
      <c r="B492" s="8" t="s">
        <v>1093</v>
      </c>
      <c r="C492" s="8" t="s">
        <v>1120</v>
      </c>
      <c r="D492" s="8" t="s">
        <v>1121</v>
      </c>
      <c r="E492" s="8" t="s">
        <v>135</v>
      </c>
      <c r="F492" s="8">
        <v>1</v>
      </c>
      <c r="G492" s="8">
        <v>1</v>
      </c>
      <c r="H492" s="8">
        <v>1</v>
      </c>
      <c r="I492" s="8" t="s">
        <v>136</v>
      </c>
      <c r="J492" s="8" t="s">
        <v>136</v>
      </c>
      <c r="K492" s="8">
        <v>1</v>
      </c>
      <c r="L492" s="8">
        <v>1</v>
      </c>
      <c r="M492" s="8">
        <v>1</v>
      </c>
      <c r="N492" s="8">
        <v>1</v>
      </c>
      <c r="O492" s="8">
        <v>1</v>
      </c>
      <c r="P492" s="8" t="s">
        <v>136</v>
      </c>
      <c r="Q492" s="8" t="s">
        <v>136</v>
      </c>
      <c r="R492" s="8">
        <v>1</v>
      </c>
      <c r="S492" s="8">
        <v>1</v>
      </c>
      <c r="T492" s="8">
        <v>1</v>
      </c>
      <c r="U492" s="8">
        <v>1</v>
      </c>
      <c r="V492" s="8">
        <v>1</v>
      </c>
      <c r="W492" s="8" t="s">
        <v>136</v>
      </c>
      <c r="X492" s="8" t="s">
        <v>136</v>
      </c>
      <c r="Y492" s="8">
        <v>1</v>
      </c>
      <c r="Z492" s="8">
        <v>1</v>
      </c>
      <c r="AA492" s="8">
        <v>1</v>
      </c>
      <c r="AB492" s="8">
        <v>1</v>
      </c>
      <c r="AC492" s="8">
        <v>1</v>
      </c>
      <c r="AD492" s="8" t="s">
        <v>136</v>
      </c>
      <c r="AE492" s="8" t="s">
        <v>136</v>
      </c>
      <c r="AF492" s="8">
        <v>1</v>
      </c>
      <c r="AG492" s="8">
        <v>1</v>
      </c>
      <c r="AH492" s="8">
        <v>1</v>
      </c>
      <c r="AI492" s="8">
        <v>1</v>
      </c>
      <c r="AJ492" s="8">
        <v>1</v>
      </c>
      <c r="AK492" s="10">
        <v>23</v>
      </c>
      <c r="AL492" s="11">
        <v>23</v>
      </c>
      <c r="AM492" s="13">
        <v>23</v>
      </c>
      <c r="AN492" s="13">
        <v>0</v>
      </c>
      <c r="AO492" s="7" t="e">
        <v>#N/A</v>
      </c>
    </row>
    <row r="493" spans="1:41">
      <c r="A493" s="8" t="s">
        <v>910</v>
      </c>
      <c r="B493" s="8" t="s">
        <v>1093</v>
      </c>
      <c r="C493" s="8" t="s">
        <v>1122</v>
      </c>
      <c r="D493" s="8" t="s">
        <v>1123</v>
      </c>
      <c r="E493" s="8" t="s">
        <v>135</v>
      </c>
      <c r="F493" s="8">
        <v>1</v>
      </c>
      <c r="G493" s="8">
        <v>1</v>
      </c>
      <c r="H493" s="8">
        <v>1</v>
      </c>
      <c r="I493" s="8" t="s">
        <v>136</v>
      </c>
      <c r="J493" s="8" t="s">
        <v>136</v>
      </c>
      <c r="K493" s="8">
        <v>1</v>
      </c>
      <c r="L493" s="8">
        <v>1</v>
      </c>
      <c r="M493" s="8">
        <v>1</v>
      </c>
      <c r="N493" s="8">
        <v>1</v>
      </c>
      <c r="O493" s="8">
        <v>1</v>
      </c>
      <c r="P493" s="8" t="s">
        <v>136</v>
      </c>
      <c r="Q493" s="8" t="s">
        <v>136</v>
      </c>
      <c r="R493" s="8">
        <v>1</v>
      </c>
      <c r="S493" s="8">
        <v>1</v>
      </c>
      <c r="T493" s="8">
        <v>1</v>
      </c>
      <c r="U493" s="8">
        <v>1</v>
      </c>
      <c r="V493" s="8">
        <v>1</v>
      </c>
      <c r="W493" s="8" t="s">
        <v>136</v>
      </c>
      <c r="X493" s="8" t="s">
        <v>136</v>
      </c>
      <c r="Y493" s="8">
        <v>1</v>
      </c>
      <c r="Z493" s="8">
        <v>1</v>
      </c>
      <c r="AA493" s="8">
        <v>1</v>
      </c>
      <c r="AB493" s="8">
        <v>1</v>
      </c>
      <c r="AC493" s="8">
        <v>1</v>
      </c>
      <c r="AD493" s="8" t="s">
        <v>136</v>
      </c>
      <c r="AE493" s="8" t="s">
        <v>136</v>
      </c>
      <c r="AF493" s="8">
        <v>1</v>
      </c>
      <c r="AG493" s="8">
        <v>1</v>
      </c>
      <c r="AH493" s="8">
        <v>1</v>
      </c>
      <c r="AI493" s="8">
        <v>1</v>
      </c>
      <c r="AJ493" s="8">
        <v>1</v>
      </c>
      <c r="AK493" s="10">
        <v>23</v>
      </c>
      <c r="AL493" s="11">
        <v>23</v>
      </c>
      <c r="AM493" s="13">
        <v>23</v>
      </c>
      <c r="AN493" s="13">
        <v>0</v>
      </c>
      <c r="AO493" s="7" t="e">
        <v>#N/A</v>
      </c>
    </row>
    <row r="494" spans="1:41">
      <c r="A494" s="8" t="s">
        <v>910</v>
      </c>
      <c r="B494" s="8" t="s">
        <v>1093</v>
      </c>
      <c r="C494" s="8" t="s">
        <v>1124</v>
      </c>
      <c r="D494" s="8" t="s">
        <v>1125</v>
      </c>
      <c r="E494" s="8" t="s">
        <v>135</v>
      </c>
      <c r="F494" s="8">
        <v>1</v>
      </c>
      <c r="G494" s="8">
        <v>1</v>
      </c>
      <c r="H494" s="8">
        <v>1</v>
      </c>
      <c r="I494" s="8" t="s">
        <v>136</v>
      </c>
      <c r="J494" s="8" t="s">
        <v>136</v>
      </c>
      <c r="K494" s="8">
        <v>1</v>
      </c>
      <c r="L494" s="8">
        <v>1</v>
      </c>
      <c r="M494" s="8">
        <v>1</v>
      </c>
      <c r="N494" s="8">
        <v>1</v>
      </c>
      <c r="O494" s="8">
        <v>1</v>
      </c>
      <c r="P494" s="8" t="s">
        <v>136</v>
      </c>
      <c r="Q494" s="8" t="s">
        <v>136</v>
      </c>
      <c r="R494" s="8">
        <v>1</v>
      </c>
      <c r="S494" s="8">
        <v>1</v>
      </c>
      <c r="T494" s="8">
        <v>1</v>
      </c>
      <c r="U494" s="8">
        <v>1</v>
      </c>
      <c r="V494" s="8">
        <v>1</v>
      </c>
      <c r="W494" s="8" t="s">
        <v>136</v>
      </c>
      <c r="X494" s="8" t="s">
        <v>136</v>
      </c>
      <c r="Y494" s="8">
        <v>1</v>
      </c>
      <c r="Z494" s="8">
        <v>1</v>
      </c>
      <c r="AA494" s="8">
        <v>1</v>
      </c>
      <c r="AB494" s="8">
        <v>1</v>
      </c>
      <c r="AC494" s="8">
        <v>1</v>
      </c>
      <c r="AD494" s="8" t="s">
        <v>136</v>
      </c>
      <c r="AE494" s="8" t="s">
        <v>136</v>
      </c>
      <c r="AF494" s="8">
        <v>1</v>
      </c>
      <c r="AG494" s="8">
        <v>1</v>
      </c>
      <c r="AH494" s="8">
        <v>1</v>
      </c>
      <c r="AI494" s="8">
        <v>1</v>
      </c>
      <c r="AJ494" s="8">
        <v>1</v>
      </c>
      <c r="AK494" s="10">
        <v>23</v>
      </c>
      <c r="AL494" s="11">
        <v>23</v>
      </c>
      <c r="AM494" s="13">
        <v>23</v>
      </c>
      <c r="AN494" s="13">
        <v>0</v>
      </c>
      <c r="AO494" s="7" t="e">
        <v>#N/A</v>
      </c>
    </row>
    <row r="495" spans="1:41">
      <c r="A495" s="8" t="s">
        <v>910</v>
      </c>
      <c r="B495" s="8" t="s">
        <v>1093</v>
      </c>
      <c r="C495" s="8" t="s">
        <v>1126</v>
      </c>
      <c r="D495" s="8" t="s">
        <v>656</v>
      </c>
      <c r="E495" s="8" t="s">
        <v>135</v>
      </c>
      <c r="F495" s="8">
        <v>1</v>
      </c>
      <c r="G495" s="8">
        <v>1</v>
      </c>
      <c r="H495" s="8">
        <v>1</v>
      </c>
      <c r="I495" s="8" t="s">
        <v>136</v>
      </c>
      <c r="J495" s="8" t="s">
        <v>136</v>
      </c>
      <c r="K495" s="8">
        <v>1</v>
      </c>
      <c r="L495" s="8">
        <v>1</v>
      </c>
      <c r="M495" s="8">
        <v>1</v>
      </c>
      <c r="N495" s="8">
        <v>1</v>
      </c>
      <c r="O495" s="8">
        <v>1</v>
      </c>
      <c r="P495" s="8" t="s">
        <v>136</v>
      </c>
      <c r="Q495" s="8" t="s">
        <v>136</v>
      </c>
      <c r="R495" s="8">
        <v>1</v>
      </c>
      <c r="S495" s="8">
        <v>1</v>
      </c>
      <c r="T495" s="8">
        <v>1</v>
      </c>
      <c r="U495" s="8">
        <v>1</v>
      </c>
      <c r="V495" s="8">
        <v>1</v>
      </c>
      <c r="W495" s="8" t="s">
        <v>136</v>
      </c>
      <c r="X495" s="8" t="s">
        <v>136</v>
      </c>
      <c r="Y495" s="8">
        <v>1</v>
      </c>
      <c r="Z495" s="8">
        <v>1</v>
      </c>
      <c r="AA495" s="8">
        <v>1</v>
      </c>
      <c r="AB495" s="8">
        <v>1</v>
      </c>
      <c r="AC495" s="8">
        <v>1</v>
      </c>
      <c r="AD495" s="8" t="s">
        <v>136</v>
      </c>
      <c r="AE495" s="8" t="s">
        <v>136</v>
      </c>
      <c r="AF495" s="8">
        <v>1</v>
      </c>
      <c r="AG495" s="8">
        <v>1</v>
      </c>
      <c r="AH495" s="8">
        <v>1</v>
      </c>
      <c r="AI495" s="8">
        <v>1</v>
      </c>
      <c r="AJ495" s="8">
        <v>1</v>
      </c>
      <c r="AK495" s="10">
        <v>23</v>
      </c>
      <c r="AL495" s="11">
        <v>23</v>
      </c>
      <c r="AM495" s="13">
        <v>23</v>
      </c>
      <c r="AN495" s="13">
        <v>0</v>
      </c>
      <c r="AO495" s="7" t="e">
        <v>#N/A</v>
      </c>
    </row>
    <row r="496" spans="1:41">
      <c r="A496" s="8" t="s">
        <v>910</v>
      </c>
      <c r="B496" s="8" t="s">
        <v>1093</v>
      </c>
      <c r="C496" s="8" t="s">
        <v>1127</v>
      </c>
      <c r="D496" s="8" t="s">
        <v>1128</v>
      </c>
      <c r="E496" s="8" t="s">
        <v>135</v>
      </c>
      <c r="F496" s="8">
        <v>1</v>
      </c>
      <c r="G496" s="8">
        <v>1</v>
      </c>
      <c r="H496" s="8">
        <v>1</v>
      </c>
      <c r="I496" s="8" t="s">
        <v>136</v>
      </c>
      <c r="J496" s="8" t="s">
        <v>136</v>
      </c>
      <c r="K496" s="8">
        <v>1</v>
      </c>
      <c r="L496" s="8">
        <v>1</v>
      </c>
      <c r="M496" s="8">
        <v>1</v>
      </c>
      <c r="N496" s="8">
        <v>1</v>
      </c>
      <c r="O496" s="8">
        <v>1</v>
      </c>
      <c r="P496" s="8" t="s">
        <v>136</v>
      </c>
      <c r="Q496" s="8" t="s">
        <v>136</v>
      </c>
      <c r="R496" s="8">
        <v>1</v>
      </c>
      <c r="S496" s="8">
        <v>1</v>
      </c>
      <c r="T496" s="8">
        <v>1</v>
      </c>
      <c r="U496" s="8">
        <v>1</v>
      </c>
      <c r="V496" s="8">
        <v>1</v>
      </c>
      <c r="W496" s="8" t="s">
        <v>136</v>
      </c>
      <c r="X496" s="8" t="s">
        <v>136</v>
      </c>
      <c r="Y496" s="8">
        <v>1</v>
      </c>
      <c r="Z496" s="8">
        <v>1</v>
      </c>
      <c r="AA496" s="8">
        <v>1</v>
      </c>
      <c r="AB496" s="8">
        <v>1</v>
      </c>
      <c r="AC496" s="8">
        <v>1</v>
      </c>
      <c r="AD496" s="8" t="s">
        <v>136</v>
      </c>
      <c r="AE496" s="8" t="s">
        <v>136</v>
      </c>
      <c r="AF496" s="8">
        <v>1</v>
      </c>
      <c r="AG496" s="8">
        <v>1</v>
      </c>
      <c r="AH496" s="8">
        <v>1</v>
      </c>
      <c r="AI496" s="8">
        <v>1</v>
      </c>
      <c r="AJ496" s="8">
        <v>1</v>
      </c>
      <c r="AK496" s="10">
        <v>23</v>
      </c>
      <c r="AL496" s="11">
        <v>23</v>
      </c>
      <c r="AM496" s="13">
        <v>23</v>
      </c>
      <c r="AN496" s="13">
        <v>0</v>
      </c>
      <c r="AO496" s="7" t="e">
        <v>#N/A</v>
      </c>
    </row>
    <row r="497" spans="1:41">
      <c r="A497" s="8" t="s">
        <v>910</v>
      </c>
      <c r="B497" s="8" t="s">
        <v>1093</v>
      </c>
      <c r="C497" s="8" t="s">
        <v>1129</v>
      </c>
      <c r="D497" s="8" t="s">
        <v>1130</v>
      </c>
      <c r="E497" s="8" t="s">
        <v>135</v>
      </c>
      <c r="F497" s="8">
        <v>1</v>
      </c>
      <c r="G497" s="8">
        <v>1</v>
      </c>
      <c r="H497" s="8">
        <v>1</v>
      </c>
      <c r="I497" s="8" t="s">
        <v>136</v>
      </c>
      <c r="J497" s="8" t="s">
        <v>136</v>
      </c>
      <c r="K497" s="8">
        <v>1</v>
      </c>
      <c r="L497" s="8">
        <v>1</v>
      </c>
      <c r="M497" s="8">
        <v>1</v>
      </c>
      <c r="N497" s="8">
        <v>1</v>
      </c>
      <c r="O497" s="8">
        <v>1</v>
      </c>
      <c r="P497" s="8" t="s">
        <v>136</v>
      </c>
      <c r="Q497" s="8" t="s">
        <v>136</v>
      </c>
      <c r="R497" s="8">
        <v>1</v>
      </c>
      <c r="S497" s="8">
        <v>1</v>
      </c>
      <c r="T497" s="8">
        <v>1</v>
      </c>
      <c r="U497" s="8">
        <v>1</v>
      </c>
      <c r="V497" s="8">
        <v>1</v>
      </c>
      <c r="W497" s="8" t="s">
        <v>136</v>
      </c>
      <c r="X497" s="8" t="s">
        <v>136</v>
      </c>
      <c r="Y497" s="8">
        <v>1</v>
      </c>
      <c r="Z497" s="8">
        <v>1</v>
      </c>
      <c r="AA497" s="8">
        <v>1</v>
      </c>
      <c r="AB497" s="8">
        <v>1</v>
      </c>
      <c r="AC497" s="8">
        <v>1</v>
      </c>
      <c r="AD497" s="8" t="s">
        <v>136</v>
      </c>
      <c r="AE497" s="8" t="s">
        <v>136</v>
      </c>
      <c r="AF497" s="8">
        <v>1</v>
      </c>
      <c r="AG497" s="8">
        <v>1</v>
      </c>
      <c r="AH497" s="8">
        <v>1</v>
      </c>
      <c r="AI497" s="8">
        <v>1</v>
      </c>
      <c r="AJ497" s="8">
        <v>1</v>
      </c>
      <c r="AK497" s="10">
        <v>23</v>
      </c>
      <c r="AL497" s="11">
        <v>23</v>
      </c>
      <c r="AM497" s="13">
        <v>23</v>
      </c>
      <c r="AN497" s="13">
        <v>0</v>
      </c>
      <c r="AO497" s="7" t="e">
        <v>#N/A</v>
      </c>
    </row>
    <row r="498" spans="1:41">
      <c r="A498" s="8" t="s">
        <v>910</v>
      </c>
      <c r="B498" s="8" t="s">
        <v>1093</v>
      </c>
      <c r="C498" s="8" t="s">
        <v>1131</v>
      </c>
      <c r="D498" s="8" t="s">
        <v>1132</v>
      </c>
      <c r="E498" s="8" t="s">
        <v>135</v>
      </c>
      <c r="F498" s="8">
        <v>1</v>
      </c>
      <c r="G498" s="8">
        <v>1</v>
      </c>
      <c r="H498" s="8">
        <v>1</v>
      </c>
      <c r="I498" s="8" t="s">
        <v>136</v>
      </c>
      <c r="J498" s="8" t="s">
        <v>136</v>
      </c>
      <c r="K498" s="8">
        <v>1</v>
      </c>
      <c r="L498" s="8">
        <v>1</v>
      </c>
      <c r="M498" s="8">
        <v>1</v>
      </c>
      <c r="N498" s="8">
        <v>1</v>
      </c>
      <c r="O498" s="8">
        <v>1</v>
      </c>
      <c r="P498" s="8" t="s">
        <v>136</v>
      </c>
      <c r="Q498" s="8" t="s">
        <v>136</v>
      </c>
      <c r="R498" s="8">
        <v>1</v>
      </c>
      <c r="S498" s="8">
        <v>1</v>
      </c>
      <c r="T498" s="8">
        <v>1</v>
      </c>
      <c r="U498" s="8">
        <v>1</v>
      </c>
      <c r="V498" s="8">
        <v>1</v>
      </c>
      <c r="W498" s="8" t="s">
        <v>136</v>
      </c>
      <c r="X498" s="8" t="s">
        <v>136</v>
      </c>
      <c r="Y498" s="8">
        <v>1</v>
      </c>
      <c r="Z498" s="8">
        <v>1</v>
      </c>
      <c r="AA498" s="8">
        <v>1</v>
      </c>
      <c r="AB498" s="8">
        <v>1</v>
      </c>
      <c r="AC498" s="8">
        <v>1</v>
      </c>
      <c r="AD498" s="8" t="s">
        <v>136</v>
      </c>
      <c r="AE498" s="8" t="s">
        <v>136</v>
      </c>
      <c r="AF498" s="8">
        <v>1</v>
      </c>
      <c r="AG498" s="8">
        <v>1</v>
      </c>
      <c r="AH498" s="8">
        <v>1</v>
      </c>
      <c r="AI498" s="8">
        <v>1</v>
      </c>
      <c r="AJ498" s="8">
        <v>1</v>
      </c>
      <c r="AK498" s="10">
        <v>23</v>
      </c>
      <c r="AL498" s="11">
        <v>23</v>
      </c>
      <c r="AM498" s="13">
        <v>23</v>
      </c>
      <c r="AN498" s="13">
        <v>0</v>
      </c>
      <c r="AO498" s="7" t="e">
        <v>#N/A</v>
      </c>
    </row>
    <row r="499" spans="1:41">
      <c r="A499" s="8" t="s">
        <v>910</v>
      </c>
      <c r="B499" s="8" t="s">
        <v>1093</v>
      </c>
      <c r="C499" s="8" t="s">
        <v>1133</v>
      </c>
      <c r="D499" s="8" t="s">
        <v>1134</v>
      </c>
      <c r="E499" s="8" t="s">
        <v>135</v>
      </c>
      <c r="F499" s="8">
        <v>1</v>
      </c>
      <c r="G499" s="8">
        <v>1</v>
      </c>
      <c r="H499" s="8">
        <v>1</v>
      </c>
      <c r="I499" s="8" t="s">
        <v>136</v>
      </c>
      <c r="J499" s="8" t="s">
        <v>136</v>
      </c>
      <c r="K499" s="8">
        <v>1</v>
      </c>
      <c r="L499" s="8">
        <v>1</v>
      </c>
      <c r="M499" s="8">
        <v>1</v>
      </c>
      <c r="N499" s="8">
        <v>1</v>
      </c>
      <c r="O499" s="8">
        <v>1</v>
      </c>
      <c r="P499" s="8" t="s">
        <v>136</v>
      </c>
      <c r="Q499" s="8" t="s">
        <v>136</v>
      </c>
      <c r="R499" s="8">
        <v>1</v>
      </c>
      <c r="S499" s="8">
        <v>1</v>
      </c>
      <c r="T499" s="8">
        <v>1</v>
      </c>
      <c r="U499" s="8">
        <v>1</v>
      </c>
      <c r="V499" s="8">
        <v>1</v>
      </c>
      <c r="W499" s="8" t="s">
        <v>136</v>
      </c>
      <c r="X499" s="8" t="s">
        <v>136</v>
      </c>
      <c r="Y499" s="8">
        <v>1</v>
      </c>
      <c r="Z499" s="8">
        <v>1</v>
      </c>
      <c r="AA499" s="8">
        <v>1</v>
      </c>
      <c r="AB499" s="8">
        <v>1</v>
      </c>
      <c r="AC499" s="8">
        <v>1</v>
      </c>
      <c r="AD499" s="8" t="s">
        <v>136</v>
      </c>
      <c r="AE499" s="8" t="s">
        <v>136</v>
      </c>
      <c r="AF499" s="8">
        <v>1</v>
      </c>
      <c r="AG499" s="8">
        <v>1</v>
      </c>
      <c r="AH499" s="8">
        <v>1</v>
      </c>
      <c r="AI499" s="8">
        <v>1</v>
      </c>
      <c r="AJ499" s="8">
        <v>1</v>
      </c>
      <c r="AK499" s="10">
        <v>23</v>
      </c>
      <c r="AL499" s="11">
        <v>23</v>
      </c>
      <c r="AM499" s="13">
        <v>23</v>
      </c>
      <c r="AN499" s="13">
        <v>0</v>
      </c>
      <c r="AO499" s="7" t="e">
        <v>#N/A</v>
      </c>
    </row>
    <row r="500" spans="1:41">
      <c r="A500" s="8" t="s">
        <v>910</v>
      </c>
      <c r="B500" s="8" t="s">
        <v>1093</v>
      </c>
      <c r="C500" s="8" t="s">
        <v>1135</v>
      </c>
      <c r="D500" s="8" t="s">
        <v>1136</v>
      </c>
      <c r="E500" s="8" t="s">
        <v>135</v>
      </c>
      <c r="F500" s="8">
        <v>1</v>
      </c>
      <c r="G500" s="8">
        <v>1</v>
      </c>
      <c r="H500" s="8">
        <v>1</v>
      </c>
      <c r="I500" s="8" t="s">
        <v>136</v>
      </c>
      <c r="J500" s="8" t="s">
        <v>136</v>
      </c>
      <c r="K500" s="8">
        <v>1</v>
      </c>
      <c r="L500" s="8">
        <v>1</v>
      </c>
      <c r="M500" s="8">
        <v>1</v>
      </c>
      <c r="N500" s="8">
        <v>1</v>
      </c>
      <c r="O500" s="8">
        <v>1</v>
      </c>
      <c r="P500" s="8" t="s">
        <v>136</v>
      </c>
      <c r="Q500" s="8" t="s">
        <v>136</v>
      </c>
      <c r="R500" s="8">
        <v>1</v>
      </c>
      <c r="S500" s="8">
        <v>1</v>
      </c>
      <c r="T500" s="8">
        <v>1</v>
      </c>
      <c r="U500" s="8">
        <v>1</v>
      </c>
      <c r="V500" s="8">
        <v>1</v>
      </c>
      <c r="W500" s="8" t="s">
        <v>136</v>
      </c>
      <c r="X500" s="8" t="s">
        <v>136</v>
      </c>
      <c r="Y500" s="8">
        <v>1</v>
      </c>
      <c r="Z500" s="8">
        <v>1</v>
      </c>
      <c r="AA500" s="8">
        <v>1</v>
      </c>
      <c r="AB500" s="8">
        <v>1</v>
      </c>
      <c r="AC500" s="8">
        <v>1</v>
      </c>
      <c r="AD500" s="8" t="s">
        <v>136</v>
      </c>
      <c r="AE500" s="8" t="s">
        <v>136</v>
      </c>
      <c r="AF500" s="8">
        <v>1</v>
      </c>
      <c r="AG500" s="8">
        <v>1</v>
      </c>
      <c r="AH500" s="8">
        <v>1</v>
      </c>
      <c r="AI500" s="8">
        <v>1</v>
      </c>
      <c r="AJ500" s="8">
        <v>1</v>
      </c>
      <c r="AK500" s="10">
        <v>23</v>
      </c>
      <c r="AL500" s="11">
        <v>23</v>
      </c>
      <c r="AM500" s="13">
        <v>23</v>
      </c>
      <c r="AN500" s="13">
        <v>0</v>
      </c>
      <c r="AO500" s="7" t="e">
        <v>#N/A</v>
      </c>
    </row>
    <row r="501" spans="1:41">
      <c r="A501" s="8" t="s">
        <v>910</v>
      </c>
      <c r="B501" s="8" t="s">
        <v>1093</v>
      </c>
      <c r="C501" s="8" t="s">
        <v>1137</v>
      </c>
      <c r="D501" s="8" t="s">
        <v>1138</v>
      </c>
      <c r="E501" s="8" t="s">
        <v>135</v>
      </c>
      <c r="F501" s="8">
        <v>1</v>
      </c>
      <c r="G501" s="8">
        <v>1</v>
      </c>
      <c r="H501" s="8">
        <v>1</v>
      </c>
      <c r="I501" s="8" t="s">
        <v>136</v>
      </c>
      <c r="J501" s="8" t="s">
        <v>136</v>
      </c>
      <c r="K501" s="8">
        <v>1</v>
      </c>
      <c r="L501" s="8">
        <v>1</v>
      </c>
      <c r="M501" s="8">
        <v>1</v>
      </c>
      <c r="N501" s="8">
        <v>1</v>
      </c>
      <c r="O501" s="8">
        <v>1</v>
      </c>
      <c r="P501" s="8" t="s">
        <v>136</v>
      </c>
      <c r="Q501" s="8" t="s">
        <v>136</v>
      </c>
      <c r="R501" s="8">
        <v>1</v>
      </c>
      <c r="S501" s="8">
        <v>1</v>
      </c>
      <c r="T501" s="8">
        <v>1</v>
      </c>
      <c r="U501" s="8">
        <v>1</v>
      </c>
      <c r="V501" s="8">
        <v>1</v>
      </c>
      <c r="W501" s="8" t="s">
        <v>136</v>
      </c>
      <c r="X501" s="8" t="s">
        <v>136</v>
      </c>
      <c r="Y501" s="8">
        <v>1</v>
      </c>
      <c r="Z501" s="8">
        <v>1</v>
      </c>
      <c r="AA501" s="8">
        <v>1</v>
      </c>
      <c r="AB501" s="8">
        <v>1</v>
      </c>
      <c r="AC501" s="8">
        <v>1</v>
      </c>
      <c r="AD501" s="8" t="s">
        <v>136</v>
      </c>
      <c r="AE501" s="8" t="s">
        <v>136</v>
      </c>
      <c r="AF501" s="8">
        <v>1</v>
      </c>
      <c r="AG501" s="8">
        <v>1</v>
      </c>
      <c r="AH501" s="8">
        <v>1</v>
      </c>
      <c r="AI501" s="8">
        <v>1</v>
      </c>
      <c r="AJ501" s="8">
        <v>1</v>
      </c>
      <c r="AK501" s="10">
        <v>23</v>
      </c>
      <c r="AL501" s="11">
        <v>23</v>
      </c>
      <c r="AM501" s="13">
        <v>23</v>
      </c>
      <c r="AN501" s="13">
        <v>0</v>
      </c>
      <c r="AO501" s="7" t="e">
        <v>#N/A</v>
      </c>
    </row>
    <row r="502" spans="1:41">
      <c r="A502" s="8" t="s">
        <v>910</v>
      </c>
      <c r="B502" s="8" t="s">
        <v>1093</v>
      </c>
      <c r="C502" s="8" t="s">
        <v>1139</v>
      </c>
      <c r="D502" s="8" t="s">
        <v>1140</v>
      </c>
      <c r="E502" s="8" t="s">
        <v>135</v>
      </c>
      <c r="F502" s="8">
        <v>1</v>
      </c>
      <c r="G502" s="8">
        <v>1</v>
      </c>
      <c r="H502" s="8">
        <v>1</v>
      </c>
      <c r="I502" s="8" t="s">
        <v>136</v>
      </c>
      <c r="J502" s="8" t="s">
        <v>136</v>
      </c>
      <c r="K502" s="8">
        <v>1</v>
      </c>
      <c r="L502" s="8">
        <v>1</v>
      </c>
      <c r="M502" s="8">
        <v>1</v>
      </c>
      <c r="N502" s="8">
        <v>1</v>
      </c>
      <c r="O502" s="8">
        <v>1</v>
      </c>
      <c r="P502" s="8" t="s">
        <v>136</v>
      </c>
      <c r="Q502" s="8" t="s">
        <v>136</v>
      </c>
      <c r="R502" s="8">
        <v>1</v>
      </c>
      <c r="S502" s="8">
        <v>1</v>
      </c>
      <c r="T502" s="8">
        <v>1</v>
      </c>
      <c r="U502" s="8">
        <v>1</v>
      </c>
      <c r="V502" s="8">
        <v>1</v>
      </c>
      <c r="W502" s="8" t="s">
        <v>136</v>
      </c>
      <c r="X502" s="8" t="s">
        <v>136</v>
      </c>
      <c r="Y502" s="8">
        <v>1</v>
      </c>
      <c r="Z502" s="8">
        <v>1</v>
      </c>
      <c r="AA502" s="8">
        <v>1</v>
      </c>
      <c r="AB502" s="8">
        <v>1</v>
      </c>
      <c r="AC502" s="8">
        <v>1</v>
      </c>
      <c r="AD502" s="8" t="s">
        <v>136</v>
      </c>
      <c r="AE502" s="8" t="s">
        <v>136</v>
      </c>
      <c r="AF502" s="8">
        <v>1</v>
      </c>
      <c r="AG502" s="8">
        <v>1</v>
      </c>
      <c r="AH502" s="8">
        <v>1</v>
      </c>
      <c r="AI502" s="8">
        <v>1</v>
      </c>
      <c r="AJ502" s="8">
        <v>1</v>
      </c>
      <c r="AK502" s="10">
        <v>23</v>
      </c>
      <c r="AL502" s="11">
        <v>23</v>
      </c>
      <c r="AM502" s="13">
        <v>23</v>
      </c>
      <c r="AN502" s="13">
        <v>0</v>
      </c>
      <c r="AO502" s="7" t="e">
        <v>#N/A</v>
      </c>
    </row>
    <row r="503" spans="1:41">
      <c r="A503" s="8" t="s">
        <v>910</v>
      </c>
      <c r="B503" s="8" t="s">
        <v>1093</v>
      </c>
      <c r="C503" s="8" t="s">
        <v>1141</v>
      </c>
      <c r="D503" s="8" t="s">
        <v>1142</v>
      </c>
      <c r="E503" s="8" t="s">
        <v>135</v>
      </c>
      <c r="F503" s="8">
        <v>1</v>
      </c>
      <c r="G503" s="8">
        <v>1</v>
      </c>
      <c r="H503" s="8">
        <v>1</v>
      </c>
      <c r="I503" s="8" t="s">
        <v>136</v>
      </c>
      <c r="J503" s="8" t="s">
        <v>136</v>
      </c>
      <c r="K503" s="8">
        <v>1</v>
      </c>
      <c r="L503" s="8">
        <v>1</v>
      </c>
      <c r="M503" s="8">
        <v>1</v>
      </c>
      <c r="N503" s="8">
        <v>1</v>
      </c>
      <c r="O503" s="8">
        <v>1</v>
      </c>
      <c r="P503" s="8" t="s">
        <v>136</v>
      </c>
      <c r="Q503" s="8" t="s">
        <v>136</v>
      </c>
      <c r="R503" s="8">
        <v>1</v>
      </c>
      <c r="S503" s="8">
        <v>1</v>
      </c>
      <c r="T503" s="8">
        <v>1</v>
      </c>
      <c r="U503" s="8">
        <v>1</v>
      </c>
      <c r="V503" s="8">
        <v>1</v>
      </c>
      <c r="W503" s="8" t="s">
        <v>136</v>
      </c>
      <c r="X503" s="8" t="s">
        <v>136</v>
      </c>
      <c r="Y503" s="8">
        <v>1</v>
      </c>
      <c r="Z503" s="8">
        <v>1</v>
      </c>
      <c r="AA503" s="8">
        <v>1</v>
      </c>
      <c r="AB503" s="8">
        <v>1</v>
      </c>
      <c r="AC503" s="8">
        <v>1</v>
      </c>
      <c r="AD503" s="8" t="s">
        <v>136</v>
      </c>
      <c r="AE503" s="8" t="s">
        <v>136</v>
      </c>
      <c r="AF503" s="8">
        <v>1</v>
      </c>
      <c r="AG503" s="8">
        <v>1</v>
      </c>
      <c r="AH503" s="8">
        <v>1</v>
      </c>
      <c r="AI503" s="8">
        <v>1</v>
      </c>
      <c r="AJ503" s="8">
        <v>1</v>
      </c>
      <c r="AK503" s="10">
        <v>23</v>
      </c>
      <c r="AL503" s="11">
        <v>23</v>
      </c>
      <c r="AM503" s="13">
        <v>23</v>
      </c>
      <c r="AN503" s="13">
        <v>0</v>
      </c>
      <c r="AO503" s="7" t="e">
        <v>#N/A</v>
      </c>
    </row>
    <row r="504" spans="1:41">
      <c r="A504" s="8" t="s">
        <v>910</v>
      </c>
      <c r="B504" s="8" t="s">
        <v>1093</v>
      </c>
      <c r="C504" s="8" t="s">
        <v>1143</v>
      </c>
      <c r="D504" s="8" t="s">
        <v>1144</v>
      </c>
      <c r="E504" s="8" t="s">
        <v>135</v>
      </c>
      <c r="F504" s="8">
        <v>1</v>
      </c>
      <c r="G504" s="8">
        <v>1</v>
      </c>
      <c r="H504" s="8">
        <v>1</v>
      </c>
      <c r="I504" s="8" t="s">
        <v>136</v>
      </c>
      <c r="J504" s="8" t="s">
        <v>136</v>
      </c>
      <c r="K504" s="8">
        <v>1</v>
      </c>
      <c r="L504" s="8">
        <v>1</v>
      </c>
      <c r="M504" s="8">
        <v>1</v>
      </c>
      <c r="N504" s="8">
        <v>1</v>
      </c>
      <c r="O504" s="8">
        <v>1</v>
      </c>
      <c r="P504" s="8" t="s">
        <v>136</v>
      </c>
      <c r="Q504" s="8" t="s">
        <v>136</v>
      </c>
      <c r="R504" s="8">
        <v>1</v>
      </c>
      <c r="S504" s="8">
        <v>1</v>
      </c>
      <c r="T504" s="8">
        <v>1</v>
      </c>
      <c r="U504" s="8">
        <v>1</v>
      </c>
      <c r="V504" s="8">
        <v>1</v>
      </c>
      <c r="W504" s="8" t="s">
        <v>136</v>
      </c>
      <c r="X504" s="8" t="s">
        <v>136</v>
      </c>
      <c r="Y504" s="8">
        <v>1</v>
      </c>
      <c r="Z504" s="8">
        <v>1</v>
      </c>
      <c r="AA504" s="8">
        <v>1</v>
      </c>
      <c r="AB504" s="8">
        <v>1</v>
      </c>
      <c r="AC504" s="8">
        <v>1</v>
      </c>
      <c r="AD504" s="8" t="s">
        <v>136</v>
      </c>
      <c r="AE504" s="8" t="s">
        <v>136</v>
      </c>
      <c r="AF504" s="8">
        <v>1</v>
      </c>
      <c r="AG504" s="8">
        <v>1</v>
      </c>
      <c r="AH504" s="8">
        <v>1</v>
      </c>
      <c r="AI504" s="8">
        <v>1</v>
      </c>
      <c r="AJ504" s="8">
        <v>1</v>
      </c>
      <c r="AK504" s="10">
        <v>23</v>
      </c>
      <c r="AL504" s="11">
        <v>23</v>
      </c>
      <c r="AM504" s="13">
        <v>23</v>
      </c>
      <c r="AN504" s="13">
        <v>0</v>
      </c>
      <c r="AO504" s="7" t="e">
        <v>#N/A</v>
      </c>
    </row>
    <row r="505" spans="1:41">
      <c r="A505" s="8" t="s">
        <v>910</v>
      </c>
      <c r="B505" s="8" t="s">
        <v>1093</v>
      </c>
      <c r="C505" s="8" t="s">
        <v>1145</v>
      </c>
      <c r="D505" s="8" t="s">
        <v>1092</v>
      </c>
      <c r="E505" s="8" t="s">
        <v>135</v>
      </c>
      <c r="F505" s="8">
        <v>1</v>
      </c>
      <c r="G505" s="8">
        <v>1</v>
      </c>
      <c r="H505" s="8">
        <v>1</v>
      </c>
      <c r="I505" s="8" t="s">
        <v>136</v>
      </c>
      <c r="J505" s="8" t="s">
        <v>136</v>
      </c>
      <c r="K505" s="8">
        <v>1</v>
      </c>
      <c r="L505" s="8">
        <v>1</v>
      </c>
      <c r="M505" s="8">
        <v>1</v>
      </c>
      <c r="N505" s="8">
        <v>1</v>
      </c>
      <c r="O505" s="8">
        <v>1</v>
      </c>
      <c r="P505" s="8" t="s">
        <v>136</v>
      </c>
      <c r="Q505" s="8" t="s">
        <v>136</v>
      </c>
      <c r="R505" s="8">
        <v>1</v>
      </c>
      <c r="S505" s="8">
        <v>1</v>
      </c>
      <c r="T505" s="8">
        <v>1</v>
      </c>
      <c r="U505" s="8">
        <v>1</v>
      </c>
      <c r="V505" s="8">
        <v>1</v>
      </c>
      <c r="W505" s="8" t="s">
        <v>136</v>
      </c>
      <c r="X505" s="8" t="s">
        <v>136</v>
      </c>
      <c r="Y505" s="8">
        <v>1</v>
      </c>
      <c r="Z505" s="8">
        <v>1</v>
      </c>
      <c r="AA505" s="8">
        <v>1</v>
      </c>
      <c r="AB505" s="8">
        <v>1</v>
      </c>
      <c r="AC505" s="8">
        <v>1</v>
      </c>
      <c r="AD505" s="8" t="s">
        <v>136</v>
      </c>
      <c r="AE505" s="8" t="s">
        <v>136</v>
      </c>
      <c r="AF505" s="8">
        <v>1</v>
      </c>
      <c r="AG505" s="8">
        <v>1</v>
      </c>
      <c r="AH505" s="8">
        <v>1</v>
      </c>
      <c r="AI505" s="8">
        <v>1</v>
      </c>
      <c r="AJ505" s="8">
        <v>1</v>
      </c>
      <c r="AK505" s="10">
        <v>23</v>
      </c>
      <c r="AL505" s="11">
        <v>23</v>
      </c>
      <c r="AM505" s="13">
        <v>23</v>
      </c>
      <c r="AN505" s="13">
        <v>0</v>
      </c>
      <c r="AO505" s="7" t="e">
        <v>#N/A</v>
      </c>
    </row>
    <row r="506" spans="1:41">
      <c r="A506" s="8" t="s">
        <v>910</v>
      </c>
      <c r="B506" s="8" t="s">
        <v>1093</v>
      </c>
      <c r="C506" s="8" t="s">
        <v>1146</v>
      </c>
      <c r="D506" s="8" t="s">
        <v>1147</v>
      </c>
      <c r="E506" s="8" t="s">
        <v>135</v>
      </c>
      <c r="F506" s="8">
        <v>1</v>
      </c>
      <c r="G506" s="8">
        <v>1</v>
      </c>
      <c r="H506" s="8">
        <v>1</v>
      </c>
      <c r="I506" s="8" t="s">
        <v>136</v>
      </c>
      <c r="J506" s="8" t="s">
        <v>136</v>
      </c>
      <c r="K506" s="8">
        <v>1</v>
      </c>
      <c r="L506" s="8">
        <v>1</v>
      </c>
      <c r="M506" s="8">
        <v>1</v>
      </c>
      <c r="N506" s="8">
        <v>1</v>
      </c>
      <c r="O506" s="8">
        <v>1</v>
      </c>
      <c r="P506" s="8" t="s">
        <v>136</v>
      </c>
      <c r="Q506" s="8" t="s">
        <v>136</v>
      </c>
      <c r="R506" s="8">
        <v>1</v>
      </c>
      <c r="S506" s="8">
        <v>1</v>
      </c>
      <c r="T506" s="8">
        <v>1</v>
      </c>
      <c r="U506" s="8">
        <v>1</v>
      </c>
      <c r="V506" s="8">
        <v>1</v>
      </c>
      <c r="W506" s="8" t="s">
        <v>136</v>
      </c>
      <c r="X506" s="8" t="s">
        <v>136</v>
      </c>
      <c r="Y506" s="8">
        <v>1</v>
      </c>
      <c r="Z506" s="8">
        <v>1</v>
      </c>
      <c r="AA506" s="8">
        <v>1</v>
      </c>
      <c r="AB506" s="8">
        <v>1</v>
      </c>
      <c r="AC506" s="8">
        <v>1</v>
      </c>
      <c r="AD506" s="8" t="s">
        <v>136</v>
      </c>
      <c r="AE506" s="8" t="s">
        <v>136</v>
      </c>
      <c r="AF506" s="8">
        <v>1</v>
      </c>
      <c r="AG506" s="8">
        <v>1</v>
      </c>
      <c r="AH506" s="8">
        <v>1</v>
      </c>
      <c r="AI506" s="8">
        <v>1</v>
      </c>
      <c r="AJ506" s="8">
        <v>1</v>
      </c>
      <c r="AK506" s="10">
        <v>23</v>
      </c>
      <c r="AL506" s="11">
        <v>23</v>
      </c>
      <c r="AM506" s="13">
        <v>23</v>
      </c>
      <c r="AN506" s="13">
        <v>0</v>
      </c>
      <c r="AO506" s="7" t="e">
        <v>#N/A</v>
      </c>
    </row>
    <row r="507" spans="1:41">
      <c r="A507" s="8" t="s">
        <v>910</v>
      </c>
      <c r="B507" s="8" t="s">
        <v>1093</v>
      </c>
      <c r="C507" s="8" t="s">
        <v>1148</v>
      </c>
      <c r="D507" s="8" t="s">
        <v>1149</v>
      </c>
      <c r="E507" s="8" t="s">
        <v>135</v>
      </c>
      <c r="F507" s="8">
        <v>1</v>
      </c>
      <c r="G507" s="8">
        <v>1</v>
      </c>
      <c r="H507" s="8">
        <v>1</v>
      </c>
      <c r="I507" s="8" t="s">
        <v>136</v>
      </c>
      <c r="J507" s="8" t="s">
        <v>136</v>
      </c>
      <c r="K507" s="8">
        <v>1</v>
      </c>
      <c r="L507" s="8">
        <v>1</v>
      </c>
      <c r="M507" s="8">
        <v>1</v>
      </c>
      <c r="N507" s="8">
        <v>1</v>
      </c>
      <c r="O507" s="8">
        <v>1</v>
      </c>
      <c r="P507" s="8" t="s">
        <v>136</v>
      </c>
      <c r="Q507" s="8" t="s">
        <v>136</v>
      </c>
      <c r="R507" s="8">
        <v>1</v>
      </c>
      <c r="S507" s="8">
        <v>1</v>
      </c>
      <c r="T507" s="8">
        <v>1</v>
      </c>
      <c r="U507" s="8">
        <v>1</v>
      </c>
      <c r="V507" s="8">
        <v>1</v>
      </c>
      <c r="W507" s="8" t="s">
        <v>136</v>
      </c>
      <c r="X507" s="8" t="s">
        <v>136</v>
      </c>
      <c r="Y507" s="8">
        <v>1</v>
      </c>
      <c r="Z507" s="8">
        <v>1</v>
      </c>
      <c r="AA507" s="8">
        <v>1</v>
      </c>
      <c r="AB507" s="8">
        <v>1</v>
      </c>
      <c r="AC507" s="8">
        <v>1</v>
      </c>
      <c r="AD507" s="8" t="s">
        <v>136</v>
      </c>
      <c r="AE507" s="8" t="s">
        <v>136</v>
      </c>
      <c r="AF507" s="8">
        <v>1</v>
      </c>
      <c r="AG507" s="8">
        <v>1</v>
      </c>
      <c r="AH507" s="8">
        <v>1</v>
      </c>
      <c r="AI507" s="8">
        <v>1</v>
      </c>
      <c r="AJ507" s="8">
        <v>1</v>
      </c>
      <c r="AK507" s="10">
        <v>23</v>
      </c>
      <c r="AL507" s="11">
        <v>23</v>
      </c>
      <c r="AM507" s="13">
        <v>23</v>
      </c>
      <c r="AN507" s="13">
        <v>0</v>
      </c>
      <c r="AO507" s="7" t="e">
        <v>#N/A</v>
      </c>
    </row>
    <row r="508" spans="1:41">
      <c r="A508" s="8" t="s">
        <v>1150</v>
      </c>
      <c r="B508" s="8" t="s">
        <v>1151</v>
      </c>
      <c r="C508" s="8" t="s">
        <v>1152</v>
      </c>
      <c r="D508" s="8" t="s">
        <v>1153</v>
      </c>
      <c r="E508" s="8" t="s">
        <v>135</v>
      </c>
      <c r="F508" s="8">
        <v>1</v>
      </c>
      <c r="G508" s="8">
        <v>1</v>
      </c>
      <c r="H508" s="8">
        <v>1</v>
      </c>
      <c r="I508" s="8" t="s">
        <v>136</v>
      </c>
      <c r="J508" s="8" t="s">
        <v>136</v>
      </c>
      <c r="K508" s="8">
        <v>1</v>
      </c>
      <c r="L508" s="8">
        <v>1</v>
      </c>
      <c r="M508" s="8">
        <v>1</v>
      </c>
      <c r="N508" s="8">
        <v>1</v>
      </c>
      <c r="O508" s="8">
        <v>1</v>
      </c>
      <c r="P508" s="8" t="s">
        <v>136</v>
      </c>
      <c r="Q508" s="8" t="s">
        <v>136</v>
      </c>
      <c r="R508" s="8">
        <v>1</v>
      </c>
      <c r="S508" s="8">
        <v>1</v>
      </c>
      <c r="T508" s="8">
        <v>1</v>
      </c>
      <c r="U508" s="8">
        <v>1</v>
      </c>
      <c r="V508" s="8">
        <v>1</v>
      </c>
      <c r="W508" s="8" t="s">
        <v>136</v>
      </c>
      <c r="X508" s="8" t="s">
        <v>136</v>
      </c>
      <c r="Y508" s="8">
        <v>1</v>
      </c>
      <c r="Z508" s="8">
        <v>1</v>
      </c>
      <c r="AA508" s="8">
        <v>1</v>
      </c>
      <c r="AB508" s="8">
        <v>1</v>
      </c>
      <c r="AC508" s="8">
        <v>1</v>
      </c>
      <c r="AD508" s="8" t="s">
        <v>136</v>
      </c>
      <c r="AE508" s="8" t="s">
        <v>136</v>
      </c>
      <c r="AF508" s="8">
        <v>1</v>
      </c>
      <c r="AG508" s="8">
        <v>1</v>
      </c>
      <c r="AH508" s="8">
        <v>1</v>
      </c>
      <c r="AI508" s="8">
        <v>1</v>
      </c>
      <c r="AJ508" s="8">
        <v>1</v>
      </c>
      <c r="AK508" s="10">
        <v>23</v>
      </c>
      <c r="AL508" s="11">
        <v>23</v>
      </c>
      <c r="AM508" s="13">
        <v>23</v>
      </c>
      <c r="AN508" s="13">
        <v>0</v>
      </c>
      <c r="AO508" s="7" t="e">
        <v>#N/A</v>
      </c>
    </row>
    <row r="509" spans="1:41">
      <c r="A509" s="8" t="s">
        <v>1150</v>
      </c>
      <c r="B509" s="8" t="s">
        <v>1151</v>
      </c>
      <c r="C509" s="8" t="s">
        <v>1154</v>
      </c>
      <c r="D509" s="8" t="s">
        <v>1155</v>
      </c>
      <c r="E509" s="8" t="s">
        <v>135</v>
      </c>
      <c r="F509" s="8">
        <v>1</v>
      </c>
      <c r="G509" s="8">
        <v>1</v>
      </c>
      <c r="H509" s="8">
        <v>1</v>
      </c>
      <c r="I509" s="8" t="s">
        <v>136</v>
      </c>
      <c r="J509" s="8" t="s">
        <v>136</v>
      </c>
      <c r="K509" s="8">
        <v>1</v>
      </c>
      <c r="L509" s="8">
        <v>1</v>
      </c>
      <c r="M509" s="8">
        <v>1</v>
      </c>
      <c r="N509" s="8">
        <v>1</v>
      </c>
      <c r="O509" s="8">
        <v>1</v>
      </c>
      <c r="P509" s="8" t="s">
        <v>136</v>
      </c>
      <c r="Q509" s="8" t="s">
        <v>136</v>
      </c>
      <c r="R509" s="8">
        <v>1</v>
      </c>
      <c r="S509" s="8">
        <v>1</v>
      </c>
      <c r="T509" s="8">
        <v>1</v>
      </c>
      <c r="U509" s="8">
        <v>1</v>
      </c>
      <c r="V509" s="8">
        <v>1</v>
      </c>
      <c r="W509" s="8" t="s">
        <v>136</v>
      </c>
      <c r="X509" s="8" t="s">
        <v>136</v>
      </c>
      <c r="Y509" s="8">
        <v>1</v>
      </c>
      <c r="Z509" s="8">
        <v>1</v>
      </c>
      <c r="AA509" s="8">
        <v>1</v>
      </c>
      <c r="AB509" s="8">
        <v>1</v>
      </c>
      <c r="AC509" s="8">
        <v>1</v>
      </c>
      <c r="AD509" s="8" t="s">
        <v>136</v>
      </c>
      <c r="AE509" s="8" t="s">
        <v>136</v>
      </c>
      <c r="AF509" s="8">
        <v>1</v>
      </c>
      <c r="AG509" s="8">
        <v>1</v>
      </c>
      <c r="AH509" s="8">
        <v>1</v>
      </c>
      <c r="AI509" s="8">
        <v>1</v>
      </c>
      <c r="AJ509" s="8">
        <v>1</v>
      </c>
      <c r="AK509" s="10">
        <v>23</v>
      </c>
      <c r="AL509" s="11">
        <v>23</v>
      </c>
      <c r="AM509" s="13">
        <v>23</v>
      </c>
      <c r="AN509" s="13">
        <v>0</v>
      </c>
      <c r="AO509" s="7" t="e">
        <v>#N/A</v>
      </c>
    </row>
    <row r="510" spans="1:41">
      <c r="A510" s="8" t="s">
        <v>1150</v>
      </c>
      <c r="B510" s="8" t="s">
        <v>1151</v>
      </c>
      <c r="C510" s="8" t="s">
        <v>1156</v>
      </c>
      <c r="D510" s="8" t="s">
        <v>1157</v>
      </c>
      <c r="E510" s="8" t="s">
        <v>135</v>
      </c>
      <c r="F510" s="8">
        <v>1</v>
      </c>
      <c r="G510" s="8">
        <v>1</v>
      </c>
      <c r="H510" s="8">
        <v>1</v>
      </c>
      <c r="I510" s="8" t="s">
        <v>136</v>
      </c>
      <c r="J510" s="8" t="s">
        <v>136</v>
      </c>
      <c r="K510" s="8">
        <v>1</v>
      </c>
      <c r="L510" s="8">
        <v>1</v>
      </c>
      <c r="M510" s="8">
        <v>1</v>
      </c>
      <c r="N510" s="8">
        <v>1</v>
      </c>
      <c r="O510" s="8">
        <v>1</v>
      </c>
      <c r="P510" s="8" t="s">
        <v>136</v>
      </c>
      <c r="Q510" s="8" t="s">
        <v>136</v>
      </c>
      <c r="R510" s="8">
        <v>1</v>
      </c>
      <c r="S510" s="8">
        <v>1</v>
      </c>
      <c r="T510" s="8">
        <v>1</v>
      </c>
      <c r="U510" s="8">
        <v>1</v>
      </c>
      <c r="V510" s="8">
        <v>1</v>
      </c>
      <c r="W510" s="8" t="s">
        <v>136</v>
      </c>
      <c r="X510" s="8" t="s">
        <v>136</v>
      </c>
      <c r="Y510" s="8">
        <v>1</v>
      </c>
      <c r="Z510" s="8">
        <v>1</v>
      </c>
      <c r="AA510" s="8">
        <v>1</v>
      </c>
      <c r="AB510" s="8">
        <v>1</v>
      </c>
      <c r="AC510" s="8">
        <v>1</v>
      </c>
      <c r="AD510" s="8" t="s">
        <v>136</v>
      </c>
      <c r="AE510" s="8" t="s">
        <v>136</v>
      </c>
      <c r="AF510" s="8">
        <v>1</v>
      </c>
      <c r="AG510" s="8">
        <v>1</v>
      </c>
      <c r="AH510" s="8">
        <v>1</v>
      </c>
      <c r="AI510" s="8">
        <v>1</v>
      </c>
      <c r="AJ510" s="8">
        <v>1</v>
      </c>
      <c r="AK510" s="10">
        <v>23</v>
      </c>
      <c r="AL510" s="11">
        <v>23</v>
      </c>
      <c r="AM510" s="13">
        <v>23</v>
      </c>
      <c r="AN510" s="13">
        <v>0</v>
      </c>
      <c r="AO510" s="7" t="e">
        <v>#N/A</v>
      </c>
    </row>
    <row r="511" spans="1:41">
      <c r="A511" s="8" t="s">
        <v>1150</v>
      </c>
      <c r="B511" s="8" t="s">
        <v>1158</v>
      </c>
      <c r="C511" s="8" t="s">
        <v>1159</v>
      </c>
      <c r="D511" s="8" t="s">
        <v>1160</v>
      </c>
      <c r="E511" s="8" t="s">
        <v>135</v>
      </c>
      <c r="F511" s="8">
        <v>1</v>
      </c>
      <c r="G511" s="8">
        <v>1</v>
      </c>
      <c r="H511" s="8">
        <v>1</v>
      </c>
      <c r="I511" s="8" t="s">
        <v>136</v>
      </c>
      <c r="J511" s="8" t="s">
        <v>136</v>
      </c>
      <c r="K511" s="8">
        <v>1</v>
      </c>
      <c r="L511" s="8">
        <v>1</v>
      </c>
      <c r="M511" s="8">
        <v>1</v>
      </c>
      <c r="N511" s="8">
        <v>1</v>
      </c>
      <c r="O511" s="8">
        <v>1</v>
      </c>
      <c r="P511" s="8" t="s">
        <v>136</v>
      </c>
      <c r="Q511" s="8" t="s">
        <v>136</v>
      </c>
      <c r="R511" s="8">
        <v>1</v>
      </c>
      <c r="S511" s="8">
        <v>1</v>
      </c>
      <c r="T511" s="8">
        <v>1</v>
      </c>
      <c r="U511" s="8">
        <v>1</v>
      </c>
      <c r="V511" s="8">
        <v>1</v>
      </c>
      <c r="W511" s="8" t="s">
        <v>136</v>
      </c>
      <c r="X511" s="8" t="s">
        <v>136</v>
      </c>
      <c r="Y511" s="8">
        <v>1</v>
      </c>
      <c r="Z511" s="8">
        <v>1</v>
      </c>
      <c r="AA511" s="8">
        <v>1</v>
      </c>
      <c r="AB511" s="8">
        <v>1</v>
      </c>
      <c r="AC511" s="8">
        <v>1</v>
      </c>
      <c r="AD511" s="8" t="s">
        <v>136</v>
      </c>
      <c r="AE511" s="8" t="s">
        <v>136</v>
      </c>
      <c r="AF511" s="8">
        <v>1</v>
      </c>
      <c r="AG511" s="8">
        <v>1</v>
      </c>
      <c r="AH511" s="8">
        <v>1</v>
      </c>
      <c r="AI511" s="8">
        <v>1</v>
      </c>
      <c r="AJ511" s="8">
        <v>1</v>
      </c>
      <c r="AK511" s="10">
        <v>23</v>
      </c>
      <c r="AL511" s="11">
        <v>23</v>
      </c>
      <c r="AM511" s="13">
        <v>23</v>
      </c>
      <c r="AN511" s="13">
        <v>0</v>
      </c>
      <c r="AO511" s="7" t="e">
        <v>#N/A</v>
      </c>
    </row>
    <row r="512" spans="1:41">
      <c r="A512" s="8" t="s">
        <v>1150</v>
      </c>
      <c r="B512" s="8" t="s">
        <v>1158</v>
      </c>
      <c r="C512" s="8" t="s">
        <v>1161</v>
      </c>
      <c r="D512" s="8" t="s">
        <v>1162</v>
      </c>
      <c r="E512" s="8" t="s">
        <v>135</v>
      </c>
      <c r="F512" s="8">
        <v>0</v>
      </c>
      <c r="G512" s="8">
        <v>0</v>
      </c>
      <c r="H512" s="8">
        <v>0</v>
      </c>
      <c r="I512" s="8" t="s">
        <v>136</v>
      </c>
      <c r="J512" s="8" t="s">
        <v>136</v>
      </c>
      <c r="K512" s="8">
        <v>0</v>
      </c>
      <c r="L512" s="8">
        <v>0</v>
      </c>
      <c r="M512" s="8">
        <v>0</v>
      </c>
      <c r="N512" s="8">
        <v>0</v>
      </c>
      <c r="O512" s="8">
        <v>0</v>
      </c>
      <c r="P512" s="8" t="s">
        <v>136</v>
      </c>
      <c r="Q512" s="8" t="s">
        <v>136</v>
      </c>
      <c r="R512" s="8">
        <v>0</v>
      </c>
      <c r="S512" s="8">
        <v>0</v>
      </c>
      <c r="T512" s="8">
        <v>0</v>
      </c>
      <c r="U512" s="8">
        <v>0</v>
      </c>
      <c r="V512" s="8">
        <v>0</v>
      </c>
      <c r="W512" s="8" t="s">
        <v>136</v>
      </c>
      <c r="X512" s="8" t="s">
        <v>136</v>
      </c>
      <c r="Y512" s="8">
        <v>0</v>
      </c>
      <c r="Z512" s="8">
        <v>0</v>
      </c>
      <c r="AA512" s="8">
        <v>0</v>
      </c>
      <c r="AB512" s="8">
        <v>0</v>
      </c>
      <c r="AC512" s="8">
        <v>0</v>
      </c>
      <c r="AD512" s="8" t="s">
        <v>136</v>
      </c>
      <c r="AE512" s="8" t="s">
        <v>136</v>
      </c>
      <c r="AF512" s="8">
        <v>0</v>
      </c>
      <c r="AG512" s="8">
        <v>0</v>
      </c>
      <c r="AH512" s="8">
        <v>0</v>
      </c>
      <c r="AI512" s="8">
        <v>0</v>
      </c>
      <c r="AJ512" s="8">
        <v>0</v>
      </c>
      <c r="AK512" s="10">
        <v>23</v>
      </c>
      <c r="AL512" s="12">
        <v>0</v>
      </c>
      <c r="AM512" s="13">
        <v>0</v>
      </c>
      <c r="AN512" s="13">
        <v>0</v>
      </c>
      <c r="AO512" s="7" t="e">
        <v>#N/A</v>
      </c>
    </row>
    <row r="513" spans="1:41">
      <c r="A513" s="8" t="s">
        <v>1150</v>
      </c>
      <c r="B513" s="8" t="s">
        <v>1158</v>
      </c>
      <c r="C513" s="8" t="s">
        <v>1163</v>
      </c>
      <c r="D513" s="8" t="s">
        <v>1164</v>
      </c>
      <c r="E513" s="8" t="s">
        <v>135</v>
      </c>
      <c r="F513" s="8">
        <v>1</v>
      </c>
      <c r="G513" s="8">
        <v>1</v>
      </c>
      <c r="H513" s="8">
        <v>1</v>
      </c>
      <c r="I513" s="8" t="s">
        <v>136</v>
      </c>
      <c r="J513" s="8" t="s">
        <v>136</v>
      </c>
      <c r="K513" s="8">
        <v>1</v>
      </c>
      <c r="L513" s="8">
        <v>1</v>
      </c>
      <c r="M513" s="8">
        <v>1</v>
      </c>
      <c r="N513" s="8">
        <v>1</v>
      </c>
      <c r="O513" s="8">
        <v>1</v>
      </c>
      <c r="P513" s="8" t="s">
        <v>136</v>
      </c>
      <c r="Q513" s="8" t="s">
        <v>136</v>
      </c>
      <c r="R513" s="8">
        <v>1</v>
      </c>
      <c r="S513" s="8">
        <v>1</v>
      </c>
      <c r="T513" s="8">
        <v>1</v>
      </c>
      <c r="U513" s="8">
        <v>1</v>
      </c>
      <c r="V513" s="8">
        <v>1</v>
      </c>
      <c r="W513" s="8" t="s">
        <v>136</v>
      </c>
      <c r="X513" s="8" t="s">
        <v>136</v>
      </c>
      <c r="Y513" s="8">
        <v>1</v>
      </c>
      <c r="Z513" s="8">
        <v>1</v>
      </c>
      <c r="AA513" s="8">
        <v>1</v>
      </c>
      <c r="AB513" s="8">
        <v>1</v>
      </c>
      <c r="AC513" s="8">
        <v>1</v>
      </c>
      <c r="AD513" s="8" t="s">
        <v>136</v>
      </c>
      <c r="AE513" s="8" t="s">
        <v>136</v>
      </c>
      <c r="AF513" s="8">
        <v>1</v>
      </c>
      <c r="AG513" s="8">
        <v>1</v>
      </c>
      <c r="AH513" s="8">
        <v>1</v>
      </c>
      <c r="AI513" s="8">
        <v>1</v>
      </c>
      <c r="AJ513" s="8">
        <v>1</v>
      </c>
      <c r="AK513" s="10">
        <v>23</v>
      </c>
      <c r="AL513" s="11">
        <v>23</v>
      </c>
      <c r="AM513" s="13">
        <v>23</v>
      </c>
      <c r="AN513" s="13">
        <v>0</v>
      </c>
      <c r="AO513" s="7" t="e">
        <v>#N/A</v>
      </c>
    </row>
    <row r="514" spans="1:41">
      <c r="A514" s="8" t="s">
        <v>1150</v>
      </c>
      <c r="B514" s="8" t="s">
        <v>1158</v>
      </c>
      <c r="C514" s="8" t="s">
        <v>1165</v>
      </c>
      <c r="D514" s="8" t="s">
        <v>1166</v>
      </c>
      <c r="E514" s="8" t="s">
        <v>135</v>
      </c>
      <c r="F514" s="8">
        <v>1</v>
      </c>
      <c r="G514" s="8">
        <v>1</v>
      </c>
      <c r="H514" s="8">
        <v>1</v>
      </c>
      <c r="I514" s="8" t="s">
        <v>136</v>
      </c>
      <c r="J514" s="8" t="s">
        <v>136</v>
      </c>
      <c r="K514" s="8">
        <v>1</v>
      </c>
      <c r="L514" s="8">
        <v>1</v>
      </c>
      <c r="M514" s="8">
        <v>1</v>
      </c>
      <c r="N514" s="8">
        <v>1</v>
      </c>
      <c r="O514" s="8">
        <v>1</v>
      </c>
      <c r="P514" s="8" t="s">
        <v>136</v>
      </c>
      <c r="Q514" s="8" t="s">
        <v>136</v>
      </c>
      <c r="R514" s="8">
        <v>1</v>
      </c>
      <c r="S514" s="8">
        <v>1</v>
      </c>
      <c r="T514" s="8">
        <v>1</v>
      </c>
      <c r="U514" s="8">
        <v>1</v>
      </c>
      <c r="V514" s="8">
        <v>1</v>
      </c>
      <c r="W514" s="8" t="s">
        <v>136</v>
      </c>
      <c r="X514" s="8" t="s">
        <v>136</v>
      </c>
      <c r="Y514" s="8">
        <v>1</v>
      </c>
      <c r="Z514" s="8">
        <v>1</v>
      </c>
      <c r="AA514" s="8">
        <v>1</v>
      </c>
      <c r="AB514" s="8">
        <v>1</v>
      </c>
      <c r="AC514" s="8">
        <v>1</v>
      </c>
      <c r="AD514" s="8" t="s">
        <v>136</v>
      </c>
      <c r="AE514" s="8" t="s">
        <v>136</v>
      </c>
      <c r="AF514" s="8">
        <v>1</v>
      </c>
      <c r="AG514" s="8">
        <v>1</v>
      </c>
      <c r="AH514" s="8">
        <v>1</v>
      </c>
      <c r="AI514" s="8">
        <v>1</v>
      </c>
      <c r="AJ514" s="8">
        <v>1</v>
      </c>
      <c r="AK514" s="10">
        <v>23</v>
      </c>
      <c r="AL514" s="11">
        <v>23</v>
      </c>
      <c r="AM514" s="13">
        <v>23</v>
      </c>
      <c r="AN514" s="13">
        <v>0</v>
      </c>
      <c r="AO514" s="7" t="e">
        <v>#N/A</v>
      </c>
    </row>
    <row r="515" spans="1:41">
      <c r="A515" s="8" t="s">
        <v>1150</v>
      </c>
      <c r="B515" s="8" t="s">
        <v>1158</v>
      </c>
      <c r="C515" s="8" t="s">
        <v>1167</v>
      </c>
      <c r="D515" s="8" t="s">
        <v>1168</v>
      </c>
      <c r="E515" s="8" t="s">
        <v>135</v>
      </c>
      <c r="F515" s="8">
        <v>1</v>
      </c>
      <c r="G515" s="8">
        <v>1</v>
      </c>
      <c r="H515" s="8">
        <v>1</v>
      </c>
      <c r="I515" s="8" t="s">
        <v>136</v>
      </c>
      <c r="J515" s="8" t="s">
        <v>136</v>
      </c>
      <c r="K515" s="8">
        <v>1</v>
      </c>
      <c r="L515" s="8">
        <v>1</v>
      </c>
      <c r="M515" s="8">
        <v>1</v>
      </c>
      <c r="N515" s="8">
        <v>1</v>
      </c>
      <c r="O515" s="8">
        <v>1</v>
      </c>
      <c r="P515" s="8" t="s">
        <v>136</v>
      </c>
      <c r="Q515" s="8" t="s">
        <v>136</v>
      </c>
      <c r="R515" s="8">
        <v>1</v>
      </c>
      <c r="S515" s="8">
        <v>1</v>
      </c>
      <c r="T515" s="8">
        <v>1</v>
      </c>
      <c r="U515" s="8">
        <v>1</v>
      </c>
      <c r="V515" s="8">
        <v>1</v>
      </c>
      <c r="W515" s="8" t="s">
        <v>136</v>
      </c>
      <c r="X515" s="8" t="s">
        <v>136</v>
      </c>
      <c r="Y515" s="8">
        <v>1</v>
      </c>
      <c r="Z515" s="8">
        <v>1</v>
      </c>
      <c r="AA515" s="8">
        <v>1</v>
      </c>
      <c r="AB515" s="8">
        <v>1</v>
      </c>
      <c r="AC515" s="8">
        <v>1</v>
      </c>
      <c r="AD515" s="8" t="s">
        <v>136</v>
      </c>
      <c r="AE515" s="8" t="s">
        <v>136</v>
      </c>
      <c r="AF515" s="8">
        <v>1</v>
      </c>
      <c r="AG515" s="8">
        <v>1</v>
      </c>
      <c r="AH515" s="8">
        <v>1</v>
      </c>
      <c r="AI515" s="8">
        <v>1</v>
      </c>
      <c r="AJ515" s="8">
        <v>1</v>
      </c>
      <c r="AK515" s="10">
        <v>23</v>
      </c>
      <c r="AL515" s="11">
        <v>23</v>
      </c>
      <c r="AM515" s="13">
        <v>23</v>
      </c>
      <c r="AN515" s="13">
        <v>0</v>
      </c>
      <c r="AO515" s="7" t="e">
        <v>#N/A</v>
      </c>
    </row>
    <row r="516" spans="1:41">
      <c r="A516" s="8" t="s">
        <v>1150</v>
      </c>
      <c r="B516" s="8" t="s">
        <v>1169</v>
      </c>
      <c r="C516" s="8" t="s">
        <v>1170</v>
      </c>
      <c r="D516" s="8" t="s">
        <v>1171</v>
      </c>
      <c r="E516" s="8" t="s">
        <v>135</v>
      </c>
      <c r="F516" s="8">
        <v>1</v>
      </c>
      <c r="G516" s="8">
        <v>1</v>
      </c>
      <c r="H516" s="8">
        <v>1</v>
      </c>
      <c r="I516" s="8" t="s">
        <v>136</v>
      </c>
      <c r="J516" s="8" t="s">
        <v>136</v>
      </c>
      <c r="K516" s="8">
        <v>1</v>
      </c>
      <c r="L516" s="8">
        <v>1</v>
      </c>
      <c r="M516" s="8">
        <v>1</v>
      </c>
      <c r="N516" s="8">
        <v>1</v>
      </c>
      <c r="O516" s="8">
        <v>1</v>
      </c>
      <c r="P516" s="8" t="s">
        <v>136</v>
      </c>
      <c r="Q516" s="8" t="s">
        <v>136</v>
      </c>
      <c r="R516" s="8">
        <v>1</v>
      </c>
      <c r="S516" s="8">
        <v>1</v>
      </c>
      <c r="T516" s="8">
        <v>1</v>
      </c>
      <c r="U516" s="8">
        <v>1</v>
      </c>
      <c r="V516" s="8">
        <v>1</v>
      </c>
      <c r="W516" s="8" t="s">
        <v>136</v>
      </c>
      <c r="X516" s="8" t="s">
        <v>136</v>
      </c>
      <c r="Y516" s="8">
        <v>1</v>
      </c>
      <c r="Z516" s="8">
        <v>1</v>
      </c>
      <c r="AA516" s="8">
        <v>1</v>
      </c>
      <c r="AB516" s="8">
        <v>1</v>
      </c>
      <c r="AC516" s="8">
        <v>1</v>
      </c>
      <c r="AD516" s="8" t="s">
        <v>136</v>
      </c>
      <c r="AE516" s="8" t="s">
        <v>136</v>
      </c>
      <c r="AF516" s="8">
        <v>1</v>
      </c>
      <c r="AG516" s="8">
        <v>1</v>
      </c>
      <c r="AH516" s="8">
        <v>1</v>
      </c>
      <c r="AI516" s="8">
        <v>1</v>
      </c>
      <c r="AJ516" s="8">
        <v>1</v>
      </c>
      <c r="AK516" s="10">
        <v>23</v>
      </c>
      <c r="AL516" s="11">
        <v>23</v>
      </c>
      <c r="AM516" s="13">
        <v>23</v>
      </c>
      <c r="AN516" s="13">
        <v>0</v>
      </c>
      <c r="AO516" s="7" t="e">
        <v>#N/A</v>
      </c>
    </row>
    <row r="517" spans="1:41">
      <c r="A517" s="8" t="s">
        <v>1150</v>
      </c>
      <c r="B517" s="8" t="s">
        <v>1169</v>
      </c>
      <c r="C517" s="8" t="s">
        <v>1172</v>
      </c>
      <c r="D517" s="8" t="s">
        <v>1173</v>
      </c>
      <c r="E517" s="8" t="s">
        <v>135</v>
      </c>
      <c r="F517" s="8">
        <v>1</v>
      </c>
      <c r="G517" s="8">
        <v>1</v>
      </c>
      <c r="H517" s="8">
        <v>1</v>
      </c>
      <c r="I517" s="8" t="s">
        <v>136</v>
      </c>
      <c r="J517" s="8" t="s">
        <v>136</v>
      </c>
      <c r="K517" s="8">
        <v>1</v>
      </c>
      <c r="L517" s="8">
        <v>1</v>
      </c>
      <c r="M517" s="8">
        <v>1</v>
      </c>
      <c r="N517" s="8">
        <v>1</v>
      </c>
      <c r="O517" s="8">
        <v>1</v>
      </c>
      <c r="P517" s="8" t="s">
        <v>136</v>
      </c>
      <c r="Q517" s="8" t="s">
        <v>136</v>
      </c>
      <c r="R517" s="8">
        <v>1</v>
      </c>
      <c r="S517" s="8">
        <v>1</v>
      </c>
      <c r="T517" s="8">
        <v>1</v>
      </c>
      <c r="U517" s="8">
        <v>1</v>
      </c>
      <c r="V517" s="8">
        <v>1</v>
      </c>
      <c r="W517" s="8" t="s">
        <v>136</v>
      </c>
      <c r="X517" s="8" t="s">
        <v>136</v>
      </c>
      <c r="Y517" s="8">
        <v>1</v>
      </c>
      <c r="Z517" s="8">
        <v>1</v>
      </c>
      <c r="AA517" s="8">
        <v>1</v>
      </c>
      <c r="AB517" s="8">
        <v>1</v>
      </c>
      <c r="AC517" s="8">
        <v>1</v>
      </c>
      <c r="AD517" s="8" t="s">
        <v>136</v>
      </c>
      <c r="AE517" s="8" t="s">
        <v>136</v>
      </c>
      <c r="AF517" s="8">
        <v>1</v>
      </c>
      <c r="AG517" s="8">
        <v>1</v>
      </c>
      <c r="AH517" s="8">
        <v>1</v>
      </c>
      <c r="AI517" s="8">
        <v>1</v>
      </c>
      <c r="AJ517" s="8">
        <v>1</v>
      </c>
      <c r="AK517" s="10">
        <v>23</v>
      </c>
      <c r="AL517" s="11">
        <v>23</v>
      </c>
      <c r="AM517" s="13">
        <v>23</v>
      </c>
      <c r="AN517" s="13">
        <v>0</v>
      </c>
      <c r="AO517" s="7" t="e">
        <v>#N/A</v>
      </c>
    </row>
    <row r="518" spans="1:41">
      <c r="A518" s="8" t="s">
        <v>1150</v>
      </c>
      <c r="B518" s="8" t="s">
        <v>1174</v>
      </c>
      <c r="C518" s="8" t="s">
        <v>1175</v>
      </c>
      <c r="D518" s="8" t="s">
        <v>1176</v>
      </c>
      <c r="E518" s="8" t="s">
        <v>135</v>
      </c>
      <c r="F518" s="8">
        <v>1</v>
      </c>
      <c r="G518" s="8">
        <v>1</v>
      </c>
      <c r="H518" s="8">
        <v>1</v>
      </c>
      <c r="I518" s="8" t="s">
        <v>136</v>
      </c>
      <c r="J518" s="8" t="s">
        <v>136</v>
      </c>
      <c r="K518" s="8">
        <v>1</v>
      </c>
      <c r="L518" s="8">
        <v>1</v>
      </c>
      <c r="M518" s="8">
        <v>1</v>
      </c>
      <c r="N518" s="8">
        <v>1</v>
      </c>
      <c r="O518" s="8">
        <v>1</v>
      </c>
      <c r="P518" s="8" t="s">
        <v>136</v>
      </c>
      <c r="Q518" s="8" t="s">
        <v>136</v>
      </c>
      <c r="R518" s="8">
        <v>1</v>
      </c>
      <c r="S518" s="8">
        <v>1</v>
      </c>
      <c r="T518" s="8">
        <v>1</v>
      </c>
      <c r="U518" s="8">
        <v>1</v>
      </c>
      <c r="V518" s="8">
        <v>1</v>
      </c>
      <c r="W518" s="8" t="s">
        <v>136</v>
      </c>
      <c r="X518" s="8" t="s">
        <v>136</v>
      </c>
      <c r="Y518" s="8">
        <v>1</v>
      </c>
      <c r="Z518" s="8">
        <v>1</v>
      </c>
      <c r="AA518" s="8">
        <v>1</v>
      </c>
      <c r="AB518" s="8">
        <v>1</v>
      </c>
      <c r="AC518" s="8">
        <v>1</v>
      </c>
      <c r="AD518" s="8" t="s">
        <v>136</v>
      </c>
      <c r="AE518" s="8" t="s">
        <v>136</v>
      </c>
      <c r="AF518" s="8">
        <v>1</v>
      </c>
      <c r="AG518" s="8">
        <v>1</v>
      </c>
      <c r="AH518" s="8">
        <v>1</v>
      </c>
      <c r="AI518" s="8">
        <v>1</v>
      </c>
      <c r="AJ518" s="8">
        <v>1</v>
      </c>
      <c r="AK518" s="10">
        <v>23</v>
      </c>
      <c r="AL518" s="11">
        <v>23</v>
      </c>
      <c r="AM518" s="13">
        <v>23</v>
      </c>
      <c r="AN518" s="13">
        <v>0</v>
      </c>
      <c r="AO518" s="7" t="e">
        <v>#N/A</v>
      </c>
    </row>
    <row r="519" spans="1:41">
      <c r="A519" s="8" t="s">
        <v>1150</v>
      </c>
      <c r="B519" s="8" t="s">
        <v>1174</v>
      </c>
      <c r="C519" s="8" t="s">
        <v>1177</v>
      </c>
      <c r="D519" s="8" t="s">
        <v>1178</v>
      </c>
      <c r="E519" s="8" t="s">
        <v>135</v>
      </c>
      <c r="F519" s="8">
        <v>1</v>
      </c>
      <c r="G519" s="8">
        <v>1</v>
      </c>
      <c r="H519" s="8">
        <v>1</v>
      </c>
      <c r="I519" s="8" t="s">
        <v>136</v>
      </c>
      <c r="J519" s="8" t="s">
        <v>136</v>
      </c>
      <c r="K519" s="8">
        <v>1</v>
      </c>
      <c r="L519" s="8">
        <v>1</v>
      </c>
      <c r="M519" s="8">
        <v>1</v>
      </c>
      <c r="N519" s="8">
        <v>1</v>
      </c>
      <c r="O519" s="8">
        <v>1</v>
      </c>
      <c r="P519" s="8" t="s">
        <v>136</v>
      </c>
      <c r="Q519" s="8" t="s">
        <v>136</v>
      </c>
      <c r="R519" s="8">
        <v>1</v>
      </c>
      <c r="S519" s="8">
        <v>1</v>
      </c>
      <c r="T519" s="8">
        <v>1</v>
      </c>
      <c r="U519" s="8">
        <v>1</v>
      </c>
      <c r="V519" s="8">
        <v>1</v>
      </c>
      <c r="W519" s="8" t="s">
        <v>136</v>
      </c>
      <c r="X519" s="8" t="s">
        <v>136</v>
      </c>
      <c r="Y519" s="8">
        <v>1</v>
      </c>
      <c r="Z519" s="8">
        <v>1</v>
      </c>
      <c r="AA519" s="8">
        <v>1</v>
      </c>
      <c r="AB519" s="8">
        <v>1</v>
      </c>
      <c r="AC519" s="8">
        <v>1</v>
      </c>
      <c r="AD519" s="8" t="s">
        <v>136</v>
      </c>
      <c r="AE519" s="8" t="s">
        <v>136</v>
      </c>
      <c r="AF519" s="8">
        <v>1</v>
      </c>
      <c r="AG519" s="8">
        <v>1</v>
      </c>
      <c r="AH519" s="8">
        <v>1</v>
      </c>
      <c r="AI519" s="8">
        <v>1</v>
      </c>
      <c r="AJ519" s="8">
        <v>1</v>
      </c>
      <c r="AK519" s="10">
        <v>23</v>
      </c>
      <c r="AL519" s="11">
        <v>23</v>
      </c>
      <c r="AM519" s="13">
        <v>23</v>
      </c>
      <c r="AN519" s="13">
        <v>0</v>
      </c>
      <c r="AO519" s="7" t="e">
        <v>#N/A</v>
      </c>
    </row>
    <row r="520" spans="1:41">
      <c r="A520" s="8" t="s">
        <v>1150</v>
      </c>
      <c r="B520" s="8" t="s">
        <v>1174</v>
      </c>
      <c r="C520" s="8" t="s">
        <v>1179</v>
      </c>
      <c r="D520" s="8" t="s">
        <v>1180</v>
      </c>
      <c r="E520" s="8" t="s">
        <v>135</v>
      </c>
      <c r="F520" s="8">
        <v>1</v>
      </c>
      <c r="G520" s="8">
        <v>1</v>
      </c>
      <c r="H520" s="8">
        <v>1</v>
      </c>
      <c r="I520" s="8" t="s">
        <v>136</v>
      </c>
      <c r="J520" s="8" t="s">
        <v>136</v>
      </c>
      <c r="K520" s="8">
        <v>1</v>
      </c>
      <c r="L520" s="8">
        <v>1</v>
      </c>
      <c r="M520" s="8">
        <v>1</v>
      </c>
      <c r="N520" s="8">
        <v>1</v>
      </c>
      <c r="O520" s="8">
        <v>1</v>
      </c>
      <c r="P520" s="8" t="s">
        <v>136</v>
      </c>
      <c r="Q520" s="8" t="s">
        <v>136</v>
      </c>
      <c r="R520" s="8">
        <v>1</v>
      </c>
      <c r="S520" s="8">
        <v>1</v>
      </c>
      <c r="T520" s="8">
        <v>1</v>
      </c>
      <c r="U520" s="8">
        <v>1</v>
      </c>
      <c r="V520" s="8">
        <v>1</v>
      </c>
      <c r="W520" s="8" t="s">
        <v>136</v>
      </c>
      <c r="X520" s="8" t="s">
        <v>136</v>
      </c>
      <c r="Y520" s="8">
        <v>1</v>
      </c>
      <c r="Z520" s="8">
        <v>1</v>
      </c>
      <c r="AA520" s="8">
        <v>1</v>
      </c>
      <c r="AB520" s="8">
        <v>1</v>
      </c>
      <c r="AC520" s="8">
        <v>1</v>
      </c>
      <c r="AD520" s="8" t="s">
        <v>136</v>
      </c>
      <c r="AE520" s="8" t="s">
        <v>136</v>
      </c>
      <c r="AF520" s="8">
        <v>1</v>
      </c>
      <c r="AG520" s="8">
        <v>1</v>
      </c>
      <c r="AH520" s="8">
        <v>1</v>
      </c>
      <c r="AI520" s="8">
        <v>1</v>
      </c>
      <c r="AJ520" s="8">
        <v>1</v>
      </c>
      <c r="AK520" s="10">
        <v>23</v>
      </c>
      <c r="AL520" s="11">
        <v>23</v>
      </c>
      <c r="AM520" s="13">
        <v>23</v>
      </c>
      <c r="AN520" s="13">
        <v>0</v>
      </c>
      <c r="AO520" s="7" t="e">
        <v>#N/A</v>
      </c>
    </row>
    <row r="521" spans="1:41">
      <c r="A521" s="8" t="s">
        <v>1150</v>
      </c>
      <c r="B521" s="8" t="s">
        <v>1174</v>
      </c>
      <c r="C521" s="8" t="s">
        <v>1181</v>
      </c>
      <c r="D521" s="8" t="s">
        <v>823</v>
      </c>
      <c r="E521" s="8" t="s">
        <v>135</v>
      </c>
      <c r="F521" s="8">
        <v>1</v>
      </c>
      <c r="G521" s="8">
        <v>1</v>
      </c>
      <c r="H521" s="8">
        <v>1</v>
      </c>
      <c r="I521" s="8" t="s">
        <v>136</v>
      </c>
      <c r="J521" s="8" t="s">
        <v>136</v>
      </c>
      <c r="K521" s="8">
        <v>1</v>
      </c>
      <c r="L521" s="8">
        <v>1</v>
      </c>
      <c r="M521" s="8">
        <v>1</v>
      </c>
      <c r="N521" s="8">
        <v>1</v>
      </c>
      <c r="O521" s="8">
        <v>1</v>
      </c>
      <c r="P521" s="8" t="s">
        <v>136</v>
      </c>
      <c r="Q521" s="8" t="s">
        <v>136</v>
      </c>
      <c r="R521" s="8">
        <v>1</v>
      </c>
      <c r="S521" s="8">
        <v>1</v>
      </c>
      <c r="T521" s="8">
        <v>1</v>
      </c>
      <c r="U521" s="8">
        <v>1</v>
      </c>
      <c r="V521" s="8">
        <v>1</v>
      </c>
      <c r="W521" s="8" t="s">
        <v>136</v>
      </c>
      <c r="X521" s="8" t="s">
        <v>136</v>
      </c>
      <c r="Y521" s="8">
        <v>1</v>
      </c>
      <c r="Z521" s="8">
        <v>1</v>
      </c>
      <c r="AA521" s="8">
        <v>1</v>
      </c>
      <c r="AB521" s="8">
        <v>1</v>
      </c>
      <c r="AC521" s="8">
        <v>1</v>
      </c>
      <c r="AD521" s="8" t="s">
        <v>136</v>
      </c>
      <c r="AE521" s="8" t="s">
        <v>136</v>
      </c>
      <c r="AF521" s="8">
        <v>1</v>
      </c>
      <c r="AG521" s="8">
        <v>1</v>
      </c>
      <c r="AH521" s="8">
        <v>1</v>
      </c>
      <c r="AI521" s="8">
        <v>1</v>
      </c>
      <c r="AJ521" s="8">
        <v>1</v>
      </c>
      <c r="AK521" s="10">
        <v>23</v>
      </c>
      <c r="AL521" s="11">
        <v>23</v>
      </c>
      <c r="AM521" s="13">
        <v>23</v>
      </c>
      <c r="AN521" s="13">
        <v>0</v>
      </c>
      <c r="AO521" s="7" t="e">
        <v>#N/A</v>
      </c>
    </row>
    <row r="522" spans="1:41">
      <c r="A522" s="8" t="s">
        <v>1150</v>
      </c>
      <c r="B522" s="8" t="s">
        <v>1174</v>
      </c>
      <c r="C522" s="8" t="s">
        <v>1182</v>
      </c>
      <c r="D522" s="8" t="s">
        <v>1183</v>
      </c>
      <c r="E522" s="8" t="s">
        <v>135</v>
      </c>
      <c r="F522" s="8">
        <v>1</v>
      </c>
      <c r="G522" s="8">
        <v>1</v>
      </c>
      <c r="H522" s="8">
        <v>1</v>
      </c>
      <c r="I522" s="8" t="s">
        <v>136</v>
      </c>
      <c r="J522" s="8" t="s">
        <v>136</v>
      </c>
      <c r="K522" s="8">
        <v>1</v>
      </c>
      <c r="L522" s="8">
        <v>1</v>
      </c>
      <c r="M522" s="8">
        <v>1</v>
      </c>
      <c r="N522" s="8">
        <v>1</v>
      </c>
      <c r="O522" s="8">
        <v>1</v>
      </c>
      <c r="P522" s="8" t="s">
        <v>136</v>
      </c>
      <c r="Q522" s="8" t="s">
        <v>136</v>
      </c>
      <c r="R522" s="8">
        <v>1</v>
      </c>
      <c r="S522" s="8">
        <v>1</v>
      </c>
      <c r="T522" s="8">
        <v>1</v>
      </c>
      <c r="U522" s="8">
        <v>1</v>
      </c>
      <c r="V522" s="8">
        <v>1</v>
      </c>
      <c r="W522" s="8" t="s">
        <v>136</v>
      </c>
      <c r="X522" s="8" t="s">
        <v>136</v>
      </c>
      <c r="Y522" s="8">
        <v>1</v>
      </c>
      <c r="Z522" s="8">
        <v>1</v>
      </c>
      <c r="AA522" s="8">
        <v>1</v>
      </c>
      <c r="AB522" s="8">
        <v>1</v>
      </c>
      <c r="AC522" s="8">
        <v>1</v>
      </c>
      <c r="AD522" s="8" t="s">
        <v>136</v>
      </c>
      <c r="AE522" s="8" t="s">
        <v>136</v>
      </c>
      <c r="AF522" s="8">
        <v>1</v>
      </c>
      <c r="AG522" s="8">
        <v>1</v>
      </c>
      <c r="AH522" s="8">
        <v>1</v>
      </c>
      <c r="AI522" s="8">
        <v>1</v>
      </c>
      <c r="AJ522" s="8">
        <v>1</v>
      </c>
      <c r="AK522" s="10">
        <v>23</v>
      </c>
      <c r="AL522" s="11">
        <v>23</v>
      </c>
      <c r="AM522" s="13">
        <v>23</v>
      </c>
      <c r="AN522" s="13">
        <v>0</v>
      </c>
      <c r="AO522" s="7" t="e">
        <v>#N/A</v>
      </c>
    </row>
    <row r="523" spans="1:41">
      <c r="A523" s="8" t="s">
        <v>1150</v>
      </c>
      <c r="B523" s="8" t="s">
        <v>1174</v>
      </c>
      <c r="C523" s="8" t="s">
        <v>1184</v>
      </c>
      <c r="D523" s="8" t="s">
        <v>1185</v>
      </c>
      <c r="E523" s="8" t="s">
        <v>135</v>
      </c>
      <c r="F523" s="8">
        <v>1</v>
      </c>
      <c r="G523" s="8">
        <v>1</v>
      </c>
      <c r="H523" s="8">
        <v>1</v>
      </c>
      <c r="I523" s="8" t="s">
        <v>136</v>
      </c>
      <c r="J523" s="8" t="s">
        <v>136</v>
      </c>
      <c r="K523" s="8">
        <v>1</v>
      </c>
      <c r="L523" s="8">
        <v>1</v>
      </c>
      <c r="M523" s="8">
        <v>1</v>
      </c>
      <c r="N523" s="8">
        <v>1</v>
      </c>
      <c r="O523" s="8">
        <v>1</v>
      </c>
      <c r="P523" s="8" t="s">
        <v>136</v>
      </c>
      <c r="Q523" s="8" t="s">
        <v>136</v>
      </c>
      <c r="R523" s="8">
        <v>1</v>
      </c>
      <c r="S523" s="8">
        <v>1</v>
      </c>
      <c r="T523" s="8">
        <v>1</v>
      </c>
      <c r="U523" s="8">
        <v>1</v>
      </c>
      <c r="V523" s="8">
        <v>1</v>
      </c>
      <c r="W523" s="8" t="s">
        <v>136</v>
      </c>
      <c r="X523" s="8" t="s">
        <v>136</v>
      </c>
      <c r="Y523" s="8">
        <v>1</v>
      </c>
      <c r="Z523" s="8">
        <v>1</v>
      </c>
      <c r="AA523" s="8">
        <v>1</v>
      </c>
      <c r="AB523" s="8">
        <v>1</v>
      </c>
      <c r="AC523" s="8">
        <v>1</v>
      </c>
      <c r="AD523" s="8" t="s">
        <v>136</v>
      </c>
      <c r="AE523" s="8" t="s">
        <v>136</v>
      </c>
      <c r="AF523" s="8">
        <v>1</v>
      </c>
      <c r="AG523" s="8">
        <v>1</v>
      </c>
      <c r="AH523" s="8">
        <v>1</v>
      </c>
      <c r="AI523" s="8">
        <v>1</v>
      </c>
      <c r="AJ523" s="8">
        <v>1</v>
      </c>
      <c r="AK523" s="10">
        <v>23</v>
      </c>
      <c r="AL523" s="11">
        <v>23</v>
      </c>
      <c r="AM523" s="13">
        <v>23</v>
      </c>
      <c r="AN523" s="13">
        <v>0</v>
      </c>
      <c r="AO523" s="7" t="e">
        <v>#N/A</v>
      </c>
    </row>
    <row r="524" spans="1:41">
      <c r="A524" s="8" t="s">
        <v>1150</v>
      </c>
      <c r="B524" s="8" t="s">
        <v>1186</v>
      </c>
      <c r="C524" s="8" t="s">
        <v>1187</v>
      </c>
      <c r="D524" s="8" t="s">
        <v>1188</v>
      </c>
      <c r="E524" s="8" t="s">
        <v>135</v>
      </c>
      <c r="F524" s="8">
        <v>1</v>
      </c>
      <c r="G524" s="8">
        <v>1</v>
      </c>
      <c r="H524" s="8">
        <v>1</v>
      </c>
      <c r="I524" s="8" t="s">
        <v>136</v>
      </c>
      <c r="J524" s="8" t="s">
        <v>136</v>
      </c>
      <c r="K524" s="8">
        <v>1</v>
      </c>
      <c r="L524" s="8">
        <v>1</v>
      </c>
      <c r="M524" s="8">
        <v>1</v>
      </c>
      <c r="N524" s="8">
        <v>1</v>
      </c>
      <c r="O524" s="8">
        <v>1</v>
      </c>
      <c r="P524" s="8" t="s">
        <v>136</v>
      </c>
      <c r="Q524" s="8" t="s">
        <v>136</v>
      </c>
      <c r="R524" s="8">
        <v>1</v>
      </c>
      <c r="S524" s="8">
        <v>1</v>
      </c>
      <c r="T524" s="8">
        <v>1</v>
      </c>
      <c r="U524" s="8">
        <v>1</v>
      </c>
      <c r="V524" s="8">
        <v>1</v>
      </c>
      <c r="W524" s="8" t="s">
        <v>136</v>
      </c>
      <c r="X524" s="8" t="s">
        <v>136</v>
      </c>
      <c r="Y524" s="8">
        <v>1</v>
      </c>
      <c r="Z524" s="8">
        <v>1</v>
      </c>
      <c r="AA524" s="8">
        <v>1</v>
      </c>
      <c r="AB524" s="8">
        <v>1</v>
      </c>
      <c r="AC524" s="8">
        <v>1</v>
      </c>
      <c r="AD524" s="8" t="s">
        <v>136</v>
      </c>
      <c r="AE524" s="8" t="s">
        <v>136</v>
      </c>
      <c r="AF524" s="8">
        <v>1</v>
      </c>
      <c r="AG524" s="8">
        <v>1</v>
      </c>
      <c r="AH524" s="8">
        <v>1</v>
      </c>
      <c r="AI524" s="8">
        <v>1</v>
      </c>
      <c r="AJ524" s="8">
        <v>1</v>
      </c>
      <c r="AK524" s="10">
        <v>23</v>
      </c>
      <c r="AL524" s="11">
        <v>23</v>
      </c>
      <c r="AM524" s="13">
        <v>23</v>
      </c>
      <c r="AN524" s="13">
        <v>0</v>
      </c>
      <c r="AO524" s="7" t="e">
        <v>#N/A</v>
      </c>
    </row>
    <row r="525" spans="1:41">
      <c r="A525" s="8" t="s">
        <v>1150</v>
      </c>
      <c r="B525" s="8" t="s">
        <v>1186</v>
      </c>
      <c r="C525" s="8" t="s">
        <v>1189</v>
      </c>
      <c r="D525" s="8" t="s">
        <v>1190</v>
      </c>
      <c r="E525" s="8" t="s">
        <v>135</v>
      </c>
      <c r="F525" s="8">
        <v>1</v>
      </c>
      <c r="G525" s="8">
        <v>1</v>
      </c>
      <c r="H525" s="8">
        <v>1</v>
      </c>
      <c r="I525" s="8" t="s">
        <v>136</v>
      </c>
      <c r="J525" s="8" t="s">
        <v>136</v>
      </c>
      <c r="K525" s="8">
        <v>1</v>
      </c>
      <c r="L525" s="8">
        <v>1</v>
      </c>
      <c r="M525" s="8">
        <v>1</v>
      </c>
      <c r="N525" s="8">
        <v>1</v>
      </c>
      <c r="O525" s="8">
        <v>1</v>
      </c>
      <c r="P525" s="8" t="s">
        <v>136</v>
      </c>
      <c r="Q525" s="8" t="s">
        <v>136</v>
      </c>
      <c r="R525" s="8">
        <v>1</v>
      </c>
      <c r="S525" s="8">
        <v>1</v>
      </c>
      <c r="T525" s="8">
        <v>1</v>
      </c>
      <c r="U525" s="8">
        <v>1</v>
      </c>
      <c r="V525" s="8">
        <v>1</v>
      </c>
      <c r="W525" s="8" t="s">
        <v>136</v>
      </c>
      <c r="X525" s="8" t="s">
        <v>136</v>
      </c>
      <c r="Y525" s="8">
        <v>1</v>
      </c>
      <c r="Z525" s="8">
        <v>1</v>
      </c>
      <c r="AA525" s="8">
        <v>1</v>
      </c>
      <c r="AB525" s="8">
        <v>1</v>
      </c>
      <c r="AC525" s="8">
        <v>1</v>
      </c>
      <c r="AD525" s="8" t="s">
        <v>136</v>
      </c>
      <c r="AE525" s="8" t="s">
        <v>136</v>
      </c>
      <c r="AF525" s="8">
        <v>1</v>
      </c>
      <c r="AG525" s="8">
        <v>1</v>
      </c>
      <c r="AH525" s="8">
        <v>1</v>
      </c>
      <c r="AI525" s="8">
        <v>1</v>
      </c>
      <c r="AJ525" s="8">
        <v>1</v>
      </c>
      <c r="AK525" s="10">
        <v>23</v>
      </c>
      <c r="AL525" s="11">
        <v>23</v>
      </c>
      <c r="AM525" s="13">
        <v>23</v>
      </c>
      <c r="AN525" s="13">
        <v>0</v>
      </c>
      <c r="AO525" s="7" t="e">
        <v>#N/A</v>
      </c>
    </row>
    <row r="526" spans="1:41">
      <c r="A526" s="8" t="s">
        <v>1150</v>
      </c>
      <c r="B526" s="8" t="s">
        <v>1186</v>
      </c>
      <c r="C526" s="8" t="s">
        <v>1191</v>
      </c>
      <c r="D526" s="8" t="s">
        <v>1192</v>
      </c>
      <c r="E526" s="8" t="s">
        <v>135</v>
      </c>
      <c r="F526" s="8">
        <v>1</v>
      </c>
      <c r="G526" s="8">
        <v>1</v>
      </c>
      <c r="H526" s="8">
        <v>1</v>
      </c>
      <c r="I526" s="8" t="s">
        <v>136</v>
      </c>
      <c r="J526" s="8" t="s">
        <v>136</v>
      </c>
      <c r="K526" s="8">
        <v>1</v>
      </c>
      <c r="L526" s="8">
        <v>1</v>
      </c>
      <c r="M526" s="8">
        <v>1</v>
      </c>
      <c r="N526" s="8">
        <v>1</v>
      </c>
      <c r="O526" s="8">
        <v>1</v>
      </c>
      <c r="P526" s="8" t="s">
        <v>136</v>
      </c>
      <c r="Q526" s="8" t="s">
        <v>136</v>
      </c>
      <c r="R526" s="8">
        <v>1</v>
      </c>
      <c r="S526" s="8">
        <v>1</v>
      </c>
      <c r="T526" s="8">
        <v>1</v>
      </c>
      <c r="U526" s="8">
        <v>1</v>
      </c>
      <c r="V526" s="8">
        <v>1</v>
      </c>
      <c r="W526" s="8" t="s">
        <v>136</v>
      </c>
      <c r="X526" s="8" t="s">
        <v>136</v>
      </c>
      <c r="Y526" s="8">
        <v>1</v>
      </c>
      <c r="Z526" s="8">
        <v>1</v>
      </c>
      <c r="AA526" s="8">
        <v>1</v>
      </c>
      <c r="AB526" s="8">
        <v>1</v>
      </c>
      <c r="AC526" s="8">
        <v>1</v>
      </c>
      <c r="AD526" s="8" t="s">
        <v>136</v>
      </c>
      <c r="AE526" s="8" t="s">
        <v>136</v>
      </c>
      <c r="AF526" s="8">
        <v>1</v>
      </c>
      <c r="AG526" s="8">
        <v>1</v>
      </c>
      <c r="AH526" s="8">
        <v>1</v>
      </c>
      <c r="AI526" s="8">
        <v>1</v>
      </c>
      <c r="AJ526" s="8">
        <v>1</v>
      </c>
      <c r="AK526" s="10">
        <v>23</v>
      </c>
      <c r="AL526" s="11">
        <v>23</v>
      </c>
      <c r="AM526" s="13">
        <v>23</v>
      </c>
      <c r="AN526" s="13">
        <v>0</v>
      </c>
      <c r="AO526" s="7" t="e">
        <v>#N/A</v>
      </c>
    </row>
    <row r="527" spans="1:41">
      <c r="A527" s="8" t="s">
        <v>1150</v>
      </c>
      <c r="B527" s="8" t="s">
        <v>1186</v>
      </c>
      <c r="C527" s="8" t="s">
        <v>1193</v>
      </c>
      <c r="D527" s="8" t="s">
        <v>1194</v>
      </c>
      <c r="E527" s="8" t="s">
        <v>135</v>
      </c>
      <c r="F527" s="8">
        <v>1</v>
      </c>
      <c r="G527" s="8">
        <v>1</v>
      </c>
      <c r="H527" s="8">
        <v>1</v>
      </c>
      <c r="I527" s="8" t="s">
        <v>136</v>
      </c>
      <c r="J527" s="8" t="s">
        <v>136</v>
      </c>
      <c r="K527" s="8">
        <v>1</v>
      </c>
      <c r="L527" s="8">
        <v>1</v>
      </c>
      <c r="M527" s="8">
        <v>1</v>
      </c>
      <c r="N527" s="8">
        <v>1</v>
      </c>
      <c r="O527" s="8">
        <v>1</v>
      </c>
      <c r="P527" s="8" t="s">
        <v>136</v>
      </c>
      <c r="Q527" s="8" t="s">
        <v>136</v>
      </c>
      <c r="R527" s="8">
        <v>1</v>
      </c>
      <c r="S527" s="8">
        <v>1</v>
      </c>
      <c r="T527" s="8">
        <v>1</v>
      </c>
      <c r="U527" s="8">
        <v>1</v>
      </c>
      <c r="V527" s="8">
        <v>1</v>
      </c>
      <c r="W527" s="8" t="s">
        <v>136</v>
      </c>
      <c r="X527" s="8" t="s">
        <v>136</v>
      </c>
      <c r="Y527" s="8">
        <v>1</v>
      </c>
      <c r="Z527" s="8">
        <v>1</v>
      </c>
      <c r="AA527" s="8">
        <v>1</v>
      </c>
      <c r="AB527" s="8">
        <v>1</v>
      </c>
      <c r="AC527" s="8">
        <v>1</v>
      </c>
      <c r="AD527" s="8" t="s">
        <v>136</v>
      </c>
      <c r="AE527" s="8" t="s">
        <v>136</v>
      </c>
      <c r="AF527" s="8">
        <v>1</v>
      </c>
      <c r="AG527" s="8">
        <v>1</v>
      </c>
      <c r="AH527" s="8">
        <v>1</v>
      </c>
      <c r="AI527" s="8">
        <v>1</v>
      </c>
      <c r="AJ527" s="8">
        <v>1</v>
      </c>
      <c r="AK527" s="10">
        <v>23</v>
      </c>
      <c r="AL527" s="11">
        <v>23</v>
      </c>
      <c r="AM527" s="13">
        <v>23</v>
      </c>
      <c r="AN527" s="13">
        <v>0</v>
      </c>
      <c r="AO527" s="7" t="e">
        <v>#N/A</v>
      </c>
    </row>
    <row r="528" spans="1:41">
      <c r="A528" s="8" t="s">
        <v>1150</v>
      </c>
      <c r="B528" s="8" t="s">
        <v>1186</v>
      </c>
      <c r="C528" s="8" t="s">
        <v>1195</v>
      </c>
      <c r="D528" s="8" t="s">
        <v>1196</v>
      </c>
      <c r="E528" s="8" t="s">
        <v>135</v>
      </c>
      <c r="F528" s="8">
        <v>1</v>
      </c>
      <c r="G528" s="8">
        <v>1</v>
      </c>
      <c r="H528" s="8">
        <v>1</v>
      </c>
      <c r="I528" s="8" t="s">
        <v>136</v>
      </c>
      <c r="J528" s="8" t="s">
        <v>136</v>
      </c>
      <c r="K528" s="8">
        <v>1</v>
      </c>
      <c r="L528" s="8">
        <v>1</v>
      </c>
      <c r="M528" s="8">
        <v>1</v>
      </c>
      <c r="N528" s="8">
        <v>1</v>
      </c>
      <c r="O528" s="8">
        <v>1</v>
      </c>
      <c r="P528" s="8" t="s">
        <v>136</v>
      </c>
      <c r="Q528" s="8" t="s">
        <v>136</v>
      </c>
      <c r="R528" s="8">
        <v>1</v>
      </c>
      <c r="S528" s="8">
        <v>1</v>
      </c>
      <c r="T528" s="8">
        <v>1</v>
      </c>
      <c r="U528" s="8">
        <v>1</v>
      </c>
      <c r="V528" s="8">
        <v>1</v>
      </c>
      <c r="W528" s="8" t="s">
        <v>136</v>
      </c>
      <c r="X528" s="8" t="s">
        <v>136</v>
      </c>
      <c r="Y528" s="8">
        <v>1</v>
      </c>
      <c r="Z528" s="8">
        <v>1</v>
      </c>
      <c r="AA528" s="8">
        <v>1</v>
      </c>
      <c r="AB528" s="8">
        <v>1</v>
      </c>
      <c r="AC528" s="8">
        <v>1</v>
      </c>
      <c r="AD528" s="8" t="s">
        <v>136</v>
      </c>
      <c r="AE528" s="8" t="s">
        <v>136</v>
      </c>
      <c r="AF528" s="8">
        <v>1</v>
      </c>
      <c r="AG528" s="8">
        <v>1</v>
      </c>
      <c r="AH528" s="8">
        <v>1</v>
      </c>
      <c r="AI528" s="8">
        <v>1</v>
      </c>
      <c r="AJ528" s="8">
        <v>1</v>
      </c>
      <c r="AK528" s="10">
        <v>23</v>
      </c>
      <c r="AL528" s="11">
        <v>23</v>
      </c>
      <c r="AM528" s="13">
        <v>23</v>
      </c>
      <c r="AN528" s="13">
        <v>0</v>
      </c>
      <c r="AO528" s="7" t="e">
        <v>#N/A</v>
      </c>
    </row>
    <row r="529" spans="1:41">
      <c r="A529" s="8" t="s">
        <v>1150</v>
      </c>
      <c r="B529" s="8" t="s">
        <v>1186</v>
      </c>
      <c r="C529" s="8" t="s">
        <v>1197</v>
      </c>
      <c r="D529" s="8" t="s">
        <v>1198</v>
      </c>
      <c r="E529" s="8" t="s">
        <v>135</v>
      </c>
      <c r="F529" s="8">
        <v>1</v>
      </c>
      <c r="G529" s="8">
        <v>1</v>
      </c>
      <c r="H529" s="8">
        <v>1</v>
      </c>
      <c r="I529" s="8" t="s">
        <v>136</v>
      </c>
      <c r="J529" s="8" t="s">
        <v>136</v>
      </c>
      <c r="K529" s="8">
        <v>1</v>
      </c>
      <c r="L529" s="8">
        <v>1</v>
      </c>
      <c r="M529" s="8">
        <v>1</v>
      </c>
      <c r="N529" s="8">
        <v>1</v>
      </c>
      <c r="O529" s="8">
        <v>1</v>
      </c>
      <c r="P529" s="8" t="s">
        <v>136</v>
      </c>
      <c r="Q529" s="8" t="s">
        <v>136</v>
      </c>
      <c r="R529" s="8">
        <v>1</v>
      </c>
      <c r="S529" s="8">
        <v>1</v>
      </c>
      <c r="T529" s="8">
        <v>1</v>
      </c>
      <c r="U529" s="8">
        <v>1</v>
      </c>
      <c r="V529" s="8">
        <v>1</v>
      </c>
      <c r="W529" s="8" t="s">
        <v>136</v>
      </c>
      <c r="X529" s="8" t="s">
        <v>136</v>
      </c>
      <c r="Y529" s="8">
        <v>1</v>
      </c>
      <c r="Z529" s="8">
        <v>1</v>
      </c>
      <c r="AA529" s="8">
        <v>1</v>
      </c>
      <c r="AB529" s="8">
        <v>1</v>
      </c>
      <c r="AC529" s="8">
        <v>1</v>
      </c>
      <c r="AD529" s="8" t="s">
        <v>136</v>
      </c>
      <c r="AE529" s="8" t="s">
        <v>136</v>
      </c>
      <c r="AF529" s="8">
        <v>1</v>
      </c>
      <c r="AG529" s="8">
        <v>1</v>
      </c>
      <c r="AH529" s="8">
        <v>1</v>
      </c>
      <c r="AI529" s="8">
        <v>1</v>
      </c>
      <c r="AJ529" s="8">
        <v>1</v>
      </c>
      <c r="AK529" s="10">
        <v>23</v>
      </c>
      <c r="AL529" s="11">
        <v>23</v>
      </c>
      <c r="AM529" s="13">
        <v>23</v>
      </c>
      <c r="AN529" s="13">
        <v>0</v>
      </c>
      <c r="AO529" s="7" t="e">
        <v>#N/A</v>
      </c>
    </row>
    <row r="530" spans="1:41">
      <c r="A530" s="8" t="s">
        <v>1150</v>
      </c>
      <c r="B530" s="8" t="s">
        <v>1186</v>
      </c>
      <c r="C530" s="8" t="s">
        <v>1199</v>
      </c>
      <c r="D530" s="8" t="s">
        <v>1200</v>
      </c>
      <c r="E530" s="8" t="s">
        <v>135</v>
      </c>
      <c r="F530" s="8">
        <v>0</v>
      </c>
      <c r="G530" s="8">
        <v>0</v>
      </c>
      <c r="H530" s="8">
        <v>0</v>
      </c>
      <c r="I530" s="8" t="s">
        <v>136</v>
      </c>
      <c r="J530" s="8" t="s">
        <v>136</v>
      </c>
      <c r="K530" s="8">
        <v>0</v>
      </c>
      <c r="L530" s="8">
        <v>0</v>
      </c>
      <c r="M530" s="8">
        <v>0</v>
      </c>
      <c r="N530" s="8">
        <v>0</v>
      </c>
      <c r="O530" s="8">
        <v>0</v>
      </c>
      <c r="P530" s="8" t="s">
        <v>136</v>
      </c>
      <c r="Q530" s="8" t="s">
        <v>136</v>
      </c>
      <c r="R530" s="8">
        <v>0</v>
      </c>
      <c r="S530" s="8">
        <v>0</v>
      </c>
      <c r="T530" s="8">
        <v>0</v>
      </c>
      <c r="U530" s="8">
        <v>0</v>
      </c>
      <c r="V530" s="8">
        <v>0</v>
      </c>
      <c r="W530" s="8" t="s">
        <v>136</v>
      </c>
      <c r="X530" s="8" t="s">
        <v>136</v>
      </c>
      <c r="Y530" s="8">
        <v>0</v>
      </c>
      <c r="Z530" s="8">
        <v>0</v>
      </c>
      <c r="AA530" s="8">
        <v>0</v>
      </c>
      <c r="AB530" s="8">
        <v>0</v>
      </c>
      <c r="AC530" s="8">
        <v>0</v>
      </c>
      <c r="AD530" s="8" t="s">
        <v>136</v>
      </c>
      <c r="AE530" s="8" t="s">
        <v>136</v>
      </c>
      <c r="AF530" s="8">
        <v>0</v>
      </c>
      <c r="AG530" s="8">
        <v>0</v>
      </c>
      <c r="AH530" s="8">
        <v>0</v>
      </c>
      <c r="AI530" s="8">
        <v>0</v>
      </c>
      <c r="AJ530" s="8">
        <v>0</v>
      </c>
      <c r="AK530" s="10">
        <v>23</v>
      </c>
      <c r="AL530" s="12">
        <v>0</v>
      </c>
      <c r="AM530" s="13">
        <v>0</v>
      </c>
      <c r="AN530" s="13">
        <v>0</v>
      </c>
      <c r="AO530" s="7" t="e">
        <v>#N/A</v>
      </c>
    </row>
    <row r="531" spans="1:41">
      <c r="A531" s="8" t="s">
        <v>1150</v>
      </c>
      <c r="B531" s="8" t="s">
        <v>1201</v>
      </c>
      <c r="C531" s="8" t="s">
        <v>1202</v>
      </c>
      <c r="D531" s="8" t="s">
        <v>1203</v>
      </c>
      <c r="E531" s="8" t="s">
        <v>135</v>
      </c>
      <c r="F531" s="8">
        <v>1</v>
      </c>
      <c r="G531" s="8">
        <v>1</v>
      </c>
      <c r="H531" s="8">
        <v>1</v>
      </c>
      <c r="I531" s="8" t="s">
        <v>136</v>
      </c>
      <c r="J531" s="8" t="s">
        <v>136</v>
      </c>
      <c r="K531" s="8">
        <v>1</v>
      </c>
      <c r="L531" s="8">
        <v>1</v>
      </c>
      <c r="M531" s="8">
        <v>1</v>
      </c>
      <c r="N531" s="8">
        <v>1</v>
      </c>
      <c r="O531" s="8">
        <v>1</v>
      </c>
      <c r="P531" s="8" t="s">
        <v>136</v>
      </c>
      <c r="Q531" s="8" t="s">
        <v>136</v>
      </c>
      <c r="R531" s="8">
        <v>1</v>
      </c>
      <c r="S531" s="8">
        <v>1</v>
      </c>
      <c r="T531" s="8">
        <v>1</v>
      </c>
      <c r="U531" s="8">
        <v>1</v>
      </c>
      <c r="V531" s="8">
        <v>1</v>
      </c>
      <c r="W531" s="8" t="s">
        <v>136</v>
      </c>
      <c r="X531" s="8" t="s">
        <v>136</v>
      </c>
      <c r="Y531" s="8">
        <v>1</v>
      </c>
      <c r="Z531" s="8">
        <v>1</v>
      </c>
      <c r="AA531" s="8">
        <v>1</v>
      </c>
      <c r="AB531" s="8">
        <v>1</v>
      </c>
      <c r="AC531" s="8">
        <v>1</v>
      </c>
      <c r="AD531" s="8" t="s">
        <v>136</v>
      </c>
      <c r="AE531" s="8" t="s">
        <v>136</v>
      </c>
      <c r="AF531" s="8">
        <v>1</v>
      </c>
      <c r="AG531" s="8">
        <v>1</v>
      </c>
      <c r="AH531" s="8">
        <v>1</v>
      </c>
      <c r="AI531" s="8">
        <v>1</v>
      </c>
      <c r="AJ531" s="8">
        <v>1</v>
      </c>
      <c r="AK531" s="10">
        <v>23</v>
      </c>
      <c r="AL531" s="11">
        <v>23</v>
      </c>
      <c r="AM531" s="13">
        <v>23</v>
      </c>
      <c r="AN531" s="13">
        <v>0</v>
      </c>
      <c r="AO531" s="7" t="e">
        <v>#N/A</v>
      </c>
    </row>
    <row r="532" spans="1:41">
      <c r="A532" s="8" t="s">
        <v>1150</v>
      </c>
      <c r="B532" s="8" t="s">
        <v>1201</v>
      </c>
      <c r="C532" s="8" t="s">
        <v>1204</v>
      </c>
      <c r="D532" s="8" t="s">
        <v>882</v>
      </c>
      <c r="E532" s="8" t="s">
        <v>135</v>
      </c>
      <c r="F532" s="8">
        <v>1</v>
      </c>
      <c r="G532" s="8">
        <v>1</v>
      </c>
      <c r="H532" s="8">
        <v>1</v>
      </c>
      <c r="I532" s="8" t="s">
        <v>136</v>
      </c>
      <c r="J532" s="8" t="s">
        <v>136</v>
      </c>
      <c r="K532" s="8">
        <v>1</v>
      </c>
      <c r="L532" s="8">
        <v>1</v>
      </c>
      <c r="M532" s="8">
        <v>1</v>
      </c>
      <c r="N532" s="8">
        <v>1</v>
      </c>
      <c r="O532" s="8">
        <v>1</v>
      </c>
      <c r="P532" s="8" t="s">
        <v>136</v>
      </c>
      <c r="Q532" s="8" t="s">
        <v>136</v>
      </c>
      <c r="R532" s="8">
        <v>1</v>
      </c>
      <c r="S532" s="8">
        <v>1</v>
      </c>
      <c r="T532" s="8">
        <v>1</v>
      </c>
      <c r="U532" s="8">
        <v>1</v>
      </c>
      <c r="V532" s="8">
        <v>1</v>
      </c>
      <c r="W532" s="8" t="s">
        <v>136</v>
      </c>
      <c r="X532" s="8" t="s">
        <v>136</v>
      </c>
      <c r="Y532" s="8">
        <v>1</v>
      </c>
      <c r="Z532" s="8">
        <v>1</v>
      </c>
      <c r="AA532" s="8">
        <v>1</v>
      </c>
      <c r="AB532" s="8">
        <v>1</v>
      </c>
      <c r="AC532" s="8">
        <v>1</v>
      </c>
      <c r="AD532" s="8" t="s">
        <v>136</v>
      </c>
      <c r="AE532" s="8" t="s">
        <v>136</v>
      </c>
      <c r="AF532" s="8">
        <v>1</v>
      </c>
      <c r="AG532" s="8">
        <v>1</v>
      </c>
      <c r="AH532" s="8">
        <v>1</v>
      </c>
      <c r="AI532" s="8">
        <v>1</v>
      </c>
      <c r="AJ532" s="8">
        <v>1</v>
      </c>
      <c r="AK532" s="10">
        <v>23</v>
      </c>
      <c r="AL532" s="11">
        <v>23</v>
      </c>
      <c r="AM532" s="13">
        <v>23</v>
      </c>
      <c r="AN532" s="13">
        <v>0</v>
      </c>
      <c r="AO532" s="7" t="e">
        <v>#N/A</v>
      </c>
    </row>
    <row r="533" spans="1:41">
      <c r="A533" s="8" t="s">
        <v>1150</v>
      </c>
      <c r="B533" s="8" t="s">
        <v>1201</v>
      </c>
      <c r="C533" s="8" t="s">
        <v>1205</v>
      </c>
      <c r="D533" s="8" t="s">
        <v>1206</v>
      </c>
      <c r="E533" s="8" t="s">
        <v>135</v>
      </c>
      <c r="F533" s="8">
        <v>1</v>
      </c>
      <c r="G533" s="8">
        <v>1</v>
      </c>
      <c r="H533" s="8">
        <v>1</v>
      </c>
      <c r="I533" s="8" t="s">
        <v>136</v>
      </c>
      <c r="J533" s="8" t="s">
        <v>136</v>
      </c>
      <c r="K533" s="8">
        <v>1</v>
      </c>
      <c r="L533" s="8">
        <v>1</v>
      </c>
      <c r="M533" s="8">
        <v>1</v>
      </c>
      <c r="N533" s="8">
        <v>1</v>
      </c>
      <c r="O533" s="8">
        <v>1</v>
      </c>
      <c r="P533" s="8" t="s">
        <v>136</v>
      </c>
      <c r="Q533" s="8" t="s">
        <v>136</v>
      </c>
      <c r="R533" s="8">
        <v>1</v>
      </c>
      <c r="S533" s="8">
        <v>1</v>
      </c>
      <c r="T533" s="8">
        <v>1</v>
      </c>
      <c r="U533" s="8">
        <v>1</v>
      </c>
      <c r="V533" s="8">
        <v>1</v>
      </c>
      <c r="W533" s="8" t="s">
        <v>136</v>
      </c>
      <c r="X533" s="8" t="s">
        <v>136</v>
      </c>
      <c r="Y533" s="8">
        <v>1</v>
      </c>
      <c r="Z533" s="8">
        <v>1</v>
      </c>
      <c r="AA533" s="8">
        <v>1</v>
      </c>
      <c r="AB533" s="8">
        <v>1</v>
      </c>
      <c r="AC533" s="8">
        <v>1</v>
      </c>
      <c r="AD533" s="8" t="s">
        <v>136</v>
      </c>
      <c r="AE533" s="8" t="s">
        <v>136</v>
      </c>
      <c r="AF533" s="8">
        <v>1</v>
      </c>
      <c r="AG533" s="8">
        <v>1</v>
      </c>
      <c r="AH533" s="8">
        <v>1</v>
      </c>
      <c r="AI533" s="8">
        <v>1</v>
      </c>
      <c r="AJ533" s="8">
        <v>1</v>
      </c>
      <c r="AK533" s="10">
        <v>23</v>
      </c>
      <c r="AL533" s="11">
        <v>23</v>
      </c>
      <c r="AM533" s="13">
        <v>23</v>
      </c>
      <c r="AN533" s="13">
        <v>0</v>
      </c>
      <c r="AO533" s="7" t="e">
        <v>#N/A</v>
      </c>
    </row>
    <row r="534" spans="1:41">
      <c r="A534" s="8" t="s">
        <v>1150</v>
      </c>
      <c r="B534" s="8" t="s">
        <v>1201</v>
      </c>
      <c r="C534" s="8" t="s">
        <v>1207</v>
      </c>
      <c r="D534" s="8" t="s">
        <v>1208</v>
      </c>
      <c r="E534" s="8" t="s">
        <v>135</v>
      </c>
      <c r="F534" s="8">
        <v>1</v>
      </c>
      <c r="G534" s="8">
        <v>1</v>
      </c>
      <c r="H534" s="8">
        <v>1</v>
      </c>
      <c r="I534" s="8" t="s">
        <v>136</v>
      </c>
      <c r="J534" s="8" t="s">
        <v>136</v>
      </c>
      <c r="K534" s="8">
        <v>1</v>
      </c>
      <c r="L534" s="8">
        <v>1</v>
      </c>
      <c r="M534" s="8">
        <v>1</v>
      </c>
      <c r="N534" s="8">
        <v>1</v>
      </c>
      <c r="O534" s="8">
        <v>1</v>
      </c>
      <c r="P534" s="8" t="s">
        <v>136</v>
      </c>
      <c r="Q534" s="8" t="s">
        <v>136</v>
      </c>
      <c r="R534" s="8">
        <v>1</v>
      </c>
      <c r="S534" s="8">
        <v>1</v>
      </c>
      <c r="T534" s="8">
        <v>1</v>
      </c>
      <c r="U534" s="8">
        <v>1</v>
      </c>
      <c r="V534" s="8">
        <v>1</v>
      </c>
      <c r="W534" s="8" t="s">
        <v>136</v>
      </c>
      <c r="X534" s="8" t="s">
        <v>136</v>
      </c>
      <c r="Y534" s="8">
        <v>1</v>
      </c>
      <c r="Z534" s="8">
        <v>1</v>
      </c>
      <c r="AA534" s="8">
        <v>1</v>
      </c>
      <c r="AB534" s="8">
        <v>1</v>
      </c>
      <c r="AC534" s="8">
        <v>1</v>
      </c>
      <c r="AD534" s="8" t="s">
        <v>136</v>
      </c>
      <c r="AE534" s="8" t="s">
        <v>136</v>
      </c>
      <c r="AF534" s="8">
        <v>1</v>
      </c>
      <c r="AG534" s="8">
        <v>1</v>
      </c>
      <c r="AH534" s="8">
        <v>1</v>
      </c>
      <c r="AI534" s="8">
        <v>1</v>
      </c>
      <c r="AJ534" s="8">
        <v>1</v>
      </c>
      <c r="AK534" s="10">
        <v>23</v>
      </c>
      <c r="AL534" s="11">
        <v>23</v>
      </c>
      <c r="AM534" s="13">
        <v>23</v>
      </c>
      <c r="AN534" s="13">
        <v>0</v>
      </c>
      <c r="AO534" s="7" t="e">
        <v>#N/A</v>
      </c>
    </row>
    <row r="535" spans="1:41">
      <c r="A535" s="8" t="s">
        <v>1150</v>
      </c>
      <c r="B535" s="8" t="s">
        <v>1201</v>
      </c>
      <c r="C535" s="8" t="s">
        <v>1209</v>
      </c>
      <c r="D535" s="8" t="s">
        <v>1210</v>
      </c>
      <c r="E535" s="8" t="s">
        <v>135</v>
      </c>
      <c r="F535" s="8">
        <v>1</v>
      </c>
      <c r="G535" s="8">
        <v>1</v>
      </c>
      <c r="H535" s="8">
        <v>1</v>
      </c>
      <c r="I535" s="8" t="s">
        <v>136</v>
      </c>
      <c r="J535" s="8" t="s">
        <v>136</v>
      </c>
      <c r="K535" s="8">
        <v>1</v>
      </c>
      <c r="L535" s="8">
        <v>1</v>
      </c>
      <c r="M535" s="8">
        <v>1</v>
      </c>
      <c r="N535" s="8">
        <v>1</v>
      </c>
      <c r="O535" s="8">
        <v>1</v>
      </c>
      <c r="P535" s="8" t="s">
        <v>136</v>
      </c>
      <c r="Q535" s="8" t="s">
        <v>136</v>
      </c>
      <c r="R535" s="8">
        <v>1</v>
      </c>
      <c r="S535" s="8">
        <v>1</v>
      </c>
      <c r="T535" s="8">
        <v>1</v>
      </c>
      <c r="U535" s="8">
        <v>1</v>
      </c>
      <c r="V535" s="8">
        <v>1</v>
      </c>
      <c r="W535" s="8" t="s">
        <v>136</v>
      </c>
      <c r="X535" s="8" t="s">
        <v>136</v>
      </c>
      <c r="Y535" s="8">
        <v>1</v>
      </c>
      <c r="Z535" s="8">
        <v>1</v>
      </c>
      <c r="AA535" s="8">
        <v>1</v>
      </c>
      <c r="AB535" s="8">
        <v>1</v>
      </c>
      <c r="AC535" s="8">
        <v>1</v>
      </c>
      <c r="AD535" s="8" t="s">
        <v>136</v>
      </c>
      <c r="AE535" s="8" t="s">
        <v>136</v>
      </c>
      <c r="AF535" s="8">
        <v>1</v>
      </c>
      <c r="AG535" s="8">
        <v>1</v>
      </c>
      <c r="AH535" s="8">
        <v>1</v>
      </c>
      <c r="AI535" s="8">
        <v>1</v>
      </c>
      <c r="AJ535" s="8">
        <v>1</v>
      </c>
      <c r="AK535" s="10">
        <v>23</v>
      </c>
      <c r="AL535" s="11">
        <v>23</v>
      </c>
      <c r="AM535" s="13">
        <v>23</v>
      </c>
      <c r="AN535" s="13">
        <v>0</v>
      </c>
      <c r="AO535" s="7" t="e">
        <v>#N/A</v>
      </c>
    </row>
    <row r="536" spans="1:41">
      <c r="A536" s="8" t="s">
        <v>1150</v>
      </c>
      <c r="B536" s="8" t="s">
        <v>1201</v>
      </c>
      <c r="C536" s="8" t="s">
        <v>1211</v>
      </c>
      <c r="D536" s="8" t="s">
        <v>1212</v>
      </c>
      <c r="E536" s="8" t="s">
        <v>135</v>
      </c>
      <c r="F536" s="8">
        <v>1</v>
      </c>
      <c r="G536" s="8">
        <v>1</v>
      </c>
      <c r="H536" s="8">
        <v>1</v>
      </c>
      <c r="I536" s="8" t="s">
        <v>136</v>
      </c>
      <c r="J536" s="8" t="s">
        <v>136</v>
      </c>
      <c r="K536" s="8">
        <v>1</v>
      </c>
      <c r="L536" s="8">
        <v>1</v>
      </c>
      <c r="M536" s="8">
        <v>1</v>
      </c>
      <c r="N536" s="8">
        <v>1</v>
      </c>
      <c r="O536" s="8">
        <v>1</v>
      </c>
      <c r="P536" s="8" t="s">
        <v>136</v>
      </c>
      <c r="Q536" s="8" t="s">
        <v>136</v>
      </c>
      <c r="R536" s="8">
        <v>1</v>
      </c>
      <c r="S536" s="8">
        <v>1</v>
      </c>
      <c r="T536" s="8">
        <v>1</v>
      </c>
      <c r="U536" s="8">
        <v>1</v>
      </c>
      <c r="V536" s="8">
        <v>1</v>
      </c>
      <c r="W536" s="8" t="s">
        <v>136</v>
      </c>
      <c r="X536" s="8" t="s">
        <v>136</v>
      </c>
      <c r="Y536" s="8">
        <v>1</v>
      </c>
      <c r="Z536" s="8">
        <v>1</v>
      </c>
      <c r="AA536" s="8">
        <v>1</v>
      </c>
      <c r="AB536" s="8">
        <v>1</v>
      </c>
      <c r="AC536" s="8">
        <v>1</v>
      </c>
      <c r="AD536" s="8" t="s">
        <v>136</v>
      </c>
      <c r="AE536" s="8" t="s">
        <v>136</v>
      </c>
      <c r="AF536" s="8">
        <v>1</v>
      </c>
      <c r="AG536" s="8">
        <v>1</v>
      </c>
      <c r="AH536" s="8">
        <v>1</v>
      </c>
      <c r="AI536" s="8">
        <v>1</v>
      </c>
      <c r="AJ536" s="8">
        <v>1</v>
      </c>
      <c r="AK536" s="10">
        <v>23</v>
      </c>
      <c r="AL536" s="11">
        <v>23</v>
      </c>
      <c r="AM536" s="13">
        <v>23</v>
      </c>
      <c r="AN536" s="13">
        <v>0</v>
      </c>
      <c r="AO536" s="7" t="e">
        <v>#N/A</v>
      </c>
    </row>
    <row r="537" spans="1:41">
      <c r="A537" s="8" t="s">
        <v>1150</v>
      </c>
      <c r="B537" s="8" t="s">
        <v>1201</v>
      </c>
      <c r="C537" s="8" t="s">
        <v>1213</v>
      </c>
      <c r="D537" s="8" t="s">
        <v>1214</v>
      </c>
      <c r="E537" s="8" t="s">
        <v>135</v>
      </c>
      <c r="F537" s="8">
        <v>1</v>
      </c>
      <c r="G537" s="8">
        <v>1</v>
      </c>
      <c r="H537" s="8">
        <v>1</v>
      </c>
      <c r="I537" s="8" t="s">
        <v>136</v>
      </c>
      <c r="J537" s="8" t="s">
        <v>136</v>
      </c>
      <c r="K537" s="8">
        <v>1</v>
      </c>
      <c r="L537" s="8">
        <v>1</v>
      </c>
      <c r="M537" s="8">
        <v>1</v>
      </c>
      <c r="N537" s="8">
        <v>1</v>
      </c>
      <c r="O537" s="8">
        <v>1</v>
      </c>
      <c r="P537" s="8" t="s">
        <v>136</v>
      </c>
      <c r="Q537" s="8" t="s">
        <v>136</v>
      </c>
      <c r="R537" s="8">
        <v>1</v>
      </c>
      <c r="S537" s="8">
        <v>1</v>
      </c>
      <c r="T537" s="8">
        <v>1</v>
      </c>
      <c r="U537" s="8">
        <v>1</v>
      </c>
      <c r="V537" s="8">
        <v>1</v>
      </c>
      <c r="W537" s="8" t="s">
        <v>136</v>
      </c>
      <c r="X537" s="8" t="s">
        <v>136</v>
      </c>
      <c r="Y537" s="8">
        <v>1</v>
      </c>
      <c r="Z537" s="8">
        <v>1</v>
      </c>
      <c r="AA537" s="8">
        <v>1</v>
      </c>
      <c r="AB537" s="8">
        <v>1</v>
      </c>
      <c r="AC537" s="8">
        <v>1</v>
      </c>
      <c r="AD537" s="8" t="s">
        <v>136</v>
      </c>
      <c r="AE537" s="8" t="s">
        <v>136</v>
      </c>
      <c r="AF537" s="8">
        <v>1</v>
      </c>
      <c r="AG537" s="8">
        <v>1</v>
      </c>
      <c r="AH537" s="8">
        <v>1</v>
      </c>
      <c r="AI537" s="8">
        <v>1</v>
      </c>
      <c r="AJ537" s="8">
        <v>1</v>
      </c>
      <c r="AK537" s="10">
        <v>23</v>
      </c>
      <c r="AL537" s="11">
        <v>23</v>
      </c>
      <c r="AM537" s="13">
        <v>23</v>
      </c>
      <c r="AN537" s="13">
        <v>0</v>
      </c>
      <c r="AO537" s="7" t="e">
        <v>#N/A</v>
      </c>
    </row>
    <row r="538" spans="1:41">
      <c r="A538" s="8" t="s">
        <v>1150</v>
      </c>
      <c r="B538" s="8" t="s">
        <v>1201</v>
      </c>
      <c r="C538" s="8" t="s">
        <v>1215</v>
      </c>
      <c r="D538" s="8" t="s">
        <v>1216</v>
      </c>
      <c r="E538" s="8" t="s">
        <v>135</v>
      </c>
      <c r="F538" s="8">
        <v>1</v>
      </c>
      <c r="G538" s="8">
        <v>1</v>
      </c>
      <c r="H538" s="8">
        <v>1</v>
      </c>
      <c r="I538" s="8" t="s">
        <v>136</v>
      </c>
      <c r="J538" s="8" t="s">
        <v>136</v>
      </c>
      <c r="K538" s="8">
        <v>1</v>
      </c>
      <c r="L538" s="8">
        <v>1</v>
      </c>
      <c r="M538" s="8">
        <v>1</v>
      </c>
      <c r="N538" s="8">
        <v>1</v>
      </c>
      <c r="O538" s="8">
        <v>1</v>
      </c>
      <c r="P538" s="8" t="s">
        <v>136</v>
      </c>
      <c r="Q538" s="8" t="s">
        <v>136</v>
      </c>
      <c r="R538" s="8">
        <v>1</v>
      </c>
      <c r="S538" s="8">
        <v>1</v>
      </c>
      <c r="T538" s="8">
        <v>1</v>
      </c>
      <c r="U538" s="8">
        <v>1</v>
      </c>
      <c r="V538" s="8">
        <v>1</v>
      </c>
      <c r="W538" s="8" t="s">
        <v>136</v>
      </c>
      <c r="X538" s="8" t="s">
        <v>136</v>
      </c>
      <c r="Y538" s="8">
        <v>1</v>
      </c>
      <c r="Z538" s="8">
        <v>1</v>
      </c>
      <c r="AA538" s="8">
        <v>1</v>
      </c>
      <c r="AB538" s="8">
        <v>1</v>
      </c>
      <c r="AC538" s="8">
        <v>1</v>
      </c>
      <c r="AD538" s="8" t="s">
        <v>136</v>
      </c>
      <c r="AE538" s="8" t="s">
        <v>136</v>
      </c>
      <c r="AF538" s="8">
        <v>1</v>
      </c>
      <c r="AG538" s="8">
        <v>1</v>
      </c>
      <c r="AH538" s="8">
        <v>1</v>
      </c>
      <c r="AI538" s="8">
        <v>1</v>
      </c>
      <c r="AJ538" s="8">
        <v>1</v>
      </c>
      <c r="AK538" s="10">
        <v>23</v>
      </c>
      <c r="AL538" s="11">
        <v>23</v>
      </c>
      <c r="AM538" s="13">
        <v>23</v>
      </c>
      <c r="AN538" s="13">
        <v>0</v>
      </c>
      <c r="AO538" s="7" t="e">
        <v>#N/A</v>
      </c>
    </row>
    <row r="539" spans="1:41">
      <c r="A539" s="8" t="s">
        <v>1150</v>
      </c>
      <c r="B539" s="8" t="s">
        <v>1201</v>
      </c>
      <c r="C539" s="8" t="s">
        <v>1217</v>
      </c>
      <c r="D539" s="8" t="s">
        <v>1218</v>
      </c>
      <c r="E539" s="8" t="s">
        <v>135</v>
      </c>
      <c r="F539" s="8">
        <v>1</v>
      </c>
      <c r="G539" s="8">
        <v>1</v>
      </c>
      <c r="H539" s="8">
        <v>1</v>
      </c>
      <c r="I539" s="8" t="s">
        <v>136</v>
      </c>
      <c r="J539" s="8" t="s">
        <v>136</v>
      </c>
      <c r="K539" s="8">
        <v>1</v>
      </c>
      <c r="L539" s="8">
        <v>1</v>
      </c>
      <c r="M539" s="8">
        <v>1</v>
      </c>
      <c r="N539" s="8">
        <v>1</v>
      </c>
      <c r="O539" s="8">
        <v>1</v>
      </c>
      <c r="P539" s="8" t="s">
        <v>136</v>
      </c>
      <c r="Q539" s="8" t="s">
        <v>136</v>
      </c>
      <c r="R539" s="8">
        <v>1</v>
      </c>
      <c r="S539" s="8">
        <v>1</v>
      </c>
      <c r="T539" s="8">
        <v>1</v>
      </c>
      <c r="U539" s="8">
        <v>1</v>
      </c>
      <c r="V539" s="8">
        <v>1</v>
      </c>
      <c r="W539" s="8" t="s">
        <v>136</v>
      </c>
      <c r="X539" s="8" t="s">
        <v>136</v>
      </c>
      <c r="Y539" s="8">
        <v>1</v>
      </c>
      <c r="Z539" s="8">
        <v>1</v>
      </c>
      <c r="AA539" s="8">
        <v>1</v>
      </c>
      <c r="AB539" s="8">
        <v>1</v>
      </c>
      <c r="AC539" s="8">
        <v>1</v>
      </c>
      <c r="AD539" s="8" t="s">
        <v>136</v>
      </c>
      <c r="AE539" s="8" t="s">
        <v>136</v>
      </c>
      <c r="AF539" s="8">
        <v>1</v>
      </c>
      <c r="AG539" s="8">
        <v>1</v>
      </c>
      <c r="AH539" s="8">
        <v>1</v>
      </c>
      <c r="AI539" s="8">
        <v>1</v>
      </c>
      <c r="AJ539" s="8">
        <v>1</v>
      </c>
      <c r="AK539" s="10">
        <v>23</v>
      </c>
      <c r="AL539" s="11">
        <v>23</v>
      </c>
      <c r="AM539" s="13">
        <v>23</v>
      </c>
      <c r="AN539" s="13">
        <v>0</v>
      </c>
      <c r="AO539" s="7" t="e">
        <v>#N/A</v>
      </c>
    </row>
    <row r="540" spans="1:41">
      <c r="A540" s="8" t="s">
        <v>1219</v>
      </c>
      <c r="B540" s="8" t="s">
        <v>1220</v>
      </c>
      <c r="C540" s="8" t="s">
        <v>1221</v>
      </c>
      <c r="D540" s="8" t="s">
        <v>1222</v>
      </c>
      <c r="E540" s="8" t="s">
        <v>135</v>
      </c>
      <c r="F540" s="8">
        <v>1</v>
      </c>
      <c r="G540" s="8">
        <v>1</v>
      </c>
      <c r="H540" s="8">
        <v>1</v>
      </c>
      <c r="I540" s="8" t="s">
        <v>136</v>
      </c>
      <c r="J540" s="8" t="s">
        <v>136</v>
      </c>
      <c r="K540" s="8">
        <v>1</v>
      </c>
      <c r="L540" s="8">
        <v>1</v>
      </c>
      <c r="M540" s="8">
        <v>1</v>
      </c>
      <c r="N540" s="8">
        <v>1</v>
      </c>
      <c r="O540" s="8">
        <v>1</v>
      </c>
      <c r="P540" s="8" t="s">
        <v>136</v>
      </c>
      <c r="Q540" s="8" t="s">
        <v>136</v>
      </c>
      <c r="R540" s="8">
        <v>1</v>
      </c>
      <c r="S540" s="8">
        <v>1</v>
      </c>
      <c r="T540" s="8">
        <v>1</v>
      </c>
      <c r="U540" s="8">
        <v>1</v>
      </c>
      <c r="V540" s="8">
        <v>1</v>
      </c>
      <c r="W540" s="8" t="s">
        <v>136</v>
      </c>
      <c r="X540" s="8" t="s">
        <v>136</v>
      </c>
      <c r="Y540" s="8">
        <v>1</v>
      </c>
      <c r="Z540" s="8">
        <v>1</v>
      </c>
      <c r="AA540" s="8">
        <v>1</v>
      </c>
      <c r="AB540" s="8">
        <v>1</v>
      </c>
      <c r="AC540" s="8">
        <v>1</v>
      </c>
      <c r="AD540" s="8" t="s">
        <v>136</v>
      </c>
      <c r="AE540" s="8" t="s">
        <v>136</v>
      </c>
      <c r="AF540" s="8">
        <v>1</v>
      </c>
      <c r="AG540" s="8">
        <v>1</v>
      </c>
      <c r="AH540" s="8">
        <v>1</v>
      </c>
      <c r="AI540" s="8">
        <v>1</v>
      </c>
      <c r="AJ540" s="8">
        <v>1</v>
      </c>
      <c r="AK540" s="10">
        <v>23</v>
      </c>
      <c r="AL540" s="11">
        <v>23</v>
      </c>
      <c r="AM540" s="13">
        <v>23</v>
      </c>
      <c r="AN540" s="13">
        <v>0</v>
      </c>
      <c r="AO540" s="7" t="e">
        <v>#N/A</v>
      </c>
    </row>
    <row r="541" spans="1:41">
      <c r="A541" s="8" t="s">
        <v>1219</v>
      </c>
      <c r="B541" s="8" t="s">
        <v>1220</v>
      </c>
      <c r="C541" s="8" t="s">
        <v>1223</v>
      </c>
      <c r="D541" s="8" t="s">
        <v>1224</v>
      </c>
      <c r="E541" s="8" t="s">
        <v>135</v>
      </c>
      <c r="F541" s="8">
        <v>1</v>
      </c>
      <c r="G541" s="8">
        <v>1</v>
      </c>
      <c r="H541" s="8">
        <v>1</v>
      </c>
      <c r="I541" s="8" t="s">
        <v>136</v>
      </c>
      <c r="J541" s="8" t="s">
        <v>136</v>
      </c>
      <c r="K541" s="8">
        <v>1</v>
      </c>
      <c r="L541" s="8">
        <v>1</v>
      </c>
      <c r="M541" s="8">
        <v>1</v>
      </c>
      <c r="N541" s="8">
        <v>1</v>
      </c>
      <c r="O541" s="8">
        <v>1</v>
      </c>
      <c r="P541" s="8" t="s">
        <v>136</v>
      </c>
      <c r="Q541" s="8" t="s">
        <v>136</v>
      </c>
      <c r="R541" s="8">
        <v>1</v>
      </c>
      <c r="S541" s="8">
        <v>1</v>
      </c>
      <c r="T541" s="8">
        <v>1</v>
      </c>
      <c r="U541" s="8">
        <v>1</v>
      </c>
      <c r="V541" s="8">
        <v>1</v>
      </c>
      <c r="W541" s="8" t="s">
        <v>136</v>
      </c>
      <c r="X541" s="8" t="s">
        <v>136</v>
      </c>
      <c r="Y541" s="8">
        <v>1</v>
      </c>
      <c r="Z541" s="8">
        <v>1</v>
      </c>
      <c r="AA541" s="8">
        <v>1</v>
      </c>
      <c r="AB541" s="8">
        <v>1</v>
      </c>
      <c r="AC541" s="8">
        <v>1</v>
      </c>
      <c r="AD541" s="8" t="s">
        <v>136</v>
      </c>
      <c r="AE541" s="8" t="s">
        <v>136</v>
      </c>
      <c r="AF541" s="8">
        <v>1</v>
      </c>
      <c r="AG541" s="8">
        <v>1</v>
      </c>
      <c r="AH541" s="8">
        <v>1</v>
      </c>
      <c r="AI541" s="8">
        <v>1</v>
      </c>
      <c r="AJ541" s="8">
        <v>1</v>
      </c>
      <c r="AK541" s="10">
        <v>23</v>
      </c>
      <c r="AL541" s="11">
        <v>23</v>
      </c>
      <c r="AM541" s="13">
        <v>23</v>
      </c>
      <c r="AN541" s="13">
        <v>0</v>
      </c>
      <c r="AO541" s="7" t="e">
        <v>#N/A</v>
      </c>
    </row>
    <row r="542" spans="1:41">
      <c r="A542" s="8" t="s">
        <v>1219</v>
      </c>
      <c r="B542" s="8" t="s">
        <v>1225</v>
      </c>
      <c r="C542" s="8" t="s">
        <v>1226</v>
      </c>
      <c r="D542" s="8" t="s">
        <v>1227</v>
      </c>
      <c r="E542" s="8" t="s">
        <v>135</v>
      </c>
      <c r="F542" s="8">
        <v>1</v>
      </c>
      <c r="G542" s="8">
        <v>1</v>
      </c>
      <c r="H542" s="8">
        <v>1</v>
      </c>
      <c r="I542" s="8" t="s">
        <v>136</v>
      </c>
      <c r="J542" s="8" t="s">
        <v>136</v>
      </c>
      <c r="K542" s="8">
        <v>1</v>
      </c>
      <c r="L542" s="8">
        <v>1</v>
      </c>
      <c r="M542" s="8">
        <v>1</v>
      </c>
      <c r="N542" s="8">
        <v>1</v>
      </c>
      <c r="O542" s="8">
        <v>1</v>
      </c>
      <c r="P542" s="8" t="s">
        <v>136</v>
      </c>
      <c r="Q542" s="8" t="s">
        <v>136</v>
      </c>
      <c r="R542" s="8">
        <v>1</v>
      </c>
      <c r="S542" s="8">
        <v>1</v>
      </c>
      <c r="T542" s="8">
        <v>1</v>
      </c>
      <c r="U542" s="8">
        <v>1</v>
      </c>
      <c r="V542" s="8">
        <v>1</v>
      </c>
      <c r="W542" s="8" t="s">
        <v>136</v>
      </c>
      <c r="X542" s="8" t="s">
        <v>136</v>
      </c>
      <c r="Y542" s="8">
        <v>1</v>
      </c>
      <c r="Z542" s="8">
        <v>1</v>
      </c>
      <c r="AA542" s="8">
        <v>1</v>
      </c>
      <c r="AB542" s="8">
        <v>1</v>
      </c>
      <c r="AC542" s="8">
        <v>1</v>
      </c>
      <c r="AD542" s="8" t="s">
        <v>136</v>
      </c>
      <c r="AE542" s="8" t="s">
        <v>136</v>
      </c>
      <c r="AF542" s="8">
        <v>1</v>
      </c>
      <c r="AG542" s="8">
        <v>1</v>
      </c>
      <c r="AH542" s="8">
        <v>1</v>
      </c>
      <c r="AI542" s="8">
        <v>1</v>
      </c>
      <c r="AJ542" s="8">
        <v>1</v>
      </c>
      <c r="AK542" s="10">
        <v>23</v>
      </c>
      <c r="AL542" s="11">
        <v>23</v>
      </c>
      <c r="AM542" s="13">
        <v>23</v>
      </c>
      <c r="AN542" s="13">
        <v>0</v>
      </c>
      <c r="AO542" s="7" t="e">
        <v>#N/A</v>
      </c>
    </row>
    <row r="543" spans="1:41">
      <c r="A543" s="8" t="s">
        <v>1219</v>
      </c>
      <c r="B543" s="8" t="s">
        <v>1225</v>
      </c>
      <c r="C543" s="8" t="s">
        <v>1228</v>
      </c>
      <c r="D543" s="8" t="s">
        <v>1229</v>
      </c>
      <c r="E543" s="8" t="s">
        <v>135</v>
      </c>
      <c r="F543" s="8">
        <v>1</v>
      </c>
      <c r="G543" s="8">
        <v>1</v>
      </c>
      <c r="H543" s="8">
        <v>1</v>
      </c>
      <c r="I543" s="8" t="s">
        <v>136</v>
      </c>
      <c r="J543" s="8" t="s">
        <v>136</v>
      </c>
      <c r="K543" s="8">
        <v>1</v>
      </c>
      <c r="L543" s="8">
        <v>1</v>
      </c>
      <c r="M543" s="8">
        <v>1</v>
      </c>
      <c r="N543" s="8">
        <v>1</v>
      </c>
      <c r="O543" s="8">
        <v>1</v>
      </c>
      <c r="P543" s="8" t="s">
        <v>136</v>
      </c>
      <c r="Q543" s="8" t="s">
        <v>136</v>
      </c>
      <c r="R543" s="8">
        <v>1</v>
      </c>
      <c r="S543" s="8">
        <v>1</v>
      </c>
      <c r="T543" s="8">
        <v>1</v>
      </c>
      <c r="U543" s="8">
        <v>1</v>
      </c>
      <c r="V543" s="8">
        <v>1</v>
      </c>
      <c r="W543" s="8" t="s">
        <v>136</v>
      </c>
      <c r="X543" s="8" t="s">
        <v>136</v>
      </c>
      <c r="Y543" s="8">
        <v>1</v>
      </c>
      <c r="Z543" s="8">
        <v>1</v>
      </c>
      <c r="AA543" s="8">
        <v>1</v>
      </c>
      <c r="AB543" s="8">
        <v>1</v>
      </c>
      <c r="AC543" s="8">
        <v>1</v>
      </c>
      <c r="AD543" s="8" t="s">
        <v>136</v>
      </c>
      <c r="AE543" s="8" t="s">
        <v>136</v>
      </c>
      <c r="AF543" s="8">
        <v>1</v>
      </c>
      <c r="AG543" s="8">
        <v>1</v>
      </c>
      <c r="AH543" s="8">
        <v>1</v>
      </c>
      <c r="AI543" s="8">
        <v>1</v>
      </c>
      <c r="AJ543" s="8">
        <v>1</v>
      </c>
      <c r="AK543" s="10">
        <v>23</v>
      </c>
      <c r="AL543" s="11">
        <v>23</v>
      </c>
      <c r="AM543" s="13">
        <v>23</v>
      </c>
      <c r="AN543" s="13">
        <v>0</v>
      </c>
      <c r="AO543" s="7" t="e">
        <v>#N/A</v>
      </c>
    </row>
    <row r="544" spans="1:41">
      <c r="A544" s="8" t="s">
        <v>1219</v>
      </c>
      <c r="B544" s="8" t="s">
        <v>1230</v>
      </c>
      <c r="C544" s="8" t="s">
        <v>1231</v>
      </c>
      <c r="D544" s="8" t="s">
        <v>314</v>
      </c>
      <c r="E544" s="8" t="s">
        <v>135</v>
      </c>
      <c r="F544" s="8">
        <v>1</v>
      </c>
      <c r="G544" s="8">
        <v>1</v>
      </c>
      <c r="H544" s="8">
        <v>1</v>
      </c>
      <c r="I544" s="8" t="s">
        <v>136</v>
      </c>
      <c r="J544" s="8" t="s">
        <v>136</v>
      </c>
      <c r="K544" s="8">
        <v>1</v>
      </c>
      <c r="L544" s="8">
        <v>1</v>
      </c>
      <c r="M544" s="8">
        <v>1</v>
      </c>
      <c r="N544" s="8">
        <v>1</v>
      </c>
      <c r="O544" s="8">
        <v>1</v>
      </c>
      <c r="P544" s="8" t="s">
        <v>136</v>
      </c>
      <c r="Q544" s="8" t="s">
        <v>136</v>
      </c>
      <c r="R544" s="8">
        <v>1</v>
      </c>
      <c r="S544" s="8">
        <v>1</v>
      </c>
      <c r="T544" s="8">
        <v>1</v>
      </c>
      <c r="U544" s="8">
        <v>1</v>
      </c>
      <c r="V544" s="8">
        <v>1</v>
      </c>
      <c r="W544" s="8" t="s">
        <v>136</v>
      </c>
      <c r="X544" s="8" t="s">
        <v>136</v>
      </c>
      <c r="Y544" s="8">
        <v>1</v>
      </c>
      <c r="Z544" s="8">
        <v>1</v>
      </c>
      <c r="AA544" s="8">
        <v>1</v>
      </c>
      <c r="AB544" s="8">
        <v>1</v>
      </c>
      <c r="AC544" s="8">
        <v>1</v>
      </c>
      <c r="AD544" s="8" t="s">
        <v>136</v>
      </c>
      <c r="AE544" s="8" t="s">
        <v>136</v>
      </c>
      <c r="AF544" s="8">
        <v>1</v>
      </c>
      <c r="AG544" s="8">
        <v>1</v>
      </c>
      <c r="AH544" s="8">
        <v>1</v>
      </c>
      <c r="AI544" s="8">
        <v>1</v>
      </c>
      <c r="AJ544" s="8">
        <v>1</v>
      </c>
      <c r="AK544" s="10">
        <v>23</v>
      </c>
      <c r="AL544" s="11">
        <v>23</v>
      </c>
      <c r="AM544" s="13">
        <v>23</v>
      </c>
      <c r="AN544" s="13">
        <v>0</v>
      </c>
      <c r="AO544" s="7" t="e">
        <v>#N/A</v>
      </c>
    </row>
    <row r="545" spans="1:41">
      <c r="A545" s="8" t="s">
        <v>1219</v>
      </c>
      <c r="B545" s="8" t="s">
        <v>1230</v>
      </c>
      <c r="C545" s="8" t="s">
        <v>1232</v>
      </c>
      <c r="D545" s="8" t="s">
        <v>318</v>
      </c>
      <c r="E545" s="8" t="s">
        <v>135</v>
      </c>
      <c r="F545" s="8">
        <v>1</v>
      </c>
      <c r="G545" s="8">
        <v>1</v>
      </c>
      <c r="H545" s="8">
        <v>1</v>
      </c>
      <c r="I545" s="8" t="s">
        <v>136</v>
      </c>
      <c r="J545" s="8" t="s">
        <v>136</v>
      </c>
      <c r="K545" s="8">
        <v>1</v>
      </c>
      <c r="L545" s="8">
        <v>1</v>
      </c>
      <c r="M545" s="8">
        <v>1</v>
      </c>
      <c r="N545" s="8">
        <v>1</v>
      </c>
      <c r="O545" s="8">
        <v>1</v>
      </c>
      <c r="P545" s="8" t="s">
        <v>136</v>
      </c>
      <c r="Q545" s="8" t="s">
        <v>136</v>
      </c>
      <c r="R545" s="8">
        <v>1</v>
      </c>
      <c r="S545" s="8">
        <v>1</v>
      </c>
      <c r="T545" s="8">
        <v>1</v>
      </c>
      <c r="U545" s="8">
        <v>1</v>
      </c>
      <c r="V545" s="8">
        <v>1</v>
      </c>
      <c r="W545" s="8" t="s">
        <v>136</v>
      </c>
      <c r="X545" s="8" t="s">
        <v>136</v>
      </c>
      <c r="Y545" s="8">
        <v>1</v>
      </c>
      <c r="Z545" s="8">
        <v>1</v>
      </c>
      <c r="AA545" s="8">
        <v>1</v>
      </c>
      <c r="AB545" s="8">
        <v>1</v>
      </c>
      <c r="AC545" s="8">
        <v>1</v>
      </c>
      <c r="AD545" s="8" t="s">
        <v>136</v>
      </c>
      <c r="AE545" s="8" t="s">
        <v>136</v>
      </c>
      <c r="AF545" s="8">
        <v>1</v>
      </c>
      <c r="AG545" s="8">
        <v>1</v>
      </c>
      <c r="AH545" s="8">
        <v>1</v>
      </c>
      <c r="AI545" s="8">
        <v>1</v>
      </c>
      <c r="AJ545" s="8">
        <v>1</v>
      </c>
      <c r="AK545" s="10">
        <v>23</v>
      </c>
      <c r="AL545" s="11">
        <v>23</v>
      </c>
      <c r="AM545" s="13">
        <v>23</v>
      </c>
      <c r="AN545" s="13">
        <v>0</v>
      </c>
      <c r="AO545" s="7" t="e">
        <v>#N/A</v>
      </c>
    </row>
    <row r="546" spans="1:41">
      <c r="A546" s="8" t="s">
        <v>1219</v>
      </c>
      <c r="B546" s="8" t="s">
        <v>1230</v>
      </c>
      <c r="C546" s="8" t="s">
        <v>1233</v>
      </c>
      <c r="D546" s="8" t="s">
        <v>827</v>
      </c>
      <c r="E546" s="8" t="s">
        <v>135</v>
      </c>
      <c r="F546" s="8">
        <v>1</v>
      </c>
      <c r="G546" s="8">
        <v>1</v>
      </c>
      <c r="H546" s="8">
        <v>1</v>
      </c>
      <c r="I546" s="8" t="s">
        <v>136</v>
      </c>
      <c r="J546" s="8" t="s">
        <v>136</v>
      </c>
      <c r="K546" s="8">
        <v>1</v>
      </c>
      <c r="L546" s="8">
        <v>1</v>
      </c>
      <c r="M546" s="8">
        <v>1</v>
      </c>
      <c r="N546" s="8">
        <v>1</v>
      </c>
      <c r="O546" s="8">
        <v>1</v>
      </c>
      <c r="P546" s="8" t="s">
        <v>136</v>
      </c>
      <c r="Q546" s="8" t="s">
        <v>136</v>
      </c>
      <c r="R546" s="8">
        <v>1</v>
      </c>
      <c r="S546" s="8">
        <v>1</v>
      </c>
      <c r="T546" s="8">
        <v>1</v>
      </c>
      <c r="U546" s="8">
        <v>1</v>
      </c>
      <c r="V546" s="8">
        <v>1</v>
      </c>
      <c r="W546" s="8" t="s">
        <v>136</v>
      </c>
      <c r="X546" s="8" t="s">
        <v>136</v>
      </c>
      <c r="Y546" s="8">
        <v>1</v>
      </c>
      <c r="Z546" s="8">
        <v>1</v>
      </c>
      <c r="AA546" s="8">
        <v>1</v>
      </c>
      <c r="AB546" s="8">
        <v>1</v>
      </c>
      <c r="AC546" s="8">
        <v>1</v>
      </c>
      <c r="AD546" s="8" t="s">
        <v>136</v>
      </c>
      <c r="AE546" s="8" t="s">
        <v>136</v>
      </c>
      <c r="AF546" s="8">
        <v>1</v>
      </c>
      <c r="AG546" s="8">
        <v>1</v>
      </c>
      <c r="AH546" s="8">
        <v>1</v>
      </c>
      <c r="AI546" s="8">
        <v>1</v>
      </c>
      <c r="AJ546" s="8">
        <v>1</v>
      </c>
      <c r="AK546" s="10">
        <v>23</v>
      </c>
      <c r="AL546" s="11">
        <v>23</v>
      </c>
      <c r="AM546" s="13">
        <v>23</v>
      </c>
      <c r="AN546" s="13">
        <v>0</v>
      </c>
      <c r="AO546" s="7" t="e">
        <v>#N/A</v>
      </c>
    </row>
    <row r="547" spans="1:41">
      <c r="A547" s="8" t="s">
        <v>1219</v>
      </c>
      <c r="B547" s="8" t="s">
        <v>1230</v>
      </c>
      <c r="C547" s="8" t="s">
        <v>1234</v>
      </c>
      <c r="D547" s="8" t="s">
        <v>1235</v>
      </c>
      <c r="E547" s="8" t="s">
        <v>135</v>
      </c>
      <c r="F547" s="8">
        <v>1</v>
      </c>
      <c r="G547" s="8">
        <v>1</v>
      </c>
      <c r="H547" s="8">
        <v>1</v>
      </c>
      <c r="I547" s="8" t="s">
        <v>136</v>
      </c>
      <c r="J547" s="8" t="s">
        <v>136</v>
      </c>
      <c r="K547" s="8">
        <v>1</v>
      </c>
      <c r="L547" s="8">
        <v>1</v>
      </c>
      <c r="M547" s="8">
        <v>1</v>
      </c>
      <c r="N547" s="8">
        <v>1</v>
      </c>
      <c r="O547" s="8">
        <v>1</v>
      </c>
      <c r="P547" s="8" t="s">
        <v>136</v>
      </c>
      <c r="Q547" s="8" t="s">
        <v>136</v>
      </c>
      <c r="R547" s="8">
        <v>1</v>
      </c>
      <c r="S547" s="8">
        <v>1</v>
      </c>
      <c r="T547" s="8">
        <v>1</v>
      </c>
      <c r="U547" s="8">
        <v>1</v>
      </c>
      <c r="V547" s="8">
        <v>1</v>
      </c>
      <c r="W547" s="8" t="s">
        <v>136</v>
      </c>
      <c r="X547" s="8" t="s">
        <v>136</v>
      </c>
      <c r="Y547" s="8">
        <v>1</v>
      </c>
      <c r="Z547" s="8">
        <v>1</v>
      </c>
      <c r="AA547" s="8">
        <v>1</v>
      </c>
      <c r="AB547" s="8">
        <v>1</v>
      </c>
      <c r="AC547" s="8">
        <v>1</v>
      </c>
      <c r="AD547" s="8" t="s">
        <v>136</v>
      </c>
      <c r="AE547" s="8" t="s">
        <v>136</v>
      </c>
      <c r="AF547" s="8">
        <v>1</v>
      </c>
      <c r="AG547" s="8">
        <v>1</v>
      </c>
      <c r="AH547" s="8">
        <v>1</v>
      </c>
      <c r="AI547" s="8">
        <v>1</v>
      </c>
      <c r="AJ547" s="8">
        <v>1</v>
      </c>
      <c r="AK547" s="10">
        <v>23</v>
      </c>
      <c r="AL547" s="11">
        <v>23</v>
      </c>
      <c r="AM547" s="13">
        <v>23</v>
      </c>
      <c r="AN547" s="13">
        <v>0</v>
      </c>
      <c r="AO547" s="7" t="e">
        <v>#N/A</v>
      </c>
    </row>
    <row r="548" spans="1:41">
      <c r="A548" s="8" t="s">
        <v>1219</v>
      </c>
      <c r="B548" s="8" t="s">
        <v>1230</v>
      </c>
      <c r="C548" s="8" t="s">
        <v>1236</v>
      </c>
      <c r="D548" s="8" t="s">
        <v>1237</v>
      </c>
      <c r="E548" s="8" t="s">
        <v>135</v>
      </c>
      <c r="F548" s="8">
        <v>1</v>
      </c>
      <c r="G548" s="8">
        <v>1</v>
      </c>
      <c r="H548" s="8">
        <v>1</v>
      </c>
      <c r="I548" s="8" t="s">
        <v>136</v>
      </c>
      <c r="J548" s="8" t="s">
        <v>136</v>
      </c>
      <c r="K548" s="8">
        <v>1</v>
      </c>
      <c r="L548" s="8">
        <v>1</v>
      </c>
      <c r="M548" s="8">
        <v>1</v>
      </c>
      <c r="N548" s="8">
        <v>1</v>
      </c>
      <c r="O548" s="8">
        <v>1</v>
      </c>
      <c r="P548" s="8" t="s">
        <v>136</v>
      </c>
      <c r="Q548" s="8" t="s">
        <v>136</v>
      </c>
      <c r="R548" s="8">
        <v>1</v>
      </c>
      <c r="S548" s="8">
        <v>1</v>
      </c>
      <c r="T548" s="8">
        <v>1</v>
      </c>
      <c r="U548" s="8">
        <v>1</v>
      </c>
      <c r="V548" s="8">
        <v>1</v>
      </c>
      <c r="W548" s="8" t="s">
        <v>136</v>
      </c>
      <c r="X548" s="8" t="s">
        <v>136</v>
      </c>
      <c r="Y548" s="8">
        <v>1</v>
      </c>
      <c r="Z548" s="8">
        <v>1</v>
      </c>
      <c r="AA548" s="8">
        <v>1</v>
      </c>
      <c r="AB548" s="8">
        <v>1</v>
      </c>
      <c r="AC548" s="8">
        <v>1</v>
      </c>
      <c r="AD548" s="8" t="s">
        <v>136</v>
      </c>
      <c r="AE548" s="8" t="s">
        <v>136</v>
      </c>
      <c r="AF548" s="8">
        <v>1</v>
      </c>
      <c r="AG548" s="8">
        <v>1</v>
      </c>
      <c r="AH548" s="8">
        <v>1</v>
      </c>
      <c r="AI548" s="8">
        <v>1</v>
      </c>
      <c r="AJ548" s="8">
        <v>1</v>
      </c>
      <c r="AK548" s="10">
        <v>23</v>
      </c>
      <c r="AL548" s="11">
        <v>23</v>
      </c>
      <c r="AM548" s="13">
        <v>23</v>
      </c>
      <c r="AN548" s="13">
        <v>0</v>
      </c>
      <c r="AO548" s="7" t="e">
        <v>#N/A</v>
      </c>
    </row>
    <row r="549" spans="1:41">
      <c r="A549" s="8" t="s">
        <v>1219</v>
      </c>
      <c r="B549" s="8" t="s">
        <v>1238</v>
      </c>
      <c r="C549" s="8" t="s">
        <v>1239</v>
      </c>
      <c r="D549" s="8" t="s">
        <v>1240</v>
      </c>
      <c r="E549" s="8" t="s">
        <v>135</v>
      </c>
      <c r="F549" s="8">
        <v>1</v>
      </c>
      <c r="G549" s="8">
        <v>1</v>
      </c>
      <c r="H549" s="8">
        <v>1</v>
      </c>
      <c r="I549" s="8" t="s">
        <v>136</v>
      </c>
      <c r="J549" s="8" t="s">
        <v>136</v>
      </c>
      <c r="K549" s="8">
        <v>1</v>
      </c>
      <c r="L549" s="8">
        <v>1</v>
      </c>
      <c r="M549" s="8">
        <v>1</v>
      </c>
      <c r="N549" s="8">
        <v>1</v>
      </c>
      <c r="O549" s="8">
        <v>1</v>
      </c>
      <c r="P549" s="8" t="s">
        <v>136</v>
      </c>
      <c r="Q549" s="8" t="s">
        <v>136</v>
      </c>
      <c r="R549" s="8">
        <v>1</v>
      </c>
      <c r="S549" s="8">
        <v>1</v>
      </c>
      <c r="T549" s="8">
        <v>1</v>
      </c>
      <c r="U549" s="8">
        <v>1</v>
      </c>
      <c r="V549" s="8">
        <v>1</v>
      </c>
      <c r="W549" s="8" t="s">
        <v>136</v>
      </c>
      <c r="X549" s="8" t="s">
        <v>136</v>
      </c>
      <c r="Y549" s="8">
        <v>1</v>
      </c>
      <c r="Z549" s="8">
        <v>1</v>
      </c>
      <c r="AA549" s="8">
        <v>1</v>
      </c>
      <c r="AB549" s="8">
        <v>1</v>
      </c>
      <c r="AC549" s="8">
        <v>1</v>
      </c>
      <c r="AD549" s="8" t="s">
        <v>136</v>
      </c>
      <c r="AE549" s="8" t="s">
        <v>136</v>
      </c>
      <c r="AF549" s="8">
        <v>1</v>
      </c>
      <c r="AG549" s="8">
        <v>1</v>
      </c>
      <c r="AH549" s="8">
        <v>1</v>
      </c>
      <c r="AI549" s="8">
        <v>1</v>
      </c>
      <c r="AJ549" s="8">
        <v>1</v>
      </c>
      <c r="AK549" s="10">
        <v>23</v>
      </c>
      <c r="AL549" s="11">
        <v>23</v>
      </c>
      <c r="AM549" s="13">
        <v>23</v>
      </c>
      <c r="AN549" s="13">
        <v>0</v>
      </c>
      <c r="AO549" s="7" t="e">
        <v>#N/A</v>
      </c>
    </row>
    <row r="550" spans="1:41">
      <c r="A550" s="8" t="s">
        <v>1219</v>
      </c>
      <c r="B550" s="8" t="s">
        <v>1238</v>
      </c>
      <c r="C550" s="8" t="s">
        <v>1241</v>
      </c>
      <c r="D550" s="8" t="s">
        <v>1242</v>
      </c>
      <c r="E550" s="8" t="s">
        <v>135</v>
      </c>
      <c r="F550" s="8">
        <v>1</v>
      </c>
      <c r="G550" s="8">
        <v>1</v>
      </c>
      <c r="H550" s="8">
        <v>1</v>
      </c>
      <c r="I550" s="8" t="s">
        <v>136</v>
      </c>
      <c r="J550" s="8" t="s">
        <v>136</v>
      </c>
      <c r="K550" s="8">
        <v>1</v>
      </c>
      <c r="L550" s="8">
        <v>1</v>
      </c>
      <c r="M550" s="8">
        <v>1</v>
      </c>
      <c r="N550" s="8">
        <v>1</v>
      </c>
      <c r="O550" s="8">
        <v>1</v>
      </c>
      <c r="P550" s="8" t="s">
        <v>136</v>
      </c>
      <c r="Q550" s="8" t="s">
        <v>136</v>
      </c>
      <c r="R550" s="8">
        <v>1</v>
      </c>
      <c r="S550" s="8">
        <v>1</v>
      </c>
      <c r="T550" s="8">
        <v>1</v>
      </c>
      <c r="U550" s="8">
        <v>1</v>
      </c>
      <c r="V550" s="8">
        <v>1</v>
      </c>
      <c r="W550" s="8" t="s">
        <v>136</v>
      </c>
      <c r="X550" s="8" t="s">
        <v>136</v>
      </c>
      <c r="Y550" s="8">
        <v>1</v>
      </c>
      <c r="Z550" s="8">
        <v>1</v>
      </c>
      <c r="AA550" s="8">
        <v>1</v>
      </c>
      <c r="AB550" s="8">
        <v>1</v>
      </c>
      <c r="AC550" s="8">
        <v>1</v>
      </c>
      <c r="AD550" s="8" t="s">
        <v>136</v>
      </c>
      <c r="AE550" s="8" t="s">
        <v>136</v>
      </c>
      <c r="AF550" s="8">
        <v>1</v>
      </c>
      <c r="AG550" s="8">
        <v>1</v>
      </c>
      <c r="AH550" s="8">
        <v>1</v>
      </c>
      <c r="AI550" s="8">
        <v>1</v>
      </c>
      <c r="AJ550" s="8">
        <v>1</v>
      </c>
      <c r="AK550" s="10">
        <v>23</v>
      </c>
      <c r="AL550" s="11">
        <v>23</v>
      </c>
      <c r="AM550" s="13">
        <v>23</v>
      </c>
      <c r="AN550" s="13">
        <v>0</v>
      </c>
      <c r="AO550" s="7" t="e">
        <v>#N/A</v>
      </c>
    </row>
    <row r="551" spans="1:41">
      <c r="A551" s="8" t="s">
        <v>1219</v>
      </c>
      <c r="B551" s="8" t="s">
        <v>1238</v>
      </c>
      <c r="C551" s="8" t="s">
        <v>1243</v>
      </c>
      <c r="D551" s="8" t="s">
        <v>1244</v>
      </c>
      <c r="E551" s="8" t="s">
        <v>135</v>
      </c>
      <c r="F551" s="8">
        <v>1</v>
      </c>
      <c r="G551" s="8">
        <v>1</v>
      </c>
      <c r="H551" s="8">
        <v>1</v>
      </c>
      <c r="I551" s="8" t="s">
        <v>136</v>
      </c>
      <c r="J551" s="8" t="s">
        <v>136</v>
      </c>
      <c r="K551" s="8">
        <v>1</v>
      </c>
      <c r="L551" s="8">
        <v>1</v>
      </c>
      <c r="M551" s="8">
        <v>1</v>
      </c>
      <c r="N551" s="8">
        <v>1</v>
      </c>
      <c r="O551" s="8">
        <v>1</v>
      </c>
      <c r="P551" s="8" t="s">
        <v>136</v>
      </c>
      <c r="Q551" s="8" t="s">
        <v>136</v>
      </c>
      <c r="R551" s="8">
        <v>1</v>
      </c>
      <c r="S551" s="8">
        <v>1</v>
      </c>
      <c r="T551" s="8">
        <v>1</v>
      </c>
      <c r="U551" s="8">
        <v>1</v>
      </c>
      <c r="V551" s="8">
        <v>1</v>
      </c>
      <c r="W551" s="8" t="s">
        <v>136</v>
      </c>
      <c r="X551" s="8" t="s">
        <v>136</v>
      </c>
      <c r="Y551" s="8">
        <v>1</v>
      </c>
      <c r="Z551" s="8">
        <v>1</v>
      </c>
      <c r="AA551" s="8">
        <v>1</v>
      </c>
      <c r="AB551" s="8">
        <v>1</v>
      </c>
      <c r="AC551" s="8">
        <v>1</v>
      </c>
      <c r="AD551" s="8" t="s">
        <v>136</v>
      </c>
      <c r="AE551" s="8" t="s">
        <v>136</v>
      </c>
      <c r="AF551" s="8">
        <v>1</v>
      </c>
      <c r="AG551" s="8">
        <v>1</v>
      </c>
      <c r="AH551" s="8">
        <v>1</v>
      </c>
      <c r="AI551" s="8">
        <v>1</v>
      </c>
      <c r="AJ551" s="8">
        <v>1</v>
      </c>
      <c r="AK551" s="10">
        <v>23</v>
      </c>
      <c r="AL551" s="11">
        <v>23</v>
      </c>
      <c r="AM551" s="13">
        <v>23</v>
      </c>
      <c r="AN551" s="13">
        <v>0</v>
      </c>
      <c r="AO551" s="7" t="e">
        <v>#N/A</v>
      </c>
    </row>
    <row r="552" spans="1:41">
      <c r="A552" s="8" t="s">
        <v>1219</v>
      </c>
      <c r="B552" s="8" t="s">
        <v>1238</v>
      </c>
      <c r="C552" s="8" t="s">
        <v>1245</v>
      </c>
      <c r="D552" s="8" t="s">
        <v>1246</v>
      </c>
      <c r="E552" s="8" t="s">
        <v>135</v>
      </c>
      <c r="F552" s="8">
        <v>1</v>
      </c>
      <c r="G552" s="8">
        <v>1</v>
      </c>
      <c r="H552" s="8">
        <v>1</v>
      </c>
      <c r="I552" s="8" t="s">
        <v>136</v>
      </c>
      <c r="J552" s="8" t="s">
        <v>136</v>
      </c>
      <c r="K552" s="8">
        <v>1</v>
      </c>
      <c r="L552" s="8">
        <v>1</v>
      </c>
      <c r="M552" s="8">
        <v>1</v>
      </c>
      <c r="N552" s="8">
        <v>1</v>
      </c>
      <c r="O552" s="8">
        <v>1</v>
      </c>
      <c r="P552" s="8" t="s">
        <v>136</v>
      </c>
      <c r="Q552" s="8" t="s">
        <v>136</v>
      </c>
      <c r="R552" s="8">
        <v>1</v>
      </c>
      <c r="S552" s="8">
        <v>1</v>
      </c>
      <c r="T552" s="8">
        <v>1</v>
      </c>
      <c r="U552" s="8">
        <v>1</v>
      </c>
      <c r="V552" s="8">
        <v>1</v>
      </c>
      <c r="W552" s="8" t="s">
        <v>136</v>
      </c>
      <c r="X552" s="8" t="s">
        <v>136</v>
      </c>
      <c r="Y552" s="8">
        <v>1</v>
      </c>
      <c r="Z552" s="8">
        <v>1</v>
      </c>
      <c r="AA552" s="8">
        <v>1</v>
      </c>
      <c r="AB552" s="8">
        <v>1</v>
      </c>
      <c r="AC552" s="8">
        <v>1</v>
      </c>
      <c r="AD552" s="8" t="s">
        <v>136</v>
      </c>
      <c r="AE552" s="8" t="s">
        <v>136</v>
      </c>
      <c r="AF552" s="8">
        <v>1</v>
      </c>
      <c r="AG552" s="8">
        <v>1</v>
      </c>
      <c r="AH552" s="8">
        <v>1</v>
      </c>
      <c r="AI552" s="8">
        <v>1</v>
      </c>
      <c r="AJ552" s="8">
        <v>1</v>
      </c>
      <c r="AK552" s="10">
        <v>23</v>
      </c>
      <c r="AL552" s="11">
        <v>23</v>
      </c>
      <c r="AM552" s="13">
        <v>23</v>
      </c>
      <c r="AN552" s="13">
        <v>0</v>
      </c>
      <c r="AO552" s="7" t="e">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9"/>
  <sheetViews>
    <sheetView workbookViewId="0">
      <selection activeCell="M10" sqref="M10"/>
    </sheetView>
  </sheetViews>
  <sheetFormatPr defaultRowHeight="15"/>
  <cols>
    <col min="1" max="2" width="9.28515625" bestFit="1" customWidth="1"/>
    <col min="3" max="3" width="29.85546875" customWidth="1"/>
    <col min="4" max="6" width="9.28515625" bestFit="1" customWidth="1"/>
    <col min="7" max="7" width="18.28515625" customWidth="1"/>
    <col min="8" max="8" width="16.42578125" customWidth="1"/>
    <col min="9" max="9" width="15.42578125" customWidth="1"/>
    <col min="10" max="10" width="18.28515625" bestFit="1" customWidth="1"/>
    <col min="11" max="11" width="13.42578125" customWidth="1"/>
    <col min="12" max="12" width="11.85546875" customWidth="1"/>
    <col min="13" max="13" width="20" bestFit="1" customWidth="1"/>
    <col min="14" max="14" width="17.85546875" customWidth="1"/>
    <col min="15" max="15" width="18" customWidth="1"/>
    <col min="16" max="16" width="15.7109375" customWidth="1"/>
    <col min="17" max="17" width="14.140625" customWidth="1"/>
    <col min="18" max="18" width="16.42578125" customWidth="1"/>
    <col min="19" max="19" width="13.42578125" customWidth="1"/>
    <col min="20" max="20" width="15.7109375" customWidth="1"/>
    <col min="21" max="21" width="19.140625" customWidth="1"/>
  </cols>
  <sheetData>
    <row r="1" spans="1:21">
      <c r="A1" s="88"/>
      <c r="B1" s="89">
        <v>1</v>
      </c>
      <c r="C1" s="90">
        <f t="shared" ref="C1:M1" si="0">B1+1</f>
        <v>2</v>
      </c>
      <c r="D1" s="91">
        <f t="shared" si="0"/>
        <v>3</v>
      </c>
      <c r="E1" s="90">
        <f t="shared" si="0"/>
        <v>4</v>
      </c>
      <c r="F1" s="90">
        <f t="shared" si="0"/>
        <v>5</v>
      </c>
      <c r="G1" s="90">
        <f>F1+1</f>
        <v>6</v>
      </c>
      <c r="H1" s="90">
        <f>G1+1</f>
        <v>7</v>
      </c>
      <c r="I1" s="90">
        <f>H1+1</f>
        <v>8</v>
      </c>
      <c r="J1" s="90">
        <f>I1+1</f>
        <v>9</v>
      </c>
      <c r="K1" s="90">
        <f t="shared" si="0"/>
        <v>10</v>
      </c>
      <c r="L1" s="90">
        <f t="shared" si="0"/>
        <v>11</v>
      </c>
      <c r="M1" s="90">
        <f t="shared" si="0"/>
        <v>12</v>
      </c>
      <c r="N1" s="90"/>
      <c r="O1" s="90"/>
      <c r="P1" s="90"/>
      <c r="Q1" s="90"/>
      <c r="R1" s="90"/>
      <c r="S1" s="90"/>
      <c r="T1" s="90"/>
      <c r="U1" s="92"/>
    </row>
    <row r="2" spans="1:21">
      <c r="A2" s="245" t="s">
        <v>1381</v>
      </c>
      <c r="B2" s="246" t="s">
        <v>1251</v>
      </c>
      <c r="C2" s="245" t="s">
        <v>1252</v>
      </c>
      <c r="D2" s="245" t="s">
        <v>1263</v>
      </c>
      <c r="E2" s="245" t="s">
        <v>1382</v>
      </c>
      <c r="F2" s="245"/>
      <c r="G2" s="244" t="s">
        <v>1383</v>
      </c>
      <c r="H2" s="247" t="s">
        <v>1384</v>
      </c>
      <c r="I2" s="244" t="s">
        <v>1385</v>
      </c>
      <c r="J2" s="248" t="s">
        <v>1386</v>
      </c>
      <c r="K2" s="244" t="s">
        <v>1387</v>
      </c>
      <c r="L2" s="244" t="s">
        <v>1388</v>
      </c>
      <c r="M2" s="250" t="s">
        <v>1389</v>
      </c>
      <c r="N2" s="250"/>
      <c r="O2" s="250"/>
      <c r="P2" s="250"/>
      <c r="Q2" s="250"/>
      <c r="R2" s="250"/>
      <c r="S2" s="250"/>
      <c r="T2" s="248" t="s">
        <v>1390</v>
      </c>
      <c r="U2" s="249" t="s">
        <v>1391</v>
      </c>
    </row>
    <row r="3" spans="1:21">
      <c r="A3" s="245"/>
      <c r="B3" s="246"/>
      <c r="C3" s="245"/>
      <c r="D3" s="245"/>
      <c r="E3" s="245"/>
      <c r="F3" s="245"/>
      <c r="G3" s="244"/>
      <c r="H3" s="247"/>
      <c r="I3" s="244"/>
      <c r="J3" s="248"/>
      <c r="K3" s="244"/>
      <c r="L3" s="244"/>
      <c r="M3" s="250" t="s">
        <v>1392</v>
      </c>
      <c r="N3" s="250"/>
      <c r="O3" s="250" t="s">
        <v>1393</v>
      </c>
      <c r="P3" s="250"/>
      <c r="Q3" s="250" t="s">
        <v>1394</v>
      </c>
      <c r="R3" s="250"/>
      <c r="S3" s="250" t="s">
        <v>1395</v>
      </c>
      <c r="T3" s="248"/>
      <c r="U3" s="249"/>
    </row>
    <row r="4" spans="1:21" ht="35.25" customHeight="1">
      <c r="A4" s="245"/>
      <c r="B4" s="246"/>
      <c r="C4" s="245"/>
      <c r="D4" s="245"/>
      <c r="E4" s="245" t="s">
        <v>1396</v>
      </c>
      <c r="F4" s="245" t="s">
        <v>127</v>
      </c>
      <c r="G4" s="244"/>
      <c r="H4" s="247"/>
      <c r="I4" s="244"/>
      <c r="J4" s="248"/>
      <c r="K4" s="244"/>
      <c r="L4" s="244"/>
      <c r="M4" s="248" t="s">
        <v>1397</v>
      </c>
      <c r="N4" s="248" t="s">
        <v>1398</v>
      </c>
      <c r="O4" s="248" t="s">
        <v>1397</v>
      </c>
      <c r="P4" s="248" t="s">
        <v>1398</v>
      </c>
      <c r="Q4" s="248" t="s">
        <v>1397</v>
      </c>
      <c r="R4" s="248" t="s">
        <v>1398</v>
      </c>
      <c r="S4" s="250"/>
      <c r="T4" s="248"/>
      <c r="U4" s="249"/>
    </row>
    <row r="5" spans="1:21">
      <c r="A5" s="245"/>
      <c r="B5" s="246"/>
      <c r="C5" s="245"/>
      <c r="D5" s="245"/>
      <c r="E5" s="245"/>
      <c r="F5" s="245"/>
      <c r="G5" s="244"/>
      <c r="H5" s="247"/>
      <c r="I5" s="244"/>
      <c r="J5" s="248"/>
      <c r="K5" s="244"/>
      <c r="L5" s="244"/>
      <c r="M5" s="248"/>
      <c r="N5" s="248"/>
      <c r="O5" s="248"/>
      <c r="P5" s="248"/>
      <c r="Q5" s="248"/>
      <c r="R5" s="248"/>
      <c r="S5" s="250"/>
      <c r="T5" s="248"/>
      <c r="U5" s="249"/>
    </row>
    <row r="6" spans="1:21">
      <c r="A6" s="95"/>
      <c r="B6" s="96"/>
      <c r="C6" s="93" t="s">
        <v>1399</v>
      </c>
      <c r="D6" s="93"/>
      <c r="E6" s="93"/>
      <c r="F6" s="93"/>
      <c r="G6" s="94">
        <f t="shared" ref="G6:U6" si="1">SUBTOTAL(9,G7:G1048569)</f>
        <v>65109207</v>
      </c>
      <c r="H6" s="94">
        <f t="shared" si="1"/>
        <v>62321166</v>
      </c>
      <c r="I6" s="94">
        <f t="shared" si="1"/>
        <v>0</v>
      </c>
      <c r="J6" s="94">
        <f t="shared" si="1"/>
        <v>0</v>
      </c>
      <c r="K6" s="94">
        <f>SUBTOTAL(9,K7:K1048569)</f>
        <v>0</v>
      </c>
      <c r="L6" s="94">
        <f t="shared" si="1"/>
        <v>0</v>
      </c>
      <c r="M6" s="94">
        <f t="shared" si="1"/>
        <v>2274312</v>
      </c>
      <c r="N6" s="94">
        <f t="shared" si="1"/>
        <v>4975056</v>
      </c>
      <c r="O6" s="94">
        <f t="shared" si="1"/>
        <v>426433</v>
      </c>
      <c r="P6" s="94">
        <f t="shared" si="1"/>
        <v>852867</v>
      </c>
      <c r="Q6" s="94">
        <f t="shared" si="1"/>
        <v>87296</v>
      </c>
      <c r="R6" s="94">
        <f t="shared" si="1"/>
        <v>87296</v>
      </c>
      <c r="S6" s="94">
        <f t="shared" si="1"/>
        <v>568578</v>
      </c>
      <c r="T6" s="94">
        <f t="shared" si="1"/>
        <v>3843000</v>
      </c>
      <c r="U6" s="94">
        <f t="shared" si="1"/>
        <v>75436004</v>
      </c>
    </row>
    <row r="7" spans="1:21" ht="15.75">
      <c r="A7" s="97">
        <v>1</v>
      </c>
      <c r="B7" s="98"/>
      <c r="C7" s="98"/>
      <c r="D7" s="98" t="s">
        <v>1400</v>
      </c>
      <c r="E7" s="99">
        <v>21</v>
      </c>
      <c r="F7" s="99">
        <v>21</v>
      </c>
      <c r="G7" s="100">
        <v>25051680</v>
      </c>
      <c r="H7" s="101">
        <v>24049396</v>
      </c>
      <c r="I7" s="102"/>
      <c r="J7" s="103"/>
      <c r="K7" s="104"/>
      <c r="L7" s="104"/>
      <c r="M7" s="103">
        <v>844029</v>
      </c>
      <c r="N7" s="103">
        <v>1846313</v>
      </c>
      <c r="O7" s="103">
        <v>158255</v>
      </c>
      <c r="P7" s="103">
        <v>316511</v>
      </c>
      <c r="Q7" s="103">
        <v>0</v>
      </c>
      <c r="R7" s="103">
        <v>0</v>
      </c>
      <c r="S7" s="103">
        <v>211007</v>
      </c>
      <c r="T7" s="105">
        <v>930000</v>
      </c>
      <c r="U7" s="106">
        <f t="shared" ref="U7:U9" si="2">SUM(H7:T7)</f>
        <v>28355511</v>
      </c>
    </row>
    <row r="8" spans="1:21" ht="15.75">
      <c r="A8" s="97">
        <v>2</v>
      </c>
      <c r="B8" s="98"/>
      <c r="C8" s="98"/>
      <c r="D8" s="98" t="s">
        <v>1400</v>
      </c>
      <c r="E8" s="99">
        <v>21</v>
      </c>
      <c r="F8" s="99">
        <v>21</v>
      </c>
      <c r="G8" s="100">
        <v>19713350</v>
      </c>
      <c r="H8" s="101">
        <v>18844201</v>
      </c>
      <c r="I8" s="102"/>
      <c r="J8" s="103"/>
      <c r="K8" s="104"/>
      <c r="L8" s="104"/>
      <c r="M8" s="103">
        <v>731915</v>
      </c>
      <c r="N8" s="103">
        <v>1601063</v>
      </c>
      <c r="O8" s="103">
        <v>137234</v>
      </c>
      <c r="P8" s="103">
        <v>274468</v>
      </c>
      <c r="Q8" s="103">
        <v>0</v>
      </c>
      <c r="R8" s="103">
        <v>0</v>
      </c>
      <c r="S8" s="103">
        <v>182979</v>
      </c>
      <c r="T8" s="105">
        <v>1047000</v>
      </c>
      <c r="U8" s="106">
        <f t="shared" si="2"/>
        <v>22818860</v>
      </c>
    </row>
    <row r="9" spans="1:21" ht="15.75">
      <c r="A9" s="97">
        <v>3</v>
      </c>
      <c r="B9" s="98"/>
      <c r="C9" s="98"/>
      <c r="D9" s="98" t="s">
        <v>1401</v>
      </c>
      <c r="E9" s="99">
        <v>21</v>
      </c>
      <c r="F9" s="99">
        <v>21</v>
      </c>
      <c r="G9" s="100">
        <v>20344177</v>
      </c>
      <c r="H9" s="101">
        <v>19427569</v>
      </c>
      <c r="I9" s="102"/>
      <c r="J9" s="103"/>
      <c r="K9" s="104"/>
      <c r="L9" s="104"/>
      <c r="M9" s="103">
        <v>698368</v>
      </c>
      <c r="N9" s="103">
        <v>1527680</v>
      </c>
      <c r="O9" s="103">
        <v>130944</v>
      </c>
      <c r="P9" s="103">
        <v>261888</v>
      </c>
      <c r="Q9" s="103">
        <v>87296</v>
      </c>
      <c r="R9" s="103">
        <v>87296</v>
      </c>
      <c r="S9" s="103">
        <v>174592</v>
      </c>
      <c r="T9" s="105">
        <v>1866000</v>
      </c>
      <c r="U9" s="106">
        <f t="shared" si="2"/>
        <v>24261633</v>
      </c>
    </row>
  </sheetData>
  <mergeCells count="26">
    <mergeCell ref="T2:T5"/>
    <mergeCell ref="U2:U5"/>
    <mergeCell ref="M3:N3"/>
    <mergeCell ref="O3:P3"/>
    <mergeCell ref="Q3:R3"/>
    <mergeCell ref="S3:S5"/>
    <mergeCell ref="M4:M5"/>
    <mergeCell ref="N4:N5"/>
    <mergeCell ref="O4:O5"/>
    <mergeCell ref="P4:P5"/>
    <mergeCell ref="M2:S2"/>
    <mergeCell ref="Q4:Q5"/>
    <mergeCell ref="R4:R5"/>
    <mergeCell ref="H2:H5"/>
    <mergeCell ref="I2:I5"/>
    <mergeCell ref="J2:J5"/>
    <mergeCell ref="K2:K5"/>
    <mergeCell ref="L2:L5"/>
    <mergeCell ref="G2:G5"/>
    <mergeCell ref="E4:E5"/>
    <mergeCell ref="F4:F5"/>
    <mergeCell ref="A2:A5"/>
    <mergeCell ref="B2:B5"/>
    <mergeCell ref="C2:C5"/>
    <mergeCell ref="D2:D5"/>
    <mergeCell ref="E2:F3"/>
  </mergeCells>
  <conditionalFormatting sqref="B1:B6">
    <cfRule type="duplicateValues" dxfId="2" priority="4"/>
  </conditionalFormatting>
  <conditionalFormatting sqref="C1:C6">
    <cfRule type="colorScale" priority="2">
      <colorScale>
        <cfvo type="min"/>
        <cfvo type="percentile" val="50"/>
        <cfvo type="max"/>
        <color rgb="FFF8696B"/>
        <color rgb="FFFFEB84"/>
        <color rgb="FF63BE7B"/>
      </colorScale>
    </cfRule>
    <cfRule type="dataBar" priority="3">
      <dataBar>
        <cfvo type="min"/>
        <cfvo type="max"/>
        <color rgb="FF638EC6"/>
      </dataBar>
      <extLst>
        <ext xmlns:x14="http://schemas.microsoft.com/office/spreadsheetml/2009/9/main" uri="{B025F937-C7B1-47D3-B67F-A62EFF666E3E}">
          <x14:id>{A94120AD-FDED-40A7-A104-B7607CA32504}</x14:id>
        </ext>
      </extLst>
    </cfRule>
  </conditionalFormatting>
  <conditionalFormatting sqref="C6">
    <cfRule type="duplicateValues" dxfId="1" priority="1"/>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A94120AD-FDED-40A7-A104-B7607CA32504}">
            <x14:dataBar minLength="0" maxLength="100" border="1" negativeBarBorderColorSameAsPositive="0">
              <x14:cfvo type="autoMin"/>
              <x14:cfvo type="autoMax"/>
              <x14:borderColor rgb="FF638EC6"/>
              <x14:negativeFillColor rgb="FFFF0000"/>
              <x14:negativeBorderColor rgb="FFFF0000"/>
              <x14:axisColor rgb="FF000000"/>
            </x14:dataBar>
          </x14:cfRule>
          <xm:sqref>C1:C6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26"/>
  <sheetViews>
    <sheetView workbookViewId="0">
      <selection activeCell="G13" sqref="G13"/>
    </sheetView>
  </sheetViews>
  <sheetFormatPr defaultColWidth="9.140625" defaultRowHeight="15"/>
  <cols>
    <col min="1" max="1" width="8.28515625" style="25" customWidth="1"/>
    <col min="2" max="2" width="22.42578125" style="25" customWidth="1"/>
    <col min="3" max="3" width="9.140625" style="25" customWidth="1"/>
    <col min="4" max="4" width="16.42578125" style="25" customWidth="1"/>
    <col min="5" max="5" width="3.140625" style="25" bestFit="1" customWidth="1"/>
    <col min="6" max="35" width="3.7109375" style="25" customWidth="1"/>
    <col min="36" max="36" width="5.42578125" style="25" customWidth="1"/>
    <col min="37" max="37" width="7.85546875" style="26" customWidth="1"/>
    <col min="38" max="38" width="12.140625" style="26" customWidth="1"/>
    <col min="39" max="16384" width="9.140625" style="25"/>
  </cols>
  <sheetData>
    <row r="1" spans="1:42">
      <c r="AL1" s="27" t="s">
        <v>1294</v>
      </c>
    </row>
    <row r="2" spans="1:42" ht="16.5">
      <c r="A2" s="255" t="s">
        <v>1295</v>
      </c>
      <c r="B2" s="255"/>
      <c r="C2" s="255"/>
      <c r="D2" s="255"/>
      <c r="AA2" s="26"/>
      <c r="AB2" s="26"/>
      <c r="AC2" s="240" t="s">
        <v>1296</v>
      </c>
      <c r="AD2" s="240"/>
      <c r="AE2" s="240"/>
      <c r="AF2" s="240"/>
      <c r="AG2" s="240"/>
      <c r="AH2" s="240"/>
      <c r="AI2" s="240"/>
      <c r="AJ2" s="240"/>
      <c r="AK2" s="240"/>
      <c r="AL2" s="240"/>
    </row>
    <row r="3" spans="1:42" ht="16.5">
      <c r="A3" s="256" t="s">
        <v>1297</v>
      </c>
      <c r="B3" s="256"/>
      <c r="C3" s="256"/>
      <c r="D3" s="256"/>
      <c r="Y3" s="30"/>
      <c r="Z3" s="30"/>
      <c r="AA3" s="30"/>
      <c r="AB3" s="30"/>
      <c r="AC3" s="240" t="s">
        <v>1298</v>
      </c>
      <c r="AD3" s="240"/>
      <c r="AE3" s="240"/>
      <c r="AF3" s="240"/>
      <c r="AG3" s="240"/>
      <c r="AH3" s="240"/>
      <c r="AI3" s="240"/>
      <c r="AJ3" s="240"/>
      <c r="AK3" s="240"/>
      <c r="AL3" s="240"/>
    </row>
    <row r="5" spans="1:42" ht="18.75">
      <c r="A5" s="257" t="s">
        <v>1299</v>
      </c>
      <c r="B5" s="257"/>
      <c r="C5" s="257"/>
      <c r="D5" s="257"/>
      <c r="E5" s="257"/>
      <c r="F5" s="257"/>
      <c r="G5" s="257"/>
      <c r="H5" s="257"/>
      <c r="I5" s="257"/>
      <c r="J5" s="257"/>
      <c r="K5" s="257"/>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257"/>
      <c r="AK5" s="257"/>
      <c r="AL5" s="257"/>
      <c r="AM5" s="31"/>
      <c r="AN5" s="31"/>
      <c r="AO5" s="31"/>
      <c r="AP5" s="31"/>
    </row>
    <row r="6" spans="1:42">
      <c r="A6" s="27"/>
      <c r="B6" s="32" t="s">
        <v>1331</v>
      </c>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31"/>
      <c r="AN6" s="31"/>
      <c r="AO6" s="31"/>
      <c r="AP6" s="31"/>
    </row>
    <row r="7" spans="1:42">
      <c r="B7" s="32" t="s">
        <v>1301</v>
      </c>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3"/>
      <c r="AL7" s="33"/>
      <c r="AM7" s="32"/>
      <c r="AN7" s="32"/>
      <c r="AO7" s="32"/>
      <c r="AP7" s="32"/>
    </row>
    <row r="8" spans="1:42" ht="17.25">
      <c r="B8" s="34"/>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3"/>
      <c r="AL8" s="33"/>
      <c r="AM8" s="32"/>
      <c r="AN8" s="32"/>
      <c r="AO8" s="32"/>
      <c r="AP8" s="32"/>
    </row>
    <row r="9" spans="1:42">
      <c r="A9" s="251" t="s">
        <v>1</v>
      </c>
      <c r="B9" s="251" t="s">
        <v>1302</v>
      </c>
      <c r="C9" s="252" t="s">
        <v>1303</v>
      </c>
      <c r="D9" s="253"/>
      <c r="E9" s="252" t="s">
        <v>1304</v>
      </c>
      <c r="F9" s="258"/>
      <c r="G9" s="258"/>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3"/>
      <c r="AL9" s="259" t="s">
        <v>1305</v>
      </c>
    </row>
    <row r="10" spans="1:42" s="37" customFormat="1" ht="14.25">
      <c r="A10" s="251"/>
      <c r="B10" s="251"/>
      <c r="C10" s="251" t="s">
        <v>1251</v>
      </c>
      <c r="D10" s="251" t="s">
        <v>1252</v>
      </c>
      <c r="E10" s="36">
        <v>1</v>
      </c>
      <c r="F10" s="36">
        <v>2</v>
      </c>
      <c r="G10" s="36">
        <v>3</v>
      </c>
      <c r="H10" s="36">
        <v>4</v>
      </c>
      <c r="I10" s="36">
        <v>5</v>
      </c>
      <c r="J10" s="36">
        <v>6</v>
      </c>
      <c r="K10" s="36">
        <v>7</v>
      </c>
      <c r="L10" s="36">
        <v>8</v>
      </c>
      <c r="M10" s="36">
        <v>9</v>
      </c>
      <c r="N10" s="36">
        <v>10</v>
      </c>
      <c r="O10" s="36">
        <v>11</v>
      </c>
      <c r="P10" s="36">
        <v>12</v>
      </c>
      <c r="Q10" s="36">
        <v>13</v>
      </c>
      <c r="R10" s="36">
        <v>14</v>
      </c>
      <c r="S10" s="36">
        <v>15</v>
      </c>
      <c r="T10" s="36">
        <v>16</v>
      </c>
      <c r="U10" s="36">
        <v>17</v>
      </c>
      <c r="V10" s="36">
        <v>18</v>
      </c>
      <c r="W10" s="36">
        <v>19</v>
      </c>
      <c r="X10" s="36">
        <v>20</v>
      </c>
      <c r="Y10" s="36">
        <v>21</v>
      </c>
      <c r="Z10" s="36">
        <v>22</v>
      </c>
      <c r="AA10" s="36">
        <v>23</v>
      </c>
      <c r="AB10" s="36">
        <v>24</v>
      </c>
      <c r="AC10" s="36">
        <v>25</v>
      </c>
      <c r="AD10" s="36">
        <v>26</v>
      </c>
      <c r="AE10" s="36">
        <v>27</v>
      </c>
      <c r="AF10" s="36">
        <v>28</v>
      </c>
      <c r="AG10" s="36">
        <v>29</v>
      </c>
      <c r="AH10" s="36">
        <v>30</v>
      </c>
      <c r="AI10" s="36">
        <v>31</v>
      </c>
      <c r="AJ10" s="252" t="s">
        <v>1306</v>
      </c>
      <c r="AK10" s="253"/>
      <c r="AL10" s="260"/>
    </row>
    <row r="11" spans="1:42" s="37" customFormat="1" ht="42.75">
      <c r="A11" s="251"/>
      <c r="B11" s="251"/>
      <c r="C11" s="251"/>
      <c r="D11" s="251"/>
      <c r="E11" s="36" t="s">
        <v>1307</v>
      </c>
      <c r="F11" s="36" t="s">
        <v>1308</v>
      </c>
      <c r="G11" s="36"/>
      <c r="H11" s="36"/>
      <c r="I11" s="36"/>
      <c r="J11" s="36"/>
      <c r="K11" s="36"/>
      <c r="L11" s="36" t="s">
        <v>1307</v>
      </c>
      <c r="M11" s="36" t="s">
        <v>1308</v>
      </c>
      <c r="N11" s="36"/>
      <c r="O11" s="36"/>
      <c r="P11" s="36"/>
      <c r="Q11" s="36"/>
      <c r="R11" s="36"/>
      <c r="S11" s="36" t="s">
        <v>1307</v>
      </c>
      <c r="T11" s="36" t="s">
        <v>1308</v>
      </c>
      <c r="U11" s="36"/>
      <c r="V11" s="36"/>
      <c r="W11" s="36"/>
      <c r="X11" s="36"/>
      <c r="Y11" s="36"/>
      <c r="Z11" s="36" t="s">
        <v>1307</v>
      </c>
      <c r="AA11" s="36" t="s">
        <v>1308</v>
      </c>
      <c r="AB11" s="36"/>
      <c r="AC11" s="36"/>
      <c r="AD11" s="36"/>
      <c r="AE11" s="36"/>
      <c r="AF11" s="36"/>
      <c r="AG11" s="36" t="s">
        <v>1307</v>
      </c>
      <c r="AH11" s="36" t="s">
        <v>1308</v>
      </c>
      <c r="AI11" s="36"/>
      <c r="AJ11" s="35" t="s">
        <v>1309</v>
      </c>
      <c r="AK11" s="35" t="s">
        <v>1310</v>
      </c>
      <c r="AL11" s="261"/>
    </row>
    <row r="12" spans="1:42" s="31" customFormat="1" ht="14.25">
      <c r="A12" s="38" t="s">
        <v>1311</v>
      </c>
      <c r="B12" s="38"/>
      <c r="C12" s="39"/>
      <c r="D12" s="39"/>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1"/>
      <c r="AK12" s="42"/>
      <c r="AL12" s="38"/>
    </row>
    <row r="13" spans="1:42" s="50" customFormat="1">
      <c r="A13" s="43">
        <v>1</v>
      </c>
      <c r="B13" s="44" t="s">
        <v>1312</v>
      </c>
      <c r="C13" s="45" t="s">
        <v>1313</v>
      </c>
      <c r="D13" s="43" t="s">
        <v>1314</v>
      </c>
      <c r="E13" s="46"/>
      <c r="F13" s="46"/>
      <c r="G13" s="46">
        <v>1</v>
      </c>
      <c r="H13" s="46"/>
      <c r="I13" s="46"/>
      <c r="J13" s="46"/>
      <c r="K13" s="46"/>
      <c r="L13" s="46"/>
      <c r="M13" s="46"/>
      <c r="N13" s="46">
        <v>1</v>
      </c>
      <c r="O13" s="46">
        <v>1</v>
      </c>
      <c r="P13" s="46"/>
      <c r="Q13" s="46">
        <v>1</v>
      </c>
      <c r="R13" s="46">
        <v>1</v>
      </c>
      <c r="S13" s="46"/>
      <c r="T13" s="46"/>
      <c r="U13" s="46">
        <v>1</v>
      </c>
      <c r="V13" s="46"/>
      <c r="W13" s="46"/>
      <c r="X13" s="46"/>
      <c r="Y13" s="46"/>
      <c r="Z13" s="46">
        <v>1</v>
      </c>
      <c r="AA13" s="46"/>
      <c r="AB13" s="46">
        <v>1</v>
      </c>
      <c r="AC13" s="46">
        <v>1</v>
      </c>
      <c r="AD13" s="46"/>
      <c r="AE13" s="46">
        <v>1</v>
      </c>
      <c r="AF13" s="46">
        <v>1</v>
      </c>
      <c r="AG13" s="46"/>
      <c r="AH13" s="46"/>
      <c r="AI13" s="46"/>
      <c r="AJ13" s="47">
        <f>SUM(E13:AI13)</f>
        <v>11</v>
      </c>
      <c r="AK13" s="48">
        <v>0.5</v>
      </c>
      <c r="AL13" s="49"/>
    </row>
    <row r="14" spans="1:42">
      <c r="A14" s="43">
        <v>2</v>
      </c>
      <c r="B14" s="51" t="s">
        <v>1315</v>
      </c>
      <c r="C14" s="45" t="s">
        <v>1316</v>
      </c>
      <c r="D14" s="43" t="s">
        <v>1317</v>
      </c>
      <c r="E14" s="46"/>
      <c r="F14" s="46"/>
      <c r="G14" s="46">
        <v>1</v>
      </c>
      <c r="H14" s="46">
        <v>1</v>
      </c>
      <c r="I14" s="46">
        <v>1</v>
      </c>
      <c r="J14" s="46">
        <v>1</v>
      </c>
      <c r="K14" s="46">
        <v>1</v>
      </c>
      <c r="L14" s="46">
        <v>1</v>
      </c>
      <c r="M14" s="46"/>
      <c r="N14" s="46">
        <v>1</v>
      </c>
      <c r="O14" s="46">
        <v>1</v>
      </c>
      <c r="P14" s="46">
        <v>1</v>
      </c>
      <c r="Q14" s="46">
        <v>1</v>
      </c>
      <c r="R14" s="46">
        <v>1</v>
      </c>
      <c r="S14" s="46"/>
      <c r="T14" s="46"/>
      <c r="U14" s="46">
        <v>1</v>
      </c>
      <c r="V14" s="46">
        <v>1</v>
      </c>
      <c r="W14" s="46">
        <v>1</v>
      </c>
      <c r="X14" s="46">
        <v>1</v>
      </c>
      <c r="Y14" s="46">
        <v>1</v>
      </c>
      <c r="Z14" s="46">
        <v>1</v>
      </c>
      <c r="AA14" s="46"/>
      <c r="AB14" s="46">
        <v>1</v>
      </c>
      <c r="AC14" s="46">
        <v>1</v>
      </c>
      <c r="AD14" s="46">
        <v>1</v>
      </c>
      <c r="AE14" s="46">
        <v>1</v>
      </c>
      <c r="AF14" s="46">
        <v>1</v>
      </c>
      <c r="AG14" s="46"/>
      <c r="AH14" s="46"/>
      <c r="AI14" s="46"/>
      <c r="AJ14" s="47">
        <f t="shared" ref="AJ14:AJ19" si="0">SUM(E14:AI14)</f>
        <v>22</v>
      </c>
      <c r="AK14" s="52">
        <v>1</v>
      </c>
      <c r="AL14" s="53"/>
    </row>
    <row r="15" spans="1:42" s="31" customFormat="1">
      <c r="A15" s="38" t="s">
        <v>1318</v>
      </c>
      <c r="B15" s="38"/>
      <c r="C15" s="39"/>
      <c r="D15" s="39"/>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7"/>
      <c r="AK15" s="52"/>
      <c r="AL15" s="38"/>
    </row>
    <row r="16" spans="1:42" s="57" customFormat="1" ht="30">
      <c r="A16" s="54">
        <v>1</v>
      </c>
      <c r="B16" s="55" t="s">
        <v>1319</v>
      </c>
      <c r="C16" s="54"/>
      <c r="D16" s="54"/>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7"/>
      <c r="AK16" s="52"/>
      <c r="AL16" s="56"/>
    </row>
    <row r="17" spans="1:38" ht="30">
      <c r="A17" s="43"/>
      <c r="B17" s="58" t="s">
        <v>1320</v>
      </c>
      <c r="C17" s="45" t="s">
        <v>1321</v>
      </c>
      <c r="D17" s="59" t="s">
        <v>1322</v>
      </c>
      <c r="E17" s="46"/>
      <c r="F17" s="46"/>
      <c r="G17" s="46"/>
      <c r="H17" s="46">
        <v>1</v>
      </c>
      <c r="I17" s="46">
        <v>1</v>
      </c>
      <c r="J17" s="46">
        <v>1</v>
      </c>
      <c r="K17" s="46">
        <v>1</v>
      </c>
      <c r="L17" s="46">
        <v>1</v>
      </c>
      <c r="M17" s="46"/>
      <c r="N17" s="46"/>
      <c r="O17" s="46"/>
      <c r="P17" s="46">
        <v>1</v>
      </c>
      <c r="Q17" s="46"/>
      <c r="R17" s="46"/>
      <c r="S17" s="46"/>
      <c r="T17" s="46"/>
      <c r="U17" s="46"/>
      <c r="V17" s="46">
        <v>1</v>
      </c>
      <c r="W17" s="46">
        <v>1</v>
      </c>
      <c r="X17" s="46">
        <v>1</v>
      </c>
      <c r="Y17" s="46">
        <v>1</v>
      </c>
      <c r="Z17" s="46"/>
      <c r="AA17" s="46"/>
      <c r="AB17" s="46"/>
      <c r="AC17" s="46"/>
      <c r="AD17" s="46">
        <v>1</v>
      </c>
      <c r="AE17" s="46"/>
      <c r="AF17" s="46"/>
      <c r="AG17" s="46"/>
      <c r="AH17" s="46"/>
      <c r="AI17" s="46"/>
      <c r="AJ17" s="47">
        <f t="shared" si="0"/>
        <v>11</v>
      </c>
      <c r="AK17" s="48" t="s">
        <v>1323</v>
      </c>
      <c r="AL17" s="53"/>
    </row>
    <row r="18" spans="1:38" s="57" customFormat="1">
      <c r="A18" s="54">
        <v>2</v>
      </c>
      <c r="B18" s="56" t="s">
        <v>1324</v>
      </c>
      <c r="C18" s="54"/>
      <c r="D18" s="54"/>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7"/>
      <c r="AK18" s="52"/>
      <c r="AL18" s="56"/>
    </row>
    <row r="19" spans="1:38" ht="30">
      <c r="A19" s="43"/>
      <c r="B19" s="58" t="s">
        <v>1320</v>
      </c>
      <c r="C19" s="45" t="s">
        <v>1325</v>
      </c>
      <c r="D19" s="43" t="s">
        <v>1326</v>
      </c>
      <c r="E19" s="46"/>
      <c r="F19" s="46"/>
      <c r="G19" s="46">
        <v>1</v>
      </c>
      <c r="H19" s="46">
        <v>1</v>
      </c>
      <c r="I19" s="46">
        <v>1</v>
      </c>
      <c r="J19" s="46">
        <v>1</v>
      </c>
      <c r="K19" s="46">
        <v>1</v>
      </c>
      <c r="L19" s="46">
        <v>1</v>
      </c>
      <c r="M19" s="46"/>
      <c r="N19" s="46">
        <v>1</v>
      </c>
      <c r="O19" s="46">
        <v>1</v>
      </c>
      <c r="P19" s="46">
        <v>1</v>
      </c>
      <c r="Q19" s="46">
        <v>1</v>
      </c>
      <c r="R19" s="46">
        <v>1</v>
      </c>
      <c r="S19" s="46"/>
      <c r="T19" s="46"/>
      <c r="U19" s="46">
        <v>1</v>
      </c>
      <c r="V19" s="46">
        <v>1</v>
      </c>
      <c r="W19" s="46">
        <v>1</v>
      </c>
      <c r="X19" s="46">
        <v>1</v>
      </c>
      <c r="Y19" s="46">
        <v>1</v>
      </c>
      <c r="Z19" s="46">
        <v>1</v>
      </c>
      <c r="AA19" s="46"/>
      <c r="AB19" s="46">
        <v>1</v>
      </c>
      <c r="AC19" s="46">
        <v>1</v>
      </c>
      <c r="AD19" s="46">
        <v>1</v>
      </c>
      <c r="AE19" s="46">
        <v>1</v>
      </c>
      <c r="AF19" s="46">
        <v>1</v>
      </c>
      <c r="AG19" s="46"/>
      <c r="AH19" s="46"/>
      <c r="AI19" s="46"/>
      <c r="AJ19" s="47">
        <f t="shared" si="0"/>
        <v>22</v>
      </c>
      <c r="AK19" s="52">
        <v>1</v>
      </c>
      <c r="AL19" s="51" t="s">
        <v>1327</v>
      </c>
    </row>
    <row r="20" spans="1:38">
      <c r="A20" s="254" t="s">
        <v>1328</v>
      </c>
      <c r="B20" s="254"/>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2"/>
      <c r="AG20" s="62"/>
      <c r="AH20" s="61"/>
      <c r="AI20" s="61"/>
      <c r="AJ20" s="63">
        <f>SUM(AJ13:AJ19)</f>
        <v>66</v>
      </c>
      <c r="AK20" s="63"/>
      <c r="AL20" s="61"/>
    </row>
    <row r="21" spans="1:38" ht="16.5">
      <c r="A21" s="26"/>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30"/>
      <c r="AI21" s="28"/>
      <c r="AJ21" s="28"/>
    </row>
    <row r="22" spans="1:38" ht="16.5">
      <c r="C22" s="29" t="s">
        <v>1329</v>
      </c>
      <c r="F22" s="64"/>
      <c r="G22" s="64"/>
      <c r="H22" s="64"/>
      <c r="I22" s="64"/>
      <c r="J22" s="64"/>
      <c r="K22" s="64"/>
      <c r="L22" s="64"/>
      <c r="M22" s="65" t="s">
        <v>1330</v>
      </c>
      <c r="N22" s="64"/>
      <c r="P22" s="64"/>
      <c r="Q22" s="64"/>
      <c r="S22" s="64"/>
      <c r="T22" s="64"/>
      <c r="U22" s="64"/>
      <c r="V22" s="64"/>
      <c r="W22" s="64"/>
      <c r="X22" s="64"/>
      <c r="Y22" s="64"/>
      <c r="Z22" s="64"/>
      <c r="AA22" s="64"/>
      <c r="AB22" s="65" t="s">
        <v>1297</v>
      </c>
      <c r="AC22" s="64"/>
      <c r="AD22" s="64"/>
      <c r="AE22" s="64"/>
      <c r="AF22" s="64"/>
      <c r="AG22" s="64"/>
      <c r="AH22" s="64"/>
      <c r="AI22" s="64"/>
      <c r="AJ22" s="64"/>
      <c r="AK22" s="29"/>
      <c r="AL22" s="29"/>
    </row>
    <row r="23" spans="1:38" ht="16.5">
      <c r="C23" s="29"/>
      <c r="F23" s="64"/>
      <c r="G23" s="64"/>
      <c r="H23" s="64"/>
      <c r="I23" s="64"/>
      <c r="J23" s="64"/>
      <c r="K23" s="64"/>
      <c r="L23" s="64"/>
      <c r="M23" s="65"/>
      <c r="N23" s="64"/>
      <c r="P23" s="64"/>
      <c r="Q23" s="64"/>
      <c r="S23" s="64"/>
      <c r="T23" s="64"/>
      <c r="U23" s="64"/>
      <c r="V23" s="64"/>
      <c r="W23" s="64"/>
      <c r="X23" s="64"/>
      <c r="Y23" s="64"/>
      <c r="Z23" s="64"/>
      <c r="AA23" s="64"/>
      <c r="AB23" s="65"/>
      <c r="AC23" s="64"/>
      <c r="AD23" s="64"/>
      <c r="AE23" s="64"/>
      <c r="AF23" s="64"/>
      <c r="AG23" s="64"/>
      <c r="AH23" s="64"/>
      <c r="AI23" s="64"/>
      <c r="AJ23" s="64"/>
      <c r="AK23" s="29"/>
      <c r="AL23" s="29"/>
    </row>
    <row r="24" spans="1:38">
      <c r="A24" s="2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row>
    <row r="25" spans="1:38">
      <c r="B25" s="32"/>
    </row>
    <row r="26" spans="1:38">
      <c r="B26" s="67"/>
      <c r="K26" s="68"/>
    </row>
  </sheetData>
  <mergeCells count="14">
    <mergeCell ref="C10:C11"/>
    <mergeCell ref="D10:D11"/>
    <mergeCell ref="AJ10:AK10"/>
    <mergeCell ref="A20:B20"/>
    <mergeCell ref="A2:D2"/>
    <mergeCell ref="AC2:AL2"/>
    <mergeCell ref="A3:D3"/>
    <mergeCell ref="AC3:AL3"/>
    <mergeCell ref="A5:AL5"/>
    <mergeCell ref="A9:A11"/>
    <mergeCell ref="B9:B11"/>
    <mergeCell ref="C9:D9"/>
    <mergeCell ref="E9:AK9"/>
    <mergeCell ref="AL9:AL11"/>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9"/>
  <sheetViews>
    <sheetView workbookViewId="0">
      <selection activeCell="E10" sqref="E10"/>
    </sheetView>
  </sheetViews>
  <sheetFormatPr defaultColWidth="9.140625" defaultRowHeight="15"/>
  <cols>
    <col min="1" max="1" width="5" style="25" customWidth="1"/>
    <col min="2" max="2" width="9.140625" style="25" customWidth="1"/>
    <col min="3" max="4" width="9.85546875" style="25" customWidth="1"/>
    <col min="5" max="5" width="9.5703125" style="26" customWidth="1"/>
    <col min="6" max="6" width="12.42578125" style="25" customWidth="1"/>
    <col min="7" max="7" width="12" style="25" customWidth="1"/>
    <col min="8" max="14" width="9.140625" style="25" customWidth="1"/>
    <col min="15" max="15" width="6.7109375" style="26" customWidth="1"/>
    <col min="16" max="16" width="9.5703125" style="26" customWidth="1"/>
    <col min="17" max="17" width="10.42578125" style="26" customWidth="1"/>
    <col min="18" max="16384" width="9.140625" style="25"/>
  </cols>
  <sheetData>
    <row r="1" spans="1:23">
      <c r="Q1" s="70" t="s">
        <v>1483</v>
      </c>
    </row>
    <row r="2" spans="1:23" ht="16.5">
      <c r="A2" s="262" t="s">
        <v>1333</v>
      </c>
      <c r="B2" s="262"/>
      <c r="C2" s="262"/>
      <c r="D2" s="262"/>
      <c r="E2" s="262"/>
      <c r="F2" s="262"/>
      <c r="G2" s="262"/>
      <c r="L2" s="240" t="s">
        <v>1296</v>
      </c>
      <c r="M2" s="240"/>
      <c r="N2" s="240"/>
      <c r="O2" s="240"/>
      <c r="P2" s="240"/>
      <c r="Q2" s="240"/>
      <c r="R2" s="30"/>
      <c r="S2" s="30"/>
      <c r="T2" s="30"/>
      <c r="U2" s="30"/>
      <c r="V2" s="30"/>
      <c r="W2" s="30"/>
    </row>
    <row r="3" spans="1:23" ht="16.5">
      <c r="A3" s="256" t="s">
        <v>1295</v>
      </c>
      <c r="B3" s="256"/>
      <c r="C3" s="256"/>
      <c r="D3" s="256"/>
      <c r="E3" s="256"/>
      <c r="F3" s="256"/>
      <c r="G3" s="256"/>
      <c r="M3" s="240" t="s">
        <v>1298</v>
      </c>
      <c r="N3" s="240"/>
      <c r="O3" s="240"/>
      <c r="P3" s="240"/>
      <c r="Q3" s="240"/>
      <c r="R3" s="30"/>
      <c r="S3" s="30"/>
      <c r="T3" s="30"/>
      <c r="U3" s="30"/>
      <c r="V3" s="30"/>
      <c r="W3" s="30"/>
    </row>
    <row r="5" spans="1:23" ht="18.75">
      <c r="A5" s="257" t="s">
        <v>1484</v>
      </c>
      <c r="B5" s="257"/>
      <c r="C5" s="257"/>
      <c r="D5" s="257"/>
      <c r="E5" s="257"/>
      <c r="F5" s="257"/>
      <c r="G5" s="257"/>
      <c r="H5" s="257"/>
      <c r="I5" s="257"/>
      <c r="J5" s="257"/>
      <c r="K5" s="257"/>
      <c r="L5" s="257"/>
      <c r="M5" s="257"/>
      <c r="N5" s="257"/>
      <c r="O5" s="257"/>
      <c r="P5" s="257"/>
      <c r="Q5" s="257"/>
      <c r="R5" s="31"/>
      <c r="S5" s="31"/>
      <c r="T5" s="31"/>
      <c r="U5" s="31"/>
    </row>
    <row r="6" spans="1:23">
      <c r="B6" s="32"/>
      <c r="C6" s="32"/>
      <c r="D6" s="32"/>
      <c r="E6" s="33"/>
      <c r="F6" s="32"/>
      <c r="G6" s="32"/>
      <c r="H6" s="32"/>
      <c r="I6" s="32"/>
      <c r="J6" s="32"/>
      <c r="K6" s="32"/>
      <c r="L6" s="32"/>
      <c r="M6" s="32"/>
      <c r="N6" s="32"/>
      <c r="O6" s="33"/>
      <c r="P6" s="33"/>
      <c r="Q6" s="33"/>
      <c r="R6" s="32"/>
      <c r="S6" s="32"/>
      <c r="T6" s="32"/>
      <c r="U6" s="32"/>
    </row>
    <row r="7" spans="1:23">
      <c r="A7" s="251" t="s">
        <v>1</v>
      </c>
      <c r="B7" s="251" t="s">
        <v>1303</v>
      </c>
      <c r="C7" s="251"/>
      <c r="D7" s="251"/>
      <c r="E7" s="251"/>
      <c r="F7" s="251" t="s">
        <v>1485</v>
      </c>
      <c r="G7" s="251"/>
      <c r="H7" s="251"/>
      <c r="I7" s="251"/>
      <c r="J7" s="251"/>
      <c r="K7" s="251"/>
      <c r="L7" s="251"/>
      <c r="M7" s="251"/>
      <c r="N7" s="251"/>
      <c r="O7" s="251"/>
      <c r="P7" s="251"/>
      <c r="Q7" s="251"/>
    </row>
    <row r="8" spans="1:23" s="37" customFormat="1" ht="36">
      <c r="A8" s="251"/>
      <c r="B8" s="251" t="s">
        <v>1251</v>
      </c>
      <c r="C8" s="251" t="s">
        <v>1252</v>
      </c>
      <c r="D8" s="251" t="s">
        <v>1472</v>
      </c>
      <c r="E8" s="251" t="s">
        <v>127</v>
      </c>
      <c r="F8" s="189" t="s">
        <v>1486</v>
      </c>
      <c r="G8" s="189" t="s">
        <v>1487</v>
      </c>
      <c r="H8" s="35" t="s">
        <v>1488</v>
      </c>
      <c r="I8" s="35" t="s">
        <v>1488</v>
      </c>
      <c r="J8" s="35" t="s">
        <v>1488</v>
      </c>
      <c r="K8" s="35" t="s">
        <v>1488</v>
      </c>
      <c r="L8" s="35" t="s">
        <v>1488</v>
      </c>
      <c r="M8" s="35" t="s">
        <v>1488</v>
      </c>
      <c r="N8" s="35" t="s">
        <v>1488</v>
      </c>
      <c r="O8" s="251" t="s">
        <v>1306</v>
      </c>
      <c r="P8" s="251"/>
      <c r="Q8" s="251"/>
    </row>
    <row r="9" spans="1:23" s="37" customFormat="1" ht="28.5">
      <c r="A9" s="251"/>
      <c r="B9" s="251"/>
      <c r="C9" s="251"/>
      <c r="D9" s="251"/>
      <c r="E9" s="251"/>
      <c r="F9" s="190" t="s">
        <v>1489</v>
      </c>
      <c r="G9" s="190" t="s">
        <v>1489</v>
      </c>
      <c r="H9" s="190" t="s">
        <v>1489</v>
      </c>
      <c r="I9" s="190" t="s">
        <v>1489</v>
      </c>
      <c r="J9" s="190" t="s">
        <v>1489</v>
      </c>
      <c r="K9" s="190" t="s">
        <v>1489</v>
      </c>
      <c r="L9" s="190" t="s">
        <v>1489</v>
      </c>
      <c r="M9" s="190" t="s">
        <v>1489</v>
      </c>
      <c r="N9" s="190" t="s">
        <v>1489</v>
      </c>
      <c r="O9" s="35" t="s">
        <v>1309</v>
      </c>
      <c r="P9" s="35" t="s">
        <v>1310</v>
      </c>
      <c r="Q9" s="35" t="s">
        <v>1490</v>
      </c>
    </row>
    <row r="10" spans="1:23">
      <c r="A10" s="160"/>
      <c r="B10" s="81"/>
      <c r="C10" s="81"/>
      <c r="D10" s="81"/>
      <c r="E10" s="160"/>
      <c r="F10" s="46"/>
      <c r="G10" s="46"/>
      <c r="H10" s="46"/>
      <c r="I10" s="46"/>
      <c r="J10" s="46"/>
      <c r="K10" s="46"/>
      <c r="L10" s="46"/>
      <c r="M10" s="46"/>
      <c r="N10" s="46"/>
      <c r="O10" s="47"/>
      <c r="P10" s="47"/>
      <c r="Q10" s="47"/>
    </row>
    <row r="11" spans="1:23">
      <c r="A11" s="160"/>
      <c r="B11" s="81"/>
      <c r="C11" s="81"/>
      <c r="D11" s="81"/>
      <c r="E11" s="160"/>
      <c r="F11" s="46"/>
      <c r="G11" s="46"/>
      <c r="H11" s="46"/>
      <c r="I11" s="46"/>
      <c r="J11" s="46"/>
      <c r="K11" s="46"/>
      <c r="L11" s="46"/>
      <c r="M11" s="46"/>
      <c r="N11" s="46"/>
      <c r="O11" s="47"/>
      <c r="P11" s="47"/>
      <c r="Q11" s="47"/>
    </row>
    <row r="12" spans="1:23">
      <c r="A12" s="160"/>
      <c r="B12" s="81"/>
      <c r="C12" s="81"/>
      <c r="D12" s="81"/>
      <c r="E12" s="160"/>
      <c r="F12" s="46"/>
      <c r="G12" s="46"/>
      <c r="H12" s="46"/>
      <c r="I12" s="46"/>
      <c r="J12" s="46"/>
      <c r="K12" s="46"/>
      <c r="L12" s="46"/>
      <c r="M12" s="46"/>
      <c r="N12" s="46"/>
      <c r="O12" s="47"/>
      <c r="P12" s="47"/>
      <c r="Q12" s="47"/>
    </row>
    <row r="13" spans="1:23">
      <c r="A13" s="35"/>
      <c r="B13" s="191" t="s">
        <v>1328</v>
      </c>
      <c r="C13" s="61"/>
      <c r="D13" s="61"/>
      <c r="E13" s="192"/>
      <c r="F13" s="61"/>
      <c r="G13" s="61"/>
      <c r="H13" s="61"/>
      <c r="I13" s="61"/>
      <c r="J13" s="61"/>
      <c r="K13" s="61"/>
      <c r="L13" s="61"/>
      <c r="M13" s="61"/>
      <c r="N13" s="61"/>
      <c r="O13" s="63"/>
      <c r="P13" s="63"/>
      <c r="Q13" s="63"/>
    </row>
    <row r="14" spans="1:23" ht="16.5">
      <c r="A14" s="26"/>
      <c r="F14" s="28"/>
      <c r="G14" s="28"/>
      <c r="H14" s="28"/>
      <c r="I14" s="28"/>
      <c r="J14" s="28"/>
      <c r="K14" s="28"/>
      <c r="L14" s="28"/>
      <c r="M14" s="28"/>
      <c r="N14" s="28"/>
    </row>
    <row r="15" spans="1:23" s="64" customFormat="1" ht="16.5">
      <c r="B15" s="29"/>
      <c r="D15" s="84" t="s">
        <v>1362</v>
      </c>
      <c r="E15" s="193"/>
      <c r="L15" s="72"/>
      <c r="M15" s="72" t="s">
        <v>1363</v>
      </c>
      <c r="O15" s="29"/>
      <c r="P15" s="29"/>
      <c r="Q15" s="29"/>
    </row>
    <row r="16" spans="1:23" s="64" customFormat="1" ht="16.5">
      <c r="B16" s="29"/>
      <c r="D16" s="84"/>
      <c r="E16" s="193"/>
      <c r="L16" s="72"/>
      <c r="M16" s="72"/>
      <c r="O16" s="29"/>
      <c r="P16" s="29"/>
      <c r="Q16" s="29"/>
    </row>
    <row r="17" spans="1:14">
      <c r="A17" s="26"/>
      <c r="F17" s="66"/>
      <c r="G17" s="66"/>
      <c r="H17" s="66"/>
      <c r="I17" s="66"/>
      <c r="J17" s="66"/>
      <c r="K17" s="66"/>
      <c r="L17" s="66"/>
      <c r="M17" s="66"/>
      <c r="N17" s="66"/>
    </row>
    <row r="19" spans="1:14">
      <c r="K19" s="68"/>
    </row>
  </sheetData>
  <mergeCells count="13">
    <mergeCell ref="D8:D9"/>
    <mergeCell ref="E8:E9"/>
    <mergeCell ref="O8:Q8"/>
    <mergeCell ref="A2:G2"/>
    <mergeCell ref="L2:Q2"/>
    <mergeCell ref="A3:G3"/>
    <mergeCell ref="M3:Q3"/>
    <mergeCell ref="A5:Q5"/>
    <mergeCell ref="A7:A9"/>
    <mergeCell ref="B7:E7"/>
    <mergeCell ref="F7:Q7"/>
    <mergeCell ref="B8:B9"/>
    <mergeCell ref="C8:C9"/>
  </mergeCells>
  <conditionalFormatting sqref="B10:B12">
    <cfRule type="duplicateValues" dxfId="0" priority="1"/>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8"/>
  <sheetViews>
    <sheetView zoomScale="70" zoomScaleNormal="70" workbookViewId="0">
      <selection activeCell="L4" sqref="L4"/>
    </sheetView>
  </sheetViews>
  <sheetFormatPr defaultRowHeight="15"/>
  <cols>
    <col min="3" max="3" width="25.28515625" customWidth="1"/>
    <col min="4" max="4" width="59.85546875" style="18" customWidth="1"/>
    <col min="5" max="5" width="16.28515625" customWidth="1"/>
    <col min="6" max="6" width="21.5703125" bestFit="1" customWidth="1"/>
    <col min="7" max="7" width="11.42578125" customWidth="1"/>
    <col min="8" max="9" width="8.85546875"/>
    <col min="10" max="10" width="16.140625" customWidth="1"/>
    <col min="11" max="11" width="10.7109375" customWidth="1"/>
    <col min="12" max="12" width="9.42578125" bestFit="1" customWidth="1"/>
    <col min="13" max="14" width="8.85546875"/>
    <col min="15" max="29" width="15.28515625" bestFit="1" customWidth="1"/>
    <col min="30" max="30" width="14.28515625" bestFit="1" customWidth="1"/>
    <col min="31" max="31" width="17" customWidth="1"/>
    <col min="32" max="32" width="16.42578125" customWidth="1"/>
    <col min="33" max="33" width="9.28515625" bestFit="1" customWidth="1"/>
    <col min="34" max="34" width="14" bestFit="1" customWidth="1"/>
    <col min="35" max="35" width="9.28515625" bestFit="1" customWidth="1"/>
    <col min="36" max="37" width="12.85546875" bestFit="1" customWidth="1"/>
    <col min="38" max="42" width="11.42578125" bestFit="1" customWidth="1"/>
    <col min="43" max="43" width="12.85546875" bestFit="1" customWidth="1"/>
    <col min="44" max="44" width="16.7109375" customWidth="1"/>
  </cols>
  <sheetData>
    <row r="1" spans="1:44" ht="15" customHeight="1">
      <c r="A1" s="263" t="s">
        <v>1</v>
      </c>
      <c r="B1" s="264" t="s">
        <v>1402</v>
      </c>
      <c r="C1" s="265" t="s">
        <v>1252</v>
      </c>
      <c r="D1" s="263" t="s">
        <v>1403</v>
      </c>
      <c r="E1" s="263" t="s">
        <v>1404</v>
      </c>
      <c r="F1" s="263" t="s">
        <v>1405</v>
      </c>
      <c r="G1" s="263" t="s">
        <v>1406</v>
      </c>
      <c r="H1" s="263" t="s">
        <v>1398</v>
      </c>
      <c r="I1" s="263" t="s">
        <v>1407</v>
      </c>
      <c r="J1" s="263" t="s">
        <v>127</v>
      </c>
      <c r="K1" s="266" t="s">
        <v>1408</v>
      </c>
      <c r="L1" s="263" t="s">
        <v>1409</v>
      </c>
      <c r="M1" s="263" t="s">
        <v>1410</v>
      </c>
      <c r="N1" s="263" t="s">
        <v>1411</v>
      </c>
      <c r="O1" s="267" t="s">
        <v>1412</v>
      </c>
      <c r="P1" s="267"/>
      <c r="Q1" s="267"/>
      <c r="R1" s="267"/>
      <c r="S1" s="267"/>
      <c r="T1" s="267"/>
      <c r="U1" s="267"/>
      <c r="V1" s="267"/>
      <c r="W1" s="267"/>
      <c r="X1" s="267"/>
      <c r="Y1" s="267"/>
      <c r="Z1" s="267"/>
      <c r="AA1" s="267"/>
      <c r="AB1" s="267"/>
      <c r="AC1" s="267"/>
      <c r="AD1" s="267" t="s">
        <v>1413</v>
      </c>
      <c r="AE1" s="267"/>
      <c r="AF1" s="267"/>
      <c r="AG1" s="267"/>
      <c r="AH1" s="267"/>
      <c r="AI1" s="267"/>
      <c r="AJ1" s="267"/>
      <c r="AK1" s="267"/>
      <c r="AL1" s="267"/>
      <c r="AM1" s="267"/>
      <c r="AN1" s="267"/>
      <c r="AO1" s="267"/>
      <c r="AP1" s="267"/>
      <c r="AQ1" s="267"/>
      <c r="AR1" s="267"/>
    </row>
    <row r="2" spans="1:44" ht="15" customHeight="1">
      <c r="A2" s="263"/>
      <c r="B2" s="263"/>
      <c r="C2" s="265"/>
      <c r="D2" s="263"/>
      <c r="E2" s="263"/>
      <c r="F2" s="263"/>
      <c r="G2" s="263"/>
      <c r="H2" s="263"/>
      <c r="I2" s="263"/>
      <c r="J2" s="263"/>
      <c r="K2" s="266"/>
      <c r="L2" s="263"/>
      <c r="M2" s="263"/>
      <c r="N2" s="263"/>
      <c r="O2" s="267" t="s">
        <v>1383</v>
      </c>
      <c r="P2" s="267" t="s">
        <v>1384</v>
      </c>
      <c r="Q2" s="267" t="s">
        <v>1385</v>
      </c>
      <c r="R2" s="267" t="s">
        <v>1386</v>
      </c>
      <c r="S2" s="267" t="s">
        <v>1387</v>
      </c>
      <c r="T2" s="267" t="s">
        <v>1388</v>
      </c>
      <c r="U2" s="267" t="s">
        <v>1392</v>
      </c>
      <c r="V2" s="267"/>
      <c r="W2" s="267" t="s">
        <v>1393</v>
      </c>
      <c r="X2" s="267"/>
      <c r="Y2" s="267" t="s">
        <v>1394</v>
      </c>
      <c r="Z2" s="267"/>
      <c r="AA2" s="267" t="s">
        <v>1395</v>
      </c>
      <c r="AB2" s="267" t="s">
        <v>1414</v>
      </c>
      <c r="AC2" s="267" t="s">
        <v>1391</v>
      </c>
      <c r="AD2" s="267" t="s">
        <v>1383</v>
      </c>
      <c r="AE2" s="267" t="s">
        <v>1384</v>
      </c>
      <c r="AF2" s="267" t="s">
        <v>1385</v>
      </c>
      <c r="AG2" s="267" t="s">
        <v>1386</v>
      </c>
      <c r="AH2" s="267" t="s">
        <v>1387</v>
      </c>
      <c r="AI2" s="267" t="s">
        <v>1388</v>
      </c>
      <c r="AJ2" s="267" t="s">
        <v>1392</v>
      </c>
      <c r="AK2" s="267"/>
      <c r="AL2" s="267" t="s">
        <v>1393</v>
      </c>
      <c r="AM2" s="267"/>
      <c r="AN2" s="267" t="s">
        <v>1394</v>
      </c>
      <c r="AO2" s="267"/>
      <c r="AP2" s="267" t="s">
        <v>1395</v>
      </c>
      <c r="AQ2" s="267" t="s">
        <v>1414</v>
      </c>
      <c r="AR2" s="267" t="s">
        <v>1391</v>
      </c>
    </row>
    <row r="3" spans="1:44">
      <c r="A3" s="263"/>
      <c r="B3" s="263"/>
      <c r="C3" s="265"/>
      <c r="D3" s="263"/>
      <c r="E3" s="263"/>
      <c r="F3" s="263"/>
      <c r="G3" s="263"/>
      <c r="H3" s="263"/>
      <c r="I3" s="263"/>
      <c r="J3" s="263"/>
      <c r="K3" s="266"/>
      <c r="L3" s="263"/>
      <c r="M3" s="263"/>
      <c r="N3" s="263"/>
      <c r="O3" s="267"/>
      <c r="P3" s="267"/>
      <c r="Q3" s="267"/>
      <c r="R3" s="267"/>
      <c r="S3" s="267"/>
      <c r="T3" s="267"/>
      <c r="U3" s="107" t="s">
        <v>1397</v>
      </c>
      <c r="V3" s="107" t="s">
        <v>1398</v>
      </c>
      <c r="W3" s="107" t="s">
        <v>1397</v>
      </c>
      <c r="X3" s="107" t="s">
        <v>1398</v>
      </c>
      <c r="Y3" s="107" t="s">
        <v>1397</v>
      </c>
      <c r="Z3" s="107" t="s">
        <v>1398</v>
      </c>
      <c r="AA3" s="267"/>
      <c r="AB3" s="267"/>
      <c r="AC3" s="267"/>
      <c r="AD3" s="267"/>
      <c r="AE3" s="267"/>
      <c r="AF3" s="267"/>
      <c r="AG3" s="267"/>
      <c r="AH3" s="267"/>
      <c r="AI3" s="267"/>
      <c r="AJ3" s="107" t="s">
        <v>1397</v>
      </c>
      <c r="AK3" s="107" t="s">
        <v>1398</v>
      </c>
      <c r="AL3" s="107" t="s">
        <v>1397</v>
      </c>
      <c r="AM3" s="107" t="s">
        <v>1398</v>
      </c>
      <c r="AN3" s="107" t="s">
        <v>1397</v>
      </c>
      <c r="AO3" s="107" t="s">
        <v>1398</v>
      </c>
      <c r="AP3" s="267"/>
      <c r="AQ3" s="267"/>
      <c r="AR3" s="267"/>
    </row>
    <row r="4" spans="1:44" ht="28.5">
      <c r="A4" s="108">
        <f>SUBTOTAL(3,$B$4:B4)</f>
        <v>0</v>
      </c>
      <c r="B4" s="109"/>
      <c r="C4" s="110"/>
      <c r="D4" s="217" t="s">
        <v>1415</v>
      </c>
      <c r="E4" s="111"/>
      <c r="F4" s="108" t="s">
        <v>1416</v>
      </c>
      <c r="G4" s="108" t="s">
        <v>67</v>
      </c>
      <c r="H4" s="108" t="s">
        <v>1417</v>
      </c>
      <c r="I4" s="108" t="s">
        <v>60</v>
      </c>
      <c r="J4" s="112">
        <v>21</v>
      </c>
      <c r="K4" s="113">
        <v>1</v>
      </c>
      <c r="L4" s="114" t="s">
        <v>1450</v>
      </c>
      <c r="M4" s="108">
        <v>2</v>
      </c>
      <c r="N4" s="108">
        <v>1</v>
      </c>
      <c r="O4" s="115">
        <v>70135769</v>
      </c>
      <c r="P4" s="115">
        <v>68687945</v>
      </c>
      <c r="Q4" s="115">
        <v>0</v>
      </c>
      <c r="R4" s="115">
        <v>0</v>
      </c>
      <c r="S4" s="115">
        <v>0</v>
      </c>
      <c r="T4" s="115">
        <v>0</v>
      </c>
      <c r="U4" s="115">
        <v>1103104</v>
      </c>
      <c r="V4" s="115">
        <v>2413040</v>
      </c>
      <c r="W4" s="115">
        <v>206832</v>
      </c>
      <c r="X4" s="115">
        <v>413664</v>
      </c>
      <c r="Y4" s="115">
        <v>137888</v>
      </c>
      <c r="Z4" s="115">
        <v>137888</v>
      </c>
      <c r="AA4" s="115">
        <v>275776</v>
      </c>
      <c r="AB4" s="115">
        <v>1230000</v>
      </c>
      <c r="AC4" s="115">
        <f>SUM(P4:AB4)</f>
        <v>74606137</v>
      </c>
      <c r="AD4" s="116">
        <f>ROUND(IF($M4&lt;&gt;$N4,O4*$K4/$J4,O4-SUMIF($L$1:$L3,$L4,AD$1:AD3)),0)</f>
        <v>3339799</v>
      </c>
      <c r="AE4" s="116">
        <f>AD4-AJ4-AL4-AN4</f>
        <v>3270855</v>
      </c>
      <c r="AF4" s="116">
        <f>ROUND(IF($M4&lt;&gt;$N4,Q4*$K4/$J4,Q4-SUMIF($L$1:$L3,$L4,AF$1:AF3)),0)</f>
        <v>0</v>
      </c>
      <c r="AG4" s="116">
        <f>ROUND(IF($M4&lt;&gt;$N4,R4*$K4/$J4,R4-SUMIF($L$1:$L3,$L4,AG$1:AG3)),0)</f>
        <v>0</v>
      </c>
      <c r="AH4" s="116">
        <f>ROUND(IF($M4&lt;&gt;$N4,S4*$K4/$J4,S4-SUMIF($L$1:$L3,$L4,AH$1:AH3)),0)</f>
        <v>0</v>
      </c>
      <c r="AI4" s="116">
        <f>ROUND(IF($M4&lt;&gt;$N4,T4*$K4/$J4,T4-SUMIF($L$1:$L3,$L4,AI$1:AI3)),0)</f>
        <v>0</v>
      </c>
      <c r="AJ4" s="116">
        <f>ROUND(IF($M4&lt;&gt;$N4,U4*$K4/$J4,U4-SUMIF($L$1:$L3,$L4,AJ$1:AJ3)),0)</f>
        <v>52529</v>
      </c>
      <c r="AK4" s="116">
        <f>ROUND(IF($M4&lt;&gt;$N4,V4*$K4/$J4,V4-SUMIF($L$1:$L3,$L4,AK$1:AK3)),0)</f>
        <v>114907</v>
      </c>
      <c r="AL4" s="116">
        <f>ROUND(IF($M4&lt;&gt;$N4,W4*$K4/$J4,W4-SUMIF($L$1:$L3,$L4,AL$1:AL3)),0)</f>
        <v>9849</v>
      </c>
      <c r="AM4" s="116">
        <f>ROUND(IF($M4&lt;&gt;$N4,X4*$K4/$J4,X4-SUMIF($L$1:$L3,$L4,AM$1:AM3)),0)</f>
        <v>19698</v>
      </c>
      <c r="AN4" s="116">
        <f>ROUND(IF($M4&lt;&gt;$N4,Y4*$K4/$J4,Y4-SUMIF($L$1:$L3,$L4,AN$1:AN3)),0)</f>
        <v>6566</v>
      </c>
      <c r="AO4" s="116">
        <f>ROUND(IF($M4&lt;&gt;$N4,Z4*$K4/$J4,Z4-SUMIF($L$1:$L3,$L4,AO$1:AO3)),0)</f>
        <v>6566</v>
      </c>
      <c r="AP4" s="116">
        <f>ROUND(IF($M4&lt;&gt;$N4,AA4*$K4/$J4,AA4-SUMIF($L$1:$L3,$L4,AP$1:AP3)),0)</f>
        <v>13132</v>
      </c>
      <c r="AQ4" s="116">
        <f>ROUND(IF($M4&lt;&gt;$N4,AB4*$K4/$J4,AB4-SUMIF($L$1:$L3,$L4,AQ$1:AQ3)),0)</f>
        <v>58571</v>
      </c>
      <c r="AR4" s="117">
        <f>SUM(AE4:AQ4)</f>
        <v>3552673</v>
      </c>
    </row>
    <row r="5" spans="1:44" ht="28.5">
      <c r="A5" s="108">
        <f>SUBTOTAL(3,$B$4:B5)</f>
        <v>0</v>
      </c>
      <c r="B5" s="109"/>
      <c r="C5" s="118"/>
      <c r="D5" s="217" t="s">
        <v>1415</v>
      </c>
      <c r="E5" s="111"/>
      <c r="F5" s="108" t="s">
        <v>1416</v>
      </c>
      <c r="G5" s="108" t="s">
        <v>67</v>
      </c>
      <c r="H5" s="108" t="s">
        <v>1417</v>
      </c>
      <c r="I5" s="108" t="s">
        <v>60</v>
      </c>
      <c r="J5" s="112">
        <v>21</v>
      </c>
      <c r="K5" s="113">
        <v>1</v>
      </c>
      <c r="L5" s="114" t="s">
        <v>1451</v>
      </c>
      <c r="M5" s="108">
        <v>2</v>
      </c>
      <c r="N5" s="108">
        <v>1</v>
      </c>
      <c r="O5" s="115">
        <v>78715748</v>
      </c>
      <c r="P5" s="115">
        <v>77746520</v>
      </c>
      <c r="Q5" s="115">
        <v>0</v>
      </c>
      <c r="R5" s="115">
        <v>0</v>
      </c>
      <c r="S5" s="115">
        <v>0</v>
      </c>
      <c r="T5" s="115">
        <v>0</v>
      </c>
      <c r="U5" s="115">
        <v>816192</v>
      </c>
      <c r="V5" s="115">
        <v>1785420</v>
      </c>
      <c r="W5" s="115">
        <v>153036</v>
      </c>
      <c r="X5" s="115">
        <v>306072</v>
      </c>
      <c r="Y5" s="115">
        <v>0</v>
      </c>
      <c r="Z5" s="115">
        <v>0</v>
      </c>
      <c r="AA5" s="115">
        <v>204048</v>
      </c>
      <c r="AB5" s="115">
        <v>1730000</v>
      </c>
      <c r="AC5" s="115">
        <f t="shared" ref="AC5:AC6" si="0">SUM(P5:AB5)</f>
        <v>82741288</v>
      </c>
      <c r="AD5" s="116">
        <f>ROUND(IF($M5&lt;&gt;$N5,O5*$K5/$J5,O5-SUMIF($L$1:$L4,$L5,AD$1:AD4)),0)</f>
        <v>3748369</v>
      </c>
      <c r="AE5" s="116">
        <f t="shared" ref="AE5:AE6" si="1">AD5-AJ5-AL5-AN5</f>
        <v>3702216</v>
      </c>
      <c r="AF5" s="116">
        <f>ROUND(IF($M5&lt;&gt;$N5,Q5*$K5/$J5,Q5-SUMIF($L$1:$L4,$L5,AF$1:AF4)),0)</f>
        <v>0</v>
      </c>
      <c r="AG5" s="116">
        <f>ROUND(IF($M5&lt;&gt;$N5,R5*$K5/$J5,R5-SUMIF($L$1:$L4,$L5,AG$1:AG4)),0)</f>
        <v>0</v>
      </c>
      <c r="AH5" s="116">
        <f>ROUND(IF($M5&lt;&gt;$N5,S5*$K5/$J5,S5-SUMIF($L$1:$L4,$L5,AH$1:AH4)),0)</f>
        <v>0</v>
      </c>
      <c r="AI5" s="116">
        <f>ROUND(IF($M5&lt;&gt;$N5,T5*$K5/$J5,T5-SUMIF($L$1:$L4,$L5,AI$1:AI4)),0)</f>
        <v>0</v>
      </c>
      <c r="AJ5" s="116">
        <f>ROUND(IF($M5&lt;&gt;$N5,U5*$K5/$J5,U5-SUMIF($L$1:$L4,$L5,AJ$1:AJ4)),0)</f>
        <v>38866</v>
      </c>
      <c r="AK5" s="116">
        <f>ROUND(IF($M5&lt;&gt;$N5,V5*$K5/$J5,V5-SUMIF($L$1:$L4,$L5,AK$1:AK4)),0)</f>
        <v>85020</v>
      </c>
      <c r="AL5" s="116">
        <f>ROUND(IF($M5&lt;&gt;$N5,W5*$K5/$J5,W5-SUMIF($L$1:$L4,$L5,AL$1:AL4)),0)</f>
        <v>7287</v>
      </c>
      <c r="AM5" s="116">
        <f>ROUND(IF($M5&lt;&gt;$N5,X5*$K5/$J5,X5-SUMIF($L$1:$L4,$L5,AM$1:AM4)),0)</f>
        <v>14575</v>
      </c>
      <c r="AN5" s="116">
        <f>ROUND(IF($M5&lt;&gt;$N5,Y5*$K5/$J5,Y5-SUMIF($L$1:$L4,$L5,AN$1:AN4)),0)</f>
        <v>0</v>
      </c>
      <c r="AO5" s="116">
        <f>ROUND(IF($M5&lt;&gt;$N5,Z5*$K5/$J5,Z5-SUMIF($L$1:$L4,$L5,AO$1:AO4)),0)</f>
        <v>0</v>
      </c>
      <c r="AP5" s="116">
        <f>ROUND(IF($M5&lt;&gt;$N5,AA5*$K5/$J5,AA5-SUMIF($L$1:$L4,$L5,AP$1:AP4)),0)</f>
        <v>9717</v>
      </c>
      <c r="AQ5" s="116">
        <f>ROUND(IF($M5&lt;&gt;$N5,AB5*$K5/$J5,AB5-SUMIF($L$1:$L4,$L5,AQ$1:AQ4)),0)</f>
        <v>82381</v>
      </c>
      <c r="AR5" s="117">
        <f t="shared" ref="AR5:AR6" si="2">SUM(AE5:AQ5)</f>
        <v>3940062</v>
      </c>
    </row>
    <row r="6" spans="1:44" ht="28.5">
      <c r="A6" s="108">
        <f>SUBTOTAL(3,$B$4:B6)</f>
        <v>0</v>
      </c>
      <c r="B6" s="109"/>
      <c r="C6" s="118"/>
      <c r="D6" s="217" t="s">
        <v>1415</v>
      </c>
      <c r="E6" s="111"/>
      <c r="F6" s="108" t="s">
        <v>1416</v>
      </c>
      <c r="G6" s="108" t="s">
        <v>67</v>
      </c>
      <c r="H6" s="108" t="s">
        <v>1417</v>
      </c>
      <c r="I6" s="108" t="s">
        <v>60</v>
      </c>
      <c r="J6" s="112">
        <v>21</v>
      </c>
      <c r="K6" s="113">
        <v>7</v>
      </c>
      <c r="L6" s="114" t="s">
        <v>1452</v>
      </c>
      <c r="M6" s="108">
        <v>2</v>
      </c>
      <c r="N6" s="108">
        <v>1</v>
      </c>
      <c r="O6" s="115">
        <v>38475775</v>
      </c>
      <c r="P6" s="115">
        <v>37350847</v>
      </c>
      <c r="Q6" s="115">
        <v>0</v>
      </c>
      <c r="R6" s="115">
        <v>0</v>
      </c>
      <c r="S6" s="115">
        <v>0</v>
      </c>
      <c r="T6" s="115">
        <v>0</v>
      </c>
      <c r="U6" s="115">
        <v>857088</v>
      </c>
      <c r="V6" s="115">
        <v>1874880</v>
      </c>
      <c r="W6" s="115">
        <v>160704</v>
      </c>
      <c r="X6" s="115">
        <v>321408</v>
      </c>
      <c r="Y6" s="115">
        <v>107136</v>
      </c>
      <c r="Z6" s="115">
        <v>107136</v>
      </c>
      <c r="AA6" s="115">
        <v>214272</v>
      </c>
      <c r="AB6" s="115">
        <v>1030000</v>
      </c>
      <c r="AC6" s="115">
        <f t="shared" si="0"/>
        <v>42023471</v>
      </c>
      <c r="AD6" s="116">
        <f>ROUND(IF($M6&lt;&gt;$N6,O6*$K6/$J6,O6-SUMIF($L$1:$L5,$L6,AD$1:AD5)),0)</f>
        <v>12825258</v>
      </c>
      <c r="AE6" s="116">
        <f t="shared" si="1"/>
        <v>12450282</v>
      </c>
      <c r="AF6" s="116">
        <f>ROUND(IF($M6&lt;&gt;$N6,Q6*$K6/$J6,Q6-SUMIF($L$1:$L5,$L6,AF$1:AF5)),0)</f>
        <v>0</v>
      </c>
      <c r="AG6" s="116">
        <f>ROUND(IF($M6&lt;&gt;$N6,R6*$K6/$J6,R6-SUMIF($L$1:$L5,$L6,AG$1:AG5)),0)</f>
        <v>0</v>
      </c>
      <c r="AH6" s="116">
        <f>ROUND(IF($M6&lt;&gt;$N6,S6*$K6/$J6,S6-SUMIF($L$1:$L5,$L6,AH$1:AH5)),0)</f>
        <v>0</v>
      </c>
      <c r="AI6" s="116">
        <f>ROUND(IF($M6&lt;&gt;$N6,T6*$K6/$J6,T6-SUMIF($L$1:$L5,$L6,AI$1:AI5)),0)</f>
        <v>0</v>
      </c>
      <c r="AJ6" s="116">
        <f>ROUND(IF($M6&lt;&gt;$N6,U6*$K6/$J6,U6-SUMIF($L$1:$L5,$L6,AJ$1:AJ5)),0)</f>
        <v>285696</v>
      </c>
      <c r="AK6" s="116">
        <f>ROUND(IF($M6&lt;&gt;$N6,V6*$K6/$J6,V6-SUMIF($L$1:$L5,$L6,AK$1:AK5)),0)</f>
        <v>624960</v>
      </c>
      <c r="AL6" s="116">
        <f>ROUND(IF($M6&lt;&gt;$N6,W6*$K6/$J6,W6-SUMIF($L$1:$L5,$L6,AL$1:AL5)),0)</f>
        <v>53568</v>
      </c>
      <c r="AM6" s="116">
        <f>ROUND(IF($M6&lt;&gt;$N6,X6*$K6/$J6,X6-SUMIF($L$1:$L5,$L6,AM$1:AM5)),0)</f>
        <v>107136</v>
      </c>
      <c r="AN6" s="116">
        <f>ROUND(IF($M6&lt;&gt;$N6,Y6*$K6/$J6,Y6-SUMIF($L$1:$L5,$L6,AN$1:AN5)),0)</f>
        <v>35712</v>
      </c>
      <c r="AO6" s="116">
        <f>ROUND(IF($M6&lt;&gt;$N6,Z6*$K6/$J6,Z6-SUMIF($L$1:$L5,$L6,AO$1:AO5)),0)</f>
        <v>35712</v>
      </c>
      <c r="AP6" s="116">
        <f>ROUND(IF($M6&lt;&gt;$N6,AA6*$K6/$J6,AA6-SUMIF($L$1:$L5,$L6,AP$1:AP5)),0)</f>
        <v>71424</v>
      </c>
      <c r="AQ6" s="116">
        <f>ROUND(IF($M6&lt;&gt;$N6,AB6*$K6/$J6,AB6-SUMIF($L$1:$L5,$L6,AQ$1:AQ5)),0)</f>
        <v>343333</v>
      </c>
      <c r="AR6" s="117">
        <f t="shared" si="2"/>
        <v>14007823</v>
      </c>
    </row>
    <row r="7" spans="1:44" ht="141" customHeight="1">
      <c r="A7" s="272"/>
      <c r="B7" s="272"/>
      <c r="C7" s="272"/>
      <c r="D7" s="272"/>
      <c r="E7" s="272"/>
      <c r="F7" s="272"/>
      <c r="G7" s="272"/>
      <c r="H7" s="272"/>
      <c r="I7" s="272"/>
      <c r="J7" s="120" t="s">
        <v>1421</v>
      </c>
      <c r="K7" s="119" t="s">
        <v>1420</v>
      </c>
      <c r="O7" s="268" t="s">
        <v>1418</v>
      </c>
      <c r="P7" s="268"/>
      <c r="Q7" s="268"/>
      <c r="R7" s="268"/>
      <c r="S7" s="268"/>
      <c r="T7" s="268"/>
      <c r="U7" s="268"/>
      <c r="V7" s="268"/>
      <c r="W7" s="268"/>
      <c r="X7" s="268"/>
      <c r="Y7" s="268"/>
      <c r="Z7" s="268"/>
      <c r="AA7" s="268"/>
      <c r="AB7" s="268"/>
      <c r="AC7" s="268"/>
      <c r="AD7" s="269" t="s">
        <v>1419</v>
      </c>
      <c r="AE7" s="270"/>
      <c r="AF7" s="270"/>
      <c r="AG7" s="270"/>
      <c r="AH7" s="270"/>
      <c r="AI7" s="270"/>
      <c r="AJ7" s="270"/>
      <c r="AK7" s="270"/>
      <c r="AL7" s="270"/>
      <c r="AM7" s="270"/>
      <c r="AN7" s="270"/>
      <c r="AO7" s="270"/>
      <c r="AP7" s="270"/>
      <c r="AQ7" s="270"/>
      <c r="AR7" s="270"/>
    </row>
    <row r="8" spans="1:44" ht="75" customHeight="1">
      <c r="J8" s="271" t="s">
        <v>1422</v>
      </c>
      <c r="K8" s="271"/>
    </row>
  </sheetData>
  <mergeCells count="44">
    <mergeCell ref="O7:AC7"/>
    <mergeCell ref="AD7:AR7"/>
    <mergeCell ref="J8:K8"/>
    <mergeCell ref="A7:I7"/>
    <mergeCell ref="AJ2:AK2"/>
    <mergeCell ref="AL2:AM2"/>
    <mergeCell ref="AN2:AO2"/>
    <mergeCell ref="AP2:AP3"/>
    <mergeCell ref="AQ2:AQ3"/>
    <mergeCell ref="AR2:AR3"/>
    <mergeCell ref="AD2:AD3"/>
    <mergeCell ref="AE2:AE3"/>
    <mergeCell ref="AF2:AF3"/>
    <mergeCell ref="AG2:AG3"/>
    <mergeCell ref="AH2:AH3"/>
    <mergeCell ref="AI2:AI3"/>
    <mergeCell ref="AC2:AC3"/>
    <mergeCell ref="M1:M3"/>
    <mergeCell ref="N1:N3"/>
    <mergeCell ref="O1:AC1"/>
    <mergeCell ref="AD1:AR1"/>
    <mergeCell ref="O2:O3"/>
    <mergeCell ref="P2:P3"/>
    <mergeCell ref="Q2:Q3"/>
    <mergeCell ref="R2:R3"/>
    <mergeCell ref="S2:S3"/>
    <mergeCell ref="T2:T3"/>
    <mergeCell ref="U2:V2"/>
    <mergeCell ref="W2:X2"/>
    <mergeCell ref="Y2:Z2"/>
    <mergeCell ref="AA2:AA3"/>
    <mergeCell ref="AB2:AB3"/>
    <mergeCell ref="L1:L3"/>
    <mergeCell ref="A1:A3"/>
    <mergeCell ref="B1:B3"/>
    <mergeCell ref="C1:C3"/>
    <mergeCell ref="D1:D3"/>
    <mergeCell ref="E1:E3"/>
    <mergeCell ref="F1:F3"/>
    <mergeCell ref="G1:G3"/>
    <mergeCell ref="H1:H3"/>
    <mergeCell ref="I1:I3"/>
    <mergeCell ref="J1:J3"/>
    <mergeCell ref="K1:K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36"/>
  <sheetViews>
    <sheetView zoomScale="85" zoomScaleNormal="85" workbookViewId="0">
      <selection activeCell="F20" sqref="F20"/>
    </sheetView>
  </sheetViews>
  <sheetFormatPr defaultColWidth="9.140625" defaultRowHeight="15"/>
  <cols>
    <col min="1" max="1" width="5.28515625" style="50" customWidth="1"/>
    <col min="2" max="2" width="20.28515625" style="139" customWidth="1"/>
    <col min="3" max="3" width="12.42578125" style="139" customWidth="1"/>
    <col min="4" max="4" width="18.140625" style="69" customWidth="1"/>
    <col min="5" max="5" width="18.5703125" style="69" customWidth="1"/>
    <col min="6" max="6" width="12.7109375" style="69" customWidth="1"/>
    <col min="7" max="7" width="7.5703125" style="69" customWidth="1"/>
    <col min="8" max="8" width="9.140625" style="69" customWidth="1"/>
    <col min="9" max="9" width="11.28515625" style="69" customWidth="1"/>
    <col min="10" max="12" width="9.140625" style="69" customWidth="1"/>
    <col min="13" max="13" width="8.85546875" style="69" customWidth="1"/>
    <col min="14" max="14" width="7.7109375" style="69" customWidth="1"/>
    <col min="15" max="15" width="7.85546875" style="69" customWidth="1"/>
    <col min="16" max="16" width="7.7109375" style="69" customWidth="1"/>
    <col min="17" max="17" width="8.85546875" style="69" bestFit="1" customWidth="1"/>
    <col min="18" max="18" width="12.28515625" style="69" customWidth="1"/>
    <col min="19" max="19" width="9.85546875" style="69" customWidth="1"/>
    <col min="20" max="22" width="9.28515625" style="69" customWidth="1"/>
    <col min="23" max="23" width="10.140625" style="69" customWidth="1"/>
    <col min="24" max="24" width="9.140625" style="69" customWidth="1"/>
    <col min="25" max="25" width="10" style="69" customWidth="1"/>
    <col min="26" max="27" width="8" style="69" customWidth="1"/>
    <col min="28" max="28" width="9.140625" style="69" customWidth="1"/>
    <col min="29" max="30" width="14.42578125" style="69" customWidth="1"/>
    <col min="31" max="31" width="17.42578125" style="69" customWidth="1"/>
    <col min="32" max="16384" width="9.140625" style="69"/>
  </cols>
  <sheetData>
    <row r="1" spans="1:38" ht="16.5">
      <c r="Y1" s="30"/>
      <c r="Z1" s="30"/>
      <c r="AA1" s="30"/>
      <c r="AB1" s="30"/>
      <c r="AC1" s="30"/>
      <c r="AD1" s="30"/>
      <c r="AE1" s="84" t="s">
        <v>1454</v>
      </c>
      <c r="AF1" s="30"/>
      <c r="AG1" s="30"/>
      <c r="AH1" s="30"/>
      <c r="AI1" s="30"/>
      <c r="AJ1" s="30"/>
      <c r="AK1" s="30"/>
      <c r="AL1" s="30"/>
    </row>
    <row r="2" spans="1:38" ht="16.5">
      <c r="A2" s="71"/>
      <c r="B2" s="262" t="s">
        <v>1333</v>
      </c>
      <c r="C2" s="262"/>
      <c r="D2" s="262"/>
      <c r="E2" s="262"/>
      <c r="Y2" s="240" t="s">
        <v>1296</v>
      </c>
      <c r="Z2" s="240"/>
      <c r="AA2" s="240"/>
      <c r="AB2" s="240"/>
      <c r="AC2" s="240"/>
      <c r="AD2" s="240"/>
      <c r="AE2" s="240"/>
      <c r="AF2" s="30"/>
      <c r="AG2" s="30"/>
      <c r="AH2" s="30"/>
      <c r="AI2" s="30"/>
      <c r="AJ2" s="30"/>
      <c r="AK2" s="30"/>
      <c r="AL2" s="30"/>
    </row>
    <row r="3" spans="1:38" ht="16.5">
      <c r="A3" s="25"/>
      <c r="B3" s="278" t="s">
        <v>1295</v>
      </c>
      <c r="C3" s="278"/>
      <c r="D3" s="278"/>
      <c r="E3" s="278"/>
      <c r="F3" s="72"/>
      <c r="G3" s="72"/>
      <c r="H3" s="72"/>
      <c r="Y3" s="240" t="s">
        <v>1298</v>
      </c>
      <c r="Z3" s="240"/>
      <c r="AA3" s="240"/>
      <c r="AB3" s="240"/>
      <c r="AC3" s="240"/>
      <c r="AD3" s="240"/>
      <c r="AE3" s="240"/>
    </row>
    <row r="6" spans="1:38" ht="18.75">
      <c r="A6" s="279" t="s">
        <v>1455</v>
      </c>
      <c r="B6" s="279"/>
      <c r="C6" s="279"/>
      <c r="D6" s="279"/>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row>
    <row r="7" spans="1:38" ht="20.25" customHeight="1">
      <c r="B7" s="34" t="s">
        <v>1456</v>
      </c>
      <c r="C7" s="34"/>
      <c r="D7" s="141"/>
      <c r="E7" s="141"/>
      <c r="F7" s="141"/>
      <c r="G7" s="141"/>
      <c r="H7" s="141"/>
      <c r="I7" s="141"/>
      <c r="J7" s="141"/>
      <c r="K7" s="141"/>
      <c r="L7" s="141"/>
      <c r="M7" s="141"/>
      <c r="N7" s="141"/>
      <c r="O7" s="141"/>
      <c r="P7" s="141"/>
      <c r="Q7" s="141"/>
      <c r="R7" s="141"/>
      <c r="S7" s="141"/>
      <c r="T7" s="141"/>
      <c r="U7" s="141"/>
      <c r="V7" s="141"/>
      <c r="W7" s="141"/>
      <c r="X7" s="141"/>
      <c r="Y7" s="141"/>
      <c r="Z7" s="141"/>
      <c r="AA7" s="141"/>
      <c r="AB7" s="141"/>
      <c r="AC7" s="141"/>
      <c r="AD7" s="141"/>
    </row>
    <row r="8" spans="1:38" ht="20.25" customHeight="1">
      <c r="B8" s="34" t="s">
        <v>1457</v>
      </c>
      <c r="C8" s="34"/>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row>
    <row r="9" spans="1:38">
      <c r="A9" s="142"/>
      <c r="B9" s="143"/>
      <c r="C9" s="143"/>
      <c r="D9" s="142"/>
      <c r="E9" s="142"/>
      <c r="F9" s="142"/>
      <c r="G9" s="142"/>
      <c r="H9" s="142"/>
      <c r="I9" s="142"/>
      <c r="J9" s="142"/>
      <c r="K9" s="142"/>
      <c r="L9" s="142"/>
      <c r="M9" s="142"/>
      <c r="N9" s="142"/>
      <c r="O9" s="142"/>
      <c r="P9" s="142"/>
      <c r="Q9" s="142"/>
      <c r="R9" s="142"/>
    </row>
    <row r="10" spans="1:38">
      <c r="A10" s="273" t="s">
        <v>1</v>
      </c>
      <c r="B10" s="273" t="s">
        <v>1302</v>
      </c>
      <c r="C10" s="274" t="s">
        <v>1402</v>
      </c>
      <c r="D10" s="273" t="s">
        <v>1252</v>
      </c>
      <c r="E10" s="277" t="s">
        <v>1458</v>
      </c>
      <c r="F10" s="277" t="s">
        <v>1459</v>
      </c>
      <c r="G10" s="281" t="s">
        <v>1460</v>
      </c>
      <c r="H10" s="281"/>
      <c r="I10" s="281"/>
      <c r="J10" s="281"/>
      <c r="K10" s="281"/>
      <c r="L10" s="281"/>
      <c r="M10" s="281"/>
      <c r="N10" s="281"/>
      <c r="O10" s="281"/>
      <c r="P10" s="281"/>
      <c r="Q10" s="281"/>
      <c r="R10" s="281"/>
      <c r="S10" s="282" t="s">
        <v>1461</v>
      </c>
      <c r="T10" s="283"/>
      <c r="U10" s="283"/>
      <c r="V10" s="283"/>
      <c r="W10" s="283"/>
      <c r="X10" s="283"/>
      <c r="Y10" s="283"/>
      <c r="Z10" s="283"/>
      <c r="AA10" s="283"/>
      <c r="AB10" s="284"/>
      <c r="AC10" s="251" t="s">
        <v>1462</v>
      </c>
      <c r="AD10" s="251" t="s">
        <v>1463</v>
      </c>
      <c r="AE10" s="251" t="s">
        <v>1464</v>
      </c>
    </row>
    <row r="11" spans="1:38">
      <c r="A11" s="273"/>
      <c r="B11" s="273"/>
      <c r="C11" s="275"/>
      <c r="D11" s="273"/>
      <c r="E11" s="277"/>
      <c r="F11" s="277"/>
      <c r="G11" s="277" t="s">
        <v>1382</v>
      </c>
      <c r="H11" s="277"/>
      <c r="I11" s="280" t="s">
        <v>1383</v>
      </c>
      <c r="J11" s="280" t="s">
        <v>1465</v>
      </c>
      <c r="K11" s="280" t="s">
        <v>1466</v>
      </c>
      <c r="L11" s="280" t="s">
        <v>1467</v>
      </c>
      <c r="M11" s="290" t="s">
        <v>1468</v>
      </c>
      <c r="N11" s="290"/>
      <c r="O11" s="290"/>
      <c r="P11" s="290"/>
      <c r="Q11" s="289" t="s">
        <v>1469</v>
      </c>
      <c r="R11" s="277" t="s">
        <v>1470</v>
      </c>
      <c r="S11" s="280" t="s">
        <v>1383</v>
      </c>
      <c r="T11" s="280" t="s">
        <v>1465</v>
      </c>
      <c r="U11" s="280" t="s">
        <v>1466</v>
      </c>
      <c r="V11" s="280" t="s">
        <v>1467</v>
      </c>
      <c r="W11" s="286" t="s">
        <v>1468</v>
      </c>
      <c r="X11" s="287"/>
      <c r="Y11" s="287"/>
      <c r="Z11" s="288"/>
      <c r="AA11" s="289" t="s">
        <v>1469</v>
      </c>
      <c r="AB11" s="281" t="s">
        <v>1471</v>
      </c>
      <c r="AC11" s="251"/>
      <c r="AD11" s="251"/>
      <c r="AE11" s="251"/>
    </row>
    <row r="12" spans="1:38">
      <c r="A12" s="273"/>
      <c r="B12" s="273"/>
      <c r="C12" s="275"/>
      <c r="D12" s="273"/>
      <c r="E12" s="277"/>
      <c r="F12" s="277"/>
      <c r="G12" s="277"/>
      <c r="H12" s="277"/>
      <c r="I12" s="280"/>
      <c r="J12" s="280"/>
      <c r="K12" s="280"/>
      <c r="L12" s="280"/>
      <c r="M12" s="280" t="s">
        <v>1392</v>
      </c>
      <c r="N12" s="280" t="s">
        <v>1393</v>
      </c>
      <c r="O12" s="280" t="s">
        <v>1394</v>
      </c>
      <c r="P12" s="280" t="s">
        <v>1395</v>
      </c>
      <c r="Q12" s="289"/>
      <c r="R12" s="277"/>
      <c r="S12" s="280"/>
      <c r="T12" s="280"/>
      <c r="U12" s="280"/>
      <c r="V12" s="280"/>
      <c r="W12" s="280" t="s">
        <v>1392</v>
      </c>
      <c r="X12" s="280" t="s">
        <v>1393</v>
      </c>
      <c r="Y12" s="280" t="s">
        <v>1394</v>
      </c>
      <c r="Z12" s="280" t="s">
        <v>1395</v>
      </c>
      <c r="AA12" s="289"/>
      <c r="AB12" s="281"/>
      <c r="AC12" s="251"/>
      <c r="AD12" s="251"/>
      <c r="AE12" s="251"/>
    </row>
    <row r="13" spans="1:38" ht="15" customHeight="1">
      <c r="A13" s="273"/>
      <c r="B13" s="273"/>
      <c r="C13" s="275"/>
      <c r="D13" s="273"/>
      <c r="E13" s="277"/>
      <c r="F13" s="277"/>
      <c r="G13" s="277" t="s">
        <v>1472</v>
      </c>
      <c r="H13" s="277" t="s">
        <v>127</v>
      </c>
      <c r="I13" s="280"/>
      <c r="J13" s="280"/>
      <c r="K13" s="280"/>
      <c r="L13" s="280"/>
      <c r="M13" s="280"/>
      <c r="N13" s="280"/>
      <c r="O13" s="280"/>
      <c r="P13" s="280"/>
      <c r="Q13" s="289"/>
      <c r="R13" s="277"/>
      <c r="S13" s="280"/>
      <c r="T13" s="280"/>
      <c r="U13" s="280"/>
      <c r="V13" s="280"/>
      <c r="W13" s="280"/>
      <c r="X13" s="280"/>
      <c r="Y13" s="280"/>
      <c r="Z13" s="280"/>
      <c r="AA13" s="289"/>
      <c r="AB13" s="281"/>
      <c r="AC13" s="251"/>
      <c r="AD13" s="251"/>
      <c r="AE13" s="251"/>
    </row>
    <row r="14" spans="1:38">
      <c r="A14" s="273"/>
      <c r="B14" s="273"/>
      <c r="C14" s="276"/>
      <c r="D14" s="273"/>
      <c r="E14" s="277"/>
      <c r="F14" s="277"/>
      <c r="G14" s="277"/>
      <c r="H14" s="277"/>
      <c r="I14" s="280"/>
      <c r="J14" s="280"/>
      <c r="K14" s="280"/>
      <c r="L14" s="280"/>
      <c r="M14" s="280"/>
      <c r="N14" s="280"/>
      <c r="O14" s="280"/>
      <c r="P14" s="280"/>
      <c r="Q14" s="289"/>
      <c r="R14" s="277"/>
      <c r="S14" s="280"/>
      <c r="T14" s="280"/>
      <c r="U14" s="280"/>
      <c r="V14" s="280"/>
      <c r="W14" s="280"/>
      <c r="X14" s="280"/>
      <c r="Y14" s="280"/>
      <c r="Z14" s="280"/>
      <c r="AA14" s="289"/>
      <c r="AB14" s="281"/>
      <c r="AC14" s="251"/>
      <c r="AD14" s="251"/>
      <c r="AE14" s="251"/>
    </row>
    <row r="15" spans="1:38">
      <c r="A15" s="38" t="s">
        <v>1311</v>
      </c>
      <c r="B15" s="144"/>
      <c r="C15" s="144"/>
      <c r="D15" s="145"/>
      <c r="E15" s="146">
        <v>100000000</v>
      </c>
      <c r="F15" s="146">
        <v>10</v>
      </c>
      <c r="G15" s="147"/>
      <c r="H15" s="147"/>
      <c r="I15" s="148"/>
      <c r="J15" s="148"/>
      <c r="K15" s="148"/>
      <c r="L15" s="148"/>
      <c r="M15" s="148"/>
      <c r="N15" s="148"/>
      <c r="O15" s="148"/>
      <c r="P15" s="148"/>
      <c r="Q15" s="149"/>
      <c r="R15" s="150"/>
      <c r="S15" s="151"/>
      <c r="T15" s="151"/>
      <c r="U15" s="151"/>
      <c r="V15" s="151"/>
      <c r="W15" s="151"/>
      <c r="X15" s="151"/>
      <c r="Y15" s="151"/>
      <c r="Z15" s="151"/>
      <c r="AA15" s="151"/>
      <c r="AB15" s="152"/>
      <c r="AC15" s="152"/>
      <c r="AD15" s="152"/>
      <c r="AE15" s="53"/>
    </row>
    <row r="16" spans="1:38">
      <c r="A16" s="43">
        <v>1</v>
      </c>
      <c r="B16" s="44" t="s">
        <v>1312</v>
      </c>
      <c r="C16" s="153" t="s">
        <v>1313</v>
      </c>
      <c r="D16" s="145" t="s">
        <v>1314</v>
      </c>
      <c r="E16" s="154"/>
      <c r="F16" s="154"/>
      <c r="G16" s="147"/>
      <c r="H16" s="147"/>
      <c r="I16" s="148"/>
      <c r="J16" s="148"/>
      <c r="K16" s="148"/>
      <c r="L16" s="148"/>
      <c r="M16" s="148"/>
      <c r="N16" s="148"/>
      <c r="O16" s="148"/>
      <c r="P16" s="148"/>
      <c r="Q16" s="149"/>
      <c r="R16" s="150"/>
      <c r="S16" s="151"/>
      <c r="T16" s="151"/>
      <c r="U16" s="151"/>
      <c r="V16" s="151"/>
      <c r="W16" s="151"/>
      <c r="X16" s="151"/>
      <c r="Y16" s="151"/>
      <c r="Z16" s="151"/>
      <c r="AA16" s="151"/>
      <c r="AB16" s="152"/>
      <c r="AC16" s="152"/>
      <c r="AD16" s="155"/>
      <c r="AE16" s="156"/>
    </row>
    <row r="17" spans="1:31">
      <c r="A17" s="43">
        <v>2</v>
      </c>
      <c r="B17" s="51" t="s">
        <v>1315</v>
      </c>
      <c r="C17" s="79" t="s">
        <v>1316</v>
      </c>
      <c r="D17" s="145" t="s">
        <v>1317</v>
      </c>
      <c r="E17" s="154"/>
      <c r="F17" s="154"/>
      <c r="G17" s="147"/>
      <c r="H17" s="147"/>
      <c r="I17" s="148"/>
      <c r="J17" s="148"/>
      <c r="K17" s="148"/>
      <c r="L17" s="148"/>
      <c r="M17" s="148"/>
      <c r="N17" s="148"/>
      <c r="O17" s="148"/>
      <c r="P17" s="148"/>
      <c r="Q17" s="149"/>
      <c r="R17" s="150"/>
      <c r="S17" s="151"/>
      <c r="T17" s="151"/>
      <c r="U17" s="151"/>
      <c r="V17" s="151"/>
      <c r="W17" s="151"/>
      <c r="X17" s="151"/>
      <c r="Y17" s="151"/>
      <c r="Z17" s="151"/>
      <c r="AA17" s="151"/>
      <c r="AB17" s="152"/>
      <c r="AC17" s="152"/>
      <c r="AD17" s="155"/>
      <c r="AE17" s="156"/>
    </row>
    <row r="18" spans="1:31">
      <c r="A18" s="157" t="s">
        <v>1318</v>
      </c>
      <c r="B18" s="158"/>
      <c r="C18" s="158"/>
      <c r="D18" s="145"/>
      <c r="E18" s="146"/>
      <c r="F18" s="146"/>
      <c r="G18" s="147"/>
      <c r="H18" s="147"/>
      <c r="I18" s="148"/>
      <c r="J18" s="148"/>
      <c r="K18" s="148"/>
      <c r="L18" s="148"/>
      <c r="M18" s="148"/>
      <c r="N18" s="148"/>
      <c r="O18" s="148"/>
      <c r="P18" s="148"/>
      <c r="Q18" s="149"/>
      <c r="R18" s="150"/>
      <c r="S18" s="151"/>
      <c r="T18" s="151"/>
      <c r="U18" s="151"/>
      <c r="V18" s="151"/>
      <c r="W18" s="151"/>
      <c r="X18" s="151"/>
      <c r="Y18" s="151"/>
      <c r="Z18" s="151"/>
      <c r="AA18" s="151"/>
      <c r="AB18" s="152"/>
      <c r="AC18" s="152"/>
      <c r="AD18" s="152"/>
      <c r="AE18" s="53"/>
    </row>
    <row r="19" spans="1:31" ht="30">
      <c r="A19" s="159">
        <v>1</v>
      </c>
      <c r="B19" s="144" t="s">
        <v>1319</v>
      </c>
      <c r="C19" s="144"/>
      <c r="D19" s="145"/>
      <c r="E19" s="146">
        <v>150000000</v>
      </c>
      <c r="F19" s="146">
        <v>3</v>
      </c>
      <c r="G19" s="147"/>
      <c r="H19" s="147"/>
      <c r="I19" s="148"/>
      <c r="J19" s="148"/>
      <c r="K19" s="148"/>
      <c r="L19" s="148"/>
      <c r="M19" s="148"/>
      <c r="N19" s="148"/>
      <c r="O19" s="148"/>
      <c r="P19" s="148"/>
      <c r="Q19" s="149"/>
      <c r="R19" s="150"/>
      <c r="S19" s="151"/>
      <c r="T19" s="151"/>
      <c r="U19" s="151"/>
      <c r="V19" s="151"/>
      <c r="W19" s="151"/>
      <c r="X19" s="151"/>
      <c r="Y19" s="151"/>
      <c r="Z19" s="151"/>
      <c r="AA19" s="151"/>
      <c r="AB19" s="152"/>
      <c r="AC19" s="152"/>
      <c r="AD19" s="152"/>
      <c r="AE19" s="53"/>
    </row>
    <row r="20" spans="1:31">
      <c r="A20" s="160"/>
      <c r="B20" s="58" t="s">
        <v>1320</v>
      </c>
      <c r="C20" s="158" t="s">
        <v>1321</v>
      </c>
      <c r="D20" s="145" t="s">
        <v>1322</v>
      </c>
      <c r="E20" s="154"/>
      <c r="F20" s="154"/>
      <c r="G20" s="147"/>
      <c r="H20" s="147"/>
      <c r="I20" s="148"/>
      <c r="J20" s="148"/>
      <c r="K20" s="148"/>
      <c r="L20" s="148"/>
      <c r="M20" s="148"/>
      <c r="N20" s="148"/>
      <c r="O20" s="148"/>
      <c r="P20" s="148"/>
      <c r="Q20" s="149"/>
      <c r="R20" s="150"/>
      <c r="S20" s="151"/>
      <c r="T20" s="151"/>
      <c r="U20" s="151"/>
      <c r="V20" s="151"/>
      <c r="W20" s="151"/>
      <c r="X20" s="151"/>
      <c r="Y20" s="151"/>
      <c r="Z20" s="151"/>
      <c r="AA20" s="151"/>
      <c r="AB20" s="152"/>
      <c r="AC20" s="152"/>
      <c r="AD20" s="155"/>
      <c r="AE20" s="156"/>
    </row>
    <row r="21" spans="1:31">
      <c r="A21" s="159">
        <v>2</v>
      </c>
      <c r="B21" s="144" t="s">
        <v>1324</v>
      </c>
      <c r="C21" s="144"/>
      <c r="D21" s="145"/>
      <c r="E21" s="146">
        <v>300000000</v>
      </c>
      <c r="F21" s="146">
        <v>5</v>
      </c>
      <c r="G21" s="147"/>
      <c r="H21" s="147"/>
      <c r="I21" s="148"/>
      <c r="J21" s="148"/>
      <c r="K21" s="148"/>
      <c r="L21" s="148"/>
      <c r="M21" s="148"/>
      <c r="N21" s="148"/>
      <c r="O21" s="148"/>
      <c r="P21" s="148"/>
      <c r="Q21" s="149"/>
      <c r="R21" s="150"/>
      <c r="S21" s="151"/>
      <c r="T21" s="151"/>
      <c r="U21" s="151"/>
      <c r="V21" s="151"/>
      <c r="W21" s="151"/>
      <c r="X21" s="151"/>
      <c r="Y21" s="151"/>
      <c r="Z21" s="151"/>
      <c r="AA21" s="151"/>
      <c r="AB21" s="152"/>
      <c r="AC21" s="152"/>
      <c r="AD21" s="152"/>
      <c r="AE21" s="53"/>
    </row>
    <row r="22" spans="1:31">
      <c r="A22" s="161"/>
      <c r="B22" s="58" t="s">
        <v>1320</v>
      </c>
      <c r="C22" s="145" t="s">
        <v>1325</v>
      </c>
      <c r="D22" s="145" t="s">
        <v>1326</v>
      </c>
      <c r="E22" s="154"/>
      <c r="F22" s="154"/>
      <c r="G22" s="147"/>
      <c r="H22" s="147"/>
      <c r="I22" s="148"/>
      <c r="J22" s="148"/>
      <c r="K22" s="148"/>
      <c r="L22" s="148"/>
      <c r="M22" s="148"/>
      <c r="N22" s="148"/>
      <c r="O22" s="148"/>
      <c r="P22" s="148"/>
      <c r="Q22" s="149"/>
      <c r="R22" s="150"/>
      <c r="S22" s="151"/>
      <c r="T22" s="151"/>
      <c r="U22" s="151"/>
      <c r="V22" s="151"/>
      <c r="W22" s="151"/>
      <c r="X22" s="151"/>
      <c r="Y22" s="151"/>
      <c r="Z22" s="151"/>
      <c r="AA22" s="151"/>
      <c r="AB22" s="152"/>
      <c r="AC22" s="152"/>
      <c r="AD22" s="155"/>
      <c r="AE22" s="156"/>
    </row>
    <row r="23" spans="1:31" s="73" customFormat="1" ht="14.25">
      <c r="A23" s="36"/>
      <c r="B23" s="162" t="s">
        <v>1471</v>
      </c>
      <c r="C23" s="162"/>
      <c r="D23" s="36"/>
      <c r="E23" s="36"/>
      <c r="F23" s="36"/>
      <c r="G23" s="36"/>
      <c r="H23" s="36"/>
      <c r="I23" s="163">
        <f ca="1">SUM(I16:I23)</f>
        <v>0</v>
      </c>
      <c r="J23" s="163"/>
      <c r="K23" s="163"/>
      <c r="L23" s="163"/>
      <c r="M23" s="163"/>
      <c r="N23" s="163"/>
      <c r="O23" s="163"/>
      <c r="P23" s="163"/>
      <c r="Q23" s="163"/>
      <c r="R23" s="163"/>
      <c r="S23" s="164"/>
      <c r="T23" s="164"/>
      <c r="U23" s="164"/>
      <c r="V23" s="164"/>
      <c r="W23" s="164"/>
      <c r="X23" s="164"/>
      <c r="Y23" s="164"/>
      <c r="Z23" s="164"/>
      <c r="AA23" s="164"/>
      <c r="AB23" s="164"/>
      <c r="AC23" s="164"/>
      <c r="AD23" s="164"/>
      <c r="AE23" s="165"/>
    </row>
    <row r="24" spans="1:31" s="73" customFormat="1" ht="14.25">
      <c r="A24" s="37"/>
      <c r="B24" s="285"/>
      <c r="C24" s="285"/>
      <c r="D24" s="285"/>
      <c r="E24" s="285"/>
      <c r="F24" s="285"/>
      <c r="G24" s="285"/>
      <c r="H24" s="285"/>
      <c r="I24" s="285"/>
      <c r="J24" s="285"/>
      <c r="K24" s="285"/>
      <c r="L24" s="285"/>
      <c r="M24" s="285"/>
      <c r="N24" s="285"/>
      <c r="O24" s="285"/>
      <c r="P24" s="285"/>
      <c r="Q24" s="285"/>
      <c r="R24" s="285"/>
      <c r="S24" s="285"/>
      <c r="T24" s="285"/>
      <c r="U24" s="285"/>
      <c r="V24" s="285"/>
      <c r="W24" s="285"/>
      <c r="X24" s="285"/>
      <c r="Y24" s="285"/>
      <c r="Z24" s="285"/>
      <c r="AA24" s="285"/>
      <c r="AB24" s="285"/>
      <c r="AC24" s="285"/>
      <c r="AD24" s="285"/>
      <c r="AE24" s="285"/>
    </row>
    <row r="25" spans="1:31" s="25" customFormat="1" ht="16.5">
      <c r="A25" s="166" t="s">
        <v>1473</v>
      </c>
      <c r="B25" s="167"/>
      <c r="C25" s="167"/>
      <c r="E25" s="168"/>
      <c r="F25" s="168"/>
      <c r="G25" s="168"/>
      <c r="H25" s="168"/>
      <c r="I25" s="169"/>
      <c r="J25" s="169"/>
      <c r="K25" s="169"/>
      <c r="L25" s="169"/>
      <c r="M25" s="169"/>
      <c r="N25" s="169"/>
      <c r="O25" s="169"/>
      <c r="P25" s="169"/>
      <c r="Q25" s="170"/>
      <c r="R25" s="171"/>
      <c r="S25" s="172"/>
      <c r="T25" s="172"/>
      <c r="U25" s="172"/>
      <c r="V25" s="172"/>
      <c r="W25" s="172"/>
      <c r="X25" s="172"/>
      <c r="Y25" s="172"/>
      <c r="Z25" s="172"/>
      <c r="AA25" s="172"/>
      <c r="AB25" s="173"/>
      <c r="AC25" s="173"/>
      <c r="AD25" s="173"/>
    </row>
    <row r="26" spans="1:31" s="25" customFormat="1" ht="16.5">
      <c r="A26" s="174"/>
      <c r="B26" s="175" t="s">
        <v>82</v>
      </c>
      <c r="C26" s="176" t="s">
        <v>1474</v>
      </c>
      <c r="D26" s="177"/>
      <c r="F26" s="178"/>
      <c r="G26" s="178"/>
      <c r="H26" s="168"/>
      <c r="I26" s="169"/>
      <c r="J26" s="169"/>
      <c r="K26" s="169"/>
      <c r="L26" s="169"/>
      <c r="M26" s="169"/>
      <c r="N26" s="169"/>
      <c r="O26" s="169"/>
      <c r="P26" s="169"/>
      <c r="Q26" s="170"/>
      <c r="R26" s="171"/>
      <c r="S26" s="172"/>
      <c r="T26" s="172"/>
      <c r="U26" s="172"/>
      <c r="V26" s="172"/>
      <c r="W26" s="172"/>
      <c r="X26" s="172"/>
      <c r="Y26" s="172"/>
      <c r="Z26" s="172"/>
      <c r="AA26" s="172"/>
      <c r="AB26" s="173"/>
      <c r="AC26" s="173"/>
      <c r="AD26" s="173"/>
    </row>
    <row r="27" spans="1:31" s="25" customFormat="1" ht="16.5">
      <c r="A27" s="174"/>
      <c r="B27" s="175" t="s">
        <v>85</v>
      </c>
      <c r="C27" s="176" t="s">
        <v>1475</v>
      </c>
      <c r="D27" s="177"/>
      <c r="F27" s="178"/>
      <c r="G27" s="178"/>
      <c r="H27" s="168"/>
      <c r="I27" s="168"/>
      <c r="J27" s="169"/>
      <c r="K27" s="169"/>
      <c r="L27" s="169"/>
      <c r="M27" s="169"/>
      <c r="N27" s="169"/>
      <c r="O27" s="169"/>
      <c r="P27" s="169"/>
      <c r="Q27" s="170"/>
      <c r="R27" s="171"/>
      <c r="S27" s="172"/>
      <c r="T27" s="172"/>
      <c r="U27" s="172"/>
      <c r="V27" s="172"/>
      <c r="W27" s="172"/>
      <c r="X27" s="172"/>
      <c r="Y27" s="172"/>
      <c r="Z27" s="172"/>
      <c r="AA27" s="172"/>
      <c r="AB27" s="172"/>
      <c r="AC27" s="172"/>
      <c r="AD27" s="172"/>
    </row>
    <row r="28" spans="1:31" s="25" customFormat="1" ht="16.5">
      <c r="A28" s="174"/>
      <c r="B28" s="175" t="s">
        <v>1476</v>
      </c>
      <c r="C28" s="176" t="s">
        <v>1477</v>
      </c>
      <c r="D28" s="177"/>
      <c r="F28" s="178"/>
      <c r="G28" s="178"/>
      <c r="H28" s="168"/>
      <c r="I28" s="168"/>
      <c r="J28" s="169"/>
      <c r="K28" s="169"/>
      <c r="L28" s="169"/>
      <c r="M28" s="169"/>
      <c r="N28" s="169"/>
      <c r="O28" s="169"/>
      <c r="P28" s="169"/>
      <c r="Q28" s="170"/>
      <c r="R28" s="171"/>
      <c r="S28" s="172"/>
      <c r="T28" s="172"/>
      <c r="U28" s="172"/>
      <c r="V28" s="172"/>
      <c r="W28" s="172"/>
      <c r="X28" s="172"/>
      <c r="Y28" s="172"/>
      <c r="Z28" s="172"/>
      <c r="AA28" s="172"/>
      <c r="AB28" s="172"/>
      <c r="AC28" s="172"/>
      <c r="AD28" s="172"/>
    </row>
    <row r="29" spans="1:31" s="25" customFormat="1" ht="16.5">
      <c r="A29" s="174"/>
      <c r="B29" s="175" t="s">
        <v>1478</v>
      </c>
      <c r="C29" s="176" t="s">
        <v>1479</v>
      </c>
      <c r="D29" s="177"/>
      <c r="F29" s="178"/>
      <c r="G29" s="178"/>
      <c r="H29" s="168"/>
      <c r="I29" s="168"/>
      <c r="J29" s="169"/>
      <c r="K29" s="169"/>
      <c r="L29" s="169"/>
      <c r="M29" s="169"/>
      <c r="N29" s="169"/>
      <c r="O29" s="169"/>
      <c r="P29" s="169"/>
      <c r="Q29" s="170"/>
      <c r="R29" s="171"/>
      <c r="S29" s="172"/>
      <c r="T29" s="172"/>
      <c r="U29" s="172"/>
      <c r="V29" s="172"/>
      <c r="W29" s="172"/>
      <c r="X29" s="172"/>
      <c r="Y29" s="172"/>
      <c r="Z29" s="172"/>
      <c r="AA29" s="172"/>
      <c r="AB29" s="172"/>
      <c r="AC29" s="172"/>
      <c r="AD29" s="172"/>
    </row>
    <row r="30" spans="1:31" s="25" customFormat="1" ht="16.5">
      <c r="A30" s="174"/>
      <c r="B30" s="175" t="s">
        <v>1480</v>
      </c>
      <c r="C30" s="176" t="s">
        <v>1481</v>
      </c>
      <c r="D30" s="177"/>
      <c r="F30" s="178"/>
      <c r="G30" s="178"/>
      <c r="H30" s="168"/>
      <c r="I30" s="168"/>
      <c r="J30" s="169"/>
      <c r="K30" s="169"/>
      <c r="L30" s="169"/>
      <c r="M30" s="169"/>
      <c r="N30" s="169"/>
      <c r="O30" s="169"/>
      <c r="P30" s="169"/>
      <c r="Q30" s="170"/>
      <c r="R30" s="171"/>
      <c r="S30" s="172"/>
      <c r="T30" s="172"/>
      <c r="U30" s="172"/>
      <c r="V30" s="172"/>
      <c r="W30" s="172"/>
      <c r="X30" s="172"/>
      <c r="Y30" s="172"/>
      <c r="Z30" s="172"/>
      <c r="AA30" s="172"/>
      <c r="AB30" s="173"/>
      <c r="AC30" s="173"/>
      <c r="AD30" s="173"/>
    </row>
    <row r="31" spans="1:31" s="181" customFormat="1" ht="15.75">
      <c r="A31" s="179" t="s">
        <v>1482</v>
      </c>
      <c r="B31" s="180"/>
      <c r="C31" s="180"/>
      <c r="E31" s="25"/>
    </row>
    <row r="32" spans="1:31" ht="15" customHeight="1">
      <c r="A32" s="182"/>
    </row>
    <row r="33" spans="1:31" s="185" customFormat="1" ht="19.5">
      <c r="A33" s="183"/>
      <c r="B33" s="184" t="s">
        <v>1330</v>
      </c>
      <c r="C33" s="184"/>
      <c r="G33" s="184" t="s">
        <v>1297</v>
      </c>
      <c r="S33" s="185" t="s">
        <v>1362</v>
      </c>
      <c r="Z33" s="291" t="s">
        <v>1363</v>
      </c>
      <c r="AA33" s="291"/>
      <c r="AB33" s="291"/>
      <c r="AC33" s="291"/>
      <c r="AD33" s="291"/>
      <c r="AE33" s="291"/>
    </row>
    <row r="34" spans="1:31" s="185" customFormat="1" ht="20.25">
      <c r="A34" s="183"/>
      <c r="B34" s="186"/>
      <c r="C34" s="186"/>
      <c r="D34" s="84"/>
      <c r="G34" s="186"/>
      <c r="H34" s="84"/>
      <c r="J34" s="84"/>
      <c r="K34" s="84"/>
      <c r="L34" s="84"/>
      <c r="M34" s="187"/>
      <c r="N34" s="84"/>
      <c r="O34" s="84"/>
      <c r="P34" s="84"/>
      <c r="Q34" s="84"/>
      <c r="R34" s="84"/>
      <c r="T34" s="187"/>
      <c r="U34" s="187"/>
      <c r="V34" s="187"/>
      <c r="W34" s="84"/>
      <c r="Y34" s="84"/>
      <c r="Z34" s="292"/>
      <c r="AA34" s="292"/>
      <c r="AB34" s="292"/>
      <c r="AC34" s="292"/>
      <c r="AD34" s="292"/>
      <c r="AE34" s="292"/>
    </row>
    <row r="36" spans="1:31">
      <c r="S36" s="188"/>
      <c r="T36" s="188"/>
      <c r="U36" s="188"/>
      <c r="V36" s="188"/>
      <c r="W36" s="188"/>
      <c r="X36" s="188"/>
      <c r="Y36" s="188"/>
      <c r="Z36" s="188"/>
      <c r="AA36" s="188"/>
      <c r="AB36" s="188"/>
      <c r="AC36" s="188"/>
      <c r="AD36" s="188"/>
    </row>
  </sheetData>
  <mergeCells count="44">
    <mergeCell ref="Z33:AE33"/>
    <mergeCell ref="Z34:AE34"/>
    <mergeCell ref="X12:X14"/>
    <mergeCell ref="Y12:Y14"/>
    <mergeCell ref="Z12:Z14"/>
    <mergeCell ref="AC10:AC14"/>
    <mergeCell ref="AD10:AD14"/>
    <mergeCell ref="AE10:AE14"/>
    <mergeCell ref="B24:AE24"/>
    <mergeCell ref="U11:U14"/>
    <mergeCell ref="V11:V14"/>
    <mergeCell ref="W11:Z11"/>
    <mergeCell ref="AA11:AA14"/>
    <mergeCell ref="AB11:AB14"/>
    <mergeCell ref="M12:M14"/>
    <mergeCell ref="N12:N14"/>
    <mergeCell ref="O12:O14"/>
    <mergeCell ref="P12:P14"/>
    <mergeCell ref="W12:W14"/>
    <mergeCell ref="L11:L14"/>
    <mergeCell ref="M11:P11"/>
    <mergeCell ref="Q11:Q14"/>
    <mergeCell ref="R11:R14"/>
    <mergeCell ref="S11:S14"/>
    <mergeCell ref="T11:T14"/>
    <mergeCell ref="F10:F14"/>
    <mergeCell ref="G10:R10"/>
    <mergeCell ref="S10:AB10"/>
    <mergeCell ref="G11:H12"/>
    <mergeCell ref="I11:I14"/>
    <mergeCell ref="J11:J14"/>
    <mergeCell ref="K11:K14"/>
    <mergeCell ref="G13:G14"/>
    <mergeCell ref="H13:H14"/>
    <mergeCell ref="B2:E2"/>
    <mergeCell ref="Y2:AE2"/>
    <mergeCell ref="B3:E3"/>
    <mergeCell ref="Y3:AE3"/>
    <mergeCell ref="A6:AE6"/>
    <mergeCell ref="A10:A14"/>
    <mergeCell ref="B10:B14"/>
    <mergeCell ref="C10:C14"/>
    <mergeCell ref="D10:D14"/>
    <mergeCell ref="E10:E14"/>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selection activeCell="M14" sqref="M14"/>
    </sheetView>
  </sheetViews>
  <sheetFormatPr defaultColWidth="9.140625" defaultRowHeight="15"/>
  <cols>
    <col min="1" max="1" width="5.28515625" style="50" customWidth="1"/>
    <col min="2" max="2" width="26.85546875" style="139" customWidth="1"/>
    <col min="3" max="3" width="10.85546875" style="69" customWidth="1"/>
    <col min="4" max="4" width="12.7109375" style="69" customWidth="1"/>
    <col min="5" max="5" width="9.85546875" style="69" customWidth="1"/>
    <col min="6" max="8" width="9.28515625" style="69" customWidth="1"/>
    <col min="9" max="9" width="10.140625" style="69" customWidth="1"/>
    <col min="10" max="10" width="9.140625" style="69" customWidth="1"/>
    <col min="11" max="11" width="10" style="69" customWidth="1"/>
    <col min="12" max="12" width="8" style="69" customWidth="1"/>
    <col min="13" max="13" width="12" style="69" customWidth="1"/>
    <col min="14" max="14" width="9.140625" style="69" customWidth="1"/>
    <col min="15" max="15" width="17.42578125" style="69" customWidth="1"/>
    <col min="16" max="16384" width="9.140625" style="69"/>
  </cols>
  <sheetData>
    <row r="1" spans="1:19" ht="16.5">
      <c r="O1" s="84" t="s">
        <v>1491</v>
      </c>
    </row>
    <row r="2" spans="1:19" ht="16.5">
      <c r="A2" s="71" t="s">
        <v>1333</v>
      </c>
      <c r="B2" s="194"/>
      <c r="K2" s="240" t="s">
        <v>1296</v>
      </c>
      <c r="L2" s="240"/>
      <c r="M2" s="240"/>
      <c r="N2" s="240"/>
      <c r="O2" s="240"/>
      <c r="P2" s="30"/>
      <c r="Q2" s="30"/>
      <c r="R2" s="30"/>
      <c r="S2" s="30"/>
    </row>
    <row r="3" spans="1:19" ht="16.5">
      <c r="A3" s="195"/>
      <c r="B3" s="72" t="s">
        <v>1295</v>
      </c>
      <c r="K3" s="240" t="s">
        <v>1298</v>
      </c>
      <c r="L3" s="240"/>
      <c r="M3" s="240"/>
      <c r="N3" s="240"/>
      <c r="O3" s="240"/>
      <c r="P3" s="30"/>
      <c r="Q3" s="30"/>
      <c r="R3" s="30"/>
      <c r="S3" s="30"/>
    </row>
    <row r="5" spans="1:19" ht="18.75">
      <c r="A5" s="293" t="s">
        <v>1492</v>
      </c>
      <c r="B5" s="293"/>
      <c r="C5" s="293"/>
      <c r="D5" s="293"/>
      <c r="E5" s="293"/>
      <c r="F5" s="293"/>
      <c r="G5" s="293"/>
      <c r="H5" s="293"/>
      <c r="I5" s="293"/>
      <c r="J5" s="293"/>
      <c r="K5" s="293"/>
      <c r="L5" s="293"/>
      <c r="M5" s="293"/>
      <c r="N5" s="293"/>
      <c r="O5" s="293"/>
    </row>
    <row r="6" spans="1:19">
      <c r="A6" s="142"/>
      <c r="B6" s="143"/>
      <c r="C6" s="142"/>
      <c r="D6" s="142"/>
    </row>
    <row r="7" spans="1:19">
      <c r="A7" s="274" t="s">
        <v>1</v>
      </c>
      <c r="B7" s="274" t="s">
        <v>1493</v>
      </c>
      <c r="C7" s="274" t="s">
        <v>1494</v>
      </c>
      <c r="D7" s="274" t="s">
        <v>1495</v>
      </c>
      <c r="E7" s="280" t="s">
        <v>1383</v>
      </c>
      <c r="F7" s="280" t="s">
        <v>1465</v>
      </c>
      <c r="G7" s="280" t="s">
        <v>1466</v>
      </c>
      <c r="H7" s="280" t="s">
        <v>1467</v>
      </c>
      <c r="I7" s="290" t="s">
        <v>1468</v>
      </c>
      <c r="J7" s="290"/>
      <c r="K7" s="290"/>
      <c r="L7" s="290"/>
      <c r="M7" s="289" t="s">
        <v>1469</v>
      </c>
      <c r="N7" s="281" t="s">
        <v>1471</v>
      </c>
      <c r="O7" s="259" t="s">
        <v>1496</v>
      </c>
    </row>
    <row r="8" spans="1:19">
      <c r="A8" s="275"/>
      <c r="B8" s="275"/>
      <c r="C8" s="275"/>
      <c r="D8" s="275"/>
      <c r="E8" s="280"/>
      <c r="F8" s="280"/>
      <c r="G8" s="280"/>
      <c r="H8" s="280"/>
      <c r="I8" s="280" t="s">
        <v>1392</v>
      </c>
      <c r="J8" s="280" t="s">
        <v>1393</v>
      </c>
      <c r="K8" s="280" t="s">
        <v>1394</v>
      </c>
      <c r="L8" s="280" t="s">
        <v>1395</v>
      </c>
      <c r="M8" s="289"/>
      <c r="N8" s="281"/>
      <c r="O8" s="260"/>
    </row>
    <row r="9" spans="1:19" ht="15" customHeight="1">
      <c r="A9" s="275"/>
      <c r="B9" s="275"/>
      <c r="C9" s="275"/>
      <c r="D9" s="275"/>
      <c r="E9" s="280"/>
      <c r="F9" s="280"/>
      <c r="G9" s="280"/>
      <c r="H9" s="280"/>
      <c r="I9" s="280"/>
      <c r="J9" s="280"/>
      <c r="K9" s="280"/>
      <c r="L9" s="280"/>
      <c r="M9" s="289"/>
      <c r="N9" s="281"/>
      <c r="O9" s="260"/>
    </row>
    <row r="10" spans="1:19">
      <c r="A10" s="276"/>
      <c r="B10" s="276"/>
      <c r="C10" s="276"/>
      <c r="D10" s="276"/>
      <c r="E10" s="280"/>
      <c r="F10" s="280"/>
      <c r="G10" s="280"/>
      <c r="H10" s="280"/>
      <c r="I10" s="280"/>
      <c r="J10" s="280"/>
      <c r="K10" s="280"/>
      <c r="L10" s="280"/>
      <c r="M10" s="289"/>
      <c r="N10" s="281"/>
      <c r="O10" s="261"/>
    </row>
    <row r="11" spans="1:19" s="73" customFormat="1" ht="14.25">
      <c r="A11" s="196" t="s">
        <v>82</v>
      </c>
      <c r="B11" s="294" t="s">
        <v>1497</v>
      </c>
      <c r="C11" s="295"/>
      <c r="D11" s="296"/>
      <c r="E11" s="197" t="s">
        <v>1488</v>
      </c>
      <c r="F11" s="197" t="s">
        <v>1488</v>
      </c>
      <c r="G11" s="197" t="s">
        <v>1488</v>
      </c>
      <c r="H11" s="197" t="s">
        <v>1488</v>
      </c>
      <c r="I11" s="197" t="s">
        <v>1488</v>
      </c>
      <c r="J11" s="197" t="s">
        <v>1488</v>
      </c>
      <c r="K11" s="197" t="s">
        <v>1488</v>
      </c>
      <c r="L11" s="197" t="s">
        <v>1488</v>
      </c>
      <c r="M11" s="197" t="s">
        <v>1488</v>
      </c>
      <c r="N11" s="197" t="s">
        <v>1488</v>
      </c>
      <c r="O11" s="38"/>
    </row>
    <row r="12" spans="1:19" s="73" customFormat="1" ht="14.25">
      <c r="A12" s="36" t="s">
        <v>85</v>
      </c>
      <c r="B12" s="297" t="s">
        <v>1498</v>
      </c>
      <c r="C12" s="298"/>
      <c r="D12" s="299"/>
      <c r="E12" s="164">
        <f>SUBTOTAL(9,E13:E15)</f>
        <v>0</v>
      </c>
      <c r="F12" s="164">
        <f t="shared" ref="F12:N12" si="0">SUBTOTAL(9,F13:F15)</f>
        <v>0</v>
      </c>
      <c r="G12" s="164">
        <f t="shared" si="0"/>
        <v>0</v>
      </c>
      <c r="H12" s="164">
        <f t="shared" si="0"/>
        <v>0</v>
      </c>
      <c r="I12" s="164">
        <f t="shared" si="0"/>
        <v>0</v>
      </c>
      <c r="J12" s="164">
        <f t="shared" si="0"/>
        <v>0</v>
      </c>
      <c r="K12" s="164">
        <f t="shared" si="0"/>
        <v>0</v>
      </c>
      <c r="L12" s="164">
        <f t="shared" si="0"/>
        <v>0</v>
      </c>
      <c r="M12" s="164">
        <f t="shared" si="0"/>
        <v>0</v>
      </c>
      <c r="N12" s="164">
        <f t="shared" si="0"/>
        <v>0</v>
      </c>
      <c r="O12" s="165"/>
    </row>
    <row r="13" spans="1:19" s="200" customFormat="1">
      <c r="A13" s="198">
        <v>1</v>
      </c>
      <c r="B13" s="58" t="s">
        <v>1499</v>
      </c>
      <c r="C13" s="199" t="s">
        <v>1488</v>
      </c>
      <c r="D13" s="151" t="s">
        <v>1488</v>
      </c>
      <c r="E13" s="151" t="s">
        <v>1488</v>
      </c>
      <c r="F13" s="151" t="s">
        <v>1488</v>
      </c>
      <c r="G13" s="151" t="s">
        <v>1488</v>
      </c>
      <c r="H13" s="151" t="s">
        <v>1488</v>
      </c>
      <c r="I13" s="151" t="s">
        <v>1488</v>
      </c>
      <c r="J13" s="151" t="s">
        <v>1488</v>
      </c>
      <c r="K13" s="151" t="s">
        <v>1488</v>
      </c>
      <c r="L13" s="151" t="s">
        <v>1488</v>
      </c>
      <c r="M13" s="151" t="s">
        <v>1488</v>
      </c>
      <c r="N13" s="151" t="s">
        <v>1488</v>
      </c>
      <c r="O13" s="151" t="s">
        <v>1488</v>
      </c>
    </row>
    <row r="14" spans="1:19" s="200" customFormat="1">
      <c r="A14" s="198">
        <v>2</v>
      </c>
      <c r="B14" s="58" t="s">
        <v>1500</v>
      </c>
      <c r="C14" s="199" t="s">
        <v>1488</v>
      </c>
      <c r="D14" s="151" t="s">
        <v>1488</v>
      </c>
      <c r="E14" s="151" t="s">
        <v>1488</v>
      </c>
      <c r="F14" s="151" t="s">
        <v>1488</v>
      </c>
      <c r="G14" s="151" t="s">
        <v>1488</v>
      </c>
      <c r="H14" s="151" t="s">
        <v>1488</v>
      </c>
      <c r="I14" s="151" t="s">
        <v>1488</v>
      </c>
      <c r="J14" s="151" t="s">
        <v>1488</v>
      </c>
      <c r="K14" s="151" t="s">
        <v>1488</v>
      </c>
      <c r="L14" s="151" t="s">
        <v>1488</v>
      </c>
      <c r="M14" s="151" t="s">
        <v>1488</v>
      </c>
      <c r="N14" s="151" t="s">
        <v>1488</v>
      </c>
      <c r="O14" s="151" t="s">
        <v>1488</v>
      </c>
    </row>
    <row r="15" spans="1:19" s="200" customFormat="1">
      <c r="A15" s="198"/>
      <c r="B15" s="144" t="s">
        <v>1488</v>
      </c>
      <c r="C15" s="199"/>
      <c r="D15" s="151"/>
      <c r="E15" s="151"/>
      <c r="F15" s="151"/>
      <c r="G15" s="151"/>
      <c r="H15" s="151"/>
      <c r="I15" s="151"/>
      <c r="J15" s="151"/>
      <c r="K15" s="151"/>
      <c r="L15" s="151"/>
      <c r="M15" s="151"/>
      <c r="N15" s="151"/>
      <c r="O15" s="151"/>
    </row>
    <row r="16" spans="1:19" s="73" customFormat="1" ht="14.25">
      <c r="A16" s="36" t="s">
        <v>1476</v>
      </c>
      <c r="B16" s="297" t="s">
        <v>1490</v>
      </c>
      <c r="C16" s="298"/>
      <c r="D16" s="299"/>
      <c r="E16" s="164"/>
      <c r="F16" s="164"/>
      <c r="G16" s="164"/>
      <c r="H16" s="164"/>
      <c r="I16" s="164"/>
      <c r="J16" s="164"/>
      <c r="K16" s="164"/>
      <c r="L16" s="164"/>
      <c r="M16" s="164"/>
      <c r="N16" s="164"/>
      <c r="O16" s="165"/>
    </row>
    <row r="17" spans="1:15" s="73" customFormat="1" ht="14.25">
      <c r="A17" s="37"/>
      <c r="B17" s="300"/>
      <c r="C17" s="300"/>
      <c r="D17" s="300"/>
      <c r="E17" s="300"/>
      <c r="F17" s="300"/>
      <c r="G17" s="300"/>
      <c r="H17" s="300"/>
      <c r="I17" s="300"/>
      <c r="J17" s="300"/>
      <c r="K17" s="300"/>
      <c r="L17" s="300"/>
      <c r="M17" s="300"/>
      <c r="N17" s="300"/>
      <c r="O17" s="300"/>
    </row>
    <row r="18" spans="1:15" s="84" customFormat="1" ht="16.5">
      <c r="A18" s="29"/>
      <c r="B18" s="72" t="s">
        <v>1362</v>
      </c>
      <c r="F18" s="84" t="s">
        <v>1501</v>
      </c>
      <c r="L18" s="301" t="s">
        <v>1363</v>
      </c>
      <c r="M18" s="301"/>
      <c r="N18" s="301"/>
      <c r="O18" s="301"/>
    </row>
    <row r="19" spans="1:15" s="185" customFormat="1" ht="20.25">
      <c r="A19" s="183"/>
      <c r="B19" s="186"/>
      <c r="C19" s="84"/>
      <c r="F19" s="187"/>
      <c r="G19" s="187"/>
      <c r="H19" s="187"/>
      <c r="I19" s="84"/>
      <c r="K19" s="84"/>
      <c r="L19" s="292"/>
      <c r="M19" s="292"/>
      <c r="N19" s="292"/>
      <c r="O19" s="292"/>
    </row>
    <row r="21" spans="1:15">
      <c r="E21" s="188"/>
      <c r="F21" s="188"/>
      <c r="G21" s="188"/>
      <c r="H21" s="188"/>
      <c r="I21" s="188"/>
      <c r="J21" s="188"/>
      <c r="K21" s="188"/>
      <c r="L21" s="188"/>
      <c r="M21" s="188"/>
      <c r="N21" s="188"/>
    </row>
  </sheetData>
  <mergeCells count="25">
    <mergeCell ref="B11:D11"/>
    <mergeCell ref="B12:D12"/>
    <mergeCell ref="B16:D16"/>
    <mergeCell ref="B17:O17"/>
    <mergeCell ref="L18:O18"/>
    <mergeCell ref="L19:O19"/>
    <mergeCell ref="H7:H10"/>
    <mergeCell ref="I7:L7"/>
    <mergeCell ref="M7:M10"/>
    <mergeCell ref="N7:N10"/>
    <mergeCell ref="O7:O10"/>
    <mergeCell ref="I8:I10"/>
    <mergeCell ref="J8:J10"/>
    <mergeCell ref="K8:K10"/>
    <mergeCell ref="L8:L10"/>
    <mergeCell ref="K2:O2"/>
    <mergeCell ref="K3:O3"/>
    <mergeCell ref="A5:O5"/>
    <mergeCell ref="A7:A10"/>
    <mergeCell ref="B7:B10"/>
    <mergeCell ref="C7:C10"/>
    <mergeCell ref="D7:D10"/>
    <mergeCell ref="E7:E10"/>
    <mergeCell ref="F7:F10"/>
    <mergeCell ref="G7:G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
  <sheetViews>
    <sheetView zoomScale="70" zoomScaleNormal="70" workbookViewId="0">
      <selection activeCell="P10" sqref="P10"/>
    </sheetView>
  </sheetViews>
  <sheetFormatPr defaultRowHeight="15"/>
  <cols>
    <col min="1" max="3" width="9.140625" customWidth="1"/>
    <col min="4" max="4" width="62" customWidth="1"/>
    <col min="5" max="5" width="19.7109375" customWidth="1"/>
    <col min="6" max="6" width="14.28515625" customWidth="1"/>
    <col min="7" max="7" width="12" customWidth="1"/>
    <col min="8" max="8" width="22.28515625" customWidth="1"/>
    <col min="9" max="9" width="25.28515625" customWidth="1"/>
    <col min="10" max="11" width="20" customWidth="1"/>
    <col min="12" max="12" width="17.7109375" customWidth="1"/>
    <col min="13" max="13" width="16.28515625" customWidth="1"/>
    <col min="14" max="14" width="21.85546875" customWidth="1"/>
    <col min="15" max="15" width="17.7109375" customWidth="1"/>
    <col min="16" max="17" width="16.42578125" customWidth="1"/>
    <col min="18" max="18" width="15.5703125" customWidth="1"/>
    <col min="19" max="19" width="16.140625" customWidth="1"/>
    <col min="20" max="20" width="16.28515625" customWidth="1"/>
    <col min="21" max="21" width="16.42578125" customWidth="1"/>
    <col min="22" max="22" width="17.7109375" customWidth="1"/>
  </cols>
  <sheetData>
    <row r="1" spans="1:22" ht="19.5">
      <c r="A1" s="305" t="s">
        <v>1431</v>
      </c>
      <c r="B1" s="305"/>
      <c r="C1" s="305"/>
      <c r="D1" s="306"/>
      <c r="E1" s="306"/>
      <c r="F1" s="305"/>
      <c r="G1" s="305"/>
      <c r="H1" s="307"/>
      <c r="I1" s="305"/>
      <c r="J1" s="305"/>
      <c r="K1" s="305"/>
      <c r="L1" s="305"/>
      <c r="M1" s="305"/>
      <c r="N1" s="305"/>
      <c r="O1" s="305"/>
      <c r="P1" s="305"/>
      <c r="Q1" s="305"/>
      <c r="R1" s="305"/>
      <c r="S1" s="305"/>
      <c r="T1" s="305"/>
      <c r="U1" s="305"/>
      <c r="V1" s="305"/>
    </row>
    <row r="2" spans="1:22" ht="19.5">
      <c r="A2" s="308" t="s">
        <v>1432</v>
      </c>
      <c r="B2" s="308"/>
      <c r="C2" s="308"/>
      <c r="D2" s="309"/>
      <c r="E2" s="309"/>
      <c r="F2" s="308"/>
      <c r="G2" s="308"/>
      <c r="H2" s="310"/>
      <c r="I2" s="308"/>
      <c r="J2" s="308"/>
      <c r="K2" s="308"/>
      <c r="L2" s="308"/>
      <c r="M2" s="308"/>
      <c r="N2" s="308"/>
      <c r="O2" s="308"/>
      <c r="P2" s="308"/>
      <c r="Q2" s="308"/>
      <c r="R2" s="308"/>
      <c r="S2" s="308"/>
      <c r="T2" s="308"/>
      <c r="U2" s="308"/>
      <c r="V2" s="308"/>
    </row>
    <row r="3" spans="1:22">
      <c r="A3" s="121"/>
      <c r="B3" s="121"/>
      <c r="C3" s="121"/>
      <c r="D3" s="122"/>
      <c r="E3" s="122"/>
      <c r="F3" s="123"/>
      <c r="G3" s="121"/>
      <c r="H3" s="124"/>
      <c r="I3" s="124"/>
      <c r="J3" s="124"/>
      <c r="K3" s="125"/>
      <c r="L3" s="125"/>
      <c r="M3" s="125"/>
      <c r="N3" s="126"/>
      <c r="O3" s="126"/>
      <c r="P3" s="126"/>
      <c r="Q3" s="126"/>
      <c r="R3" s="126"/>
      <c r="S3" s="126"/>
      <c r="T3" s="125"/>
      <c r="U3" s="125"/>
      <c r="V3" s="125"/>
    </row>
    <row r="4" spans="1:22" ht="15.75">
      <c r="A4" s="311" t="s">
        <v>4</v>
      </c>
      <c r="B4" s="127"/>
      <c r="C4" s="127"/>
      <c r="D4" s="311" t="s">
        <v>1433</v>
      </c>
      <c r="E4" s="312" t="s">
        <v>1434</v>
      </c>
      <c r="F4" s="312" t="s">
        <v>1448</v>
      </c>
      <c r="G4" s="312" t="s">
        <v>1435</v>
      </c>
      <c r="H4" s="315" t="s">
        <v>1436</v>
      </c>
      <c r="I4" s="318" t="s">
        <v>1437</v>
      </c>
      <c r="J4" s="321" t="s">
        <v>1385</v>
      </c>
      <c r="K4" s="328" t="s">
        <v>1438</v>
      </c>
      <c r="L4" s="318" t="s">
        <v>1387</v>
      </c>
      <c r="M4" s="318" t="s">
        <v>1439</v>
      </c>
      <c r="N4" s="331" t="s">
        <v>1440</v>
      </c>
      <c r="O4" s="332"/>
      <c r="P4" s="332"/>
      <c r="Q4" s="332"/>
      <c r="R4" s="332"/>
      <c r="S4" s="332"/>
      <c r="T4" s="333"/>
      <c r="U4" s="334" t="s">
        <v>1390</v>
      </c>
      <c r="V4" s="337" t="s">
        <v>1441</v>
      </c>
    </row>
    <row r="5" spans="1:22" ht="15.75">
      <c r="A5" s="311"/>
      <c r="B5" s="127"/>
      <c r="C5" s="127"/>
      <c r="D5" s="311"/>
      <c r="E5" s="313"/>
      <c r="F5" s="313"/>
      <c r="G5" s="313"/>
      <c r="H5" s="316"/>
      <c r="I5" s="319"/>
      <c r="J5" s="322"/>
      <c r="K5" s="329"/>
      <c r="L5" s="319"/>
      <c r="M5" s="319"/>
      <c r="N5" s="338" t="s">
        <v>1392</v>
      </c>
      <c r="O5" s="338"/>
      <c r="P5" s="338" t="s">
        <v>1393</v>
      </c>
      <c r="Q5" s="338"/>
      <c r="R5" s="338" t="s">
        <v>1394</v>
      </c>
      <c r="S5" s="338"/>
      <c r="T5" s="302" t="s">
        <v>1395</v>
      </c>
      <c r="U5" s="335"/>
      <c r="V5" s="337"/>
    </row>
    <row r="6" spans="1:22" ht="15.75">
      <c r="A6" s="311"/>
      <c r="B6" s="127"/>
      <c r="C6" s="127"/>
      <c r="D6" s="311"/>
      <c r="E6" s="313"/>
      <c r="F6" s="313"/>
      <c r="G6" s="313"/>
      <c r="H6" s="316"/>
      <c r="I6" s="319"/>
      <c r="J6" s="322"/>
      <c r="K6" s="329"/>
      <c r="L6" s="319"/>
      <c r="M6" s="319"/>
      <c r="N6" s="327" t="s">
        <v>1397</v>
      </c>
      <c r="O6" s="318" t="s">
        <v>1398</v>
      </c>
      <c r="P6" s="327" t="s">
        <v>1397</v>
      </c>
      <c r="Q6" s="318" t="s">
        <v>1398</v>
      </c>
      <c r="R6" s="327" t="s">
        <v>1397</v>
      </c>
      <c r="S6" s="318" t="s">
        <v>1398</v>
      </c>
      <c r="T6" s="303"/>
      <c r="U6" s="335"/>
      <c r="V6" s="337"/>
    </row>
    <row r="7" spans="1:22" ht="15.75">
      <c r="A7" s="311"/>
      <c r="B7" s="127"/>
      <c r="C7" s="127"/>
      <c r="D7" s="311"/>
      <c r="E7" s="314"/>
      <c r="F7" s="314"/>
      <c r="G7" s="314"/>
      <c r="H7" s="317"/>
      <c r="I7" s="320"/>
      <c r="J7" s="323"/>
      <c r="K7" s="330"/>
      <c r="L7" s="320"/>
      <c r="M7" s="320"/>
      <c r="N7" s="327"/>
      <c r="O7" s="320"/>
      <c r="P7" s="327"/>
      <c r="Q7" s="320"/>
      <c r="R7" s="327"/>
      <c r="S7" s="320"/>
      <c r="T7" s="304"/>
      <c r="U7" s="336"/>
      <c r="V7" s="337"/>
    </row>
    <row r="8" spans="1:22" ht="31.5">
      <c r="A8" s="128">
        <f>IF(G8="Tổng phân bổ",COUNTIF(G8:$I$11,"Tổng phân bổ"),"")</f>
        <v>2</v>
      </c>
      <c r="B8" s="128"/>
      <c r="C8" s="128"/>
      <c r="D8" s="129" t="s">
        <v>1442</v>
      </c>
      <c r="E8" s="128"/>
      <c r="F8" s="128" t="s">
        <v>67</v>
      </c>
      <c r="G8" s="128" t="s">
        <v>1443</v>
      </c>
      <c r="H8" s="130" t="e">
        <f t="shared" ref="H8:V8" si="0">+H9+H10</f>
        <v>#VALUE!</v>
      </c>
      <c r="I8" s="130" t="e">
        <f t="shared" si="0"/>
        <v>#VALUE!</v>
      </c>
      <c r="J8" s="130" t="e">
        <f t="shared" si="0"/>
        <v>#VALUE!</v>
      </c>
      <c r="K8" s="130" t="e">
        <f t="shared" si="0"/>
        <v>#VALUE!</v>
      </c>
      <c r="L8" s="130" t="e">
        <f t="shared" si="0"/>
        <v>#VALUE!</v>
      </c>
      <c r="M8" s="130" t="e">
        <f t="shared" si="0"/>
        <v>#VALUE!</v>
      </c>
      <c r="N8" s="130" t="e">
        <f t="shared" si="0"/>
        <v>#VALUE!</v>
      </c>
      <c r="O8" s="130" t="e">
        <f t="shared" si="0"/>
        <v>#VALUE!</v>
      </c>
      <c r="P8" s="130" t="e">
        <f t="shared" si="0"/>
        <v>#VALUE!</v>
      </c>
      <c r="Q8" s="130" t="e">
        <f t="shared" si="0"/>
        <v>#VALUE!</v>
      </c>
      <c r="R8" s="130" t="e">
        <f t="shared" si="0"/>
        <v>#VALUE!</v>
      </c>
      <c r="S8" s="130" t="e">
        <f t="shared" si="0"/>
        <v>#VALUE!</v>
      </c>
      <c r="T8" s="130" t="e">
        <f t="shared" si="0"/>
        <v>#VALUE!</v>
      </c>
      <c r="U8" s="130" t="e">
        <f t="shared" si="0"/>
        <v>#VALUE!</v>
      </c>
      <c r="V8" s="130" t="e">
        <f t="shared" si="0"/>
        <v>#VALUE!</v>
      </c>
    </row>
    <row r="9" spans="1:22" ht="31.5">
      <c r="A9" s="128" t="str">
        <f>IF(G9="Tổng phân bổ",COUNTIF(G9:$I$11,"Tổng phân bổ"),"")</f>
        <v/>
      </c>
      <c r="B9" s="128"/>
      <c r="C9" s="128"/>
      <c r="D9" s="131" t="s">
        <v>1442</v>
      </c>
      <c r="E9" s="132"/>
      <c r="F9" s="132" t="s">
        <v>67</v>
      </c>
      <c r="G9" s="133" t="s">
        <v>1444</v>
      </c>
      <c r="H9" s="134" t="e">
        <f>SUMIFS('[3]Bang phan bo T10'!AC:AC,'[3]Bang phan bo T10'!$D:$D,'[3]Tong hop T10'!$D15,'[3]Bang phan bo T10'!$I:$I,'[3]Tong hop T10'!$B15,'[3]Bang phan bo T10'!$G:$G,'[3]Tong hop T10'!$F15)</f>
        <v>#VALUE!</v>
      </c>
      <c r="I9" s="134" t="e">
        <f>SUMIFS('[3]Bang phan bo T10'!AD:AD,'[3]Bang phan bo T10'!$D:$D,'[3]Tong hop T10'!$D15,'[3]Bang phan bo T10'!$I:$I,'[3]Tong hop T10'!$B15,'[3]Bang phan bo T10'!$G:$G,'[3]Tong hop T10'!$F15)</f>
        <v>#VALUE!</v>
      </c>
      <c r="J9" s="134" t="e">
        <f>SUMIFS('[3]Bang phan bo T10'!AE:AE,'[3]Bang phan bo T10'!$D:$D,'[3]Tong hop T10'!$D15,'[3]Bang phan bo T10'!$I:$I,'[3]Tong hop T10'!$B15,'[3]Bang phan bo T10'!$G:$G,'[3]Tong hop T10'!$F15)</f>
        <v>#VALUE!</v>
      </c>
      <c r="K9" s="134" t="e">
        <f>SUMIFS('[3]Bang phan bo T10'!AF:AF,'[3]Bang phan bo T10'!$D:$D,'[3]Tong hop T10'!$D15,'[3]Bang phan bo T10'!$I:$I,'[3]Tong hop T10'!$B15,'[3]Bang phan bo T10'!$G:$G,'[3]Tong hop T10'!$F15)</f>
        <v>#VALUE!</v>
      </c>
      <c r="L9" s="134" t="e">
        <f>SUMIFS('[3]Bang phan bo T10'!AG:AG,'[3]Bang phan bo T10'!$D:$D,'[3]Tong hop T10'!$D15,'[3]Bang phan bo T10'!$I:$I,'[3]Tong hop T10'!$B15,'[3]Bang phan bo T10'!$G:$G,'[3]Tong hop T10'!$F15)</f>
        <v>#VALUE!</v>
      </c>
      <c r="M9" s="134" t="e">
        <f>SUMIFS('[3]Bang phan bo T10'!AH:AH,'[3]Bang phan bo T10'!$D:$D,'[3]Tong hop T10'!$D15,'[3]Bang phan bo T10'!$I:$I,'[3]Tong hop T10'!$B15,'[3]Bang phan bo T10'!$G:$G,'[3]Tong hop T10'!$F15)</f>
        <v>#VALUE!</v>
      </c>
      <c r="N9" s="134" t="e">
        <f>SUMIFS('[3]Bang phan bo T10'!AI:AI,'[3]Bang phan bo T10'!$D:$D,'[3]Tong hop T10'!$D15,'[3]Bang phan bo T10'!$I:$I,'[3]Tong hop T10'!$B15,'[3]Bang phan bo T10'!$G:$G,'[3]Tong hop T10'!$F15)</f>
        <v>#VALUE!</v>
      </c>
      <c r="O9" s="134" t="e">
        <f>SUMIFS('[3]Bang phan bo T10'!AJ:AJ,'[3]Bang phan bo T10'!$D:$D,'[3]Tong hop T10'!$D15,'[3]Bang phan bo T10'!$I:$I,'[3]Tong hop T10'!$B15,'[3]Bang phan bo T10'!$G:$G,'[3]Tong hop T10'!$F15)</f>
        <v>#VALUE!</v>
      </c>
      <c r="P9" s="134" t="e">
        <f>SUMIFS('[3]Bang phan bo T10'!AK:AK,'[3]Bang phan bo T10'!$D:$D,'[3]Tong hop T10'!$D15,'[3]Bang phan bo T10'!$I:$I,'[3]Tong hop T10'!$B15,'[3]Bang phan bo T10'!$G:$G,'[3]Tong hop T10'!$F15)</f>
        <v>#VALUE!</v>
      </c>
      <c r="Q9" s="134" t="e">
        <f>SUMIFS('[3]Bang phan bo T10'!AL:AL,'[3]Bang phan bo T10'!$D:$D,'[3]Tong hop T10'!$D15,'[3]Bang phan bo T10'!$I:$I,'[3]Tong hop T10'!$B15,'[3]Bang phan bo T10'!$G:$G,'[3]Tong hop T10'!$F15)</f>
        <v>#VALUE!</v>
      </c>
      <c r="R9" s="134" t="e">
        <f>SUMIFS('[3]Bang phan bo T10'!AM:AM,'[3]Bang phan bo T10'!$D:$D,'[3]Tong hop T10'!$D15,'[3]Bang phan bo T10'!$I:$I,'[3]Tong hop T10'!$B15,'[3]Bang phan bo T10'!$G:$G,'[3]Tong hop T10'!$F15)</f>
        <v>#VALUE!</v>
      </c>
      <c r="S9" s="134" t="e">
        <f>SUMIFS('[3]Bang phan bo T10'!AN:AN,'[3]Bang phan bo T10'!$D:$D,'[3]Tong hop T10'!$D15,'[3]Bang phan bo T10'!$I:$I,'[3]Tong hop T10'!$B15,'[3]Bang phan bo T10'!$G:$G,'[3]Tong hop T10'!$F15)</f>
        <v>#VALUE!</v>
      </c>
      <c r="T9" s="134" t="e">
        <f>SUMIFS('[3]Bang phan bo T10'!AO:AO,'[3]Bang phan bo T10'!$D:$D,'[3]Tong hop T10'!$D15,'[3]Bang phan bo T10'!$I:$I,'[3]Tong hop T10'!$B15,'[3]Bang phan bo T10'!$G:$G,'[3]Tong hop T10'!$F15)</f>
        <v>#VALUE!</v>
      </c>
      <c r="U9" s="134" t="e">
        <f>SUMIFS('[3]Bang phan bo T10'!AP:AP,'[3]Bang phan bo T10'!$D:$D,'[3]Tong hop T10'!$D15,'[3]Bang phan bo T10'!$I:$I,'[3]Tong hop T10'!$B15,'[3]Bang phan bo T10'!$G:$G,'[3]Tong hop T10'!$F15)</f>
        <v>#VALUE!</v>
      </c>
      <c r="V9" s="134" t="e">
        <f>SUM(I9:U9)</f>
        <v>#VALUE!</v>
      </c>
    </row>
    <row r="10" spans="1:22" ht="31.5">
      <c r="A10" s="128" t="str">
        <f>IF(G10="Tổng phân bổ",COUNTIF(G10:$I$11,"Tổng phân bổ"),"")</f>
        <v/>
      </c>
      <c r="B10" s="128"/>
      <c r="C10" s="128"/>
      <c r="D10" s="131" t="s">
        <v>1442</v>
      </c>
      <c r="E10" s="132"/>
      <c r="F10" s="132" t="s">
        <v>67</v>
      </c>
      <c r="G10" s="133" t="s">
        <v>1445</v>
      </c>
      <c r="H10" s="134" t="e">
        <f t="shared" ref="H10:U10" si="1">ROUND(H9*5%,0)</f>
        <v>#VALUE!</v>
      </c>
      <c r="I10" s="134" t="e">
        <f t="shared" si="1"/>
        <v>#VALUE!</v>
      </c>
      <c r="J10" s="134" t="e">
        <f t="shared" si="1"/>
        <v>#VALUE!</v>
      </c>
      <c r="K10" s="134" t="e">
        <f t="shared" si="1"/>
        <v>#VALUE!</v>
      </c>
      <c r="L10" s="134" t="e">
        <f t="shared" si="1"/>
        <v>#VALUE!</v>
      </c>
      <c r="M10" s="134" t="e">
        <f t="shared" si="1"/>
        <v>#VALUE!</v>
      </c>
      <c r="N10" s="134" t="e">
        <f t="shared" si="1"/>
        <v>#VALUE!</v>
      </c>
      <c r="O10" s="134" t="e">
        <f t="shared" si="1"/>
        <v>#VALUE!</v>
      </c>
      <c r="P10" s="134" t="e">
        <f t="shared" si="1"/>
        <v>#VALUE!</v>
      </c>
      <c r="Q10" s="134" t="e">
        <f t="shared" si="1"/>
        <v>#VALUE!</v>
      </c>
      <c r="R10" s="134" t="e">
        <f t="shared" si="1"/>
        <v>#VALUE!</v>
      </c>
      <c r="S10" s="134" t="e">
        <f t="shared" si="1"/>
        <v>#VALUE!</v>
      </c>
      <c r="T10" s="134" t="e">
        <f t="shared" si="1"/>
        <v>#VALUE!</v>
      </c>
      <c r="U10" s="134" t="e">
        <f t="shared" si="1"/>
        <v>#VALUE!</v>
      </c>
      <c r="V10" s="134" t="e">
        <f>SUM(I10:U10)</f>
        <v>#VALUE!</v>
      </c>
    </row>
    <row r="11" spans="1:22" ht="31.5">
      <c r="A11" s="128">
        <f>IF(G11="Tổng phân bổ",COUNTIF(G$11:$I11,"Tổng phân bổ"),"")</f>
        <v>1</v>
      </c>
      <c r="B11" s="128"/>
      <c r="C11" s="128"/>
      <c r="D11" s="129" t="s">
        <v>1446</v>
      </c>
      <c r="E11" s="128"/>
      <c r="F11" s="128" t="s">
        <v>67</v>
      </c>
      <c r="G11" s="137" t="s">
        <v>1443</v>
      </c>
      <c r="H11" s="135">
        <v>6611850</v>
      </c>
      <c r="I11" s="135">
        <v>259450885</v>
      </c>
      <c r="J11" s="135">
        <v>68082617</v>
      </c>
      <c r="K11" s="135">
        <v>65831028</v>
      </c>
      <c r="L11" s="135">
        <v>0</v>
      </c>
      <c r="M11" s="135">
        <v>0</v>
      </c>
      <c r="N11" s="135">
        <v>0</v>
      </c>
      <c r="O11" s="135">
        <v>0</v>
      </c>
      <c r="P11" s="135">
        <v>1809225</v>
      </c>
      <c r="Q11" s="135">
        <v>3957681</v>
      </c>
      <c r="R11" s="135">
        <v>276930</v>
      </c>
      <c r="S11" s="135">
        <v>553857</v>
      </c>
      <c r="T11" s="135">
        <v>165435</v>
      </c>
      <c r="U11" s="135">
        <v>165435</v>
      </c>
      <c r="V11" s="135">
        <f t="shared" ref="V11" si="2">+V12+V13</f>
        <v>400293093</v>
      </c>
    </row>
    <row r="12" spans="1:22" ht="31.5">
      <c r="A12" s="128" t="str">
        <f>IF(G12="Tổng phân bổ",COUNTIF(G$11:$I12,"Tổng phân bổ"),"")</f>
        <v/>
      </c>
      <c r="B12" s="128"/>
      <c r="C12" s="128"/>
      <c r="D12" s="131" t="s">
        <v>1446</v>
      </c>
      <c r="E12" s="132"/>
      <c r="F12" s="132" t="s">
        <v>67</v>
      </c>
      <c r="G12" s="138" t="s">
        <v>1444</v>
      </c>
      <c r="H12" s="136">
        <v>6297000</v>
      </c>
      <c r="I12" s="136">
        <v>247096081</v>
      </c>
      <c r="J12" s="136">
        <v>64840588</v>
      </c>
      <c r="K12" s="136">
        <v>62696217</v>
      </c>
      <c r="L12" s="136">
        <v>0</v>
      </c>
      <c r="M12" s="136">
        <v>0</v>
      </c>
      <c r="N12" s="136">
        <v>0</v>
      </c>
      <c r="O12" s="136">
        <v>0</v>
      </c>
      <c r="P12" s="136">
        <v>1723071</v>
      </c>
      <c r="Q12" s="136">
        <v>3769220</v>
      </c>
      <c r="R12" s="136">
        <v>263743</v>
      </c>
      <c r="S12" s="136">
        <v>527483</v>
      </c>
      <c r="T12" s="136">
        <v>157557</v>
      </c>
      <c r="U12" s="136">
        <v>157557</v>
      </c>
      <c r="V12" s="136">
        <f t="shared" ref="V12:V13" si="3">SUM(I12:U12)</f>
        <v>381231517</v>
      </c>
    </row>
    <row r="13" spans="1:22" ht="31.5">
      <c r="A13" s="128" t="str">
        <f>IF(G13="Tổng phân bổ",COUNTIF(G$11:$I13,"Tổng phân bổ"),"")</f>
        <v/>
      </c>
      <c r="B13" s="128"/>
      <c r="C13" s="128"/>
      <c r="D13" s="131" t="s">
        <v>1446</v>
      </c>
      <c r="E13" s="132"/>
      <c r="F13" s="132" t="s">
        <v>67</v>
      </c>
      <c r="G13" s="138" t="s">
        <v>1445</v>
      </c>
      <c r="H13" s="136">
        <v>314850</v>
      </c>
      <c r="I13" s="136">
        <v>12354804</v>
      </c>
      <c r="J13" s="136">
        <v>3242029</v>
      </c>
      <c r="K13" s="136">
        <v>3134811</v>
      </c>
      <c r="L13" s="136">
        <v>0</v>
      </c>
      <c r="M13" s="136">
        <v>0</v>
      </c>
      <c r="N13" s="136">
        <v>0</v>
      </c>
      <c r="O13" s="136">
        <v>0</v>
      </c>
      <c r="P13" s="136">
        <v>86154</v>
      </c>
      <c r="Q13" s="136">
        <v>188461</v>
      </c>
      <c r="R13" s="136">
        <v>13187</v>
      </c>
      <c r="S13" s="136">
        <v>26374</v>
      </c>
      <c r="T13" s="136">
        <v>7878</v>
      </c>
      <c r="U13" s="136">
        <v>7878</v>
      </c>
      <c r="V13" s="136">
        <f t="shared" si="3"/>
        <v>19061576</v>
      </c>
    </row>
    <row r="14" spans="1:22" ht="31.5">
      <c r="A14" s="128">
        <f>IF(G14="Tổng phân bổ",COUNTIF(G$11:$I14,"Tổng phân bổ"),"")</f>
        <v>2</v>
      </c>
      <c r="B14" s="128"/>
      <c r="C14" s="128"/>
      <c r="D14" s="129" t="s">
        <v>1447</v>
      </c>
      <c r="E14" s="128"/>
      <c r="F14" s="128" t="s">
        <v>67</v>
      </c>
      <c r="G14" s="137" t="s">
        <v>1443</v>
      </c>
      <c r="H14" s="135">
        <v>1081500</v>
      </c>
      <c r="I14" s="135">
        <v>44308476</v>
      </c>
      <c r="J14" s="135">
        <v>1764496</v>
      </c>
      <c r="K14" s="135">
        <v>1713140</v>
      </c>
      <c r="L14" s="135">
        <v>0</v>
      </c>
      <c r="M14" s="135">
        <v>0</v>
      </c>
      <c r="N14" s="135">
        <v>0</v>
      </c>
      <c r="O14" s="135">
        <v>0</v>
      </c>
      <c r="P14" s="135">
        <v>39128</v>
      </c>
      <c r="Q14" s="135">
        <v>85593</v>
      </c>
      <c r="R14" s="135">
        <v>7336</v>
      </c>
      <c r="S14" s="135">
        <v>14673</v>
      </c>
      <c r="T14" s="135">
        <v>4891</v>
      </c>
      <c r="U14" s="135">
        <v>4891</v>
      </c>
      <c r="V14" s="135">
        <f t="shared" ref="V14" si="4">+V15+V16</f>
        <v>47942624</v>
      </c>
    </row>
    <row r="15" spans="1:22" ht="31.5">
      <c r="A15" s="128" t="str">
        <f>IF(G15="Tổng phân bổ",COUNTIF(G$11:$I15,"Tổng phân bổ"),"")</f>
        <v/>
      </c>
      <c r="B15" s="128"/>
      <c r="C15" s="128"/>
      <c r="D15" s="131" t="s">
        <v>1447</v>
      </c>
      <c r="E15" s="132"/>
      <c r="F15" s="132" t="s">
        <v>67</v>
      </c>
      <c r="G15" s="138" t="s">
        <v>1444</v>
      </c>
      <c r="H15" s="136">
        <v>1030000</v>
      </c>
      <c r="I15" s="136">
        <v>42198549</v>
      </c>
      <c r="J15" s="136">
        <v>1680472</v>
      </c>
      <c r="K15" s="136">
        <v>1631562</v>
      </c>
      <c r="L15" s="136">
        <v>0</v>
      </c>
      <c r="M15" s="136">
        <v>0</v>
      </c>
      <c r="N15" s="136">
        <v>0</v>
      </c>
      <c r="O15" s="136">
        <v>0</v>
      </c>
      <c r="P15" s="136">
        <v>37265</v>
      </c>
      <c r="Q15" s="136">
        <v>81517</v>
      </c>
      <c r="R15" s="136">
        <v>6987</v>
      </c>
      <c r="S15" s="136">
        <v>13974</v>
      </c>
      <c r="T15" s="136">
        <v>4658</v>
      </c>
      <c r="U15" s="136">
        <v>4658</v>
      </c>
      <c r="V15" s="136">
        <f t="shared" ref="V15:V16" si="5">SUM(I15:U15)</f>
        <v>45659642</v>
      </c>
    </row>
    <row r="16" spans="1:22" ht="31.5">
      <c r="A16" s="128" t="str">
        <f>IF(G16="Tổng phân bổ",COUNTIF(G$11:$I16,"Tổng phân bổ"),"")</f>
        <v/>
      </c>
      <c r="B16" s="128"/>
      <c r="C16" s="128"/>
      <c r="D16" s="131" t="s">
        <v>1447</v>
      </c>
      <c r="E16" s="132"/>
      <c r="F16" s="132" t="s">
        <v>67</v>
      </c>
      <c r="G16" s="138" t="s">
        <v>1445</v>
      </c>
      <c r="H16" s="136">
        <v>51500</v>
      </c>
      <c r="I16" s="136">
        <v>2109927</v>
      </c>
      <c r="J16" s="136">
        <v>84024</v>
      </c>
      <c r="K16" s="136">
        <v>81578</v>
      </c>
      <c r="L16" s="136">
        <v>0</v>
      </c>
      <c r="M16" s="136">
        <v>0</v>
      </c>
      <c r="N16" s="136">
        <v>0</v>
      </c>
      <c r="O16" s="136">
        <v>0</v>
      </c>
      <c r="P16" s="136">
        <v>1863</v>
      </c>
      <c r="Q16" s="136">
        <v>4076</v>
      </c>
      <c r="R16" s="136">
        <v>349</v>
      </c>
      <c r="S16" s="136">
        <v>699</v>
      </c>
      <c r="T16" s="136">
        <v>233</v>
      </c>
      <c r="U16" s="136">
        <v>233</v>
      </c>
      <c r="V16" s="136">
        <f t="shared" si="5"/>
        <v>2282982</v>
      </c>
    </row>
    <row r="17" spans="1:22" ht="31.5">
      <c r="A17" s="128">
        <f>IF(G17="Tổng phân bổ",COUNTIF(G$11:$I17,"Tổng phân bổ"),"")</f>
        <v>3</v>
      </c>
      <c r="B17" s="128"/>
      <c r="C17" s="128"/>
      <c r="D17" s="129" t="s">
        <v>1447</v>
      </c>
      <c r="E17" s="128"/>
      <c r="F17" s="128" t="s">
        <v>67</v>
      </c>
      <c r="G17" s="137" t="s">
        <v>1443</v>
      </c>
      <c r="H17" s="135">
        <v>4868850</v>
      </c>
      <c r="I17" s="135">
        <v>156734945</v>
      </c>
      <c r="J17" s="135">
        <v>57127753</v>
      </c>
      <c r="K17" s="135">
        <v>54909887</v>
      </c>
      <c r="L17" s="135">
        <v>0</v>
      </c>
      <c r="M17" s="135">
        <v>0</v>
      </c>
      <c r="N17" s="135">
        <v>0</v>
      </c>
      <c r="O17" s="135">
        <v>0</v>
      </c>
      <c r="P17" s="135">
        <v>1700450</v>
      </c>
      <c r="Q17" s="135">
        <v>3719733</v>
      </c>
      <c r="R17" s="135">
        <v>318834</v>
      </c>
      <c r="S17" s="135">
        <v>637668</v>
      </c>
      <c r="T17" s="135">
        <v>198583</v>
      </c>
      <c r="U17" s="135">
        <v>198583</v>
      </c>
      <c r="V17" s="135">
        <f t="shared" ref="V17" si="6">+V18+V19</f>
        <v>275546436</v>
      </c>
    </row>
    <row r="18" spans="1:22" ht="31.5">
      <c r="A18" s="128" t="str">
        <f>IF(G18="Tổng phân bổ",COUNTIF(G$11:$I18,"Tổng phân bổ"),"")</f>
        <v/>
      </c>
      <c r="B18" s="128"/>
      <c r="C18" s="128"/>
      <c r="D18" s="131" t="s">
        <v>1447</v>
      </c>
      <c r="E18" s="132"/>
      <c r="F18" s="132" t="s">
        <v>67</v>
      </c>
      <c r="G18" s="138" t="s">
        <v>1444</v>
      </c>
      <c r="H18" s="136">
        <v>4637000</v>
      </c>
      <c r="I18" s="136">
        <v>149271376</v>
      </c>
      <c r="J18" s="136">
        <v>54407384</v>
      </c>
      <c r="K18" s="136">
        <v>52295130</v>
      </c>
      <c r="L18" s="136">
        <v>0</v>
      </c>
      <c r="M18" s="136">
        <v>0</v>
      </c>
      <c r="N18" s="136">
        <v>0</v>
      </c>
      <c r="O18" s="136">
        <v>0</v>
      </c>
      <c r="P18" s="136">
        <v>1619476</v>
      </c>
      <c r="Q18" s="136">
        <v>3542603</v>
      </c>
      <c r="R18" s="136">
        <v>303651</v>
      </c>
      <c r="S18" s="136">
        <v>607303</v>
      </c>
      <c r="T18" s="136">
        <v>189127</v>
      </c>
      <c r="U18" s="136">
        <v>189127</v>
      </c>
      <c r="V18" s="136">
        <f t="shared" ref="V18:V19" si="7">SUM(I18:U18)</f>
        <v>262425177</v>
      </c>
    </row>
    <row r="19" spans="1:22" ht="31.5">
      <c r="A19" s="128" t="str">
        <f>IF(G19="Tổng phân bổ",COUNTIF(G$11:$I19,"Tổng phân bổ"),"")</f>
        <v/>
      </c>
      <c r="B19" s="128"/>
      <c r="C19" s="128"/>
      <c r="D19" s="131" t="s">
        <v>1447</v>
      </c>
      <c r="E19" s="132"/>
      <c r="F19" s="132" t="s">
        <v>67</v>
      </c>
      <c r="G19" s="138" t="s">
        <v>1445</v>
      </c>
      <c r="H19" s="136">
        <v>231850</v>
      </c>
      <c r="I19" s="136">
        <v>7463569</v>
      </c>
      <c r="J19" s="136">
        <v>2720369</v>
      </c>
      <c r="K19" s="136">
        <v>2614757</v>
      </c>
      <c r="L19" s="136">
        <v>0</v>
      </c>
      <c r="M19" s="136">
        <v>0</v>
      </c>
      <c r="N19" s="136">
        <v>0</v>
      </c>
      <c r="O19" s="136">
        <v>0</v>
      </c>
      <c r="P19" s="136">
        <v>80974</v>
      </c>
      <c r="Q19" s="136">
        <v>177130</v>
      </c>
      <c r="R19" s="136">
        <v>15183</v>
      </c>
      <c r="S19" s="136">
        <v>30365</v>
      </c>
      <c r="T19" s="136">
        <v>9456</v>
      </c>
      <c r="U19" s="136">
        <v>9456</v>
      </c>
      <c r="V19" s="136">
        <f t="shared" si="7"/>
        <v>13121259</v>
      </c>
    </row>
    <row r="20" spans="1:22" ht="31.5">
      <c r="A20" s="128">
        <f>IF(G20="Tổng phân bổ",COUNTIF(G$11:$I20,"Tổng phân bổ"),"")</f>
        <v>4</v>
      </c>
      <c r="B20" s="128"/>
      <c r="C20" s="128"/>
      <c r="D20" s="129" t="s">
        <v>1447</v>
      </c>
      <c r="E20" s="128"/>
      <c r="F20" s="128" t="s">
        <v>67</v>
      </c>
      <c r="G20" s="137" t="s">
        <v>1443</v>
      </c>
      <c r="H20" s="135">
        <v>11936400</v>
      </c>
      <c r="I20" s="135">
        <v>450144773</v>
      </c>
      <c r="J20" s="135">
        <v>322360260</v>
      </c>
      <c r="K20" s="135">
        <v>313954982</v>
      </c>
      <c r="L20" s="135">
        <v>0</v>
      </c>
      <c r="M20" s="135">
        <v>0</v>
      </c>
      <c r="N20" s="135">
        <v>0</v>
      </c>
      <c r="O20" s="135">
        <v>0</v>
      </c>
      <c r="P20" s="135">
        <v>6726532</v>
      </c>
      <c r="Q20" s="135">
        <v>14714288</v>
      </c>
      <c r="R20" s="135">
        <v>1040493</v>
      </c>
      <c r="S20" s="135">
        <v>2080988</v>
      </c>
      <c r="T20" s="135">
        <v>638252</v>
      </c>
      <c r="U20" s="135">
        <v>638252</v>
      </c>
      <c r="V20" s="135">
        <f t="shared" ref="V20" si="8">+V21+V22</f>
        <v>1112298820</v>
      </c>
    </row>
    <row r="21" spans="1:22" ht="31.5">
      <c r="A21" s="128" t="str">
        <f>IF(G21="Tổng phân bổ",COUNTIF(G$11:$I21,"Tổng phân bổ"),"")</f>
        <v/>
      </c>
      <c r="B21" s="128"/>
      <c r="C21" s="128"/>
      <c r="D21" s="131" t="s">
        <v>1447</v>
      </c>
      <c r="E21" s="132"/>
      <c r="F21" s="132" t="s">
        <v>67</v>
      </c>
      <c r="G21" s="138" t="s">
        <v>1444</v>
      </c>
      <c r="H21" s="136">
        <v>11368000</v>
      </c>
      <c r="I21" s="136">
        <v>428709308</v>
      </c>
      <c r="J21" s="136">
        <v>307009771</v>
      </c>
      <c r="K21" s="136">
        <v>299004745</v>
      </c>
      <c r="L21" s="136">
        <v>0</v>
      </c>
      <c r="M21" s="136">
        <v>0</v>
      </c>
      <c r="N21" s="136">
        <v>0</v>
      </c>
      <c r="O21" s="136">
        <v>0</v>
      </c>
      <c r="P21" s="136">
        <v>6406221</v>
      </c>
      <c r="Q21" s="136">
        <v>14013608</v>
      </c>
      <c r="R21" s="136">
        <v>990946</v>
      </c>
      <c r="S21" s="136">
        <v>1981893</v>
      </c>
      <c r="T21" s="136">
        <v>607859</v>
      </c>
      <c r="U21" s="136">
        <v>607859</v>
      </c>
      <c r="V21" s="136">
        <f t="shared" ref="V21:V22" si="9">SUM(I21:U21)</f>
        <v>1059332210</v>
      </c>
    </row>
    <row r="22" spans="1:22" ht="31.5">
      <c r="A22" s="128" t="str">
        <f>IF(G22="Tổng phân bổ",COUNTIF(G$11:$I22,"Tổng phân bổ"),"")</f>
        <v/>
      </c>
      <c r="B22" s="128"/>
      <c r="C22" s="128"/>
      <c r="D22" s="131" t="s">
        <v>1447</v>
      </c>
      <c r="E22" s="132"/>
      <c r="F22" s="132" t="s">
        <v>67</v>
      </c>
      <c r="G22" s="138" t="s">
        <v>1445</v>
      </c>
      <c r="H22" s="136">
        <v>568400</v>
      </c>
      <c r="I22" s="136">
        <v>21435465</v>
      </c>
      <c r="J22" s="136">
        <v>15350489</v>
      </c>
      <c r="K22" s="136">
        <v>14950237</v>
      </c>
      <c r="L22" s="136">
        <v>0</v>
      </c>
      <c r="M22" s="136">
        <v>0</v>
      </c>
      <c r="N22" s="136">
        <v>0</v>
      </c>
      <c r="O22" s="136">
        <v>0</v>
      </c>
      <c r="P22" s="136">
        <v>320311</v>
      </c>
      <c r="Q22" s="136">
        <v>700680</v>
      </c>
      <c r="R22" s="136">
        <v>49547</v>
      </c>
      <c r="S22" s="136">
        <v>99095</v>
      </c>
      <c r="T22" s="136">
        <v>30393</v>
      </c>
      <c r="U22" s="136">
        <v>30393</v>
      </c>
      <c r="V22" s="136">
        <f t="shared" si="9"/>
        <v>52966610</v>
      </c>
    </row>
    <row r="23" spans="1:22" ht="99.75" customHeight="1">
      <c r="G23" s="324" t="s">
        <v>1449</v>
      </c>
      <c r="H23" s="325"/>
      <c r="I23" s="325"/>
      <c r="J23" s="325"/>
      <c r="K23" s="325"/>
      <c r="L23" s="325"/>
      <c r="M23" s="325"/>
      <c r="N23" s="325"/>
      <c r="O23" s="325"/>
      <c r="P23" s="325"/>
      <c r="Q23" s="325"/>
      <c r="R23" s="325"/>
      <c r="S23" s="325"/>
      <c r="T23" s="325"/>
      <c r="U23" s="325"/>
      <c r="V23" s="326"/>
    </row>
  </sheetData>
  <mergeCells count="27">
    <mergeCell ref="G23:V23"/>
    <mergeCell ref="N6:N7"/>
    <mergeCell ref="O6:O7"/>
    <mergeCell ref="P6:P7"/>
    <mergeCell ref="Q6:Q7"/>
    <mergeCell ref="R6:R7"/>
    <mergeCell ref="S6:S7"/>
    <mergeCell ref="K4:K7"/>
    <mergeCell ref="L4:L7"/>
    <mergeCell ref="M4:M7"/>
    <mergeCell ref="N4:T4"/>
    <mergeCell ref="U4:U7"/>
    <mergeCell ref="V4:V7"/>
    <mergeCell ref="N5:O5"/>
    <mergeCell ref="P5:Q5"/>
    <mergeCell ref="R5:S5"/>
    <mergeCell ref="T5:T7"/>
    <mergeCell ref="A1:V1"/>
    <mergeCell ref="A2:V2"/>
    <mergeCell ref="A4:A7"/>
    <mergeCell ref="D4:D7"/>
    <mergeCell ref="E4:E7"/>
    <mergeCell ref="F4:F7"/>
    <mergeCell ref="G4:G7"/>
    <mergeCell ref="H4:H7"/>
    <mergeCell ref="I4:I7"/>
    <mergeCell ref="J4:J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26"/>
  <sheetViews>
    <sheetView tabSelected="1" workbookViewId="0">
      <selection activeCell="G16" sqref="G16"/>
    </sheetView>
  </sheetViews>
  <sheetFormatPr defaultColWidth="9.140625" defaultRowHeight="15"/>
  <cols>
    <col min="1" max="1" width="5.7109375" style="25" customWidth="1"/>
    <col min="2" max="2" width="8.7109375" style="25" customWidth="1"/>
    <col min="3" max="3" width="17.28515625" style="25" customWidth="1"/>
    <col min="4" max="4" width="10.42578125" style="25" customWidth="1"/>
    <col min="5" max="5" width="14" style="25" bestFit="1" customWidth="1"/>
    <col min="6" max="6" width="10.7109375" style="25" customWidth="1"/>
    <col min="7" max="10" width="17.42578125" style="25" customWidth="1"/>
    <col min="11" max="11" width="11.5703125" style="25" customWidth="1"/>
    <col min="12" max="12" width="9.85546875" style="25" bestFit="1" customWidth="1"/>
    <col min="13" max="13" width="10.28515625" style="25" bestFit="1" customWidth="1"/>
    <col min="14" max="14" width="9.85546875" style="25" bestFit="1" customWidth="1"/>
    <col min="15" max="15" width="11.7109375" style="25" customWidth="1"/>
    <col min="16" max="16" width="13.7109375" style="25" bestFit="1" customWidth="1"/>
    <col min="17" max="17" width="12.7109375" style="25" customWidth="1"/>
    <col min="18" max="18" width="14" style="25" bestFit="1" customWidth="1"/>
    <col min="19" max="16384" width="9.140625" style="25"/>
  </cols>
  <sheetData>
    <row r="1" spans="1:25">
      <c r="R1" s="31" t="s">
        <v>1509</v>
      </c>
    </row>
    <row r="2" spans="1:25" s="31" customFormat="1" ht="16.5">
      <c r="A2" s="262" t="s">
        <v>1333</v>
      </c>
      <c r="B2" s="262"/>
      <c r="C2" s="262"/>
      <c r="D2" s="262"/>
      <c r="E2" s="262"/>
      <c r="F2" s="262"/>
      <c r="G2" s="262"/>
      <c r="H2" s="69"/>
      <c r="I2" s="69"/>
      <c r="J2" s="69"/>
      <c r="N2" s="240" t="s">
        <v>1296</v>
      </c>
      <c r="O2" s="240"/>
      <c r="P2" s="240"/>
      <c r="Q2" s="240"/>
      <c r="R2" s="240"/>
      <c r="S2" s="30"/>
      <c r="T2" s="30"/>
      <c r="U2" s="30"/>
      <c r="V2" s="30"/>
      <c r="W2" s="30"/>
      <c r="X2" s="30"/>
      <c r="Y2" s="30"/>
    </row>
    <row r="3" spans="1:25" ht="16.5">
      <c r="A3" s="278" t="s">
        <v>1334</v>
      </c>
      <c r="B3" s="278"/>
      <c r="C3" s="278"/>
      <c r="D3" s="278"/>
      <c r="E3" s="278"/>
      <c r="F3" s="278"/>
      <c r="G3" s="278"/>
      <c r="H3" s="69"/>
      <c r="I3" s="69"/>
      <c r="J3" s="69"/>
      <c r="N3" s="240" t="s">
        <v>1298</v>
      </c>
      <c r="O3" s="240"/>
      <c r="P3" s="240"/>
      <c r="Q3" s="240"/>
      <c r="R3" s="240"/>
      <c r="S3" s="30"/>
      <c r="T3" s="30"/>
      <c r="U3" s="30"/>
      <c r="V3" s="30"/>
      <c r="W3" s="30"/>
      <c r="X3" s="30"/>
      <c r="Y3" s="30"/>
    </row>
    <row r="5" spans="1:25" ht="16.5">
      <c r="A5" s="339" t="s">
        <v>1510</v>
      </c>
      <c r="B5" s="339"/>
      <c r="C5" s="339"/>
      <c r="D5" s="339"/>
      <c r="E5" s="339"/>
      <c r="F5" s="339"/>
      <c r="G5" s="339"/>
      <c r="H5" s="339"/>
      <c r="I5" s="339"/>
      <c r="J5" s="339"/>
      <c r="K5" s="339"/>
      <c r="L5" s="339"/>
      <c r="M5" s="339"/>
      <c r="N5" s="339"/>
      <c r="O5" s="339"/>
      <c r="P5" s="339"/>
      <c r="Q5" s="339"/>
      <c r="R5" s="339"/>
    </row>
    <row r="6" spans="1:25">
      <c r="A6" s="27"/>
      <c r="B6" s="27"/>
      <c r="C6" s="27"/>
      <c r="D6" s="27"/>
      <c r="E6" s="27"/>
      <c r="F6" s="27"/>
      <c r="G6" s="27"/>
      <c r="H6" s="27"/>
      <c r="I6" s="27"/>
      <c r="J6" s="27"/>
      <c r="K6" s="27"/>
      <c r="L6" s="27"/>
      <c r="M6" s="27"/>
      <c r="N6" s="27"/>
      <c r="O6" s="27"/>
      <c r="P6" s="27"/>
      <c r="Q6" s="27"/>
      <c r="R6" s="27"/>
    </row>
    <row r="7" spans="1:25">
      <c r="B7" s="32" t="s">
        <v>1300</v>
      </c>
      <c r="C7" s="32"/>
      <c r="D7" s="32"/>
      <c r="E7" s="32"/>
      <c r="F7" s="32"/>
      <c r="G7" s="32"/>
      <c r="H7" s="32"/>
      <c r="I7" s="32"/>
      <c r="J7" s="32"/>
      <c r="K7" s="32"/>
      <c r="L7" s="32"/>
      <c r="M7" s="32"/>
      <c r="N7" s="32"/>
      <c r="O7" s="32"/>
      <c r="P7" s="32"/>
      <c r="Q7" s="32"/>
      <c r="R7" s="32"/>
    </row>
    <row r="8" spans="1:25">
      <c r="B8" s="32" t="s">
        <v>1301</v>
      </c>
      <c r="C8" s="32"/>
      <c r="D8" s="32"/>
      <c r="E8" s="32"/>
      <c r="F8" s="32"/>
      <c r="G8" s="32"/>
      <c r="H8" s="32"/>
      <c r="I8" s="32"/>
      <c r="J8" s="32"/>
      <c r="K8" s="32"/>
      <c r="L8" s="32"/>
      <c r="M8" s="32"/>
      <c r="N8" s="32"/>
      <c r="O8" s="32"/>
      <c r="P8" s="32"/>
      <c r="Q8" s="32"/>
      <c r="R8" s="32"/>
    </row>
    <row r="9" spans="1:25">
      <c r="A9" s="32"/>
    </row>
    <row r="10" spans="1:25" ht="15" customHeight="1">
      <c r="A10" s="251" t="s">
        <v>1</v>
      </c>
      <c r="B10" s="251" t="s">
        <v>1251</v>
      </c>
      <c r="C10" s="251" t="s">
        <v>1252</v>
      </c>
      <c r="D10" s="252" t="s">
        <v>1511</v>
      </c>
      <c r="E10" s="253"/>
      <c r="F10" s="252" t="s">
        <v>1512</v>
      </c>
      <c r="G10" s="258"/>
      <c r="H10" s="258"/>
      <c r="I10" s="258"/>
      <c r="J10" s="258"/>
      <c r="K10" s="258"/>
      <c r="L10" s="258"/>
      <c r="M10" s="258"/>
      <c r="N10" s="258"/>
      <c r="O10" s="258"/>
      <c r="P10" s="253"/>
      <c r="Q10" s="340" t="s">
        <v>1490</v>
      </c>
      <c r="R10" s="341"/>
    </row>
    <row r="11" spans="1:25">
      <c r="A11" s="251"/>
      <c r="B11" s="251"/>
      <c r="C11" s="251"/>
      <c r="D11" s="342" t="s">
        <v>1513</v>
      </c>
      <c r="E11" s="342" t="s">
        <v>1514</v>
      </c>
      <c r="F11" s="342" t="s">
        <v>1515</v>
      </c>
      <c r="G11" s="280" t="s">
        <v>1383</v>
      </c>
      <c r="H11" s="280" t="s">
        <v>1465</v>
      </c>
      <c r="I11" s="280" t="s">
        <v>1466</v>
      </c>
      <c r="J11" s="280" t="s">
        <v>1467</v>
      </c>
      <c r="K11" s="281" t="s">
        <v>1516</v>
      </c>
      <c r="L11" s="281"/>
      <c r="M11" s="281"/>
      <c r="N11" s="281"/>
      <c r="O11" s="259" t="s">
        <v>1517</v>
      </c>
      <c r="P11" s="259" t="s">
        <v>1471</v>
      </c>
      <c r="Q11" s="342" t="s">
        <v>1513</v>
      </c>
      <c r="R11" s="342" t="s">
        <v>1514</v>
      </c>
    </row>
    <row r="12" spans="1:25" s="37" customFormat="1" ht="14.25">
      <c r="A12" s="251"/>
      <c r="B12" s="251"/>
      <c r="C12" s="251"/>
      <c r="D12" s="343"/>
      <c r="E12" s="343"/>
      <c r="F12" s="343"/>
      <c r="G12" s="280"/>
      <c r="H12" s="280"/>
      <c r="I12" s="280"/>
      <c r="J12" s="280"/>
      <c r="K12" s="35" t="s">
        <v>1392</v>
      </c>
      <c r="L12" s="35" t="s">
        <v>1393</v>
      </c>
      <c r="M12" s="35" t="s">
        <v>1394</v>
      </c>
      <c r="N12" s="35" t="s">
        <v>1395</v>
      </c>
      <c r="O12" s="261"/>
      <c r="P12" s="261"/>
      <c r="Q12" s="343"/>
      <c r="R12" s="343"/>
    </row>
    <row r="13" spans="1:25" s="207" customFormat="1">
      <c r="A13" s="201" t="s">
        <v>1366</v>
      </c>
      <c r="B13" s="344" t="s">
        <v>1518</v>
      </c>
      <c r="C13" s="345"/>
      <c r="D13" s="202">
        <v>3</v>
      </c>
      <c r="E13" s="203">
        <v>100000000</v>
      </c>
      <c r="F13" s="204">
        <f>SUM(F14)</f>
        <v>3</v>
      </c>
      <c r="G13" s="205">
        <f t="shared" ref="G13:P13" si="0">SUM(G14)</f>
        <v>1500000</v>
      </c>
      <c r="H13" s="205">
        <f t="shared" si="0"/>
        <v>750000</v>
      </c>
      <c r="I13" s="205">
        <f t="shared" si="0"/>
        <v>3000000</v>
      </c>
      <c r="J13" s="205">
        <f t="shared" si="0"/>
        <v>5250000</v>
      </c>
      <c r="K13" s="205">
        <f t="shared" si="0"/>
        <v>270000</v>
      </c>
      <c r="L13" s="205">
        <f t="shared" si="0"/>
        <v>45000</v>
      </c>
      <c r="M13" s="205">
        <f t="shared" si="0"/>
        <v>15000</v>
      </c>
      <c r="N13" s="205">
        <f t="shared" si="0"/>
        <v>30000</v>
      </c>
      <c r="O13" s="205">
        <f t="shared" si="0"/>
        <v>720000</v>
      </c>
      <c r="P13" s="205">
        <f t="shared" si="0"/>
        <v>11580000</v>
      </c>
      <c r="Q13" s="206">
        <f>+D13-F13</f>
        <v>0</v>
      </c>
      <c r="R13" s="206">
        <f>+E13-P13</f>
        <v>88420000</v>
      </c>
    </row>
    <row r="14" spans="1:25">
      <c r="A14" s="160">
        <v>1</v>
      </c>
      <c r="B14" s="208" t="s">
        <v>1519</v>
      </c>
      <c r="C14" s="153" t="s">
        <v>1520</v>
      </c>
      <c r="D14" s="209"/>
      <c r="E14" s="209"/>
      <c r="F14" s="210">
        <v>3</v>
      </c>
      <c r="G14" s="211">
        <v>1500000</v>
      </c>
      <c r="H14" s="211">
        <v>750000</v>
      </c>
      <c r="I14" s="211">
        <v>3000000</v>
      </c>
      <c r="J14" s="211">
        <v>5250000</v>
      </c>
      <c r="K14" s="211">
        <v>270000</v>
      </c>
      <c r="L14" s="211">
        <v>45000</v>
      </c>
      <c r="M14" s="211">
        <v>15000</v>
      </c>
      <c r="N14" s="211">
        <v>30000</v>
      </c>
      <c r="O14" s="211">
        <v>720000</v>
      </c>
      <c r="P14" s="212">
        <f>SUM(G14:O14)</f>
        <v>11580000</v>
      </c>
      <c r="Q14" s="213"/>
      <c r="R14" s="213"/>
    </row>
    <row r="15" spans="1:25" s="207" customFormat="1">
      <c r="A15" s="201" t="s">
        <v>1367</v>
      </c>
      <c r="B15" s="344" t="s">
        <v>1521</v>
      </c>
      <c r="C15" s="345"/>
      <c r="D15" s="202">
        <v>9</v>
      </c>
      <c r="E15" s="203">
        <v>200000000</v>
      </c>
      <c r="F15" s="204">
        <f>SUM(F16:F18)</f>
        <v>8</v>
      </c>
      <c r="G15" s="205">
        <f t="shared" ref="G15:O15" si="1">SUM(G16:G18)</f>
        <v>5500000</v>
      </c>
      <c r="H15" s="205">
        <f t="shared" si="1"/>
        <v>2750000</v>
      </c>
      <c r="I15" s="205">
        <f t="shared" si="1"/>
        <v>11000000</v>
      </c>
      <c r="J15" s="205">
        <f t="shared" si="1"/>
        <v>19250000</v>
      </c>
      <c r="K15" s="205">
        <f t="shared" si="1"/>
        <v>990000</v>
      </c>
      <c r="L15" s="205">
        <f t="shared" si="1"/>
        <v>165000</v>
      </c>
      <c r="M15" s="205">
        <f t="shared" si="1"/>
        <v>55000</v>
      </c>
      <c r="N15" s="205">
        <f t="shared" si="1"/>
        <v>110000</v>
      </c>
      <c r="O15" s="205">
        <f t="shared" si="1"/>
        <v>2160000</v>
      </c>
      <c r="P15" s="205">
        <f>SUM(P16:P18)</f>
        <v>41980000</v>
      </c>
      <c r="Q15" s="214">
        <f>+D15-F15</f>
        <v>1</v>
      </c>
      <c r="R15" s="206">
        <f>+E15-P15</f>
        <v>158020000</v>
      </c>
    </row>
    <row r="16" spans="1:25">
      <c r="A16" s="160">
        <v>1</v>
      </c>
      <c r="B16" s="208" t="s">
        <v>1519</v>
      </c>
      <c r="C16" s="153" t="s">
        <v>1520</v>
      </c>
      <c r="D16" s="209"/>
      <c r="E16" s="209"/>
      <c r="F16" s="210">
        <v>3</v>
      </c>
      <c r="G16" s="211">
        <v>1500000</v>
      </c>
      <c r="H16" s="211">
        <v>750000</v>
      </c>
      <c r="I16" s="211">
        <v>3000000</v>
      </c>
      <c r="J16" s="211">
        <v>5250000</v>
      </c>
      <c r="K16" s="211">
        <v>270000</v>
      </c>
      <c r="L16" s="211">
        <v>45000</v>
      </c>
      <c r="M16" s="211">
        <v>15000</v>
      </c>
      <c r="N16" s="211">
        <v>30000</v>
      </c>
      <c r="O16" s="211">
        <v>720000</v>
      </c>
      <c r="P16" s="212">
        <f>SUM(G16:O16)</f>
        <v>11580000</v>
      </c>
      <c r="Q16" s="213"/>
      <c r="R16" s="213"/>
    </row>
    <row r="17" spans="1:18">
      <c r="A17" s="160">
        <v>2</v>
      </c>
      <c r="B17" s="208" t="s">
        <v>1522</v>
      </c>
      <c r="C17" s="153" t="s">
        <v>1523</v>
      </c>
      <c r="D17" s="209"/>
      <c r="E17" s="209"/>
      <c r="F17" s="210">
        <v>1</v>
      </c>
      <c r="G17" s="211">
        <v>1000000</v>
      </c>
      <c r="H17" s="211">
        <v>500000</v>
      </c>
      <c r="I17" s="211">
        <v>2000000</v>
      </c>
      <c r="J17" s="211">
        <v>3500000</v>
      </c>
      <c r="K17" s="211">
        <v>180000</v>
      </c>
      <c r="L17" s="211">
        <v>30000</v>
      </c>
      <c r="M17" s="211">
        <v>10000</v>
      </c>
      <c r="N17" s="211">
        <v>20000</v>
      </c>
      <c r="O17" s="211">
        <v>720000</v>
      </c>
      <c r="P17" s="212">
        <f>SUM(G17:O17)</f>
        <v>7960000</v>
      </c>
      <c r="Q17" s="213"/>
      <c r="R17" s="213"/>
    </row>
    <row r="18" spans="1:18">
      <c r="A18" s="160">
        <v>3</v>
      </c>
      <c r="B18" s="208" t="s">
        <v>1524</v>
      </c>
      <c r="C18" s="153" t="s">
        <v>1525</v>
      </c>
      <c r="D18" s="209"/>
      <c r="E18" s="209"/>
      <c r="F18" s="210">
        <v>4</v>
      </c>
      <c r="G18" s="211">
        <v>3000000</v>
      </c>
      <c r="H18" s="211">
        <v>1500000</v>
      </c>
      <c r="I18" s="211">
        <v>6000000</v>
      </c>
      <c r="J18" s="211">
        <v>10500000</v>
      </c>
      <c r="K18" s="211">
        <v>540000</v>
      </c>
      <c r="L18" s="211">
        <v>90000</v>
      </c>
      <c r="M18" s="211">
        <v>30000</v>
      </c>
      <c r="N18" s="211">
        <v>60000</v>
      </c>
      <c r="O18" s="211">
        <v>720000</v>
      </c>
      <c r="P18" s="212">
        <f>SUM(G18:O18)</f>
        <v>22440000</v>
      </c>
      <c r="Q18" s="213"/>
      <c r="R18" s="213"/>
    </row>
    <row r="19" spans="1:18" s="31" customFormat="1" ht="14.25">
      <c r="A19" s="60"/>
      <c r="B19" s="215"/>
      <c r="C19" s="60" t="s">
        <v>1471</v>
      </c>
      <c r="D19" s="60">
        <f>SUM(D13,D15)</f>
        <v>12</v>
      </c>
      <c r="E19" s="216">
        <f t="shared" ref="E19:R19" si="2">SUM(E13,E15)</f>
        <v>300000000</v>
      </c>
      <c r="F19" s="60">
        <f>SUM(F13,F15)</f>
        <v>11</v>
      </c>
      <c r="G19" s="216">
        <f t="shared" si="2"/>
        <v>7000000</v>
      </c>
      <c r="H19" s="216">
        <f t="shared" si="2"/>
        <v>3500000</v>
      </c>
      <c r="I19" s="216">
        <f t="shared" si="2"/>
        <v>14000000</v>
      </c>
      <c r="J19" s="216">
        <f t="shared" si="2"/>
        <v>24500000</v>
      </c>
      <c r="K19" s="216">
        <f t="shared" si="2"/>
        <v>1260000</v>
      </c>
      <c r="L19" s="216">
        <f t="shared" si="2"/>
        <v>210000</v>
      </c>
      <c r="M19" s="216">
        <f t="shared" si="2"/>
        <v>70000</v>
      </c>
      <c r="N19" s="216">
        <f t="shared" si="2"/>
        <v>140000</v>
      </c>
      <c r="O19" s="216">
        <f t="shared" si="2"/>
        <v>2880000</v>
      </c>
      <c r="P19" s="216">
        <f t="shared" si="2"/>
        <v>53560000</v>
      </c>
      <c r="Q19" s="216">
        <f t="shared" si="2"/>
        <v>1</v>
      </c>
      <c r="R19" s="216">
        <f t="shared" si="2"/>
        <v>246440000</v>
      </c>
    </row>
    <row r="21" spans="1:18">
      <c r="B21" s="57" t="s">
        <v>1526</v>
      </c>
    </row>
    <row r="22" spans="1:18">
      <c r="B22" s="57" t="s">
        <v>1527</v>
      </c>
    </row>
    <row r="23" spans="1:18">
      <c r="B23" s="57" t="s">
        <v>1528</v>
      </c>
    </row>
    <row r="25" spans="1:18" s="64" customFormat="1" ht="16.5">
      <c r="A25" s="278" t="s">
        <v>1330</v>
      </c>
      <c r="B25" s="278"/>
      <c r="C25" s="278"/>
      <c r="D25" s="278"/>
      <c r="E25" s="278"/>
      <c r="F25" s="278" t="s">
        <v>1297</v>
      </c>
      <c r="G25" s="278"/>
      <c r="H25" s="256" t="s">
        <v>1362</v>
      </c>
      <c r="I25" s="256"/>
      <c r="J25" s="346" t="s">
        <v>1501</v>
      </c>
      <c r="K25" s="346"/>
      <c r="L25" s="346"/>
      <c r="M25" s="346"/>
      <c r="N25" s="301" t="s">
        <v>1363</v>
      </c>
      <c r="O25" s="301"/>
      <c r="P25" s="301"/>
      <c r="Q25" s="301"/>
      <c r="R25" s="301"/>
    </row>
    <row r="26" spans="1:18" s="64" customFormat="1" ht="16.5">
      <c r="A26" s="72"/>
      <c r="F26" s="140"/>
      <c r="G26" s="29"/>
      <c r="H26" s="65"/>
      <c r="I26" s="29"/>
      <c r="J26" s="29"/>
      <c r="K26" s="140"/>
      <c r="N26" s="301"/>
      <c r="O26" s="301"/>
      <c r="P26" s="301"/>
      <c r="Q26" s="85"/>
      <c r="R26" s="85"/>
    </row>
  </sheetData>
  <mergeCells count="31">
    <mergeCell ref="N26:P26"/>
    <mergeCell ref="P11:P12"/>
    <mergeCell ref="Q11:Q12"/>
    <mergeCell ref="R11:R12"/>
    <mergeCell ref="B13:C13"/>
    <mergeCell ref="B15:C15"/>
    <mergeCell ref="A25:E25"/>
    <mergeCell ref="F25:G25"/>
    <mergeCell ref="H25:I25"/>
    <mergeCell ref="J25:M25"/>
    <mergeCell ref="N25:R25"/>
    <mergeCell ref="A10:A12"/>
    <mergeCell ref="B10:B12"/>
    <mergeCell ref="C10:C12"/>
    <mergeCell ref="Q10:R10"/>
    <mergeCell ref="D11:D12"/>
    <mergeCell ref="E11:E12"/>
    <mergeCell ref="F11:F12"/>
    <mergeCell ref="G11:G12"/>
    <mergeCell ref="H11:H12"/>
    <mergeCell ref="I11:I12"/>
    <mergeCell ref="J11:J12"/>
    <mergeCell ref="K11:N11"/>
    <mergeCell ref="O11:O12"/>
    <mergeCell ref="D10:E10"/>
    <mergeCell ref="F10:P10"/>
    <mergeCell ref="A2:G2"/>
    <mergeCell ref="N2:R2"/>
    <mergeCell ref="A3:G3"/>
    <mergeCell ref="N3:R3"/>
    <mergeCell ref="A5:R5"/>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MotaCV</vt:lpstr>
      <vt:lpstr>1. NhapDeTai</vt:lpstr>
      <vt:lpstr>2.DSNhanSu</vt:lpstr>
      <vt:lpstr>3.LuongMucTieu</vt:lpstr>
      <vt:lpstr>4.HR_CÔNG TÍNH LƯƠNG</vt:lpstr>
      <vt:lpstr>5.LuongThang</vt:lpstr>
      <vt:lpstr>6. BM3.1 DV_CÔNG PHÂN BỔ </vt:lpstr>
      <vt:lpstr>7. BM3.2 HR_BTH CÔNG TCT</vt:lpstr>
      <vt:lpstr>8.PhanBoCPNC</vt:lpstr>
      <vt:lpstr>9. BM4.1 HR_PBNC thang</vt:lpstr>
      <vt:lpstr>10. BM4.2 HR_BTH PBNC TCT</vt:lpstr>
      <vt:lpstr>11.BTH CPNC</vt:lpstr>
      <vt:lpstr>12.BM05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thulh</dc:creator>
  <cp:lastModifiedBy>Đặng Thu Trang (486022)</cp:lastModifiedBy>
  <dcterms:created xsi:type="dcterms:W3CDTF">2025-02-24T04:10:02Z</dcterms:created>
  <dcterms:modified xsi:type="dcterms:W3CDTF">2026-08-13T07:54:23Z</dcterms:modified>
</cp:coreProperties>
</file>