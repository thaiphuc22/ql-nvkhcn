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 Khách hàng\Presale.VHT_HRTool\KH gửi\"/>
    </mc:Choice>
  </mc:AlternateContent>
  <xr:revisionPtr revIDLastSave="0" documentId="13_ncr:1_{1C3E1395-F8F8-4747-910A-3F1EF6B9DBA0}" xr6:coauthVersionLast="47" xr6:coauthVersionMax="47" xr10:uidLastSave="{00000000-0000-0000-0000-000000000000}"/>
  <bookViews>
    <workbookView xWindow="-120" yWindow="-120" windowWidth="29040" windowHeight="15840" activeTab="1" xr2:uid="{6168EFAB-F84D-40DD-8266-6641E26918E2}"/>
  </bookViews>
  <sheets>
    <sheet name="Phân rã chức năng" sheetId="1" r:id="rId1"/>
    <sheet name="Sheet1" sheetId="3" r:id="rId2"/>
    <sheet name="Quy trình" sheetId="2" r:id="rId3"/>
  </sheets>
  <definedNames>
    <definedName name="_xlnm._FilterDatabase" localSheetId="0" hidden="1">'Phân rã chức năng'!$A$1:$E$134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4" i="3" l="1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qlcl_hoalh1</author>
  </authors>
  <commentList>
    <comment ref="C1" authorId="0" shapeId="0" xr:uid="{04AE4308-BC57-48C3-8647-921B24E62F39}">
      <text>
        <r>
          <rPr>
            <b/>
            <sz val="8"/>
            <color indexed="81"/>
            <rFont val="Tahoma"/>
            <family val="2"/>
          </rPr>
          <t>qlcl_hoalh1:</t>
        </r>
        <r>
          <rPr>
            <sz val="8"/>
            <color indexed="81"/>
            <rFont val="Tahoma"/>
            <family val="2"/>
          </rPr>
          <t xml:space="preserve">
Tham chiếu theo mã đầu việc tương ứng bên sheet CSDL chức năng và CSDL phi chức năng</t>
        </r>
      </text>
    </comment>
  </commentList>
</comments>
</file>

<file path=xl/sharedStrings.xml><?xml version="1.0" encoding="utf-8"?>
<sst xmlns="http://schemas.openxmlformats.org/spreadsheetml/2006/main" count="838" uniqueCount="191">
  <si>
    <t>Module</t>
  </si>
  <si>
    <t>Tính năng</t>
  </si>
  <si>
    <t>Chức năng</t>
  </si>
  <si>
    <t>Master data</t>
  </si>
  <si>
    <t>Đơn vị</t>
  </si>
  <si>
    <t>Chức danh</t>
  </si>
  <si>
    <t>Nhân viên</t>
  </si>
  <si>
    <t>Step</t>
  </si>
  <si>
    <t>Dữ liệu</t>
  </si>
  <si>
    <t>Import bảng công</t>
  </si>
  <si>
    <t>Tác nhân</t>
  </si>
  <si>
    <t>HR</t>
  </si>
  <si>
    <t>Bảng công tháng</t>
  </si>
  <si>
    <t>Ký hiệu công</t>
  </si>
  <si>
    <t>Import bảng lương</t>
  </si>
  <si>
    <t>BM1. DS Nhân sự</t>
  </si>
  <si>
    <t>Nội dung công việc</t>
  </si>
  <si>
    <t>BM2.1 Bảng chấm công (KHCN)</t>
  </si>
  <si>
    <t>Biểu mẫu</t>
  </si>
  <si>
    <t>Bảng lương tháng</t>
  </si>
  <si>
    <t>Bảng chấm công theo nội dung công việc (dành cho nhiệm vụ KHCN)</t>
  </si>
  <si>
    <t>Nhóm công việc</t>
  </si>
  <si>
    <t>BM2.2 Bảng chấm công (SXKD)</t>
  </si>
  <si>
    <t>Bảng chấm công theo nội dung công việc (dành cho nhiệm vụ SXKD)</t>
  </si>
  <si>
    <t>Sản phẩm</t>
  </si>
  <si>
    <t>Nguồn</t>
  </si>
  <si>
    <t>Nhiệm vụ</t>
  </si>
  <si>
    <t>BM3. Bảng tổng hợp phân bổ</t>
  </si>
  <si>
    <t>Tổng hợp phân bổ công, tính lương theo phân bổ</t>
  </si>
  <si>
    <t>Đề tài, dự án</t>
  </si>
  <si>
    <t>BM3.1 Bảng lương (KHCN)</t>
  </si>
  <si>
    <t>Bảng chi tiết phân bổ chi phí nhân công nội bộ</t>
  </si>
  <si>
    <t>BM3.2 Bảng lương (SXKD)</t>
  </si>
  <si>
    <t>Bảng tính chi phí nhân công tháng</t>
  </si>
  <si>
    <t>BM4. BTH phân bổ CPNC</t>
  </si>
  <si>
    <t>Bảng tổng hợp phân bổ chi phí nhân công nội bộ - Lương tháng</t>
  </si>
  <si>
    <t>BM5. Danh sách nhiệm vụ</t>
  </si>
  <si>
    <t>Danh sách nhiệm vụ (Đề tài/ Dự án)</t>
  </si>
  <si>
    <t>Khối</t>
  </si>
  <si>
    <t>Tình trạng</t>
  </si>
  <si>
    <t>Cấu hình</t>
  </si>
  <si>
    <t>Danh mục</t>
  </si>
  <si>
    <t>Ghi chú</t>
  </si>
  <si>
    <t>Phân bổ công (KHCN)</t>
  </si>
  <si>
    <t>Phân bổ công (SXKD)</t>
  </si>
  <si>
    <t>Phân bổ CPNC</t>
  </si>
  <si>
    <t>BM5</t>
  </si>
  <si>
    <t>BM00</t>
  </si>
  <si>
    <t>BM1</t>
  </si>
  <si>
    <t>BM2.1</t>
  </si>
  <si>
    <t>BM2.2</t>
  </si>
  <si>
    <t>BM3</t>
  </si>
  <si>
    <t>BM3.1</t>
  </si>
  <si>
    <t>BM3.2</t>
  </si>
  <si>
    <t>Bảng tổng hợp phân bổ</t>
  </si>
  <si>
    <t>Bảng lương (KHCN)</t>
  </si>
  <si>
    <t>Bảng lương (SXKD)</t>
  </si>
  <si>
    <t>BM4</t>
  </si>
  <si>
    <t>BTH phân bổ CPNC</t>
  </si>
  <si>
    <t>Tỷ lệ PBNC của đơn vị trong năm</t>
  </si>
  <si>
    <t>Theo dõi nguồn CPNC của các nhiệm vụ</t>
  </si>
  <si>
    <t>Tổng hợp phân bổ CPNC của khối</t>
  </si>
  <si>
    <t>Tổng hợp phân bổ CPNC của VHT</t>
  </si>
  <si>
    <t>DS nhiệm vụ sắp hết nguồn</t>
  </si>
  <si>
    <t>Trình ký VO</t>
  </si>
  <si>
    <t>Người dùng</t>
  </si>
  <si>
    <t>Nhóm người dùng</t>
  </si>
  <si>
    <t>Phân quyền chức năng</t>
  </si>
  <si>
    <t>Đăng nhập/ Đăng xuất</t>
  </si>
  <si>
    <t>Tích hợp SSO</t>
  </si>
  <si>
    <t>Tích hợp VO</t>
  </si>
  <si>
    <t>Trung tâm thông báo</t>
  </si>
  <si>
    <t>DS công việc</t>
  </si>
  <si>
    <t>Nguồn kinh phí</t>
  </si>
  <si>
    <t>DS nhân sự</t>
  </si>
  <si>
    <t>Import</t>
  </si>
  <si>
    <t>Export</t>
  </si>
  <si>
    <t>TT</t>
  </si>
  <si>
    <t>Loại chức năng</t>
  </si>
  <si>
    <t>Loại công việc</t>
  </si>
  <si>
    <t>Nỗ lực (MH)</t>
  </si>
  <si>
    <t>Nhom cong  viec</t>
  </si>
  <si>
    <t>Tổng nỗ lực thực hiện (mandays)</t>
  </si>
  <si>
    <t>NVJ1-PTM</t>
  </si>
  <si>
    <t>Giải pháp</t>
  </si>
  <si>
    <t>Phát triển</t>
  </si>
  <si>
    <t>Kiểm thử</t>
  </si>
  <si>
    <t>NVJ2-PTM</t>
  </si>
  <si>
    <t>NVJ3-PTM</t>
  </si>
  <si>
    <t>GD_WEB1</t>
  </si>
  <si>
    <t>GD_WEB2</t>
  </si>
  <si>
    <t>GD_WEB3</t>
  </si>
  <si>
    <t>BC1</t>
  </si>
  <si>
    <t>BC2</t>
  </si>
  <si>
    <t>BC3</t>
  </si>
  <si>
    <t>NVJ3-NC</t>
  </si>
  <si>
    <t>NVJ2-NC</t>
  </si>
  <si>
    <t>NVJ1-NC</t>
  </si>
  <si>
    <t>DM2</t>
  </si>
  <si>
    <t>GD_MOBILE1</t>
  </si>
  <si>
    <t>GD_MOBILE2</t>
  </si>
  <si>
    <t>GD_MOBILE3</t>
  </si>
  <si>
    <t>DM1</t>
  </si>
  <si>
    <t>CN_WEB_KT</t>
  </si>
  <si>
    <t>GD1_CUT</t>
  </si>
  <si>
    <t>kiểm thử</t>
  </si>
  <si>
    <t>GD2_CUT</t>
  </si>
  <si>
    <t>CN_WEB1</t>
  </si>
  <si>
    <t>CN_WEB2</t>
  </si>
  <si>
    <t>CN_WEB3</t>
  </si>
  <si>
    <t>CN_MOBILE Client1</t>
  </si>
  <si>
    <t>CN_MOBILE Client2</t>
  </si>
  <si>
    <t>CN_MOBILE Client2 -NC</t>
  </si>
  <si>
    <t>CN_MOBILE Client3</t>
  </si>
  <si>
    <t>CN_MOBILE Server1</t>
  </si>
  <si>
    <t>CN_MOBILE Server2</t>
  </si>
  <si>
    <t>CN_MOBILE Server3</t>
  </si>
  <si>
    <t>TT_DB1</t>
  </si>
  <si>
    <t>TT_DB2</t>
  </si>
  <si>
    <t>TT_DB3</t>
  </si>
  <si>
    <t>FW_GSM1</t>
  </si>
  <si>
    <t>FW_GSM2</t>
  </si>
  <si>
    <t>FW_GSM3</t>
  </si>
  <si>
    <t>FW_SSL1</t>
  </si>
  <si>
    <t>FW_SSL2</t>
  </si>
  <si>
    <t>FW_SSL3</t>
  </si>
  <si>
    <t>FW_ADC1</t>
  </si>
  <si>
    <t>FW_ADC2</t>
  </si>
  <si>
    <t>FW_ADC3</t>
  </si>
  <si>
    <t>CSI_NORMAL_1</t>
  </si>
  <si>
    <t>CSI_NORMAL_2</t>
  </si>
  <si>
    <t>CSI_NORMAL_3</t>
  </si>
  <si>
    <t>DM3</t>
  </si>
  <si>
    <t>DP_IMP1</t>
  </si>
  <si>
    <t>DP_IMP2</t>
  </si>
  <si>
    <t>DP_IMP3</t>
  </si>
  <si>
    <t>DP_EXP1</t>
  </si>
  <si>
    <t>DP_AGG1</t>
  </si>
  <si>
    <t>DP_AGG2</t>
  </si>
  <si>
    <t>DP_AGG3</t>
  </si>
  <si>
    <t>DV_TABLEAU_CHART</t>
  </si>
  <si>
    <t>DV_TABLEAU_DASHBOARD1</t>
  </si>
  <si>
    <t>DV_TABLEAU_DASHBOARD2</t>
  </si>
  <si>
    <t>DATA_SUPPORT1</t>
  </si>
  <si>
    <t>DATA_SUPPORT2</t>
  </si>
  <si>
    <t>DATA_SUPPORT3</t>
  </si>
  <si>
    <t>WRITE_TC_WEB_1</t>
  </si>
  <si>
    <t>WRITE_TC_WEB_2</t>
  </si>
  <si>
    <t>WRITE_TC_WEB_3</t>
  </si>
  <si>
    <t>WRITE_TC_MOBILE_ANDROID_1</t>
  </si>
  <si>
    <t>WRITE_TC_MOBILE_ANDROID_2</t>
  </si>
  <si>
    <t>WRITE_TC_MOBILE_ANDROID_3</t>
  </si>
  <si>
    <t>WRITE_TC_MOBILE_IOS_1</t>
  </si>
  <si>
    <t>WRITE_TC_MOBILE_IOS_2</t>
  </si>
  <si>
    <t>WRITE_TC_MOBILE_IOS_3</t>
  </si>
  <si>
    <t>MANTAIN_TC_WEB</t>
  </si>
  <si>
    <t>MAITAIN_TC_MOBILE</t>
  </si>
  <si>
    <t>CICD02</t>
  </si>
  <si>
    <t>CICD03</t>
  </si>
  <si>
    <t>RUN_WEB_1</t>
  </si>
  <si>
    <t xml:space="preserve"> RUN_WEB_2</t>
  </si>
  <si>
    <t>RUN_WEB_3</t>
  </si>
  <si>
    <t>RUN_MOBILE_ANDROID_1</t>
  </si>
  <si>
    <t>RUN_MOBILE_ANDROID_2</t>
  </si>
  <si>
    <t>RUN_MOBILE_ANDROID_3</t>
  </si>
  <si>
    <t xml:space="preserve"> RUN_MOBILE_IOS_1</t>
  </si>
  <si>
    <t>RUN_MOBILE_IOS_2</t>
  </si>
  <si>
    <t>RUN_MOBILE_IOS_3</t>
  </si>
  <si>
    <t>CN_MOBILE Client1-NC</t>
  </si>
  <si>
    <t>CN_MOBILE Client2-NC</t>
  </si>
  <si>
    <t>CN_MOBILE Client3-NC</t>
  </si>
  <si>
    <t>CN_MOBILE Server1-NC</t>
  </si>
  <si>
    <t>CN_MOBILE Server2-NC</t>
  </si>
  <si>
    <t>CN_MOBILE Server3-NC</t>
  </si>
  <si>
    <t>UNITTEST</t>
  </si>
  <si>
    <t>Nỗ lực unit Test</t>
  </si>
  <si>
    <t>Bằng 30% nỗ lực lập trình</t>
  </si>
  <si>
    <t>Tên chức năng</t>
  </si>
  <si>
    <t>Row Labels</t>
  </si>
  <si>
    <t>(blank)</t>
  </si>
  <si>
    <t>Grand Total</t>
  </si>
  <si>
    <t>Sum of Nỗ lực (MH)</t>
  </si>
  <si>
    <t>Màn hình</t>
  </si>
  <si>
    <t>CRUD</t>
  </si>
  <si>
    <t>Màn hình danh sách</t>
  </si>
  <si>
    <t>Màn hình chi tiết</t>
  </si>
  <si>
    <t>Thư viện công việc</t>
  </si>
  <si>
    <t>Tham số</t>
  </si>
  <si>
    <t>Tổng hợp dữ liệu</t>
  </si>
  <si>
    <t>Dashboard</t>
  </si>
  <si>
    <t>Phân quyền 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</si>
</sst>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0099"/>
      <name val="Times New Roman"/>
      <family val="1"/>
    </font>
    <font>
      <sz val="12"/>
      <color theme="1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2" fillId="3" borderId="1" xfId="1" applyFont="1" applyFill="1" applyBorder="1" applyAlignment="1" applyProtection="1">
      <alignment horizontal="center" vertical="center" wrapText="1"/>
      <protection locked="0"/>
    </xf>
    <xf numFmtId="0" fontId="3" fillId="0" borderId="1" xfId="1" applyFont="1" applyBorder="1" applyAlignment="1" applyProtection="1">
      <alignment horizontal="center" vertical="center" wrapText="1"/>
      <protection locked="0"/>
    </xf>
    <xf numFmtId="0" fontId="3" fillId="0" borderId="1" xfId="1" applyFont="1" applyBorder="1" applyAlignment="1" applyProtection="1">
      <alignment vertical="center" wrapText="1"/>
      <protection locked="0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0" borderId="1" xfId="1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  <protection locked="0"/>
    </xf>
    <xf numFmtId="164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/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5" fillId="0" borderId="1" xfId="0" quotePrefix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2" fillId="3" borderId="2" xfId="1" applyFont="1" applyFill="1" applyBorder="1" applyAlignment="1" applyProtection="1">
      <alignment horizontal="center" vertical="center" wrapText="1"/>
      <protection locked="0"/>
    </xf>
    <xf numFmtId="0" fontId="2" fillId="3" borderId="3" xfId="1" applyFont="1" applyFill="1" applyBorder="1" applyAlignment="1" applyProtection="1">
      <alignment horizontal="center" vertical="center" wrapText="1"/>
      <protection locked="0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 3" xfId="1" xr:uid="{C84B1D7A-0C29-4B2F-B53A-3E0B5BC39F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ũ Thị Lan Anh (ITBU GP)" refreshedDate="45875.663239120368" createdVersion="8" refreshedVersion="8" minRefreshableVersion="3" recordCount="264" xr:uid="{DBF4CA35-906B-435A-A015-ABF3A8D4D190}">
  <cacheSource type="worksheet">
    <worksheetSource ref="A1:E1048576" sheet="Sheet1"/>
  </cacheSource>
  <cacheFields count="5">
    <cacheField name="TT" numFmtId="0">
      <sharedItems containsString="0" containsBlank="1" containsNumber="1" containsInteger="1" minValue="1" maxValue="262"/>
    </cacheField>
    <cacheField name="Loại chức năng" numFmtId="0">
      <sharedItems containsBlank="1" count="90">
        <s v="Nhom cong  viec"/>
        <s v="NVJ1-PTM"/>
        <s v="NVJ2-PTM"/>
        <s v="NVJ3-PTM"/>
        <s v="GD_WEB1"/>
        <s v="GD_WEB2"/>
        <s v="GD_WEB3"/>
        <s v="BC1"/>
        <s v="BC2"/>
        <s v="BC3"/>
        <s v="NVJ3-NC"/>
        <s v="NVJ2-NC"/>
        <s v="NVJ1-NC"/>
        <s v="DM2"/>
        <s v="GD_MOBILE1"/>
        <s v="GD_MOBILE2"/>
        <s v="GD_MOBILE3"/>
        <s v="DM1"/>
        <s v="CN_WEB_KT"/>
        <s v="GD1_CUT"/>
        <s v="GD2_CUT"/>
        <s v="CN_WEB1"/>
        <s v="CN_WEB2"/>
        <s v="CN_WEB3"/>
        <s v="CN_MOBILE Client1"/>
        <s v="CN_MOBILE Client2"/>
        <s v="CN_MOBILE Client2 -NC"/>
        <s v="CN_MOBILE Client3"/>
        <s v="CN_MOBILE Server1"/>
        <s v="CN_MOBILE Server2"/>
        <s v="CN_MOBILE Server3"/>
        <s v="TT_DB1"/>
        <s v="TT_DB2"/>
        <s v="TT_DB3"/>
        <s v="FW_GSM1"/>
        <s v="FW_GSM2"/>
        <s v="FW_GSM3"/>
        <s v="FW_SSL1"/>
        <s v="FW_SSL2"/>
        <s v="FW_SSL3"/>
        <s v="FW_ADC1"/>
        <s v="FW_ADC2"/>
        <s v="FW_ADC3"/>
        <s v="CSI_NORMAL_1"/>
        <s v="CSI_NORMAL_2"/>
        <s v="CSI_NORMAL_3"/>
        <s v="DM3"/>
        <s v="DP_IMP1"/>
        <s v="DP_IMP2"/>
        <s v="DP_IMP3"/>
        <s v="DP_EXP1"/>
        <s v="DP_AGG1"/>
        <s v="DP_AGG2"/>
        <s v="DP_AGG3"/>
        <s v="DV_TABLEAU_CHART"/>
        <s v="DV_TABLEAU_DASHBOARD1"/>
        <s v="DV_TABLEAU_DASHBOARD2"/>
        <s v="DATA_SUPPORT1"/>
        <s v="DATA_SUPPORT2"/>
        <s v="DATA_SUPPORT3"/>
        <s v="WRITE_TC_WEB_1"/>
        <s v="WRITE_TC_WEB_2"/>
        <s v="WRITE_TC_WEB_3"/>
        <s v="WRITE_TC_MOBILE_ANDROID_1"/>
        <s v="WRITE_TC_MOBILE_ANDROID_2"/>
        <s v="WRITE_TC_MOBILE_ANDROID_3"/>
        <s v="WRITE_TC_MOBILE_IOS_1"/>
        <s v="WRITE_TC_MOBILE_IOS_2"/>
        <s v="WRITE_TC_MOBILE_IOS_3"/>
        <s v="MANTAIN_TC_WEB"/>
        <s v="MAITAIN_TC_MOBILE"/>
        <s v="CICD02"/>
        <s v="CICD03"/>
        <s v="RUN_WEB_1"/>
        <s v=" RUN_WEB_2"/>
        <s v="RUN_WEB_3"/>
        <s v="RUN_MOBILE_ANDROID_1"/>
        <s v="RUN_MOBILE_ANDROID_2"/>
        <s v="RUN_MOBILE_ANDROID_3"/>
        <s v=" RUN_MOBILE_IOS_1"/>
        <s v="RUN_MOBILE_IOS_2"/>
        <s v="RUN_MOBILE_IOS_3"/>
        <s v="CN_MOBILE Client1-NC"/>
        <s v="CN_MOBILE Client2-NC"/>
        <s v="CN_MOBILE Client3-NC"/>
        <s v="CN_MOBILE Server1-NC"/>
        <s v="CN_MOBILE Server2-NC"/>
        <s v="CN_MOBILE Server3-NC"/>
        <s v="UNITTEST"/>
        <m/>
      </sharedItems>
    </cacheField>
    <cacheField name="Loại công việc" numFmtId="0">
      <sharedItems containsBlank="1"/>
    </cacheField>
    <cacheField name="Tên chức năng" numFmtId="0">
      <sharedItems containsBlank="1"/>
    </cacheField>
    <cacheField name="Nỗ lực (MH)" numFmtId="0">
      <sharedItems containsBlank="1" containsMixedTypes="1" containsNumber="1" minValue="0" maxValue="64" count="59">
        <s v="Tổng nỗ lực thực hiện (mandays)"/>
        <n v="8"/>
        <n v="12"/>
        <n v="10"/>
        <n v="20"/>
        <n v="14"/>
        <n v="16"/>
        <n v="26"/>
        <n v="23"/>
        <n v="6"/>
        <n v="19"/>
        <n v="15"/>
        <n v="22"/>
        <n v="7"/>
        <n v="11"/>
        <n v="32"/>
        <n v="3.59"/>
        <n v="6.14"/>
        <n v="4.76"/>
        <n v="1.69"/>
        <n v="3.01"/>
        <n v="3.16"/>
        <n v="4.5"/>
        <n v="9"/>
        <n v="7.5"/>
        <n v="3"/>
        <n v="4"/>
        <n v="13"/>
        <n v="1.5"/>
        <n v="3.5"/>
        <n v="48"/>
        <n v="1.2"/>
        <n v="0"/>
        <n v="2"/>
        <n v="21"/>
        <n v="17.5"/>
        <n v="10.5"/>
        <n v="28"/>
        <n v="16.8"/>
        <n v="14.8"/>
        <n v="18"/>
        <n v="7.36"/>
        <n v="6.88"/>
        <n v="11.04"/>
        <n v="10.4"/>
        <n v="14.72"/>
        <n v="24"/>
        <n v="13.84"/>
        <n v="40"/>
        <n v="64"/>
        <n v="5.5"/>
        <n v="8.5"/>
        <n v="12.5"/>
        <n v="2.75"/>
        <n v="4.25"/>
        <n v="6.25"/>
        <m/>
        <n v="8.75"/>
        <s v="Bằng 30% nỗ lực lập trìn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">
  <r>
    <m/>
    <x v="0"/>
    <m/>
    <m/>
    <x v="0"/>
  </r>
  <r>
    <n v="1"/>
    <x v="1"/>
    <s v="Giải pháp"/>
    <s v="NVJ1-PTMGiải pháp"/>
    <x v="1"/>
  </r>
  <r>
    <n v="2"/>
    <x v="1"/>
    <s v="Phát triển"/>
    <s v="NVJ1-PTMPhát triển"/>
    <x v="2"/>
  </r>
  <r>
    <n v="3"/>
    <x v="1"/>
    <s v="Kiểm thử"/>
    <s v="NVJ1-PTMKiểm thử"/>
    <x v="1"/>
  </r>
  <r>
    <n v="4"/>
    <x v="2"/>
    <s v="Giải pháp"/>
    <s v="NVJ2-PTMGiải pháp"/>
    <x v="3"/>
  </r>
  <r>
    <n v="5"/>
    <x v="2"/>
    <s v="Phát triển"/>
    <s v="NVJ2-PTMPhát triển"/>
    <x v="4"/>
  </r>
  <r>
    <n v="6"/>
    <x v="2"/>
    <s v="Kiểm thử"/>
    <s v="NVJ2-PTMKiểm thử"/>
    <x v="5"/>
  </r>
  <r>
    <n v="7"/>
    <x v="3"/>
    <s v="Giải pháp"/>
    <s v="NVJ3-PTMGiải pháp"/>
    <x v="6"/>
  </r>
  <r>
    <n v="8"/>
    <x v="3"/>
    <s v="Phát triển"/>
    <s v="NVJ3-PTMPhát triển"/>
    <x v="7"/>
  </r>
  <r>
    <n v="9"/>
    <x v="3"/>
    <s v="Kiểm thử"/>
    <s v="NVJ3-PTMKiểm thử"/>
    <x v="8"/>
  </r>
  <r>
    <n v="10"/>
    <x v="4"/>
    <s v="Giải pháp"/>
    <s v="GD_WEB1Giải pháp"/>
    <x v="9"/>
  </r>
  <r>
    <n v="11"/>
    <x v="4"/>
    <s v="Phát triển"/>
    <s v="GD_WEB1Phát triển"/>
    <x v="2"/>
  </r>
  <r>
    <n v="12"/>
    <x v="4"/>
    <s v="Kiểm thử"/>
    <s v="GD_WEB1Kiểm thử"/>
    <x v="1"/>
  </r>
  <r>
    <n v="13"/>
    <x v="5"/>
    <s v="Giải pháp"/>
    <s v="GD_WEB2Giải pháp"/>
    <x v="3"/>
  </r>
  <r>
    <n v="14"/>
    <x v="5"/>
    <s v="Phát triển"/>
    <s v="GD_WEB2Phát triển"/>
    <x v="10"/>
  </r>
  <r>
    <n v="15"/>
    <x v="5"/>
    <s v="Kiểm thử"/>
    <s v="GD_WEB2Kiểm thử"/>
    <x v="3"/>
  </r>
  <r>
    <n v="16"/>
    <x v="6"/>
    <s v="Giải pháp"/>
    <s v="GD_WEB3Giải pháp"/>
    <x v="11"/>
  </r>
  <r>
    <n v="17"/>
    <x v="6"/>
    <s v="Phát triển"/>
    <s v="GD_WEB3Phát triển"/>
    <x v="12"/>
  </r>
  <r>
    <n v="18"/>
    <x v="6"/>
    <s v="Kiểm thử"/>
    <s v="GD_WEB3Kiểm thử"/>
    <x v="6"/>
  </r>
  <r>
    <n v="19"/>
    <x v="7"/>
    <s v="Giải pháp"/>
    <s v="BC1Giải pháp"/>
    <x v="9"/>
  </r>
  <r>
    <n v="20"/>
    <x v="7"/>
    <s v="Phát triển"/>
    <s v="BC1Phát triển"/>
    <x v="13"/>
  </r>
  <r>
    <n v="21"/>
    <x v="7"/>
    <s v="Kiểm thử"/>
    <s v="BC1Kiểm thử"/>
    <x v="9"/>
  </r>
  <r>
    <n v="22"/>
    <x v="8"/>
    <s v="Giải pháp"/>
    <s v="BC2Giải pháp"/>
    <x v="9"/>
  </r>
  <r>
    <n v="23"/>
    <x v="8"/>
    <s v="Phát triển"/>
    <s v="BC2Phát triển"/>
    <x v="11"/>
  </r>
  <r>
    <n v="24"/>
    <x v="8"/>
    <s v="Kiểm thử"/>
    <s v="BC2Kiểm thử"/>
    <x v="14"/>
  </r>
  <r>
    <n v="25"/>
    <x v="9"/>
    <s v="Giải pháp"/>
    <s v="BC3Giải pháp"/>
    <x v="6"/>
  </r>
  <r>
    <n v="26"/>
    <x v="9"/>
    <s v="Phát triển"/>
    <s v="BC3Phát triển"/>
    <x v="15"/>
  </r>
  <r>
    <n v="27"/>
    <x v="9"/>
    <s v="Kiểm thử"/>
    <s v="BC3Kiểm thử"/>
    <x v="6"/>
  </r>
  <r>
    <n v="28"/>
    <x v="10"/>
    <s v="Giải pháp"/>
    <s v="NVJ3-NCGiải pháp"/>
    <x v="9"/>
  </r>
  <r>
    <n v="29"/>
    <x v="10"/>
    <s v="Phát triển"/>
    <s v="NVJ3-NCPhát triển"/>
    <x v="11"/>
  </r>
  <r>
    <n v="30"/>
    <x v="10"/>
    <s v="Kiểm thử"/>
    <s v="NVJ3-NCKiểm thử"/>
    <x v="14"/>
  </r>
  <r>
    <n v="31"/>
    <x v="11"/>
    <s v="Giải pháp"/>
    <s v="NVJ2-NCGiải pháp"/>
    <x v="16"/>
  </r>
  <r>
    <n v="32"/>
    <x v="11"/>
    <s v="Phát triển"/>
    <s v="NVJ2-NCPhát triển"/>
    <x v="17"/>
  </r>
  <r>
    <n v="33"/>
    <x v="11"/>
    <s v="Kiểm thử"/>
    <s v="NVJ2-NCKiểm thử"/>
    <x v="18"/>
  </r>
  <r>
    <n v="34"/>
    <x v="12"/>
    <s v="Giải pháp"/>
    <s v="NVJ1-NCGiải pháp"/>
    <x v="19"/>
  </r>
  <r>
    <n v="35"/>
    <x v="12"/>
    <s v="Phát triển"/>
    <s v="NVJ1-NCPhát triển"/>
    <x v="20"/>
  </r>
  <r>
    <n v="36"/>
    <x v="12"/>
    <s v="Kiểm thử"/>
    <s v="NVJ1-NCKiểm thử"/>
    <x v="21"/>
  </r>
  <r>
    <n v="37"/>
    <x v="13"/>
    <s v="Giải pháp"/>
    <s v="DM2Giải pháp"/>
    <x v="22"/>
  </r>
  <r>
    <n v="38"/>
    <x v="13"/>
    <s v="Phát triển"/>
    <s v="DM2Phát triển"/>
    <x v="23"/>
  </r>
  <r>
    <n v="39"/>
    <x v="13"/>
    <s v="Kiểm thử"/>
    <s v="DM2Kiểm thử"/>
    <x v="24"/>
  </r>
  <r>
    <n v="40"/>
    <x v="14"/>
    <s v="Giải pháp"/>
    <s v="GD_MOBILE1Giải pháp"/>
    <x v="25"/>
  </r>
  <r>
    <n v="41"/>
    <x v="14"/>
    <s v="Phát triển"/>
    <s v="GD_MOBILE1Phát triển"/>
    <x v="26"/>
  </r>
  <r>
    <n v="42"/>
    <x v="14"/>
    <s v="Kiểm thử"/>
    <s v="GD_MOBILE1Kiểm thử"/>
    <x v="25"/>
  </r>
  <r>
    <n v="43"/>
    <x v="15"/>
    <s v="Giải pháp"/>
    <s v="GD_MOBILE2Giải pháp"/>
    <x v="13"/>
  </r>
  <r>
    <n v="44"/>
    <x v="15"/>
    <s v="Phát triển"/>
    <s v="GD_MOBILE2Phát triển"/>
    <x v="3"/>
  </r>
  <r>
    <n v="45"/>
    <x v="15"/>
    <s v="Kiểm thử"/>
    <s v="GD_MOBILE2Kiểm thử"/>
    <x v="13"/>
  </r>
  <r>
    <n v="46"/>
    <x v="16"/>
    <s v="Giải pháp"/>
    <s v="GD_MOBILE3Giải pháp"/>
    <x v="27"/>
  </r>
  <r>
    <n v="47"/>
    <x v="16"/>
    <s v="Phát triển"/>
    <s v="GD_MOBILE3Phát triển"/>
    <x v="10"/>
  </r>
  <r>
    <n v="48"/>
    <x v="16"/>
    <s v="Kiểm thử"/>
    <s v="GD_MOBILE3Kiểm thử"/>
    <x v="5"/>
  </r>
  <r>
    <n v="49"/>
    <x v="17"/>
    <s v="Giải pháp"/>
    <s v="DM1Giải pháp"/>
    <x v="28"/>
  </r>
  <r>
    <n v="50"/>
    <x v="17"/>
    <s v="Phát triển"/>
    <s v="DM1Phát triển"/>
    <x v="25"/>
  </r>
  <r>
    <n v="51"/>
    <x v="17"/>
    <s v="Kiểm thử"/>
    <s v="DM1Kiểm thử"/>
    <x v="29"/>
  </r>
  <r>
    <n v="52"/>
    <x v="18"/>
    <s v="Giải pháp"/>
    <s v="CN_WEB_KTGiải pháp"/>
    <x v="1"/>
  </r>
  <r>
    <n v="53"/>
    <x v="18"/>
    <s v="Phát triển"/>
    <s v="CN_WEB_KTPhát triển"/>
    <x v="30"/>
  </r>
  <r>
    <n v="54"/>
    <x v="18"/>
    <s v="Kiểm thử"/>
    <s v="CN_WEB_KTKiểm thử"/>
    <x v="6"/>
  </r>
  <r>
    <n v="55"/>
    <x v="19"/>
    <s v="Giải pháp"/>
    <s v="GD1_CUTGiải pháp"/>
    <x v="31"/>
  </r>
  <r>
    <n v="56"/>
    <x v="19"/>
    <s v="Kiểm thử"/>
    <s v="GD1_CUTkiểm thử"/>
    <x v="31"/>
  </r>
  <r>
    <n v="57"/>
    <x v="19"/>
    <s v="Phát triển"/>
    <s v="GD1_CUTPhát triển"/>
    <x v="32"/>
  </r>
  <r>
    <n v="58"/>
    <x v="20"/>
    <s v="Phát triển"/>
    <s v="GD2_CUTPhát triển"/>
    <x v="26"/>
  </r>
  <r>
    <n v="59"/>
    <x v="20"/>
    <s v="Kiểm thử"/>
    <s v="GD2_CUTkiểm thử"/>
    <x v="33"/>
  </r>
  <r>
    <n v="60"/>
    <x v="20"/>
    <s v="Giải pháp"/>
    <s v="GD2_CUTGiải pháp"/>
    <x v="32"/>
  </r>
  <r>
    <n v="61"/>
    <x v="21"/>
    <s v="Giải pháp"/>
    <s v="CN_WEB1Giải pháp"/>
    <x v="24"/>
  </r>
  <r>
    <n v="62"/>
    <x v="21"/>
    <s v="Phát triển"/>
    <s v="CN_WEB1Phát triển"/>
    <x v="2"/>
  </r>
  <r>
    <n v="63"/>
    <x v="21"/>
    <s v="Kiểm thử"/>
    <s v="CN_WEB1Kiểm thử"/>
    <x v="13"/>
  </r>
  <r>
    <n v="64"/>
    <x v="22"/>
    <s v="Giải pháp"/>
    <s v="CN_WEB2Giải pháp"/>
    <x v="3"/>
  </r>
  <r>
    <n v="65"/>
    <x v="22"/>
    <s v="Phát triển"/>
    <s v="CN_WEB2Phát triển"/>
    <x v="11"/>
  </r>
  <r>
    <n v="66"/>
    <x v="22"/>
    <s v="Kiểm thử"/>
    <s v="CN_WEB2Kiểm thử"/>
    <x v="3"/>
  </r>
  <r>
    <n v="67"/>
    <x v="23"/>
    <s v="Giải pháp"/>
    <s v="CN_WEB3Giải pháp"/>
    <x v="11"/>
  </r>
  <r>
    <n v="68"/>
    <x v="23"/>
    <s v="Phát triển"/>
    <s v="CN_WEB3Phát triển"/>
    <x v="34"/>
  </r>
  <r>
    <n v="69"/>
    <x v="23"/>
    <s v="Kiểm thử"/>
    <s v="CN_WEB3Kiểm thử"/>
    <x v="11"/>
  </r>
  <r>
    <n v="70"/>
    <x v="24"/>
    <s v="Giải pháp"/>
    <s v="CN_MOBILE Client1Giải pháp"/>
    <x v="26"/>
  </r>
  <r>
    <n v="71"/>
    <x v="24"/>
    <s v="Phát triển"/>
    <s v="CN_MOBILE Client1Phát triển"/>
    <x v="1"/>
  </r>
  <r>
    <n v="72"/>
    <x v="24"/>
    <s v="Kiểm thử"/>
    <s v="CN_MOBILE Client1kiểm thử"/>
    <x v="26"/>
  </r>
  <r>
    <n v="73"/>
    <x v="25"/>
    <s v="Giải pháp"/>
    <s v="CN_MOBILE Client2Giải pháp"/>
    <x v="1"/>
  </r>
  <r>
    <n v="74"/>
    <x v="25"/>
    <s v="Phát triển"/>
    <s v="CN_MOBILE Client2Phát triển"/>
    <x v="35"/>
  </r>
  <r>
    <n v="75"/>
    <x v="25"/>
    <s v="Kiểm thử"/>
    <s v="CN_MOBILE Client2kiểm thử"/>
    <x v="36"/>
  </r>
  <r>
    <n v="76"/>
    <x v="26"/>
    <s v="Giải pháp"/>
    <s v="CN_MOBILE Client2 -NCGiải pháp"/>
    <x v="26"/>
  </r>
  <r>
    <n v="77"/>
    <x v="26"/>
    <s v="Phát triển"/>
    <s v="CN_MOBILE Client2 -NCPhát triển"/>
    <x v="1"/>
  </r>
  <r>
    <n v="78"/>
    <x v="26"/>
    <s v="Kiểm thử"/>
    <s v="CN_MOBILE Client2 -NCkiểm thử"/>
    <x v="26"/>
  </r>
  <r>
    <n v="79"/>
    <x v="27"/>
    <s v="Giải pháp"/>
    <s v="CN_MOBILE Client3Giải pháp"/>
    <x v="2"/>
  </r>
  <r>
    <n v="80"/>
    <x v="27"/>
    <s v="Phát triển"/>
    <s v="CN_MOBILE Client3Phát triển"/>
    <x v="37"/>
  </r>
  <r>
    <n v="81"/>
    <x v="27"/>
    <s v="Kiểm thử"/>
    <s v="CN_MOBILE Client3kiểm thử"/>
    <x v="38"/>
  </r>
  <r>
    <n v="82"/>
    <x v="28"/>
    <s v="Giải pháp"/>
    <s v="CN_MOBILE Server1Giải pháp"/>
    <x v="26"/>
  </r>
  <r>
    <n v="83"/>
    <x v="28"/>
    <s v="Phát triển"/>
    <s v="CN_MOBILE Server1Phát triển"/>
    <x v="24"/>
  </r>
  <r>
    <n v="84"/>
    <x v="28"/>
    <s v="Kiểm thử"/>
    <s v="CN_MOBILE Server1kiểm thử"/>
    <x v="26"/>
  </r>
  <r>
    <n v="85"/>
    <x v="29"/>
    <s v="Giải pháp"/>
    <s v="CN_MOBILE Server2Giải pháp"/>
    <x v="1"/>
  </r>
  <r>
    <n v="86"/>
    <x v="29"/>
    <s v="Phát triển"/>
    <s v="CN_MOBILE Server2Phát triển"/>
    <x v="39"/>
  </r>
  <r>
    <n v="87"/>
    <x v="29"/>
    <s v="Kiểm thử"/>
    <s v="CN_MOBILE Server2kiểm thử"/>
    <x v="23"/>
  </r>
  <r>
    <n v="88"/>
    <x v="30"/>
    <s v="Giải pháp"/>
    <s v="CN_MOBILE Server3Giải pháp"/>
    <x v="11"/>
  </r>
  <r>
    <n v="89"/>
    <x v="30"/>
    <s v="Phát triển"/>
    <s v="CN_MOBILE Server3Phát triển"/>
    <x v="7"/>
  </r>
  <r>
    <n v="90"/>
    <x v="30"/>
    <s v="Kiểm thử"/>
    <s v="CN_MOBILE Server3kiểm thử"/>
    <x v="40"/>
  </r>
  <r>
    <n v="91"/>
    <x v="31"/>
    <s v="Giải pháp"/>
    <s v="TT_DB1Giải pháp"/>
    <x v="41"/>
  </r>
  <r>
    <n v="92"/>
    <x v="31"/>
    <s v="Phát triển"/>
    <s v="TT_DB1Phát triển"/>
    <x v="1"/>
  </r>
  <r>
    <n v="93"/>
    <x v="31"/>
    <s v="Kiểm thử"/>
    <s v="TT_DB1kiểm thử"/>
    <x v="42"/>
  </r>
  <r>
    <n v="94"/>
    <x v="32"/>
    <s v="Giải pháp"/>
    <s v="TT_DB2Giải pháp"/>
    <x v="43"/>
  </r>
  <r>
    <n v="95"/>
    <x v="32"/>
    <s v="Phát triển"/>
    <s v="TT_DB2Phát triển"/>
    <x v="6"/>
  </r>
  <r>
    <n v="96"/>
    <x v="32"/>
    <s v="Kiểm thử"/>
    <s v="TT_DB2kiểm thử"/>
    <x v="44"/>
  </r>
  <r>
    <n v="97"/>
    <x v="33"/>
    <s v="Giải pháp"/>
    <s v="TT_DB3Giải pháp"/>
    <x v="45"/>
  </r>
  <r>
    <n v="98"/>
    <x v="33"/>
    <s v="Phát triển"/>
    <s v="TT_DB3Phát triển"/>
    <x v="46"/>
  </r>
  <r>
    <n v="99"/>
    <x v="33"/>
    <s v="Kiểm thử"/>
    <s v="TT_DB3kiểm thử"/>
    <x v="47"/>
  </r>
  <r>
    <n v="100"/>
    <x v="34"/>
    <s v="Giải pháp"/>
    <s v="FW_GSM1Giải pháp"/>
    <x v="4"/>
  </r>
  <r>
    <n v="101"/>
    <x v="34"/>
    <s v="Phát triển"/>
    <s v="FW_GSM1Phát triển"/>
    <x v="15"/>
  </r>
  <r>
    <n v="102"/>
    <x v="34"/>
    <s v="Kiểm thử"/>
    <s v="FW_GSM1kiểm thử"/>
    <x v="46"/>
  </r>
  <r>
    <n v="103"/>
    <x v="35"/>
    <s v="Giải pháp"/>
    <s v="FW_GSM2Giải pháp"/>
    <x v="7"/>
  </r>
  <r>
    <n v="104"/>
    <x v="35"/>
    <s v="Phát triển"/>
    <s v="FW_GSM2Phát triển"/>
    <x v="48"/>
  </r>
  <r>
    <n v="105"/>
    <x v="35"/>
    <s v="Kiểm thử"/>
    <s v="FW_GSM2kiểm thử"/>
    <x v="37"/>
  </r>
  <r>
    <n v="106"/>
    <x v="36"/>
    <s v="Giải pháp"/>
    <s v="FW_GSM3Giải pháp"/>
    <x v="15"/>
  </r>
  <r>
    <n v="107"/>
    <x v="36"/>
    <s v="Phát triển"/>
    <s v="FW_GSM3Phát triển"/>
    <x v="30"/>
  </r>
  <r>
    <n v="108"/>
    <x v="36"/>
    <s v="Kiểm thử"/>
    <s v="FW_GSM3kiểm thử"/>
    <x v="15"/>
  </r>
  <r>
    <n v="109"/>
    <x v="37"/>
    <s v="Giải pháp"/>
    <s v="FW_SSL1Giải pháp"/>
    <x v="4"/>
  </r>
  <r>
    <n v="110"/>
    <x v="37"/>
    <s v="Phát triển"/>
    <s v="FW_SSL1Phát triển"/>
    <x v="15"/>
  </r>
  <r>
    <n v="111"/>
    <x v="37"/>
    <s v="Kiểm thử"/>
    <s v="FW_SSL1kiểm thử"/>
    <x v="46"/>
  </r>
  <r>
    <n v="112"/>
    <x v="38"/>
    <s v="Giải pháp"/>
    <s v="FW_SSL2Giải pháp"/>
    <x v="7"/>
  </r>
  <r>
    <n v="113"/>
    <x v="38"/>
    <s v="Phát triển"/>
    <s v="FW_SSL2Phát triển"/>
    <x v="48"/>
  </r>
  <r>
    <n v="114"/>
    <x v="38"/>
    <s v="Kiểm thử"/>
    <s v="FW_SSL2kiểm thử"/>
    <x v="37"/>
  </r>
  <r>
    <n v="115"/>
    <x v="39"/>
    <s v="Giải pháp"/>
    <s v="FW_SSL3Giải pháp"/>
    <x v="15"/>
  </r>
  <r>
    <n v="116"/>
    <x v="39"/>
    <s v="Phát triển"/>
    <s v="FW_SSL3Phát triển"/>
    <x v="30"/>
  </r>
  <r>
    <n v="117"/>
    <x v="39"/>
    <s v="Kiểm thử"/>
    <s v="FW_SSL3kiểm thử"/>
    <x v="15"/>
  </r>
  <r>
    <n v="118"/>
    <x v="40"/>
    <s v="Giải pháp"/>
    <s v="FW_ADC1Giải pháp"/>
    <x v="4"/>
  </r>
  <r>
    <n v="119"/>
    <x v="40"/>
    <s v="Phát triển"/>
    <s v="FW_ADC1Phát triển"/>
    <x v="15"/>
  </r>
  <r>
    <n v="120"/>
    <x v="40"/>
    <s v="Kiểm thử"/>
    <s v="FW_ADC1kiểm thử"/>
    <x v="46"/>
  </r>
  <r>
    <n v="121"/>
    <x v="41"/>
    <s v="Giải pháp"/>
    <s v="FW_ADC2Giải pháp"/>
    <x v="7"/>
  </r>
  <r>
    <n v="122"/>
    <x v="41"/>
    <s v="Phát triển"/>
    <s v="FW_ADC2Phát triển"/>
    <x v="48"/>
  </r>
  <r>
    <n v="123"/>
    <x v="41"/>
    <s v="Kiểm thử"/>
    <s v="FW_ADC2kiểm thử"/>
    <x v="37"/>
  </r>
  <r>
    <n v="124"/>
    <x v="42"/>
    <s v="Giải pháp"/>
    <s v="FW_ADC3Giải pháp"/>
    <x v="15"/>
  </r>
  <r>
    <n v="125"/>
    <x v="42"/>
    <s v="Phát triển"/>
    <s v="FW_ADC3Phát triển"/>
    <x v="30"/>
  </r>
  <r>
    <n v="126"/>
    <x v="42"/>
    <s v="Kiểm thử"/>
    <s v="FW_ADC3kiểm thử"/>
    <x v="15"/>
  </r>
  <r>
    <n v="127"/>
    <x v="43"/>
    <s v="Giải pháp"/>
    <s v="CSI_NORMAL_1Giải pháp"/>
    <x v="46"/>
  </r>
  <r>
    <n v="128"/>
    <x v="43"/>
    <s v="Phát triển"/>
    <s v="CSI_NORMAL_1Phát triển"/>
    <x v="9"/>
  </r>
  <r>
    <n v="129"/>
    <x v="43"/>
    <s v="Kiểm thử"/>
    <s v="CSI_NORMAL_1Kiểm thử"/>
    <x v="2"/>
  </r>
  <r>
    <n v="130"/>
    <x v="44"/>
    <s v="Giải pháp"/>
    <s v="CSI_NORMAL_2Giải pháp"/>
    <x v="48"/>
  </r>
  <r>
    <n v="131"/>
    <x v="44"/>
    <s v="Phát triển"/>
    <s v="CSI_NORMAL_2Phát triển"/>
    <x v="3"/>
  </r>
  <r>
    <n v="132"/>
    <x v="44"/>
    <s v="Kiểm thử"/>
    <s v="CSI_NORMAL_2Kiểm thử"/>
    <x v="4"/>
  </r>
  <r>
    <n v="133"/>
    <x v="45"/>
    <s v="Giải pháp"/>
    <s v="CSI_NORMAL_3Giải pháp"/>
    <x v="49"/>
  </r>
  <r>
    <n v="134"/>
    <x v="45"/>
    <s v="Phát triển"/>
    <s v="CSI_NORMAL_3Phát triển"/>
    <x v="6"/>
  </r>
  <r>
    <n v="135"/>
    <x v="45"/>
    <s v="Kiểm thử"/>
    <s v="CSI_NORMAL_3Kiểm thử"/>
    <x v="15"/>
  </r>
  <r>
    <n v="136"/>
    <x v="46"/>
    <s v="Giải pháp"/>
    <s v="DM3Giải pháp"/>
    <x v="9"/>
  </r>
  <r>
    <n v="137"/>
    <x v="46"/>
    <s v="Phát triển"/>
    <s v="DM3Phát triển"/>
    <x v="6"/>
  </r>
  <r>
    <n v="138"/>
    <x v="46"/>
    <s v="Kiểm thử"/>
    <s v="DM3Kiểm thử"/>
    <x v="6"/>
  </r>
  <r>
    <n v="139"/>
    <x v="47"/>
    <s v="Giải pháp"/>
    <s v="DP_IMP1Giải pháp"/>
    <x v="26"/>
  </r>
  <r>
    <n v="140"/>
    <x v="47"/>
    <s v="Phát triển"/>
    <s v="DP_IMP1Phát triển"/>
    <x v="26"/>
  </r>
  <r>
    <n v="141"/>
    <x v="47"/>
    <s v="Kiểm thử"/>
    <s v="DP_IMP1Kiểm thử"/>
    <x v="29"/>
  </r>
  <r>
    <n v="142"/>
    <x v="48"/>
    <s v="Giải pháp"/>
    <s v="DP_IMP2Giải pháp"/>
    <x v="24"/>
  </r>
  <r>
    <n v="143"/>
    <x v="48"/>
    <s v="Phát triển"/>
    <s v="DP_IMP2Phát triển"/>
    <x v="2"/>
  </r>
  <r>
    <n v="144"/>
    <x v="48"/>
    <s v="Kiểm thử"/>
    <s v="DP_IMP2Kiểm thử"/>
    <x v="13"/>
  </r>
  <r>
    <n v="145"/>
    <x v="49"/>
    <s v="Giải pháp"/>
    <s v="DP_IMP3Giải pháp"/>
    <x v="14"/>
  </r>
  <r>
    <n v="146"/>
    <x v="49"/>
    <s v="Phát triển"/>
    <s v="DP_IMP3Phát triển"/>
    <x v="6"/>
  </r>
  <r>
    <n v="147"/>
    <x v="49"/>
    <s v="Kiểm thử"/>
    <s v="DP_IMP3Kiểm thử"/>
    <x v="36"/>
  </r>
  <r>
    <n v="148"/>
    <x v="50"/>
    <s v="Giải pháp"/>
    <s v="DP_EXP1Giải pháp"/>
    <x v="26"/>
  </r>
  <r>
    <n v="149"/>
    <x v="50"/>
    <s v="Phát triển"/>
    <s v="DP_EXP1Phát triển"/>
    <x v="26"/>
  </r>
  <r>
    <n v="150"/>
    <x v="50"/>
    <s v="Kiểm thử"/>
    <s v="DP_EXP1Kiểm thử"/>
    <x v="29"/>
  </r>
  <r>
    <n v="151"/>
    <x v="51"/>
    <s v="Giải pháp"/>
    <s v="DP_AGG1Giải pháp"/>
    <x v="9"/>
  </r>
  <r>
    <n v="152"/>
    <x v="51"/>
    <s v="Phát triển"/>
    <s v="DP_AGG1Phát triển"/>
    <x v="9"/>
  </r>
  <r>
    <n v="153"/>
    <x v="51"/>
    <s v="Kiểm thử"/>
    <s v="DP_AGG1Kiểm thử"/>
    <x v="50"/>
  </r>
  <r>
    <n v="154"/>
    <x v="52"/>
    <s v="Giải pháp"/>
    <s v="DP_AGG2Giải pháp"/>
    <x v="51"/>
  </r>
  <r>
    <n v="155"/>
    <x v="52"/>
    <s v="Phát triển"/>
    <s v="DP_AGG2Phát triển"/>
    <x v="6"/>
  </r>
  <r>
    <n v="156"/>
    <x v="52"/>
    <s v="Kiểm thử"/>
    <s v="DP_AGG2Kiểm thử"/>
    <x v="23"/>
  </r>
  <r>
    <n v="157"/>
    <x v="53"/>
    <s v="Giải pháp"/>
    <s v="DP_AGG3Giải pháp"/>
    <x v="2"/>
  </r>
  <r>
    <n v="158"/>
    <x v="53"/>
    <s v="Phát triển"/>
    <s v="DP_AGG3Phát triển"/>
    <x v="46"/>
  </r>
  <r>
    <n v="159"/>
    <x v="53"/>
    <s v="Kiểm thử"/>
    <s v="DP_AGG3Kiểm thử"/>
    <x v="52"/>
  </r>
  <r>
    <n v="160"/>
    <x v="54"/>
    <s v="Giải pháp"/>
    <s v="DV_TABLEAU_CHARTGiải pháp"/>
    <x v="33"/>
  </r>
  <r>
    <n v="161"/>
    <x v="54"/>
    <s v="Phát triển"/>
    <s v="DV_TABLEAU_CHARTPhát triển"/>
    <x v="25"/>
  </r>
  <r>
    <n v="162"/>
    <x v="54"/>
    <s v="Kiểm thử"/>
    <s v="DV_TABLEAU_CHARTKiểm thử"/>
    <x v="25"/>
  </r>
  <r>
    <n v="163"/>
    <x v="55"/>
    <s v="Giải pháp"/>
    <s v="DV_TABLEAU_DASHBOARD1Giải pháp"/>
    <x v="33"/>
  </r>
  <r>
    <n v="164"/>
    <x v="55"/>
    <s v="Phát triển"/>
    <s v="DV_TABLEAU_DASHBOARD1Phát triển"/>
    <x v="26"/>
  </r>
  <r>
    <n v="165"/>
    <x v="55"/>
    <s v="Kiểm thử"/>
    <s v="DV_TABLEAU_DASHBOARD1Kiểm thử"/>
    <x v="33"/>
  </r>
  <r>
    <n v="166"/>
    <x v="56"/>
    <s v="Giải pháp"/>
    <s v="DV_TABLEAU_DASHBOARD2Giải pháp"/>
    <x v="26"/>
  </r>
  <r>
    <n v="167"/>
    <x v="56"/>
    <s v="Phát triển"/>
    <s v="DV_TABLEAU_DASHBOARD2Phát triển"/>
    <x v="1"/>
  </r>
  <r>
    <n v="168"/>
    <x v="56"/>
    <s v="Kiểm thử"/>
    <s v="DV_TABLEAU_DASHBOARD2Kiểm thử"/>
    <x v="26"/>
  </r>
  <r>
    <n v="169"/>
    <x v="57"/>
    <s v="Giải pháp"/>
    <s v="DATA_SUPPORT1Giải pháp"/>
    <x v="25"/>
  </r>
  <r>
    <n v="170"/>
    <x v="57"/>
    <s v="Phát triển"/>
    <s v="DATA_SUPPORT1Phát triển"/>
    <x v="9"/>
  </r>
  <r>
    <n v="171"/>
    <x v="57"/>
    <s v="Kiểm thử"/>
    <s v="DATA_SUPPORT1Kiểm thử"/>
    <x v="53"/>
  </r>
  <r>
    <n v="172"/>
    <x v="58"/>
    <s v="Giải pháp"/>
    <s v="DATA_SUPPORT2Giải pháp"/>
    <x v="54"/>
  </r>
  <r>
    <n v="173"/>
    <x v="58"/>
    <s v="Phát triển"/>
    <s v="DATA_SUPPORT2Phát triển"/>
    <x v="6"/>
  </r>
  <r>
    <n v="174"/>
    <x v="58"/>
    <s v="Kiểm thử"/>
    <s v="DATA_SUPPORT2Kiểm thử"/>
    <x v="22"/>
  </r>
  <r>
    <n v="175"/>
    <x v="59"/>
    <s v="Giải pháp"/>
    <s v="DATA_SUPPORT3Giải pháp"/>
    <x v="9"/>
  </r>
  <r>
    <n v="176"/>
    <x v="59"/>
    <s v="Phát triển"/>
    <s v="DATA_SUPPORT3Phát triển"/>
    <x v="46"/>
  </r>
  <r>
    <n v="177"/>
    <x v="59"/>
    <s v="Kiểm thử"/>
    <s v="DATA_SUPPORT3Kiểm thử"/>
    <x v="55"/>
  </r>
  <r>
    <n v="178"/>
    <x v="60"/>
    <s v="Kiểm thử"/>
    <s v="WRITE_TC_WEB_1kiểm thử"/>
    <x v="1"/>
  </r>
  <r>
    <n v="179"/>
    <x v="60"/>
    <s v="Giải pháp"/>
    <s v="WRITE_TC_WEB_1Giải pháp"/>
    <x v="32"/>
  </r>
  <r>
    <n v="180"/>
    <x v="60"/>
    <s v="Phát triển"/>
    <s v="WRITE_TC_WEB_1Phát triển"/>
    <x v="32"/>
  </r>
  <r>
    <n v="181"/>
    <x v="61"/>
    <s v="Kiểm thử"/>
    <s v="WRITE_TC_WEB_2Kiểm thử"/>
    <x v="2"/>
  </r>
  <r>
    <n v="182"/>
    <x v="61"/>
    <s v="Giải pháp"/>
    <s v="WRITE_TC_WEB_2Giải pháp"/>
    <x v="32"/>
  </r>
  <r>
    <n v="183"/>
    <x v="61"/>
    <s v="Phát triển"/>
    <s v="WRITE_TC_WEB_2Phát triển"/>
    <x v="32"/>
  </r>
  <r>
    <n v="184"/>
    <x v="62"/>
    <s v="Kiểm thử"/>
    <s v="WRITE_TC_WEB_3kiểm thử"/>
    <x v="6"/>
  </r>
  <r>
    <n v="185"/>
    <x v="62"/>
    <s v="Giải pháp"/>
    <s v="WRITE_TC_WEB_3Giải pháp"/>
    <x v="32"/>
  </r>
  <r>
    <n v="186"/>
    <x v="62"/>
    <s v="Phát triển"/>
    <s v="WRITE_TC_WEB_3Phát triển"/>
    <x v="32"/>
  </r>
  <r>
    <n v="187"/>
    <x v="63"/>
    <s v="Kiểm thử"/>
    <s v="WRITE_TC_MOBILE_ANDROID_1kiểm thử"/>
    <x v="1"/>
  </r>
  <r>
    <n v="188"/>
    <x v="63"/>
    <s v="Giải pháp"/>
    <s v="WRITE_TC_MOBILE_ANDROID_1Giải pháp"/>
    <x v="32"/>
  </r>
  <r>
    <n v="189"/>
    <x v="63"/>
    <s v="Phát triển"/>
    <s v="WRITE_TC_MOBILE_ANDROID_1Phát triển"/>
    <x v="32"/>
  </r>
  <r>
    <n v="190"/>
    <x v="64"/>
    <s v="Kiểm thử"/>
    <s v="WRITE_TC_MOBILE_ANDROID_2kiểm thử"/>
    <x v="2"/>
  </r>
  <r>
    <n v="191"/>
    <x v="64"/>
    <s v="Giải pháp"/>
    <s v="WRITE_TC_MOBILE_ANDROID_2Giải pháp"/>
    <x v="32"/>
  </r>
  <r>
    <n v="192"/>
    <x v="64"/>
    <s v="Phát triển"/>
    <s v="WRITE_TC_MOBILE_ANDROID_2Phát triển"/>
    <x v="32"/>
  </r>
  <r>
    <n v="193"/>
    <x v="65"/>
    <s v="Kiểm thử"/>
    <s v="WRITE_TC_MOBILE_ANDROID_3kiểm thử"/>
    <x v="6"/>
  </r>
  <r>
    <n v="194"/>
    <x v="65"/>
    <s v="Giải pháp"/>
    <s v="WRITE_TC_MOBILE_ANDROID_3Giải pháp"/>
    <x v="32"/>
  </r>
  <r>
    <n v="195"/>
    <x v="65"/>
    <s v="Phát triển"/>
    <s v="WRITE_TC_MOBILE_ANDROID_3Phát triển"/>
    <x v="32"/>
  </r>
  <r>
    <n v="196"/>
    <x v="66"/>
    <s v="Kiểm thử"/>
    <s v="WRITE_TC_MOBILE_IOS_1kiểm thử"/>
    <x v="2"/>
  </r>
  <r>
    <n v="197"/>
    <x v="66"/>
    <s v="Giải pháp"/>
    <s v="WRITE_TC_MOBILE_IOS_1Giải pháp"/>
    <x v="32"/>
  </r>
  <r>
    <n v="198"/>
    <x v="66"/>
    <s v="Phát triển"/>
    <s v="WRITE_TC_MOBILE_IOS_1Phát triển"/>
    <x v="32"/>
  </r>
  <r>
    <n v="199"/>
    <x v="67"/>
    <s v="Kiểm thử"/>
    <s v="WRITE_TC_MOBILE_IOS_2kiểm thử"/>
    <x v="6"/>
  </r>
  <r>
    <n v="200"/>
    <x v="67"/>
    <s v="Giải pháp"/>
    <s v="WRITE_TC_MOBILE_IOS_2Giải pháp"/>
    <x v="32"/>
  </r>
  <r>
    <n v="201"/>
    <x v="67"/>
    <s v="Phát triển"/>
    <s v="WRITE_TC_MOBILE_IOS_2Phát triển"/>
    <x v="32"/>
  </r>
  <r>
    <n v="202"/>
    <x v="68"/>
    <s v="Kiểm thử"/>
    <s v="WRITE_TC_MOBILE_IOS_3kiểm thử"/>
    <x v="4"/>
  </r>
  <r>
    <n v="203"/>
    <x v="68"/>
    <s v="Giải pháp"/>
    <s v="WRITE_TC_MOBILE_IOS_3Giải pháp"/>
    <x v="32"/>
  </r>
  <r>
    <n v="204"/>
    <x v="68"/>
    <s v="Phát triển"/>
    <s v="WRITE_TC_MOBILE_IOS_3Phát triển"/>
    <x v="32"/>
  </r>
  <r>
    <n v="205"/>
    <x v="69"/>
    <s v="Kiểm thử"/>
    <s v="MANTAIN_TC_WEBkiểm thử"/>
    <x v="26"/>
  </r>
  <r>
    <n v="206"/>
    <x v="69"/>
    <s v="Giải pháp"/>
    <s v="MANTAIN_TC_WEBGiải pháp"/>
    <x v="32"/>
  </r>
  <r>
    <n v="207"/>
    <x v="69"/>
    <s v="Phát triển"/>
    <s v="MANTAIN_TC_WEBPhát triển"/>
    <x v="32"/>
  </r>
  <r>
    <n v="208"/>
    <x v="70"/>
    <s v="Kiểm thử"/>
    <s v="MAITAIN_TC_MOBILEkiểm thử"/>
    <x v="9"/>
  </r>
  <r>
    <n v="209"/>
    <x v="70"/>
    <s v="Giải pháp"/>
    <s v="MAITAIN_TC_MOBILEGiải pháp"/>
    <x v="32"/>
  </r>
  <r>
    <n v="210"/>
    <x v="70"/>
    <s v="Phát triển"/>
    <s v="MAITAIN_TC_MOBILEPhát triển"/>
    <x v="32"/>
  </r>
  <r>
    <n v="211"/>
    <x v="71"/>
    <s v="Phát triển"/>
    <s v="CICD02Phát triển"/>
    <x v="3"/>
  </r>
  <r>
    <n v="212"/>
    <x v="71"/>
    <s v="Kiểm thử"/>
    <s v="CICD02kiểm thử"/>
    <x v="32"/>
  </r>
  <r>
    <n v="213"/>
    <x v="71"/>
    <s v="Giải pháp"/>
    <s v="CICD02Giải pháp"/>
    <x v="32"/>
  </r>
  <r>
    <n v="214"/>
    <x v="72"/>
    <s v="Phát triển"/>
    <s v="CICD03Phát triển"/>
    <x v="33"/>
  </r>
  <r>
    <n v="215"/>
    <x v="72"/>
    <s v="Kiểm thử"/>
    <s v="CICD03kiểm thử"/>
    <x v="32"/>
  </r>
  <r>
    <n v="216"/>
    <x v="72"/>
    <s v="Giải pháp"/>
    <s v="CICD03Giải pháp"/>
    <x v="32"/>
  </r>
  <r>
    <n v="217"/>
    <x v="73"/>
    <s v="Kiểm thử"/>
    <s v="RUN_WEB_1Kiểm thử"/>
    <x v="1"/>
  </r>
  <r>
    <n v="218"/>
    <x v="73"/>
    <s v="Giải pháp"/>
    <s v="RUN_WEB_1Giải pháp"/>
    <x v="32"/>
  </r>
  <r>
    <n v="219"/>
    <x v="73"/>
    <s v="Phát triển"/>
    <s v="RUN_WEB_1Phát triển"/>
    <x v="32"/>
  </r>
  <r>
    <n v="220"/>
    <x v="74"/>
    <s v="Kiểm thử"/>
    <s v=" RUN_WEB_2Kiểm thử"/>
    <x v="2"/>
  </r>
  <r>
    <n v="221"/>
    <x v="74"/>
    <s v="Giải pháp"/>
    <s v=" RUN_WEB_2Giải pháp"/>
    <x v="32"/>
  </r>
  <r>
    <n v="222"/>
    <x v="74"/>
    <s v="Phát triển"/>
    <s v=" RUN_WEB_2Phát triển"/>
    <x v="32"/>
  </r>
  <r>
    <n v="223"/>
    <x v="75"/>
    <s v="Kiểm thử"/>
    <s v="RUN_WEB_3Kiểm thử"/>
    <x v="6"/>
  </r>
  <r>
    <n v="224"/>
    <x v="75"/>
    <s v="Giải pháp"/>
    <s v="RUN_WEB_3Giải pháp"/>
    <x v="32"/>
  </r>
  <r>
    <n v="225"/>
    <x v="75"/>
    <s v="Phát triển"/>
    <s v="RUN_WEB_3Phát triển"/>
    <x v="32"/>
  </r>
  <r>
    <n v="226"/>
    <x v="76"/>
    <s v="Kiểm thử"/>
    <s v="RUN_MOBILE_ANDROID_1Kiểm thử"/>
    <x v="1"/>
  </r>
  <r>
    <n v="227"/>
    <x v="76"/>
    <s v="Giải pháp"/>
    <s v="RUN_MOBILE_ANDROID_1Giải pháp"/>
    <x v="32"/>
  </r>
  <r>
    <n v="228"/>
    <x v="76"/>
    <s v="Phát triển"/>
    <s v="RUN_MOBILE_ANDROID_1Phát triển"/>
    <x v="32"/>
  </r>
  <r>
    <n v="229"/>
    <x v="77"/>
    <s v="Kiểm thử"/>
    <s v="RUN_MOBILE_ANDROID_2Kiểm thử"/>
    <x v="2"/>
  </r>
  <r>
    <n v="230"/>
    <x v="77"/>
    <s v="Giải pháp"/>
    <s v="RUN_MOBILE_ANDROID_2Giải pháp"/>
    <x v="32"/>
  </r>
  <r>
    <n v="231"/>
    <x v="77"/>
    <s v="Phát triển"/>
    <s v="RUN_MOBILE_ANDROID_2Phát triển"/>
    <x v="32"/>
  </r>
  <r>
    <n v="232"/>
    <x v="78"/>
    <s v="Kiểm thử"/>
    <s v="RUN_MOBILE_ANDROID_3Kiểm thử"/>
    <x v="6"/>
  </r>
  <r>
    <n v="233"/>
    <x v="78"/>
    <s v="Giải pháp"/>
    <s v="RUN_MOBILE_ANDROID_3Giải pháp"/>
    <x v="32"/>
  </r>
  <r>
    <n v="234"/>
    <x v="78"/>
    <s v="Phát triển"/>
    <s v="RUN_MOBILE_ANDROID_3Phát triển"/>
    <x v="32"/>
  </r>
  <r>
    <n v="235"/>
    <x v="79"/>
    <s v="Kiểm thử"/>
    <s v=" RUN_MOBILE_IOS_1Kiểm thử"/>
    <x v="2"/>
  </r>
  <r>
    <n v="236"/>
    <x v="79"/>
    <s v="Giải pháp"/>
    <s v=" RUN_MOBILE_IOS_1Giải pháp"/>
    <x v="32"/>
  </r>
  <r>
    <n v="237"/>
    <x v="79"/>
    <s v="Phát triển"/>
    <s v=" RUN_MOBILE_IOS_1Phát triển"/>
    <x v="32"/>
  </r>
  <r>
    <n v="238"/>
    <x v="80"/>
    <s v="Kiểm thử"/>
    <s v="RUN_MOBILE_IOS_2Kiểm thử"/>
    <x v="4"/>
  </r>
  <r>
    <n v="239"/>
    <x v="80"/>
    <s v="Giải pháp"/>
    <s v="RUN_MOBILE_IOS_2Giải pháp"/>
    <x v="56"/>
  </r>
  <r>
    <n v="240"/>
    <x v="80"/>
    <s v="Phát triển"/>
    <s v="RUN_MOBILE_IOS_2Phát triển"/>
    <x v="56"/>
  </r>
  <r>
    <n v="241"/>
    <x v="81"/>
    <s v="Kiểm thử"/>
    <s v="RUN_MOBILE_IOS_3Kiểm thử"/>
    <x v="37"/>
  </r>
  <r>
    <n v="242"/>
    <x v="81"/>
    <s v="Giải pháp"/>
    <s v="RUN_MOBILE_IOS_3Giải pháp"/>
    <x v="56"/>
  </r>
  <r>
    <n v="243"/>
    <x v="81"/>
    <s v="Phát triển"/>
    <s v="RUN_MOBILE_IOS_3Phát triển"/>
    <x v="56"/>
  </r>
  <r>
    <n v="244"/>
    <x v="82"/>
    <s v="Giải pháp"/>
    <s v="CN_MOBILE Client1-NCGiải pháp"/>
    <x v="33"/>
  </r>
  <r>
    <n v="245"/>
    <x v="82"/>
    <s v="Phát triển"/>
    <s v="CN_MOBILE Client1-NCPhát triển"/>
    <x v="26"/>
  </r>
  <r>
    <n v="246"/>
    <x v="82"/>
    <s v="Kiểm thử"/>
    <s v="CN_MOBILE Client1-NCKiểm thử"/>
    <x v="26"/>
  </r>
  <r>
    <n v="247"/>
    <x v="83"/>
    <s v="Giải pháp"/>
    <s v="CN_MOBILE Client2-NCGiải pháp"/>
    <x v="26"/>
  </r>
  <r>
    <n v="248"/>
    <x v="83"/>
    <s v="Phát triển"/>
    <s v="CN_MOBILE Client2-NCPhát triển"/>
    <x v="57"/>
  </r>
  <r>
    <n v="249"/>
    <x v="83"/>
    <s v="Kiểm thử"/>
    <s v="CN_MOBILE Client2-NCKiểm thử"/>
    <x v="36"/>
  </r>
  <r>
    <n v="250"/>
    <x v="84"/>
    <s v="Giải pháp"/>
    <s v="CN_MOBILE Client3-NCGiải pháp"/>
    <x v="24"/>
  </r>
  <r>
    <n v="251"/>
    <x v="84"/>
    <s v="Phát triển"/>
    <s v="CN_MOBILE Client3-NCPhát triển"/>
    <x v="27"/>
  </r>
  <r>
    <n v="252"/>
    <x v="84"/>
    <s v="Kiểm thử"/>
    <s v="CN_MOBILE Client3-NCKiểm thử"/>
    <x v="40"/>
  </r>
  <r>
    <n v="253"/>
    <x v="85"/>
    <s v="Giải pháp"/>
    <s v="CN_MOBILE Server1-NCGiải pháp"/>
    <x v="33"/>
  </r>
  <r>
    <n v="254"/>
    <x v="85"/>
    <s v="Phát triển"/>
    <s v="CN_MOBILE Server1-NCPhát triển"/>
    <x v="29"/>
  </r>
  <r>
    <n v="255"/>
    <x v="85"/>
    <s v="Kiểm thử"/>
    <s v="CN_MOBILE Server1-NCKiểm thử"/>
    <x v="26"/>
  </r>
  <r>
    <n v="256"/>
    <x v="86"/>
    <s v="Giải pháp"/>
    <s v="CN_MOBILE Server2-NCGiải pháp"/>
    <x v="26"/>
  </r>
  <r>
    <n v="257"/>
    <x v="86"/>
    <s v="Phát triển"/>
    <s v="CN_MOBILE Server2-NCPhát triển"/>
    <x v="24"/>
  </r>
  <r>
    <n v="258"/>
    <x v="86"/>
    <s v="Kiểm thử"/>
    <s v="CN_MOBILE Server2-NCKiểm thử"/>
    <x v="23"/>
  </r>
  <r>
    <n v="259"/>
    <x v="87"/>
    <s v="Giải pháp"/>
    <s v="CN_MOBILE Server3-NCGiải pháp"/>
    <x v="24"/>
  </r>
  <r>
    <n v="260"/>
    <x v="87"/>
    <s v="Phát triển"/>
    <s v="CN_MOBILE Server3-NCPhát triển"/>
    <x v="27"/>
  </r>
  <r>
    <n v="261"/>
    <x v="87"/>
    <s v="Kiểm thử"/>
    <s v="CN_MOBILE Server3-NCKiểm thử"/>
    <x v="40"/>
  </r>
  <r>
    <n v="262"/>
    <x v="88"/>
    <s v="Nỗ lực unit Test"/>
    <s v="UNITTESTNỗ lực unit Test"/>
    <x v="58"/>
  </r>
  <r>
    <m/>
    <x v="89"/>
    <m/>
    <m/>
    <x v="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92420-DFF1-40B0-A893-42F68CC3195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I93" firstHeaderRow="1" firstDataRow="1" firstDataCol="1"/>
  <pivotFields count="5">
    <pivotField showAll="0"/>
    <pivotField axis="axisRow" showAll="0">
      <items count="91">
        <item x="79"/>
        <item x="74"/>
        <item x="7"/>
        <item x="8"/>
        <item x="9"/>
        <item x="71"/>
        <item x="72"/>
        <item x="24"/>
        <item x="82"/>
        <item x="25"/>
        <item x="26"/>
        <item x="83"/>
        <item x="27"/>
        <item x="84"/>
        <item x="28"/>
        <item x="85"/>
        <item x="29"/>
        <item x="86"/>
        <item x="30"/>
        <item x="87"/>
        <item x="18"/>
        <item x="21"/>
        <item x="22"/>
        <item x="23"/>
        <item x="43"/>
        <item x="44"/>
        <item x="45"/>
        <item x="57"/>
        <item x="58"/>
        <item x="59"/>
        <item x="17"/>
        <item x="13"/>
        <item x="46"/>
        <item x="51"/>
        <item x="52"/>
        <item x="53"/>
        <item x="50"/>
        <item x="47"/>
        <item x="48"/>
        <item x="49"/>
        <item x="54"/>
        <item x="55"/>
        <item x="56"/>
        <item x="40"/>
        <item x="41"/>
        <item x="42"/>
        <item x="34"/>
        <item x="35"/>
        <item x="36"/>
        <item x="37"/>
        <item x="38"/>
        <item x="39"/>
        <item x="14"/>
        <item x="15"/>
        <item x="16"/>
        <item x="4"/>
        <item x="5"/>
        <item x="6"/>
        <item x="19"/>
        <item x="20"/>
        <item x="70"/>
        <item x="69"/>
        <item x="0"/>
        <item x="12"/>
        <item x="1"/>
        <item x="11"/>
        <item x="2"/>
        <item x="10"/>
        <item x="3"/>
        <item x="76"/>
        <item x="77"/>
        <item x="78"/>
        <item x="80"/>
        <item x="81"/>
        <item x="73"/>
        <item x="75"/>
        <item x="31"/>
        <item x="32"/>
        <item x="33"/>
        <item x="88"/>
        <item x="63"/>
        <item x="64"/>
        <item x="65"/>
        <item x="66"/>
        <item x="67"/>
        <item x="68"/>
        <item x="60"/>
        <item x="61"/>
        <item x="62"/>
        <item x="89"/>
        <item t="default"/>
      </items>
    </pivotField>
    <pivotField showAll="0"/>
    <pivotField showAll="0"/>
    <pivotField dataField="1" showAll="0">
      <items count="60">
        <item x="32"/>
        <item x="31"/>
        <item x="28"/>
        <item x="19"/>
        <item x="33"/>
        <item x="53"/>
        <item x="25"/>
        <item x="20"/>
        <item x="21"/>
        <item x="29"/>
        <item x="16"/>
        <item x="26"/>
        <item x="54"/>
        <item x="22"/>
        <item x="18"/>
        <item x="50"/>
        <item x="9"/>
        <item x="17"/>
        <item x="55"/>
        <item x="42"/>
        <item x="13"/>
        <item x="41"/>
        <item x="24"/>
        <item x="1"/>
        <item x="51"/>
        <item x="57"/>
        <item x="23"/>
        <item x="3"/>
        <item x="44"/>
        <item x="36"/>
        <item x="14"/>
        <item x="43"/>
        <item x="2"/>
        <item x="52"/>
        <item x="27"/>
        <item x="47"/>
        <item x="5"/>
        <item x="45"/>
        <item x="39"/>
        <item x="11"/>
        <item x="6"/>
        <item x="38"/>
        <item x="35"/>
        <item x="40"/>
        <item x="10"/>
        <item x="4"/>
        <item x="34"/>
        <item x="12"/>
        <item x="8"/>
        <item x="46"/>
        <item x="7"/>
        <item x="37"/>
        <item x="15"/>
        <item x="48"/>
        <item x="30"/>
        <item x="49"/>
        <item x="58"/>
        <item x="0"/>
        <item x="56"/>
        <item t="default"/>
      </items>
    </pivotField>
  </pivotFields>
  <rowFields count="1">
    <field x="1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Items count="1">
    <i/>
  </colItems>
  <dataFields count="1">
    <dataField name="Sum of Nỗ lực (MH)" fld="4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95C2C-E404-4B59-B5E3-3E5D33B5E2DA}">
  <sheetPr filterMode="1"/>
  <dimension ref="A1:E134"/>
  <sheetViews>
    <sheetView workbookViewId="0">
      <selection activeCell="B56" sqref="B56:B93"/>
    </sheetView>
  </sheetViews>
  <sheetFormatPr defaultRowHeight="15" x14ac:dyDescent="0.25"/>
  <cols>
    <col min="1" max="1" width="19.7109375" customWidth="1"/>
    <col min="2" max="2" width="21.7109375" customWidth="1"/>
    <col min="3" max="3" width="27.28515625" customWidth="1"/>
    <col min="4" max="4" width="17" customWidth="1"/>
    <col min="5" max="5" width="11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18</v>
      </c>
      <c r="E1" t="s">
        <v>42</v>
      </c>
    </row>
    <row r="2" spans="1:5" x14ac:dyDescent="0.25">
      <c r="A2" t="s">
        <v>41</v>
      </c>
      <c r="B2" s="2" t="s">
        <v>4</v>
      </c>
    </row>
    <row r="3" spans="1:5" hidden="1" x14ac:dyDescent="0.25">
      <c r="B3" s="2"/>
      <c r="C3" t="s">
        <v>184</v>
      </c>
    </row>
    <row r="4" spans="1:5" hidden="1" x14ac:dyDescent="0.25">
      <c r="B4" s="2"/>
      <c r="C4" t="s">
        <v>185</v>
      </c>
    </row>
    <row r="5" spans="1:5" hidden="1" x14ac:dyDescent="0.25">
      <c r="B5" s="2"/>
      <c r="C5" t="s">
        <v>183</v>
      </c>
    </row>
    <row r="6" spans="1:5" hidden="1" x14ac:dyDescent="0.25">
      <c r="B6" s="2"/>
      <c r="C6" t="s">
        <v>75</v>
      </c>
    </row>
    <row r="7" spans="1:5" hidden="1" x14ac:dyDescent="0.25">
      <c r="B7" s="2"/>
      <c r="C7" t="s">
        <v>76</v>
      </c>
    </row>
    <row r="8" spans="1:5" x14ac:dyDescent="0.25">
      <c r="B8" s="1" t="s">
        <v>5</v>
      </c>
    </row>
    <row r="9" spans="1:5" hidden="1" x14ac:dyDescent="0.25">
      <c r="B9" s="2"/>
      <c r="C9" t="s">
        <v>184</v>
      </c>
    </row>
    <row r="10" spans="1:5" hidden="1" x14ac:dyDescent="0.25">
      <c r="B10" s="2"/>
      <c r="C10" t="s">
        <v>185</v>
      </c>
    </row>
    <row r="11" spans="1:5" hidden="1" x14ac:dyDescent="0.25">
      <c r="B11" s="2"/>
      <c r="C11" t="s">
        <v>183</v>
      </c>
    </row>
    <row r="12" spans="1:5" hidden="1" x14ac:dyDescent="0.25">
      <c r="B12" s="2"/>
      <c r="C12" t="s">
        <v>75</v>
      </c>
    </row>
    <row r="13" spans="1:5" hidden="1" x14ac:dyDescent="0.25">
      <c r="B13" s="2"/>
      <c r="C13" t="s">
        <v>76</v>
      </c>
    </row>
    <row r="14" spans="1:5" x14ac:dyDescent="0.25">
      <c r="B14" s="1" t="s">
        <v>6</v>
      </c>
    </row>
    <row r="15" spans="1:5" hidden="1" x14ac:dyDescent="0.25">
      <c r="B15" s="2"/>
      <c r="C15" t="s">
        <v>184</v>
      </c>
    </row>
    <row r="16" spans="1:5" hidden="1" x14ac:dyDescent="0.25">
      <c r="B16" s="2"/>
      <c r="C16" t="s">
        <v>185</v>
      </c>
    </row>
    <row r="17" spans="1:3" hidden="1" x14ac:dyDescent="0.25">
      <c r="B17" s="2"/>
      <c r="C17" t="s">
        <v>183</v>
      </c>
    </row>
    <row r="18" spans="1:3" hidden="1" x14ac:dyDescent="0.25">
      <c r="B18" s="2"/>
      <c r="C18" t="s">
        <v>75</v>
      </c>
    </row>
    <row r="19" spans="1:3" hidden="1" x14ac:dyDescent="0.25">
      <c r="B19" s="2"/>
      <c r="C19" t="s">
        <v>76</v>
      </c>
    </row>
    <row r="20" spans="1:3" x14ac:dyDescent="0.25">
      <c r="B20" s="1" t="s">
        <v>73</v>
      </c>
    </row>
    <row r="21" spans="1:3" hidden="1" x14ac:dyDescent="0.25">
      <c r="B21" s="2"/>
      <c r="C21" t="s">
        <v>184</v>
      </c>
    </row>
    <row r="22" spans="1:3" hidden="1" x14ac:dyDescent="0.25">
      <c r="B22" s="2"/>
      <c r="C22" t="s">
        <v>185</v>
      </c>
    </row>
    <row r="23" spans="1:3" hidden="1" x14ac:dyDescent="0.25">
      <c r="B23" s="2"/>
      <c r="C23" t="s">
        <v>183</v>
      </c>
    </row>
    <row r="24" spans="1:3" hidden="1" x14ac:dyDescent="0.25">
      <c r="B24" s="2"/>
      <c r="C24" t="s">
        <v>75</v>
      </c>
    </row>
    <row r="25" spans="1:3" hidden="1" x14ac:dyDescent="0.25">
      <c r="B25" s="2"/>
      <c r="C25" t="s">
        <v>76</v>
      </c>
    </row>
    <row r="26" spans="1:3" x14ac:dyDescent="0.25">
      <c r="A26" s="3"/>
      <c r="B26" s="1" t="s">
        <v>24</v>
      </c>
    </row>
    <row r="27" spans="1:3" hidden="1" x14ac:dyDescent="0.25">
      <c r="B27" s="2"/>
      <c r="C27" t="s">
        <v>184</v>
      </c>
    </row>
    <row r="28" spans="1:3" hidden="1" x14ac:dyDescent="0.25">
      <c r="B28" s="2"/>
      <c r="C28" t="s">
        <v>185</v>
      </c>
    </row>
    <row r="29" spans="1:3" hidden="1" x14ac:dyDescent="0.25">
      <c r="B29" s="2"/>
      <c r="C29" t="s">
        <v>183</v>
      </c>
    </row>
    <row r="30" spans="1:3" hidden="1" x14ac:dyDescent="0.25">
      <c r="B30" s="2"/>
      <c r="C30" t="s">
        <v>75</v>
      </c>
    </row>
    <row r="31" spans="1:3" hidden="1" x14ac:dyDescent="0.25">
      <c r="B31" s="2"/>
      <c r="C31" t="s">
        <v>76</v>
      </c>
    </row>
    <row r="32" spans="1:3" x14ac:dyDescent="0.25">
      <c r="A32" s="3"/>
      <c r="B32" s="1" t="s">
        <v>186</v>
      </c>
    </row>
    <row r="33" spans="1:5" hidden="1" x14ac:dyDescent="0.25">
      <c r="B33" s="2"/>
      <c r="C33" t="s">
        <v>184</v>
      </c>
    </row>
    <row r="34" spans="1:5" hidden="1" x14ac:dyDescent="0.25">
      <c r="B34" s="2"/>
      <c r="C34" t="s">
        <v>185</v>
      </c>
    </row>
    <row r="35" spans="1:5" hidden="1" x14ac:dyDescent="0.25">
      <c r="B35" s="2"/>
      <c r="C35" t="s">
        <v>183</v>
      </c>
    </row>
    <row r="36" spans="1:5" hidden="1" x14ac:dyDescent="0.25">
      <c r="B36" s="2"/>
      <c r="C36" t="s">
        <v>75</v>
      </c>
    </row>
    <row r="37" spans="1:5" hidden="1" x14ac:dyDescent="0.25">
      <c r="B37" s="2"/>
      <c r="C37" t="s">
        <v>76</v>
      </c>
    </row>
    <row r="38" spans="1:5" x14ac:dyDescent="0.25">
      <c r="A38" s="4" t="s">
        <v>26</v>
      </c>
      <c r="B38" s="1" t="s">
        <v>26</v>
      </c>
      <c r="E38" t="s">
        <v>46</v>
      </c>
    </row>
    <row r="39" spans="1:5" hidden="1" x14ac:dyDescent="0.25">
      <c r="B39" s="2"/>
      <c r="C39" t="s">
        <v>184</v>
      </c>
    </row>
    <row r="40" spans="1:5" hidden="1" x14ac:dyDescent="0.25">
      <c r="B40" s="2"/>
      <c r="C40" t="s">
        <v>185</v>
      </c>
    </row>
    <row r="41" spans="1:5" hidden="1" x14ac:dyDescent="0.25">
      <c r="B41" s="2"/>
      <c r="C41" t="s">
        <v>183</v>
      </c>
    </row>
    <row r="42" spans="1:5" hidden="1" x14ac:dyDescent="0.25">
      <c r="B42" s="2"/>
      <c r="C42" t="s">
        <v>75</v>
      </c>
    </row>
    <row r="43" spans="1:5" hidden="1" x14ac:dyDescent="0.25">
      <c r="B43" s="2"/>
      <c r="C43" t="s">
        <v>76</v>
      </c>
    </row>
    <row r="44" spans="1:5" x14ac:dyDescent="0.25">
      <c r="A44" s="4"/>
      <c r="B44" s="1" t="s">
        <v>72</v>
      </c>
    </row>
    <row r="45" spans="1:5" hidden="1" x14ac:dyDescent="0.25">
      <c r="B45" s="2"/>
      <c r="C45" t="s">
        <v>184</v>
      </c>
    </row>
    <row r="46" spans="1:5" hidden="1" x14ac:dyDescent="0.25">
      <c r="B46" s="2"/>
      <c r="C46" t="s">
        <v>185</v>
      </c>
    </row>
    <row r="47" spans="1:5" hidden="1" x14ac:dyDescent="0.25">
      <c r="B47" s="2"/>
      <c r="C47" t="s">
        <v>183</v>
      </c>
    </row>
    <row r="48" spans="1:5" hidden="1" x14ac:dyDescent="0.25">
      <c r="B48" s="2"/>
      <c r="C48" t="s">
        <v>75</v>
      </c>
    </row>
    <row r="49" spans="1:5" hidden="1" x14ac:dyDescent="0.25">
      <c r="B49" s="2"/>
      <c r="C49" t="s">
        <v>76</v>
      </c>
    </row>
    <row r="50" spans="1:5" x14ac:dyDescent="0.25">
      <c r="A50" s="4"/>
      <c r="B50" s="1" t="s">
        <v>74</v>
      </c>
      <c r="E50" t="s">
        <v>48</v>
      </c>
    </row>
    <row r="51" spans="1:5" hidden="1" x14ac:dyDescent="0.25">
      <c r="B51" s="2"/>
      <c r="C51" t="s">
        <v>184</v>
      </c>
    </row>
    <row r="52" spans="1:5" hidden="1" x14ac:dyDescent="0.25">
      <c r="B52" s="2"/>
      <c r="C52" t="s">
        <v>185</v>
      </c>
    </row>
    <row r="53" spans="1:5" hidden="1" x14ac:dyDescent="0.25">
      <c r="B53" s="2"/>
      <c r="C53" t="s">
        <v>183</v>
      </c>
    </row>
    <row r="54" spans="1:5" hidden="1" x14ac:dyDescent="0.25">
      <c r="B54" s="2"/>
      <c r="C54" t="s">
        <v>75</v>
      </c>
    </row>
    <row r="55" spans="1:5" hidden="1" x14ac:dyDescent="0.25">
      <c r="B55" s="2"/>
      <c r="C55" t="s">
        <v>76</v>
      </c>
    </row>
    <row r="56" spans="1:5" x14ac:dyDescent="0.25">
      <c r="A56" s="3" t="s">
        <v>45</v>
      </c>
      <c r="B56" s="1" t="s">
        <v>12</v>
      </c>
      <c r="E56" t="s">
        <v>47</v>
      </c>
    </row>
    <row r="57" spans="1:5" hidden="1" x14ac:dyDescent="0.25">
      <c r="B57" s="2"/>
      <c r="C57" t="s">
        <v>184</v>
      </c>
    </row>
    <row r="58" spans="1:5" hidden="1" x14ac:dyDescent="0.25">
      <c r="B58" s="2"/>
      <c r="C58" t="s">
        <v>185</v>
      </c>
    </row>
    <row r="59" spans="1:5" hidden="1" x14ac:dyDescent="0.25">
      <c r="B59" s="2"/>
      <c r="C59" t="s">
        <v>183</v>
      </c>
    </row>
    <row r="60" spans="1:5" hidden="1" x14ac:dyDescent="0.25">
      <c r="B60" s="2"/>
      <c r="C60" t="s">
        <v>75</v>
      </c>
    </row>
    <row r="61" spans="1:5" hidden="1" x14ac:dyDescent="0.25">
      <c r="B61" s="2"/>
      <c r="C61" t="s">
        <v>76</v>
      </c>
    </row>
    <row r="62" spans="1:5" x14ac:dyDescent="0.25">
      <c r="A62" s="3"/>
      <c r="B62" s="1" t="s">
        <v>19</v>
      </c>
      <c r="E62" t="s">
        <v>47</v>
      </c>
    </row>
    <row r="63" spans="1:5" hidden="1" x14ac:dyDescent="0.25">
      <c r="B63" s="2"/>
      <c r="C63" t="s">
        <v>184</v>
      </c>
    </row>
    <row r="64" spans="1:5" hidden="1" x14ac:dyDescent="0.25">
      <c r="B64" s="2"/>
      <c r="C64" t="s">
        <v>185</v>
      </c>
    </row>
    <row r="65" spans="2:5" hidden="1" x14ac:dyDescent="0.25">
      <c r="B65" s="2"/>
      <c r="C65" t="s">
        <v>183</v>
      </c>
    </row>
    <row r="66" spans="2:5" hidden="1" x14ac:dyDescent="0.25">
      <c r="B66" s="2"/>
      <c r="C66" t="s">
        <v>75</v>
      </c>
    </row>
    <row r="67" spans="2:5" hidden="1" x14ac:dyDescent="0.25">
      <c r="B67" s="2"/>
      <c r="C67" t="s">
        <v>76</v>
      </c>
    </row>
    <row r="68" spans="2:5" x14ac:dyDescent="0.25">
      <c r="B68" s="1" t="s">
        <v>43</v>
      </c>
      <c r="E68" t="s">
        <v>49</v>
      </c>
    </row>
    <row r="69" spans="2:5" hidden="1" x14ac:dyDescent="0.25">
      <c r="B69" s="2"/>
      <c r="C69" t="s">
        <v>184</v>
      </c>
    </row>
    <row r="70" spans="2:5" hidden="1" x14ac:dyDescent="0.25">
      <c r="B70" s="2"/>
      <c r="C70" t="s">
        <v>185</v>
      </c>
    </row>
    <row r="71" spans="2:5" hidden="1" x14ac:dyDescent="0.25">
      <c r="B71" s="2"/>
      <c r="C71" t="s">
        <v>183</v>
      </c>
    </row>
    <row r="72" spans="2:5" hidden="1" x14ac:dyDescent="0.25">
      <c r="B72" s="2"/>
      <c r="C72" t="s">
        <v>75</v>
      </c>
    </row>
    <row r="73" spans="2:5" hidden="1" x14ac:dyDescent="0.25">
      <c r="B73" s="2"/>
      <c r="C73" t="s">
        <v>76</v>
      </c>
    </row>
    <row r="74" spans="2:5" x14ac:dyDescent="0.25">
      <c r="B74" s="1" t="s">
        <v>44</v>
      </c>
      <c r="E74" t="s">
        <v>50</v>
      </c>
    </row>
    <row r="75" spans="2:5" x14ac:dyDescent="0.25">
      <c r="B75" s="1" t="s">
        <v>54</v>
      </c>
      <c r="E75" t="s">
        <v>51</v>
      </c>
    </row>
    <row r="76" spans="2:5" hidden="1" x14ac:dyDescent="0.25">
      <c r="B76" s="1"/>
      <c r="C76" t="s">
        <v>182</v>
      </c>
    </row>
    <row r="77" spans="2:5" hidden="1" x14ac:dyDescent="0.25">
      <c r="B77" s="1"/>
      <c r="C77" t="s">
        <v>187</v>
      </c>
    </row>
    <row r="78" spans="2:5" hidden="1" x14ac:dyDescent="0.25">
      <c r="B78" s="1"/>
      <c r="C78" t="s">
        <v>188</v>
      </c>
    </row>
    <row r="79" spans="2:5" hidden="1" x14ac:dyDescent="0.25">
      <c r="B79" s="1"/>
      <c r="C79" t="s">
        <v>76</v>
      </c>
    </row>
    <row r="80" spans="2:5" hidden="1" x14ac:dyDescent="0.25">
      <c r="B80" s="1"/>
      <c r="C80" t="s">
        <v>64</v>
      </c>
    </row>
    <row r="81" spans="2:5" x14ac:dyDescent="0.25">
      <c r="B81" s="1" t="s">
        <v>55</v>
      </c>
      <c r="E81" t="s">
        <v>52</v>
      </c>
    </row>
    <row r="82" spans="2:5" hidden="1" x14ac:dyDescent="0.25">
      <c r="B82" s="1"/>
      <c r="C82" t="s">
        <v>182</v>
      </c>
    </row>
    <row r="83" spans="2:5" hidden="1" x14ac:dyDescent="0.25">
      <c r="B83" s="1"/>
      <c r="C83" t="s">
        <v>187</v>
      </c>
    </row>
    <row r="84" spans="2:5" hidden="1" x14ac:dyDescent="0.25">
      <c r="B84" s="1"/>
      <c r="C84" t="s">
        <v>188</v>
      </c>
    </row>
    <row r="85" spans="2:5" hidden="1" x14ac:dyDescent="0.25">
      <c r="B85" s="1"/>
      <c r="C85" t="s">
        <v>76</v>
      </c>
    </row>
    <row r="86" spans="2:5" hidden="1" x14ac:dyDescent="0.25">
      <c r="B86" s="1"/>
      <c r="C86" t="s">
        <v>64</v>
      </c>
    </row>
    <row r="87" spans="2:5" x14ac:dyDescent="0.25">
      <c r="B87" s="1" t="s">
        <v>56</v>
      </c>
      <c r="E87" t="s">
        <v>53</v>
      </c>
    </row>
    <row r="88" spans="2:5" hidden="1" x14ac:dyDescent="0.25">
      <c r="B88" s="1"/>
      <c r="C88" t="s">
        <v>182</v>
      </c>
    </row>
    <row r="89" spans="2:5" hidden="1" x14ac:dyDescent="0.25">
      <c r="B89" s="1"/>
      <c r="C89" t="s">
        <v>187</v>
      </c>
    </row>
    <row r="90" spans="2:5" hidden="1" x14ac:dyDescent="0.25">
      <c r="B90" s="1"/>
      <c r="C90" t="s">
        <v>188</v>
      </c>
    </row>
    <row r="91" spans="2:5" hidden="1" x14ac:dyDescent="0.25">
      <c r="B91" s="1"/>
      <c r="C91" t="s">
        <v>76</v>
      </c>
    </row>
    <row r="92" spans="2:5" hidden="1" x14ac:dyDescent="0.25">
      <c r="B92" s="1"/>
      <c r="C92" t="s">
        <v>64</v>
      </c>
    </row>
    <row r="93" spans="2:5" x14ac:dyDescent="0.25">
      <c r="B93" s="1" t="s">
        <v>58</v>
      </c>
      <c r="E93" t="s">
        <v>57</v>
      </c>
    </row>
    <row r="94" spans="2:5" hidden="1" x14ac:dyDescent="0.25">
      <c r="B94" s="1"/>
      <c r="C94" t="s">
        <v>182</v>
      </c>
    </row>
    <row r="95" spans="2:5" hidden="1" x14ac:dyDescent="0.25">
      <c r="B95" s="1"/>
      <c r="C95" t="s">
        <v>187</v>
      </c>
    </row>
    <row r="96" spans="2:5" hidden="1" x14ac:dyDescent="0.25">
      <c r="B96" s="1"/>
      <c r="C96" t="s">
        <v>188</v>
      </c>
    </row>
    <row r="97" spans="1:3" hidden="1" x14ac:dyDescent="0.25">
      <c r="B97" s="1"/>
      <c r="C97" t="s">
        <v>76</v>
      </c>
    </row>
    <row r="98" spans="1:3" hidden="1" x14ac:dyDescent="0.25">
      <c r="B98" s="1"/>
      <c r="C98" t="s">
        <v>64</v>
      </c>
    </row>
    <row r="99" spans="1:3" ht="30" x14ac:dyDescent="0.25">
      <c r="A99" t="s">
        <v>189</v>
      </c>
      <c r="B99" s="1" t="s">
        <v>60</v>
      </c>
    </row>
    <row r="100" spans="1:3" hidden="1" x14ac:dyDescent="0.25">
      <c r="B100" s="1"/>
      <c r="C100" t="s">
        <v>182</v>
      </c>
    </row>
    <row r="101" spans="1:3" hidden="1" x14ac:dyDescent="0.25">
      <c r="B101" s="1"/>
      <c r="C101" t="s">
        <v>187</v>
      </c>
    </row>
    <row r="102" spans="1:3" hidden="1" x14ac:dyDescent="0.25">
      <c r="B102" s="1"/>
      <c r="C102" t="s">
        <v>188</v>
      </c>
    </row>
    <row r="103" spans="1:3" hidden="1" x14ac:dyDescent="0.25">
      <c r="B103" s="1"/>
      <c r="C103" t="s">
        <v>76</v>
      </c>
    </row>
    <row r="104" spans="1:3" ht="30" x14ac:dyDescent="0.25">
      <c r="B104" s="1" t="s">
        <v>59</v>
      </c>
    </row>
    <row r="105" spans="1:3" hidden="1" x14ac:dyDescent="0.25">
      <c r="B105" s="1"/>
      <c r="C105" t="s">
        <v>182</v>
      </c>
    </row>
    <row r="106" spans="1:3" hidden="1" x14ac:dyDescent="0.25">
      <c r="B106" s="1"/>
      <c r="C106" t="s">
        <v>187</v>
      </c>
    </row>
    <row r="107" spans="1:3" hidden="1" x14ac:dyDescent="0.25">
      <c r="B107" s="1"/>
      <c r="C107" t="s">
        <v>188</v>
      </c>
    </row>
    <row r="108" spans="1:3" hidden="1" x14ac:dyDescent="0.25">
      <c r="B108" s="1"/>
      <c r="C108" t="s">
        <v>76</v>
      </c>
    </row>
    <row r="109" spans="1:3" ht="30" x14ac:dyDescent="0.25">
      <c r="B109" s="1" t="s">
        <v>61</v>
      </c>
    </row>
    <row r="110" spans="1:3" hidden="1" x14ac:dyDescent="0.25">
      <c r="B110" s="1"/>
      <c r="C110" t="s">
        <v>182</v>
      </c>
    </row>
    <row r="111" spans="1:3" hidden="1" x14ac:dyDescent="0.25">
      <c r="B111" s="1"/>
      <c r="C111" t="s">
        <v>187</v>
      </c>
    </row>
    <row r="112" spans="1:3" hidden="1" x14ac:dyDescent="0.25">
      <c r="B112" s="1"/>
      <c r="C112" t="s">
        <v>188</v>
      </c>
    </row>
    <row r="113" spans="1:3" hidden="1" x14ac:dyDescent="0.25">
      <c r="B113" s="1"/>
      <c r="C113" t="s">
        <v>76</v>
      </c>
    </row>
    <row r="114" spans="1:3" ht="30" x14ac:dyDescent="0.25">
      <c r="B114" s="1" t="s">
        <v>62</v>
      </c>
    </row>
    <row r="115" spans="1:3" hidden="1" x14ac:dyDescent="0.25">
      <c r="B115" s="1"/>
      <c r="C115" t="s">
        <v>182</v>
      </c>
    </row>
    <row r="116" spans="1:3" hidden="1" x14ac:dyDescent="0.25">
      <c r="B116" s="1"/>
      <c r="C116" t="s">
        <v>187</v>
      </c>
    </row>
    <row r="117" spans="1:3" hidden="1" x14ac:dyDescent="0.25">
      <c r="B117" s="1"/>
      <c r="C117" t="s">
        <v>188</v>
      </c>
    </row>
    <row r="118" spans="1:3" hidden="1" x14ac:dyDescent="0.25">
      <c r="B118" s="1"/>
      <c r="C118" t="s">
        <v>76</v>
      </c>
    </row>
    <row r="119" spans="1:3" ht="30" x14ac:dyDescent="0.25">
      <c r="B119" s="1" t="s">
        <v>63</v>
      </c>
    </row>
    <row r="120" spans="1:3" hidden="1" x14ac:dyDescent="0.25">
      <c r="B120" s="1"/>
      <c r="C120" t="s">
        <v>182</v>
      </c>
    </row>
    <row r="121" spans="1:3" hidden="1" x14ac:dyDescent="0.25">
      <c r="B121" s="1"/>
      <c r="C121" t="s">
        <v>187</v>
      </c>
    </row>
    <row r="122" spans="1:3" hidden="1" x14ac:dyDescent="0.25">
      <c r="B122" s="1"/>
      <c r="C122" t="s">
        <v>188</v>
      </c>
    </row>
    <row r="123" spans="1:3" hidden="1" x14ac:dyDescent="0.25">
      <c r="B123" s="1"/>
      <c r="C123" t="s">
        <v>76</v>
      </c>
    </row>
    <row r="124" spans="1:3" x14ac:dyDescent="0.25">
      <c r="A124" t="s">
        <v>40</v>
      </c>
      <c r="B124" s="1" t="s">
        <v>71</v>
      </c>
    </row>
    <row r="125" spans="1:3" hidden="1" x14ac:dyDescent="0.25">
      <c r="B125" s="1"/>
    </row>
    <row r="126" spans="1:3" x14ac:dyDescent="0.25">
      <c r="B126" s="1" t="s">
        <v>65</v>
      </c>
    </row>
    <row r="127" spans="1:3" x14ac:dyDescent="0.25">
      <c r="B127" s="1" t="s">
        <v>66</v>
      </c>
    </row>
    <row r="128" spans="1:3" x14ac:dyDescent="0.25">
      <c r="B128" s="1" t="s">
        <v>67</v>
      </c>
    </row>
    <row r="129" spans="2:2" x14ac:dyDescent="0.25">
      <c r="B129" s="1" t="s">
        <v>190</v>
      </c>
    </row>
    <row r="130" spans="2:2" x14ac:dyDescent="0.25">
      <c r="B130" s="1" t="s">
        <v>68</v>
      </c>
    </row>
    <row r="131" spans="2:2" x14ac:dyDescent="0.25">
      <c r="B131" s="1" t="s">
        <v>69</v>
      </c>
    </row>
    <row r="132" spans="2:2" x14ac:dyDescent="0.25">
      <c r="B132" s="1" t="s">
        <v>70</v>
      </c>
    </row>
    <row r="133" spans="2:2" hidden="1" x14ac:dyDescent="0.25">
      <c r="B133" s="1"/>
    </row>
    <row r="134" spans="2:2" hidden="1" x14ac:dyDescent="0.25"/>
  </sheetData>
  <autoFilter ref="A1:E134" xr:uid="{2FE95C2C-E404-4B59-B5E3-3E5D33B5E2DA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6E8F3-B0B4-4F67-8E32-58E4050E39CE}">
  <dimension ref="A1:I264"/>
  <sheetViews>
    <sheetView tabSelected="1" topLeftCell="A70" workbookViewId="0">
      <selection activeCell="E27" sqref="E27:E29"/>
    </sheetView>
  </sheetViews>
  <sheetFormatPr defaultRowHeight="15" x14ac:dyDescent="0.25"/>
  <cols>
    <col min="2" max="2" width="18.140625" customWidth="1"/>
    <col min="3" max="3" width="15" customWidth="1"/>
    <col min="4" max="4" width="24.5703125" customWidth="1"/>
    <col min="8" max="8" width="29.42578125" bestFit="1" customWidth="1"/>
    <col min="9" max="9" width="18.7109375" bestFit="1" customWidth="1"/>
  </cols>
  <sheetData>
    <row r="1" spans="1:9" ht="15.75" customHeight="1" x14ac:dyDescent="0.25">
      <c r="A1" s="5" t="s">
        <v>77</v>
      </c>
      <c r="B1" s="5" t="s">
        <v>78</v>
      </c>
      <c r="C1" s="5" t="s">
        <v>79</v>
      </c>
      <c r="D1" s="27" t="s">
        <v>177</v>
      </c>
      <c r="E1" s="5" t="s">
        <v>80</v>
      </c>
    </row>
    <row r="2" spans="1:9" ht="15.75" customHeight="1" x14ac:dyDescent="0.25">
      <c r="A2" s="5"/>
      <c r="B2" s="5" t="s">
        <v>81</v>
      </c>
      <c r="C2" s="5"/>
      <c r="D2" s="28"/>
      <c r="E2" s="5" t="s">
        <v>82</v>
      </c>
      <c r="H2" s="29" t="s">
        <v>178</v>
      </c>
      <c r="I2" t="s">
        <v>181</v>
      </c>
    </row>
    <row r="3" spans="1:9" ht="31.5" x14ac:dyDescent="0.25">
      <c r="A3" s="6">
        <v>1</v>
      </c>
      <c r="B3" s="7" t="s">
        <v>83</v>
      </c>
      <c r="C3" s="7" t="s">
        <v>84</v>
      </c>
      <c r="D3" s="7" t="str">
        <f>B3&amp;C3</f>
        <v>NVJ1-PTMGiải pháp</v>
      </c>
      <c r="E3" s="8">
        <v>8</v>
      </c>
      <c r="H3" s="30" t="s">
        <v>165</v>
      </c>
      <c r="I3" s="31">
        <v>12</v>
      </c>
    </row>
    <row r="4" spans="1:9" ht="47.25" x14ac:dyDescent="0.25">
      <c r="A4" s="6">
        <v>2</v>
      </c>
      <c r="B4" s="7" t="s">
        <v>83</v>
      </c>
      <c r="C4" s="7" t="s">
        <v>85</v>
      </c>
      <c r="D4" s="7" t="str">
        <f t="shared" ref="D4:D69" si="0">B4&amp;C4</f>
        <v>NVJ1-PTMPhát triển</v>
      </c>
      <c r="E4" s="8">
        <v>12</v>
      </c>
      <c r="H4" s="30" t="s">
        <v>160</v>
      </c>
      <c r="I4" s="31">
        <v>12</v>
      </c>
    </row>
    <row r="5" spans="1:9" ht="47.25" x14ac:dyDescent="0.25">
      <c r="A5" s="6">
        <v>3</v>
      </c>
      <c r="B5" s="7" t="s">
        <v>83</v>
      </c>
      <c r="C5" s="7" t="s">
        <v>86</v>
      </c>
      <c r="D5" s="7" t="str">
        <f t="shared" si="0"/>
        <v>NVJ1-PTMKiểm thử</v>
      </c>
      <c r="E5" s="8">
        <v>8</v>
      </c>
      <c r="H5" s="30" t="s">
        <v>92</v>
      </c>
      <c r="I5" s="31">
        <v>19</v>
      </c>
    </row>
    <row r="6" spans="1:9" ht="47.25" x14ac:dyDescent="0.25">
      <c r="A6" s="6">
        <v>4</v>
      </c>
      <c r="B6" s="7" t="s">
        <v>87</v>
      </c>
      <c r="C6" s="7" t="s">
        <v>84</v>
      </c>
      <c r="D6" s="7" t="str">
        <f t="shared" si="0"/>
        <v>NVJ2-PTMGiải pháp</v>
      </c>
      <c r="E6" s="8">
        <v>10</v>
      </c>
      <c r="H6" s="30" t="s">
        <v>93</v>
      </c>
      <c r="I6" s="31">
        <v>32</v>
      </c>
    </row>
    <row r="7" spans="1:9" ht="47.25" x14ac:dyDescent="0.25">
      <c r="A7" s="6">
        <v>5</v>
      </c>
      <c r="B7" s="7" t="s">
        <v>87</v>
      </c>
      <c r="C7" s="7" t="s">
        <v>85</v>
      </c>
      <c r="D7" s="7" t="str">
        <f t="shared" si="0"/>
        <v>NVJ2-PTMPhát triển</v>
      </c>
      <c r="E7" s="8">
        <v>20</v>
      </c>
      <c r="H7" s="30" t="s">
        <v>94</v>
      </c>
      <c r="I7" s="31">
        <v>64</v>
      </c>
    </row>
    <row r="8" spans="1:9" ht="47.25" x14ac:dyDescent="0.25">
      <c r="A8" s="6">
        <v>6</v>
      </c>
      <c r="B8" s="7" t="s">
        <v>87</v>
      </c>
      <c r="C8" s="7" t="s">
        <v>86</v>
      </c>
      <c r="D8" s="7" t="str">
        <f t="shared" si="0"/>
        <v>NVJ2-PTMKiểm thử</v>
      </c>
      <c r="E8" s="8">
        <v>14</v>
      </c>
      <c r="H8" s="30" t="s">
        <v>157</v>
      </c>
      <c r="I8" s="31">
        <v>10</v>
      </c>
    </row>
    <row r="9" spans="1:9" ht="47.25" x14ac:dyDescent="0.25">
      <c r="A9" s="6">
        <v>7</v>
      </c>
      <c r="B9" s="7" t="s">
        <v>88</v>
      </c>
      <c r="C9" s="7" t="s">
        <v>84</v>
      </c>
      <c r="D9" s="7" t="str">
        <f t="shared" si="0"/>
        <v>NVJ3-PTMGiải pháp</v>
      </c>
      <c r="E9" s="8">
        <v>16</v>
      </c>
      <c r="H9" s="30" t="s">
        <v>158</v>
      </c>
      <c r="I9" s="31">
        <v>2</v>
      </c>
    </row>
    <row r="10" spans="1:9" ht="47.25" x14ac:dyDescent="0.25">
      <c r="A10" s="6">
        <v>8</v>
      </c>
      <c r="B10" s="7" t="s">
        <v>88</v>
      </c>
      <c r="C10" s="7" t="s">
        <v>85</v>
      </c>
      <c r="D10" s="7" t="str">
        <f t="shared" si="0"/>
        <v>NVJ3-PTMPhát triển</v>
      </c>
      <c r="E10" s="8">
        <v>26</v>
      </c>
      <c r="H10" s="30" t="s">
        <v>110</v>
      </c>
      <c r="I10" s="31">
        <v>16</v>
      </c>
    </row>
    <row r="11" spans="1:9" ht="47.25" x14ac:dyDescent="0.25">
      <c r="A11" s="6">
        <v>9</v>
      </c>
      <c r="B11" s="7" t="s">
        <v>88</v>
      </c>
      <c r="C11" s="7" t="s">
        <v>86</v>
      </c>
      <c r="D11" s="7" t="str">
        <f t="shared" si="0"/>
        <v>NVJ3-PTMKiểm thử</v>
      </c>
      <c r="E11" s="8">
        <v>23</v>
      </c>
      <c r="H11" s="30" t="s">
        <v>168</v>
      </c>
      <c r="I11" s="31">
        <v>10</v>
      </c>
    </row>
    <row r="12" spans="1:9" ht="47.25" x14ac:dyDescent="0.25">
      <c r="A12" s="6">
        <v>10</v>
      </c>
      <c r="B12" s="7" t="s">
        <v>89</v>
      </c>
      <c r="C12" s="7" t="s">
        <v>84</v>
      </c>
      <c r="D12" s="7" t="str">
        <f t="shared" si="0"/>
        <v>GD_WEB1Giải pháp</v>
      </c>
      <c r="E12" s="8">
        <v>6</v>
      </c>
      <c r="H12" s="30" t="s">
        <v>111</v>
      </c>
      <c r="I12" s="31">
        <v>36</v>
      </c>
    </row>
    <row r="13" spans="1:9" ht="47.25" x14ac:dyDescent="0.25">
      <c r="A13" s="6">
        <v>11</v>
      </c>
      <c r="B13" s="7" t="s">
        <v>89</v>
      </c>
      <c r="C13" s="7" t="s">
        <v>85</v>
      </c>
      <c r="D13" s="7" t="str">
        <f t="shared" si="0"/>
        <v>GD_WEB1Phát triển</v>
      </c>
      <c r="E13" s="8">
        <v>12</v>
      </c>
      <c r="H13" s="30" t="s">
        <v>112</v>
      </c>
      <c r="I13" s="31">
        <v>16</v>
      </c>
    </row>
    <row r="14" spans="1:9" ht="47.25" x14ac:dyDescent="0.25">
      <c r="A14" s="6">
        <v>12</v>
      </c>
      <c r="B14" s="7" t="s">
        <v>89</v>
      </c>
      <c r="C14" s="7" t="s">
        <v>86</v>
      </c>
      <c r="D14" s="7" t="str">
        <f t="shared" si="0"/>
        <v>GD_WEB1Kiểm thử</v>
      </c>
      <c r="E14" s="8">
        <v>8</v>
      </c>
      <c r="H14" s="30" t="s">
        <v>169</v>
      </c>
      <c r="I14" s="31">
        <v>23.25</v>
      </c>
    </row>
    <row r="15" spans="1:9" ht="47.25" x14ac:dyDescent="0.25">
      <c r="A15" s="6">
        <v>13</v>
      </c>
      <c r="B15" s="9" t="s">
        <v>90</v>
      </c>
      <c r="C15" s="7" t="s">
        <v>84</v>
      </c>
      <c r="D15" s="7" t="str">
        <f t="shared" si="0"/>
        <v>GD_WEB2Giải pháp</v>
      </c>
      <c r="E15" s="8">
        <v>10</v>
      </c>
      <c r="H15" s="30" t="s">
        <v>113</v>
      </c>
      <c r="I15" s="31">
        <v>56.8</v>
      </c>
    </row>
    <row r="16" spans="1:9" ht="47.25" x14ac:dyDescent="0.25">
      <c r="A16" s="6">
        <v>14</v>
      </c>
      <c r="B16" s="9" t="s">
        <v>90</v>
      </c>
      <c r="C16" s="7" t="s">
        <v>85</v>
      </c>
      <c r="D16" s="7" t="str">
        <f t="shared" si="0"/>
        <v>GD_WEB2Phát triển</v>
      </c>
      <c r="E16" s="8">
        <v>19</v>
      </c>
      <c r="H16" s="30" t="s">
        <v>170</v>
      </c>
      <c r="I16" s="31">
        <v>38.5</v>
      </c>
    </row>
    <row r="17" spans="1:9" ht="47.25" x14ac:dyDescent="0.25">
      <c r="A17" s="6">
        <v>15</v>
      </c>
      <c r="B17" s="9" t="s">
        <v>90</v>
      </c>
      <c r="C17" s="7" t="s">
        <v>86</v>
      </c>
      <c r="D17" s="7" t="str">
        <f t="shared" si="0"/>
        <v>GD_WEB2Kiểm thử</v>
      </c>
      <c r="E17" s="8">
        <v>10</v>
      </c>
      <c r="H17" s="30" t="s">
        <v>114</v>
      </c>
      <c r="I17" s="31">
        <v>15.5</v>
      </c>
    </row>
    <row r="18" spans="1:9" ht="47.25" x14ac:dyDescent="0.25">
      <c r="A18" s="6">
        <v>16</v>
      </c>
      <c r="B18" s="9" t="s">
        <v>91</v>
      </c>
      <c r="C18" s="7" t="s">
        <v>84</v>
      </c>
      <c r="D18" s="7" t="str">
        <f t="shared" si="0"/>
        <v>GD_WEB3Giải pháp</v>
      </c>
      <c r="E18" s="8">
        <v>15</v>
      </c>
      <c r="H18" s="30" t="s">
        <v>171</v>
      </c>
      <c r="I18" s="31">
        <v>9.5</v>
      </c>
    </row>
    <row r="19" spans="1:9" ht="47.25" x14ac:dyDescent="0.25">
      <c r="A19" s="6">
        <v>17</v>
      </c>
      <c r="B19" s="9" t="s">
        <v>91</v>
      </c>
      <c r="C19" s="7" t="s">
        <v>85</v>
      </c>
      <c r="D19" s="7" t="str">
        <f t="shared" si="0"/>
        <v>GD_WEB3Phát triển</v>
      </c>
      <c r="E19" s="8">
        <v>22</v>
      </c>
      <c r="H19" s="30" t="s">
        <v>115</v>
      </c>
      <c r="I19" s="31">
        <v>31.8</v>
      </c>
    </row>
    <row r="20" spans="1:9" ht="47.25" x14ac:dyDescent="0.25">
      <c r="A20" s="6">
        <v>18</v>
      </c>
      <c r="B20" s="9" t="s">
        <v>91</v>
      </c>
      <c r="C20" s="7" t="s">
        <v>86</v>
      </c>
      <c r="D20" s="7" t="str">
        <f t="shared" si="0"/>
        <v>GD_WEB3Kiểm thử</v>
      </c>
      <c r="E20" s="8">
        <v>16</v>
      </c>
      <c r="H20" s="30" t="s">
        <v>172</v>
      </c>
      <c r="I20" s="31">
        <v>20.5</v>
      </c>
    </row>
    <row r="21" spans="1:9" ht="31.5" x14ac:dyDescent="0.25">
      <c r="A21" s="6">
        <v>19</v>
      </c>
      <c r="B21" s="7" t="s">
        <v>92</v>
      </c>
      <c r="C21" s="7" t="s">
        <v>84</v>
      </c>
      <c r="D21" s="7" t="str">
        <f t="shared" si="0"/>
        <v>BC1Giải pháp</v>
      </c>
      <c r="E21" s="10">
        <v>6</v>
      </c>
      <c r="H21" s="30" t="s">
        <v>116</v>
      </c>
      <c r="I21" s="31">
        <v>59</v>
      </c>
    </row>
    <row r="22" spans="1:9" ht="31.5" x14ac:dyDescent="0.25">
      <c r="A22" s="6">
        <v>20</v>
      </c>
      <c r="B22" s="7" t="s">
        <v>92</v>
      </c>
      <c r="C22" s="7" t="s">
        <v>85</v>
      </c>
      <c r="D22" s="7" t="str">
        <f t="shared" si="0"/>
        <v>BC1Phát triển</v>
      </c>
      <c r="E22" s="10">
        <v>7</v>
      </c>
      <c r="H22" s="30" t="s">
        <v>173</v>
      </c>
      <c r="I22" s="31">
        <v>38.5</v>
      </c>
    </row>
    <row r="23" spans="1:9" ht="31.5" x14ac:dyDescent="0.25">
      <c r="A23" s="6">
        <v>21</v>
      </c>
      <c r="B23" s="7" t="s">
        <v>92</v>
      </c>
      <c r="C23" s="7" t="s">
        <v>86</v>
      </c>
      <c r="D23" s="7" t="str">
        <f t="shared" si="0"/>
        <v>BC1Kiểm thử</v>
      </c>
      <c r="E23" s="10">
        <v>6</v>
      </c>
      <c r="H23" s="30" t="s">
        <v>103</v>
      </c>
      <c r="I23" s="31">
        <v>72</v>
      </c>
    </row>
    <row r="24" spans="1:9" ht="31.5" x14ac:dyDescent="0.25">
      <c r="A24" s="6">
        <v>22</v>
      </c>
      <c r="B24" s="7" t="s">
        <v>93</v>
      </c>
      <c r="C24" s="7" t="s">
        <v>84</v>
      </c>
      <c r="D24" s="7" t="str">
        <f t="shared" si="0"/>
        <v>BC2Giải pháp</v>
      </c>
      <c r="E24" s="8">
        <v>6</v>
      </c>
      <c r="H24" s="30" t="s">
        <v>107</v>
      </c>
      <c r="I24" s="31">
        <v>26.5</v>
      </c>
    </row>
    <row r="25" spans="1:9" ht="31.5" x14ac:dyDescent="0.25">
      <c r="A25" s="6">
        <v>23</v>
      </c>
      <c r="B25" s="7" t="s">
        <v>93</v>
      </c>
      <c r="C25" s="7" t="s">
        <v>85</v>
      </c>
      <c r="D25" s="7" t="str">
        <f t="shared" si="0"/>
        <v>BC2Phát triển</v>
      </c>
      <c r="E25" s="8">
        <v>15</v>
      </c>
      <c r="H25" s="30" t="s">
        <v>108</v>
      </c>
      <c r="I25" s="31">
        <v>35</v>
      </c>
    </row>
    <row r="26" spans="1:9" ht="31.5" x14ac:dyDescent="0.25">
      <c r="A26" s="6">
        <v>24</v>
      </c>
      <c r="B26" s="7" t="s">
        <v>93</v>
      </c>
      <c r="C26" s="7" t="s">
        <v>86</v>
      </c>
      <c r="D26" s="7" t="str">
        <f t="shared" si="0"/>
        <v>BC2Kiểm thử</v>
      </c>
      <c r="E26" s="8">
        <v>11</v>
      </c>
      <c r="H26" s="30" t="s">
        <v>109</v>
      </c>
      <c r="I26" s="31">
        <v>51</v>
      </c>
    </row>
    <row r="27" spans="1:9" ht="31.5" x14ac:dyDescent="0.25">
      <c r="A27" s="6">
        <v>25</v>
      </c>
      <c r="B27" s="7" t="s">
        <v>94</v>
      </c>
      <c r="C27" s="7" t="s">
        <v>84</v>
      </c>
      <c r="D27" s="7" t="str">
        <f t="shared" si="0"/>
        <v>BC3Giải pháp</v>
      </c>
      <c r="E27" s="8">
        <v>16</v>
      </c>
      <c r="H27" s="30" t="s">
        <v>129</v>
      </c>
      <c r="I27" s="31">
        <v>42</v>
      </c>
    </row>
    <row r="28" spans="1:9" ht="31.5" x14ac:dyDescent="0.25">
      <c r="A28" s="6">
        <v>26</v>
      </c>
      <c r="B28" s="7" t="s">
        <v>94</v>
      </c>
      <c r="C28" s="7" t="s">
        <v>85</v>
      </c>
      <c r="D28" s="7" t="str">
        <f t="shared" si="0"/>
        <v>BC3Phát triển</v>
      </c>
      <c r="E28" s="8">
        <v>32</v>
      </c>
      <c r="H28" s="30" t="s">
        <v>130</v>
      </c>
      <c r="I28" s="31">
        <v>70</v>
      </c>
    </row>
    <row r="29" spans="1:9" ht="31.5" x14ac:dyDescent="0.25">
      <c r="A29" s="6">
        <v>27</v>
      </c>
      <c r="B29" s="7" t="s">
        <v>94</v>
      </c>
      <c r="C29" s="7" t="s">
        <v>86</v>
      </c>
      <c r="D29" s="7" t="str">
        <f t="shared" si="0"/>
        <v>BC3Kiểm thử</v>
      </c>
      <c r="E29" s="8">
        <v>16</v>
      </c>
      <c r="H29" s="30" t="s">
        <v>131</v>
      </c>
      <c r="I29" s="31">
        <v>112</v>
      </c>
    </row>
    <row r="30" spans="1:9" ht="47.25" x14ac:dyDescent="0.25">
      <c r="A30" s="6">
        <v>28</v>
      </c>
      <c r="B30" s="7" t="s">
        <v>95</v>
      </c>
      <c r="C30" s="7" t="s">
        <v>84</v>
      </c>
      <c r="D30" s="7" t="str">
        <f t="shared" si="0"/>
        <v>NVJ3-NCGiải pháp</v>
      </c>
      <c r="E30" s="8">
        <v>6</v>
      </c>
      <c r="H30" s="30" t="s">
        <v>143</v>
      </c>
      <c r="I30" s="31">
        <v>11.75</v>
      </c>
    </row>
    <row r="31" spans="1:9" ht="47.25" x14ac:dyDescent="0.25">
      <c r="A31" s="6">
        <v>29</v>
      </c>
      <c r="B31" s="7" t="s">
        <v>95</v>
      </c>
      <c r="C31" s="7" t="s">
        <v>85</v>
      </c>
      <c r="D31" s="7" t="str">
        <f t="shared" si="0"/>
        <v>NVJ3-NCPhát triển</v>
      </c>
      <c r="E31" s="8">
        <v>15</v>
      </c>
      <c r="H31" s="30" t="s">
        <v>144</v>
      </c>
      <c r="I31" s="31">
        <v>24.75</v>
      </c>
    </row>
    <row r="32" spans="1:9" ht="47.25" x14ac:dyDescent="0.25">
      <c r="A32" s="6">
        <v>30</v>
      </c>
      <c r="B32" s="7" t="s">
        <v>95</v>
      </c>
      <c r="C32" s="7" t="s">
        <v>86</v>
      </c>
      <c r="D32" s="7" t="str">
        <f t="shared" si="0"/>
        <v>NVJ3-NCKiểm thử</v>
      </c>
      <c r="E32" s="8">
        <v>11</v>
      </c>
      <c r="H32" s="30" t="s">
        <v>145</v>
      </c>
      <c r="I32" s="31">
        <v>36.25</v>
      </c>
    </row>
    <row r="33" spans="1:9" ht="47.25" x14ac:dyDescent="0.25">
      <c r="A33" s="6">
        <v>31</v>
      </c>
      <c r="B33" s="7" t="s">
        <v>96</v>
      </c>
      <c r="C33" s="7" t="s">
        <v>84</v>
      </c>
      <c r="D33" s="7" t="str">
        <f t="shared" si="0"/>
        <v>NVJ2-NCGiải pháp</v>
      </c>
      <c r="E33" s="10">
        <v>3.59</v>
      </c>
      <c r="H33" s="30" t="s">
        <v>102</v>
      </c>
      <c r="I33" s="31">
        <v>8</v>
      </c>
    </row>
    <row r="34" spans="1:9" ht="47.25" x14ac:dyDescent="0.25">
      <c r="A34" s="6">
        <v>32</v>
      </c>
      <c r="B34" s="7" t="s">
        <v>96</v>
      </c>
      <c r="C34" s="7" t="s">
        <v>85</v>
      </c>
      <c r="D34" s="7" t="str">
        <f t="shared" si="0"/>
        <v>NVJ2-NCPhát triển</v>
      </c>
      <c r="E34" s="10">
        <v>6.14</v>
      </c>
      <c r="H34" s="30" t="s">
        <v>98</v>
      </c>
      <c r="I34" s="31">
        <v>21</v>
      </c>
    </row>
    <row r="35" spans="1:9" ht="47.25" x14ac:dyDescent="0.25">
      <c r="A35" s="6">
        <v>33</v>
      </c>
      <c r="B35" s="7" t="s">
        <v>96</v>
      </c>
      <c r="C35" s="7" t="s">
        <v>86</v>
      </c>
      <c r="D35" s="7" t="str">
        <f t="shared" si="0"/>
        <v>NVJ2-NCKiểm thử</v>
      </c>
      <c r="E35" s="10">
        <v>4.76</v>
      </c>
      <c r="H35" s="30" t="s">
        <v>132</v>
      </c>
      <c r="I35" s="31">
        <v>38</v>
      </c>
    </row>
    <row r="36" spans="1:9" ht="47.25" x14ac:dyDescent="0.25">
      <c r="A36" s="6">
        <v>34</v>
      </c>
      <c r="B36" s="7" t="s">
        <v>97</v>
      </c>
      <c r="C36" s="7" t="s">
        <v>84</v>
      </c>
      <c r="D36" s="7" t="str">
        <f t="shared" si="0"/>
        <v>NVJ1-NCGiải pháp</v>
      </c>
      <c r="E36" s="10">
        <v>1.69</v>
      </c>
      <c r="H36" s="30" t="s">
        <v>137</v>
      </c>
      <c r="I36" s="31">
        <v>17.5</v>
      </c>
    </row>
    <row r="37" spans="1:9" ht="47.25" x14ac:dyDescent="0.25">
      <c r="A37" s="6">
        <v>35</v>
      </c>
      <c r="B37" s="7" t="s">
        <v>97</v>
      </c>
      <c r="C37" s="7" t="s">
        <v>85</v>
      </c>
      <c r="D37" s="7" t="str">
        <f t="shared" si="0"/>
        <v>NVJ1-NCPhát triển</v>
      </c>
      <c r="E37" s="10">
        <v>3.01</v>
      </c>
      <c r="H37" s="30" t="s">
        <v>138</v>
      </c>
      <c r="I37" s="31">
        <v>33.5</v>
      </c>
    </row>
    <row r="38" spans="1:9" ht="47.25" x14ac:dyDescent="0.25">
      <c r="A38" s="6">
        <v>36</v>
      </c>
      <c r="B38" s="7" t="s">
        <v>97</v>
      </c>
      <c r="C38" s="7" t="s">
        <v>86</v>
      </c>
      <c r="D38" s="7" t="str">
        <f t="shared" si="0"/>
        <v>NVJ1-NCKiểm thử</v>
      </c>
      <c r="E38" s="10">
        <v>3.16</v>
      </c>
      <c r="H38" s="30" t="s">
        <v>139</v>
      </c>
      <c r="I38" s="31">
        <v>48.5</v>
      </c>
    </row>
    <row r="39" spans="1:9" ht="31.5" x14ac:dyDescent="0.25">
      <c r="A39" s="6">
        <v>37</v>
      </c>
      <c r="B39" s="11" t="s">
        <v>98</v>
      </c>
      <c r="C39" s="7" t="s">
        <v>84</v>
      </c>
      <c r="D39" s="7" t="str">
        <f t="shared" si="0"/>
        <v>DM2Giải pháp</v>
      </c>
      <c r="E39" s="10">
        <v>4.5</v>
      </c>
      <c r="H39" s="30" t="s">
        <v>136</v>
      </c>
      <c r="I39" s="31">
        <v>11.5</v>
      </c>
    </row>
    <row r="40" spans="1:9" ht="31.5" x14ac:dyDescent="0.25">
      <c r="A40" s="6">
        <v>38</v>
      </c>
      <c r="B40" s="11" t="s">
        <v>98</v>
      </c>
      <c r="C40" s="7" t="s">
        <v>85</v>
      </c>
      <c r="D40" s="7" t="str">
        <f t="shared" si="0"/>
        <v>DM2Phát triển</v>
      </c>
      <c r="E40" s="10">
        <v>9</v>
      </c>
      <c r="H40" s="30" t="s">
        <v>133</v>
      </c>
      <c r="I40" s="31">
        <v>11.5</v>
      </c>
    </row>
    <row r="41" spans="1:9" ht="31.5" x14ac:dyDescent="0.25">
      <c r="A41" s="6">
        <v>39</v>
      </c>
      <c r="B41" s="11" t="s">
        <v>98</v>
      </c>
      <c r="C41" s="7" t="s">
        <v>86</v>
      </c>
      <c r="D41" s="7" t="str">
        <f t="shared" si="0"/>
        <v>DM2Kiểm thử</v>
      </c>
      <c r="E41" s="10">
        <v>7.5</v>
      </c>
      <c r="H41" s="30" t="s">
        <v>134</v>
      </c>
      <c r="I41" s="31">
        <v>26.5</v>
      </c>
    </row>
    <row r="42" spans="1:9" ht="47.25" x14ac:dyDescent="0.25">
      <c r="A42" s="6">
        <v>40</v>
      </c>
      <c r="B42" s="11" t="s">
        <v>99</v>
      </c>
      <c r="C42" s="7" t="s">
        <v>84</v>
      </c>
      <c r="D42" s="7" t="str">
        <f t="shared" si="0"/>
        <v>GD_MOBILE1Giải pháp</v>
      </c>
      <c r="E42" s="8">
        <v>3</v>
      </c>
      <c r="H42" s="30" t="s">
        <v>135</v>
      </c>
      <c r="I42" s="31">
        <v>37.5</v>
      </c>
    </row>
    <row r="43" spans="1:9" ht="47.25" x14ac:dyDescent="0.25">
      <c r="A43" s="6">
        <v>41</v>
      </c>
      <c r="B43" s="11" t="s">
        <v>99</v>
      </c>
      <c r="C43" s="7" t="s">
        <v>85</v>
      </c>
      <c r="D43" s="7" t="str">
        <f t="shared" si="0"/>
        <v>GD_MOBILE1Phát triển</v>
      </c>
      <c r="E43" s="8">
        <v>4</v>
      </c>
      <c r="H43" s="30" t="s">
        <v>140</v>
      </c>
      <c r="I43" s="31">
        <v>8</v>
      </c>
    </row>
    <row r="44" spans="1:9" ht="47.25" x14ac:dyDescent="0.25">
      <c r="A44" s="6">
        <v>42</v>
      </c>
      <c r="B44" s="11" t="s">
        <v>99</v>
      </c>
      <c r="C44" s="7" t="s">
        <v>86</v>
      </c>
      <c r="D44" s="7" t="str">
        <f t="shared" si="0"/>
        <v>GD_MOBILE1Kiểm thử</v>
      </c>
      <c r="E44" s="8">
        <v>3</v>
      </c>
      <c r="H44" s="30" t="s">
        <v>141</v>
      </c>
      <c r="I44" s="31">
        <v>8</v>
      </c>
    </row>
    <row r="45" spans="1:9" ht="47.25" x14ac:dyDescent="0.25">
      <c r="A45" s="6">
        <v>43</v>
      </c>
      <c r="B45" s="11" t="s">
        <v>100</v>
      </c>
      <c r="C45" s="7" t="s">
        <v>84</v>
      </c>
      <c r="D45" s="7" t="str">
        <f t="shared" si="0"/>
        <v>GD_MOBILE2Giải pháp</v>
      </c>
      <c r="E45" s="8">
        <v>7</v>
      </c>
      <c r="H45" s="30" t="s">
        <v>142</v>
      </c>
      <c r="I45" s="31">
        <v>16</v>
      </c>
    </row>
    <row r="46" spans="1:9" ht="47.25" x14ac:dyDescent="0.25">
      <c r="A46" s="6">
        <v>44</v>
      </c>
      <c r="B46" s="11" t="s">
        <v>100</v>
      </c>
      <c r="C46" s="7" t="s">
        <v>85</v>
      </c>
      <c r="D46" s="7" t="str">
        <f t="shared" si="0"/>
        <v>GD_MOBILE2Phát triển</v>
      </c>
      <c r="E46" s="8">
        <v>10</v>
      </c>
      <c r="H46" s="30" t="s">
        <v>126</v>
      </c>
      <c r="I46" s="31">
        <v>76</v>
      </c>
    </row>
    <row r="47" spans="1:9" ht="47.25" x14ac:dyDescent="0.25">
      <c r="A47" s="6">
        <v>45</v>
      </c>
      <c r="B47" s="11" t="s">
        <v>100</v>
      </c>
      <c r="C47" s="7" t="s">
        <v>86</v>
      </c>
      <c r="D47" s="7" t="str">
        <f t="shared" si="0"/>
        <v>GD_MOBILE2Kiểm thử</v>
      </c>
      <c r="E47" s="8">
        <v>7</v>
      </c>
      <c r="H47" s="30" t="s">
        <v>127</v>
      </c>
      <c r="I47" s="31">
        <v>94</v>
      </c>
    </row>
    <row r="48" spans="1:9" ht="47.25" x14ac:dyDescent="0.25">
      <c r="A48" s="6">
        <v>46</v>
      </c>
      <c r="B48" s="11" t="s">
        <v>101</v>
      </c>
      <c r="C48" s="7" t="s">
        <v>84</v>
      </c>
      <c r="D48" s="7" t="str">
        <f t="shared" si="0"/>
        <v>GD_MOBILE3Giải pháp</v>
      </c>
      <c r="E48" s="8">
        <v>13</v>
      </c>
      <c r="H48" s="30" t="s">
        <v>128</v>
      </c>
      <c r="I48" s="31">
        <v>112</v>
      </c>
    </row>
    <row r="49" spans="1:9" ht="47.25" x14ac:dyDescent="0.25">
      <c r="A49" s="6">
        <v>47</v>
      </c>
      <c r="B49" s="11" t="s">
        <v>101</v>
      </c>
      <c r="C49" s="7" t="s">
        <v>85</v>
      </c>
      <c r="D49" s="7" t="str">
        <f t="shared" si="0"/>
        <v>GD_MOBILE3Phát triển</v>
      </c>
      <c r="E49" s="8">
        <v>19</v>
      </c>
      <c r="H49" s="30" t="s">
        <v>120</v>
      </c>
      <c r="I49" s="31">
        <v>76</v>
      </c>
    </row>
    <row r="50" spans="1:9" ht="47.25" x14ac:dyDescent="0.25">
      <c r="A50" s="6">
        <v>48</v>
      </c>
      <c r="B50" s="11" t="s">
        <v>101</v>
      </c>
      <c r="C50" s="7" t="s">
        <v>86</v>
      </c>
      <c r="D50" s="7" t="str">
        <f t="shared" si="0"/>
        <v>GD_MOBILE3Kiểm thử</v>
      </c>
      <c r="E50" s="8">
        <v>14</v>
      </c>
      <c r="H50" s="30" t="s">
        <v>121</v>
      </c>
      <c r="I50" s="31">
        <v>94</v>
      </c>
    </row>
    <row r="51" spans="1:9" ht="31.5" x14ac:dyDescent="0.25">
      <c r="A51" s="6">
        <v>49</v>
      </c>
      <c r="B51" s="11" t="s">
        <v>102</v>
      </c>
      <c r="C51" s="7" t="s">
        <v>84</v>
      </c>
      <c r="D51" s="7" t="str">
        <f t="shared" si="0"/>
        <v>DM1Giải pháp</v>
      </c>
      <c r="E51" s="10">
        <v>1.5</v>
      </c>
      <c r="H51" s="30" t="s">
        <v>122</v>
      </c>
      <c r="I51" s="31">
        <v>112</v>
      </c>
    </row>
    <row r="52" spans="1:9" ht="31.5" x14ac:dyDescent="0.25">
      <c r="A52" s="6">
        <v>50</v>
      </c>
      <c r="B52" s="11" t="s">
        <v>102</v>
      </c>
      <c r="C52" s="7" t="s">
        <v>85</v>
      </c>
      <c r="D52" s="7" t="str">
        <f t="shared" si="0"/>
        <v>DM1Phát triển</v>
      </c>
      <c r="E52" s="10">
        <v>3</v>
      </c>
      <c r="H52" s="30" t="s">
        <v>123</v>
      </c>
      <c r="I52" s="31">
        <v>76</v>
      </c>
    </row>
    <row r="53" spans="1:9" ht="31.5" x14ac:dyDescent="0.25">
      <c r="A53" s="6">
        <v>51</v>
      </c>
      <c r="B53" s="11" t="s">
        <v>102</v>
      </c>
      <c r="C53" s="7" t="s">
        <v>86</v>
      </c>
      <c r="D53" s="7" t="str">
        <f t="shared" si="0"/>
        <v>DM1Kiểm thử</v>
      </c>
      <c r="E53" s="10">
        <v>3.5</v>
      </c>
      <c r="H53" s="30" t="s">
        <v>124</v>
      </c>
      <c r="I53" s="31">
        <v>94</v>
      </c>
    </row>
    <row r="54" spans="1:9" ht="47.25" x14ac:dyDescent="0.25">
      <c r="A54" s="6">
        <v>52</v>
      </c>
      <c r="B54" s="9" t="s">
        <v>103</v>
      </c>
      <c r="C54" s="7" t="s">
        <v>84</v>
      </c>
      <c r="D54" s="7" t="str">
        <f t="shared" si="0"/>
        <v>CN_WEB_KTGiải pháp</v>
      </c>
      <c r="E54" s="10">
        <v>8</v>
      </c>
      <c r="H54" s="30" t="s">
        <v>125</v>
      </c>
      <c r="I54" s="31">
        <v>112</v>
      </c>
    </row>
    <row r="55" spans="1:9" ht="47.25" x14ac:dyDescent="0.25">
      <c r="A55" s="6">
        <v>53</v>
      </c>
      <c r="B55" s="9" t="s">
        <v>103</v>
      </c>
      <c r="C55" s="7" t="s">
        <v>85</v>
      </c>
      <c r="D55" s="7" t="str">
        <f t="shared" si="0"/>
        <v>CN_WEB_KTPhát triển</v>
      </c>
      <c r="E55" s="10">
        <v>48</v>
      </c>
      <c r="H55" s="30" t="s">
        <v>99</v>
      </c>
      <c r="I55" s="31">
        <v>10</v>
      </c>
    </row>
    <row r="56" spans="1:9" ht="47.25" x14ac:dyDescent="0.25">
      <c r="A56" s="6">
        <v>54</v>
      </c>
      <c r="B56" s="9" t="s">
        <v>103</v>
      </c>
      <c r="C56" s="7" t="s">
        <v>86</v>
      </c>
      <c r="D56" s="7" t="str">
        <f t="shared" si="0"/>
        <v>CN_WEB_KTKiểm thử</v>
      </c>
      <c r="E56" s="10">
        <v>16</v>
      </c>
      <c r="H56" s="30" t="s">
        <v>100</v>
      </c>
      <c r="I56" s="31">
        <v>24</v>
      </c>
    </row>
    <row r="57" spans="1:9" ht="47.25" x14ac:dyDescent="0.25">
      <c r="A57" s="6">
        <v>55</v>
      </c>
      <c r="B57" s="9" t="s">
        <v>104</v>
      </c>
      <c r="C57" s="7" t="s">
        <v>84</v>
      </c>
      <c r="D57" s="7" t="str">
        <f t="shared" si="0"/>
        <v>GD1_CUTGiải pháp</v>
      </c>
      <c r="E57" s="10">
        <v>1.2</v>
      </c>
      <c r="H57" s="30" t="s">
        <v>101</v>
      </c>
      <c r="I57" s="31">
        <v>46</v>
      </c>
    </row>
    <row r="58" spans="1:9" ht="47.25" x14ac:dyDescent="0.25">
      <c r="A58" s="6">
        <v>56</v>
      </c>
      <c r="B58" s="9" t="s">
        <v>104</v>
      </c>
      <c r="C58" s="7" t="s">
        <v>105</v>
      </c>
      <c r="D58" s="7" t="str">
        <f t="shared" si="0"/>
        <v>GD1_CUTkiểm thử</v>
      </c>
      <c r="E58" s="10">
        <v>1.2</v>
      </c>
      <c r="H58" s="30" t="s">
        <v>89</v>
      </c>
      <c r="I58" s="31">
        <v>26</v>
      </c>
    </row>
    <row r="59" spans="1:9" ht="47.25" x14ac:dyDescent="0.25">
      <c r="A59" s="6">
        <v>57</v>
      </c>
      <c r="B59" s="9" t="s">
        <v>104</v>
      </c>
      <c r="C59" s="7" t="s">
        <v>85</v>
      </c>
      <c r="D59" s="7" t="str">
        <f t="shared" si="0"/>
        <v>GD1_CUTPhát triển</v>
      </c>
      <c r="E59" s="10">
        <v>0</v>
      </c>
      <c r="H59" s="30" t="s">
        <v>90</v>
      </c>
      <c r="I59" s="31">
        <v>39</v>
      </c>
    </row>
    <row r="60" spans="1:9" ht="47.25" x14ac:dyDescent="0.25">
      <c r="A60" s="6">
        <v>58</v>
      </c>
      <c r="B60" s="9" t="s">
        <v>106</v>
      </c>
      <c r="C60" s="7" t="s">
        <v>85</v>
      </c>
      <c r="D60" s="7" t="str">
        <f t="shared" si="0"/>
        <v>GD2_CUTPhát triển</v>
      </c>
      <c r="E60" s="10">
        <v>4</v>
      </c>
      <c r="H60" s="30" t="s">
        <v>91</v>
      </c>
      <c r="I60" s="31">
        <v>53</v>
      </c>
    </row>
    <row r="61" spans="1:9" ht="47.25" x14ac:dyDescent="0.25">
      <c r="A61" s="6">
        <v>59</v>
      </c>
      <c r="B61" s="9" t="s">
        <v>106</v>
      </c>
      <c r="C61" s="7" t="s">
        <v>105</v>
      </c>
      <c r="D61" s="7" t="str">
        <f t="shared" si="0"/>
        <v>GD2_CUTkiểm thử</v>
      </c>
      <c r="E61" s="10">
        <v>2</v>
      </c>
      <c r="H61" s="30" t="s">
        <v>104</v>
      </c>
      <c r="I61" s="31">
        <v>2.4</v>
      </c>
    </row>
    <row r="62" spans="1:9" ht="47.25" x14ac:dyDescent="0.25">
      <c r="A62" s="6">
        <v>60</v>
      </c>
      <c r="B62" s="9" t="s">
        <v>106</v>
      </c>
      <c r="C62" s="7" t="s">
        <v>84</v>
      </c>
      <c r="D62" s="7" t="str">
        <f t="shared" si="0"/>
        <v>GD2_CUTGiải pháp</v>
      </c>
      <c r="E62" s="10">
        <v>0</v>
      </c>
      <c r="H62" s="30" t="s">
        <v>106</v>
      </c>
      <c r="I62" s="31">
        <v>6</v>
      </c>
    </row>
    <row r="63" spans="1:9" ht="47.25" x14ac:dyDescent="0.25">
      <c r="A63" s="12">
        <v>61</v>
      </c>
      <c r="B63" s="13" t="s">
        <v>107</v>
      </c>
      <c r="C63" s="14" t="s">
        <v>84</v>
      </c>
      <c r="D63" s="14" t="str">
        <f t="shared" si="0"/>
        <v>CN_WEB1Giải pháp</v>
      </c>
      <c r="E63" s="15">
        <v>7.5</v>
      </c>
      <c r="H63" s="30" t="s">
        <v>156</v>
      </c>
      <c r="I63" s="31">
        <v>6</v>
      </c>
    </row>
    <row r="64" spans="1:9" ht="47.25" x14ac:dyDescent="0.25">
      <c r="A64" s="12">
        <v>62</v>
      </c>
      <c r="B64" s="13" t="s">
        <v>107</v>
      </c>
      <c r="C64" s="14" t="s">
        <v>85</v>
      </c>
      <c r="D64" s="14" t="str">
        <f t="shared" si="0"/>
        <v>CN_WEB1Phát triển</v>
      </c>
      <c r="E64" s="15">
        <v>12</v>
      </c>
      <c r="H64" s="30" t="s">
        <v>155</v>
      </c>
      <c r="I64" s="31">
        <v>4</v>
      </c>
    </row>
    <row r="65" spans="1:9" ht="47.25" x14ac:dyDescent="0.25">
      <c r="A65" s="12">
        <v>63</v>
      </c>
      <c r="B65" s="13" t="s">
        <v>107</v>
      </c>
      <c r="C65" s="14" t="s">
        <v>86</v>
      </c>
      <c r="D65" s="14" t="str">
        <f t="shared" si="0"/>
        <v>CN_WEB1Kiểm thử</v>
      </c>
      <c r="E65" s="15">
        <v>7</v>
      </c>
      <c r="H65" s="30" t="s">
        <v>81</v>
      </c>
      <c r="I65" s="31">
        <v>0</v>
      </c>
    </row>
    <row r="66" spans="1:9" ht="47.25" x14ac:dyDescent="0.25">
      <c r="A66" s="12">
        <v>64</v>
      </c>
      <c r="B66" s="13" t="s">
        <v>108</v>
      </c>
      <c r="C66" s="14" t="s">
        <v>84</v>
      </c>
      <c r="D66" s="14" t="str">
        <f t="shared" si="0"/>
        <v>CN_WEB2Giải pháp</v>
      </c>
      <c r="E66" s="15">
        <v>10</v>
      </c>
      <c r="H66" s="30" t="s">
        <v>97</v>
      </c>
      <c r="I66" s="31">
        <v>7.8599999999999994</v>
      </c>
    </row>
    <row r="67" spans="1:9" ht="47.25" x14ac:dyDescent="0.25">
      <c r="A67" s="12">
        <v>65</v>
      </c>
      <c r="B67" s="13" t="s">
        <v>108</v>
      </c>
      <c r="C67" s="14" t="s">
        <v>85</v>
      </c>
      <c r="D67" s="14" t="str">
        <f t="shared" si="0"/>
        <v>CN_WEB2Phát triển</v>
      </c>
      <c r="E67" s="15">
        <v>15</v>
      </c>
      <c r="H67" s="30" t="s">
        <v>83</v>
      </c>
      <c r="I67" s="31">
        <v>28</v>
      </c>
    </row>
    <row r="68" spans="1:9" ht="47.25" x14ac:dyDescent="0.25">
      <c r="A68" s="12">
        <v>66</v>
      </c>
      <c r="B68" s="13" t="s">
        <v>108</v>
      </c>
      <c r="C68" s="14" t="s">
        <v>86</v>
      </c>
      <c r="D68" s="14" t="str">
        <f t="shared" si="0"/>
        <v>CN_WEB2Kiểm thử</v>
      </c>
      <c r="E68" s="15">
        <v>10</v>
      </c>
      <c r="H68" s="30" t="s">
        <v>96</v>
      </c>
      <c r="I68" s="31">
        <v>14.49</v>
      </c>
    </row>
    <row r="69" spans="1:9" ht="47.25" x14ac:dyDescent="0.25">
      <c r="A69" s="12">
        <v>67</v>
      </c>
      <c r="B69" s="13" t="s">
        <v>109</v>
      </c>
      <c r="C69" s="14" t="s">
        <v>84</v>
      </c>
      <c r="D69" s="14" t="str">
        <f t="shared" si="0"/>
        <v>CN_WEB3Giải pháp</v>
      </c>
      <c r="E69" s="16">
        <v>15</v>
      </c>
      <c r="H69" s="30" t="s">
        <v>87</v>
      </c>
      <c r="I69" s="31">
        <v>44</v>
      </c>
    </row>
    <row r="70" spans="1:9" ht="47.25" x14ac:dyDescent="0.25">
      <c r="A70" s="12">
        <v>68</v>
      </c>
      <c r="B70" s="13" t="s">
        <v>109</v>
      </c>
      <c r="C70" s="14" t="s">
        <v>85</v>
      </c>
      <c r="D70" s="14" t="str">
        <f t="shared" ref="D70:D133" si="1">B70&amp;C70</f>
        <v>CN_WEB3Phát triển</v>
      </c>
      <c r="E70" s="16">
        <v>21</v>
      </c>
      <c r="H70" s="30" t="s">
        <v>95</v>
      </c>
      <c r="I70" s="31">
        <v>32</v>
      </c>
    </row>
    <row r="71" spans="1:9" ht="47.25" x14ac:dyDescent="0.25">
      <c r="A71" s="12">
        <v>69</v>
      </c>
      <c r="B71" s="13" t="s">
        <v>109</v>
      </c>
      <c r="C71" s="14" t="s">
        <v>86</v>
      </c>
      <c r="D71" s="14" t="str">
        <f t="shared" si="1"/>
        <v>CN_WEB3Kiểm thử</v>
      </c>
      <c r="E71" s="16">
        <v>15</v>
      </c>
      <c r="H71" s="30" t="s">
        <v>88</v>
      </c>
      <c r="I71" s="31">
        <v>65</v>
      </c>
    </row>
    <row r="72" spans="1:9" ht="63" x14ac:dyDescent="0.25">
      <c r="A72" s="6">
        <v>70</v>
      </c>
      <c r="B72" s="11" t="s">
        <v>110</v>
      </c>
      <c r="C72" s="9" t="s">
        <v>84</v>
      </c>
      <c r="D72" s="7" t="str">
        <f t="shared" si="1"/>
        <v>CN_MOBILE Client1Giải pháp</v>
      </c>
      <c r="E72" s="17">
        <v>4</v>
      </c>
      <c r="H72" s="30" t="s">
        <v>162</v>
      </c>
      <c r="I72" s="31">
        <v>8</v>
      </c>
    </row>
    <row r="73" spans="1:9" ht="63" x14ac:dyDescent="0.25">
      <c r="A73" s="6">
        <v>71</v>
      </c>
      <c r="B73" s="11" t="s">
        <v>110</v>
      </c>
      <c r="C73" s="9" t="s">
        <v>85</v>
      </c>
      <c r="D73" s="7" t="str">
        <f t="shared" si="1"/>
        <v>CN_MOBILE Client1Phát triển</v>
      </c>
      <c r="E73" s="17">
        <v>8</v>
      </c>
      <c r="H73" s="30" t="s">
        <v>163</v>
      </c>
      <c r="I73" s="31">
        <v>12</v>
      </c>
    </row>
    <row r="74" spans="1:9" ht="63" x14ac:dyDescent="0.25">
      <c r="A74" s="6">
        <v>72</v>
      </c>
      <c r="B74" s="11" t="s">
        <v>110</v>
      </c>
      <c r="C74" s="9" t="s">
        <v>105</v>
      </c>
      <c r="D74" s="7" t="str">
        <f t="shared" si="1"/>
        <v>CN_MOBILE Client1kiểm thử</v>
      </c>
      <c r="E74" s="17">
        <v>4</v>
      </c>
      <c r="H74" s="30" t="s">
        <v>164</v>
      </c>
      <c r="I74" s="31">
        <v>16</v>
      </c>
    </row>
    <row r="75" spans="1:9" ht="63" x14ac:dyDescent="0.25">
      <c r="A75" s="6">
        <v>73</v>
      </c>
      <c r="B75" s="11" t="s">
        <v>111</v>
      </c>
      <c r="C75" s="9" t="s">
        <v>84</v>
      </c>
      <c r="D75" s="7" t="str">
        <f t="shared" si="1"/>
        <v>CN_MOBILE Client2Giải pháp</v>
      </c>
      <c r="E75" s="17">
        <v>8</v>
      </c>
      <c r="H75" s="30" t="s">
        <v>166</v>
      </c>
      <c r="I75" s="31">
        <v>20</v>
      </c>
    </row>
    <row r="76" spans="1:9" ht="63" x14ac:dyDescent="0.25">
      <c r="A76" s="6">
        <v>74</v>
      </c>
      <c r="B76" s="11" t="s">
        <v>111</v>
      </c>
      <c r="C76" s="9" t="s">
        <v>85</v>
      </c>
      <c r="D76" s="7" t="str">
        <f t="shared" si="1"/>
        <v>CN_MOBILE Client2Phát triển</v>
      </c>
      <c r="E76" s="17">
        <v>17.5</v>
      </c>
      <c r="H76" s="30" t="s">
        <v>167</v>
      </c>
      <c r="I76" s="31">
        <v>28</v>
      </c>
    </row>
    <row r="77" spans="1:9" ht="63" x14ac:dyDescent="0.25">
      <c r="A77" s="6">
        <v>75</v>
      </c>
      <c r="B77" s="11" t="s">
        <v>111</v>
      </c>
      <c r="C77" s="9" t="s">
        <v>105</v>
      </c>
      <c r="D77" s="7" t="str">
        <f t="shared" si="1"/>
        <v>CN_MOBILE Client2kiểm thử</v>
      </c>
      <c r="E77" s="17">
        <v>10.5</v>
      </c>
      <c r="H77" s="30" t="s">
        <v>159</v>
      </c>
      <c r="I77" s="31">
        <v>8</v>
      </c>
    </row>
    <row r="78" spans="1:9" ht="78.75" x14ac:dyDescent="0.25">
      <c r="A78" s="6">
        <v>76</v>
      </c>
      <c r="B78" s="9" t="s">
        <v>112</v>
      </c>
      <c r="C78" s="9" t="s">
        <v>84</v>
      </c>
      <c r="D78" s="7" t="str">
        <f t="shared" si="1"/>
        <v>CN_MOBILE Client2 -NCGiải pháp</v>
      </c>
      <c r="E78" s="10">
        <v>4</v>
      </c>
      <c r="H78" s="30" t="s">
        <v>161</v>
      </c>
      <c r="I78" s="31">
        <v>16</v>
      </c>
    </row>
    <row r="79" spans="1:9" ht="78.75" x14ac:dyDescent="0.25">
      <c r="A79" s="6">
        <v>77</v>
      </c>
      <c r="B79" s="9" t="s">
        <v>112</v>
      </c>
      <c r="C79" s="9" t="s">
        <v>85</v>
      </c>
      <c r="D79" s="7" t="str">
        <f t="shared" si="1"/>
        <v>CN_MOBILE Client2 -NCPhát triển</v>
      </c>
      <c r="E79" s="10">
        <v>8</v>
      </c>
      <c r="H79" s="30" t="s">
        <v>117</v>
      </c>
      <c r="I79" s="31">
        <v>22.24</v>
      </c>
    </row>
    <row r="80" spans="1:9" ht="78.75" x14ac:dyDescent="0.25">
      <c r="A80" s="6">
        <v>78</v>
      </c>
      <c r="B80" s="9" t="s">
        <v>112</v>
      </c>
      <c r="C80" s="9" t="s">
        <v>105</v>
      </c>
      <c r="D80" s="7" t="str">
        <f t="shared" si="1"/>
        <v>CN_MOBILE Client2 -NCkiểm thử</v>
      </c>
      <c r="E80" s="10">
        <v>4</v>
      </c>
      <c r="H80" s="30" t="s">
        <v>118</v>
      </c>
      <c r="I80" s="31">
        <v>37.44</v>
      </c>
    </row>
    <row r="81" spans="1:9" ht="63" x14ac:dyDescent="0.25">
      <c r="A81" s="6">
        <v>79</v>
      </c>
      <c r="B81" s="11" t="s">
        <v>113</v>
      </c>
      <c r="C81" s="9" t="s">
        <v>84</v>
      </c>
      <c r="D81" s="7" t="str">
        <f t="shared" si="1"/>
        <v>CN_MOBILE Client3Giải pháp</v>
      </c>
      <c r="E81" s="17">
        <v>12</v>
      </c>
      <c r="H81" s="30" t="s">
        <v>119</v>
      </c>
      <c r="I81" s="31">
        <v>52.56</v>
      </c>
    </row>
    <row r="82" spans="1:9" ht="63" x14ac:dyDescent="0.25">
      <c r="A82" s="6">
        <v>80</v>
      </c>
      <c r="B82" s="11" t="s">
        <v>113</v>
      </c>
      <c r="C82" s="9" t="s">
        <v>85</v>
      </c>
      <c r="D82" s="7" t="str">
        <f t="shared" si="1"/>
        <v>CN_MOBILE Client3Phát triển</v>
      </c>
      <c r="E82" s="17">
        <v>28</v>
      </c>
      <c r="H82" s="30" t="s">
        <v>174</v>
      </c>
      <c r="I82" s="31">
        <v>0</v>
      </c>
    </row>
    <row r="83" spans="1:9" ht="63" x14ac:dyDescent="0.25">
      <c r="A83" s="6">
        <v>81</v>
      </c>
      <c r="B83" s="11" t="s">
        <v>113</v>
      </c>
      <c r="C83" s="9" t="s">
        <v>105</v>
      </c>
      <c r="D83" s="7" t="str">
        <f t="shared" si="1"/>
        <v>CN_MOBILE Client3kiểm thử</v>
      </c>
      <c r="E83" s="17">
        <v>16.8</v>
      </c>
      <c r="H83" s="30" t="s">
        <v>149</v>
      </c>
      <c r="I83" s="31">
        <v>8</v>
      </c>
    </row>
    <row r="84" spans="1:9" ht="78.75" x14ac:dyDescent="0.25">
      <c r="A84" s="6">
        <v>82</v>
      </c>
      <c r="B84" s="11" t="s">
        <v>114</v>
      </c>
      <c r="C84" s="9" t="s">
        <v>84</v>
      </c>
      <c r="D84" s="7" t="str">
        <f t="shared" si="1"/>
        <v>CN_MOBILE Server1Giải pháp</v>
      </c>
      <c r="E84" s="17">
        <v>4</v>
      </c>
      <c r="H84" s="30" t="s">
        <v>150</v>
      </c>
      <c r="I84" s="31">
        <v>12</v>
      </c>
    </row>
    <row r="85" spans="1:9" ht="63" x14ac:dyDescent="0.25">
      <c r="A85" s="6">
        <v>83</v>
      </c>
      <c r="B85" s="11" t="s">
        <v>114</v>
      </c>
      <c r="C85" s="9" t="s">
        <v>85</v>
      </c>
      <c r="D85" s="7" t="str">
        <f t="shared" si="1"/>
        <v>CN_MOBILE Server1Phát triển</v>
      </c>
      <c r="E85" s="17">
        <v>7.5</v>
      </c>
      <c r="H85" s="30" t="s">
        <v>151</v>
      </c>
      <c r="I85" s="31">
        <v>16</v>
      </c>
    </row>
    <row r="86" spans="1:9" ht="63" x14ac:dyDescent="0.25">
      <c r="A86" s="6">
        <v>84</v>
      </c>
      <c r="B86" s="11" t="s">
        <v>114</v>
      </c>
      <c r="C86" s="9" t="s">
        <v>105</v>
      </c>
      <c r="D86" s="7" t="str">
        <f t="shared" si="1"/>
        <v>CN_MOBILE Server1kiểm thử</v>
      </c>
      <c r="E86" s="17">
        <v>4</v>
      </c>
      <c r="H86" s="30" t="s">
        <v>152</v>
      </c>
      <c r="I86" s="31">
        <v>12</v>
      </c>
    </row>
    <row r="87" spans="1:9" ht="78.75" x14ac:dyDescent="0.25">
      <c r="A87" s="6">
        <v>85</v>
      </c>
      <c r="B87" s="11" t="s">
        <v>115</v>
      </c>
      <c r="C87" s="9" t="s">
        <v>84</v>
      </c>
      <c r="D87" s="7" t="str">
        <f t="shared" si="1"/>
        <v>CN_MOBILE Server2Giải pháp</v>
      </c>
      <c r="E87" s="17">
        <v>8</v>
      </c>
      <c r="H87" s="30" t="s">
        <v>153</v>
      </c>
      <c r="I87" s="31">
        <v>16</v>
      </c>
    </row>
    <row r="88" spans="1:9" ht="63" x14ac:dyDescent="0.25">
      <c r="A88" s="6">
        <v>86</v>
      </c>
      <c r="B88" s="11" t="s">
        <v>115</v>
      </c>
      <c r="C88" s="9" t="s">
        <v>85</v>
      </c>
      <c r="D88" s="7" t="str">
        <f t="shared" si="1"/>
        <v>CN_MOBILE Server2Phát triển</v>
      </c>
      <c r="E88" s="17">
        <v>14.8</v>
      </c>
      <c r="H88" s="30" t="s">
        <v>154</v>
      </c>
      <c r="I88" s="31">
        <v>20</v>
      </c>
    </row>
    <row r="89" spans="1:9" ht="63" x14ac:dyDescent="0.25">
      <c r="A89" s="6">
        <v>87</v>
      </c>
      <c r="B89" s="11" t="s">
        <v>115</v>
      </c>
      <c r="C89" s="9" t="s">
        <v>105</v>
      </c>
      <c r="D89" s="7" t="str">
        <f t="shared" si="1"/>
        <v>CN_MOBILE Server2kiểm thử</v>
      </c>
      <c r="E89" s="17">
        <v>9</v>
      </c>
      <c r="H89" s="30" t="s">
        <v>146</v>
      </c>
      <c r="I89" s="31">
        <v>8</v>
      </c>
    </row>
    <row r="90" spans="1:9" ht="78.75" x14ac:dyDescent="0.25">
      <c r="A90" s="6">
        <v>88</v>
      </c>
      <c r="B90" s="11" t="s">
        <v>116</v>
      </c>
      <c r="C90" s="9" t="s">
        <v>84</v>
      </c>
      <c r="D90" s="7" t="str">
        <f t="shared" si="1"/>
        <v>CN_MOBILE Server3Giải pháp</v>
      </c>
      <c r="E90" s="17">
        <v>15</v>
      </c>
      <c r="H90" s="30" t="s">
        <v>147</v>
      </c>
      <c r="I90" s="31">
        <v>12</v>
      </c>
    </row>
    <row r="91" spans="1:9" ht="63" x14ac:dyDescent="0.25">
      <c r="A91" s="6">
        <v>89</v>
      </c>
      <c r="B91" s="11" t="s">
        <v>116</v>
      </c>
      <c r="C91" s="9" t="s">
        <v>85</v>
      </c>
      <c r="D91" s="7" t="str">
        <f t="shared" si="1"/>
        <v>CN_MOBILE Server3Phát triển</v>
      </c>
      <c r="E91" s="17">
        <v>26</v>
      </c>
      <c r="H91" s="30" t="s">
        <v>148</v>
      </c>
      <c r="I91" s="31">
        <v>16</v>
      </c>
    </row>
    <row r="92" spans="1:9" ht="63" x14ac:dyDescent="0.25">
      <c r="A92" s="6">
        <v>90</v>
      </c>
      <c r="B92" s="11" t="s">
        <v>116</v>
      </c>
      <c r="C92" s="9" t="s">
        <v>105</v>
      </c>
      <c r="D92" s="7" t="str">
        <f t="shared" si="1"/>
        <v>CN_MOBILE Server3kiểm thử</v>
      </c>
      <c r="E92" s="17">
        <v>18</v>
      </c>
      <c r="H92" s="30" t="s">
        <v>179</v>
      </c>
      <c r="I92" s="31"/>
    </row>
    <row r="93" spans="1:9" ht="47.25" x14ac:dyDescent="0.25">
      <c r="A93" s="6">
        <v>91</v>
      </c>
      <c r="B93" s="18" t="s">
        <v>117</v>
      </c>
      <c r="C93" s="9" t="s">
        <v>84</v>
      </c>
      <c r="D93" s="7" t="str">
        <f t="shared" si="1"/>
        <v>TT_DB1Giải pháp</v>
      </c>
      <c r="E93" s="10">
        <v>7.36</v>
      </c>
      <c r="H93" s="30" t="s">
        <v>180</v>
      </c>
      <c r="I93" s="31">
        <v>2883.0899999999997</v>
      </c>
    </row>
    <row r="94" spans="1:9" ht="31.5" x14ac:dyDescent="0.25">
      <c r="A94" s="6">
        <v>92</v>
      </c>
      <c r="B94" s="18" t="s">
        <v>117</v>
      </c>
      <c r="C94" s="9" t="s">
        <v>85</v>
      </c>
      <c r="D94" s="7" t="str">
        <f t="shared" si="1"/>
        <v>TT_DB1Phát triển</v>
      </c>
      <c r="E94" s="10">
        <v>8</v>
      </c>
    </row>
    <row r="95" spans="1:9" ht="31.5" x14ac:dyDescent="0.25">
      <c r="A95" s="6">
        <v>93</v>
      </c>
      <c r="B95" s="18" t="s">
        <v>117</v>
      </c>
      <c r="C95" s="9" t="s">
        <v>105</v>
      </c>
      <c r="D95" s="7" t="str">
        <f t="shared" si="1"/>
        <v>TT_DB1kiểm thử</v>
      </c>
      <c r="E95" s="10">
        <v>6.88</v>
      </c>
    </row>
    <row r="96" spans="1:9" ht="47.25" x14ac:dyDescent="0.25">
      <c r="A96" s="6">
        <v>94</v>
      </c>
      <c r="B96" s="18" t="s">
        <v>118</v>
      </c>
      <c r="C96" s="9" t="s">
        <v>84</v>
      </c>
      <c r="D96" s="7" t="str">
        <f t="shared" si="1"/>
        <v>TT_DB2Giải pháp</v>
      </c>
      <c r="E96" s="10">
        <v>11.04</v>
      </c>
    </row>
    <row r="97" spans="1:5" ht="31.5" x14ac:dyDescent="0.25">
      <c r="A97" s="6">
        <v>95</v>
      </c>
      <c r="B97" s="18" t="s">
        <v>118</v>
      </c>
      <c r="C97" s="9" t="s">
        <v>85</v>
      </c>
      <c r="D97" s="7" t="str">
        <f t="shared" si="1"/>
        <v>TT_DB2Phát triển</v>
      </c>
      <c r="E97" s="10">
        <v>16</v>
      </c>
    </row>
    <row r="98" spans="1:5" ht="31.5" x14ac:dyDescent="0.25">
      <c r="A98" s="6">
        <v>96</v>
      </c>
      <c r="B98" s="18" t="s">
        <v>118</v>
      </c>
      <c r="C98" s="9" t="s">
        <v>105</v>
      </c>
      <c r="D98" s="7" t="str">
        <f t="shared" si="1"/>
        <v>TT_DB2kiểm thử</v>
      </c>
      <c r="E98" s="10">
        <v>10.4</v>
      </c>
    </row>
    <row r="99" spans="1:5" ht="47.25" x14ac:dyDescent="0.25">
      <c r="A99" s="6">
        <v>97</v>
      </c>
      <c r="B99" s="18" t="s">
        <v>119</v>
      </c>
      <c r="C99" s="9" t="s">
        <v>84</v>
      </c>
      <c r="D99" s="7" t="str">
        <f t="shared" si="1"/>
        <v>TT_DB3Giải pháp</v>
      </c>
      <c r="E99" s="10">
        <v>14.72</v>
      </c>
    </row>
    <row r="100" spans="1:5" ht="31.5" x14ac:dyDescent="0.25">
      <c r="A100" s="6">
        <v>98</v>
      </c>
      <c r="B100" s="18" t="s">
        <v>119</v>
      </c>
      <c r="C100" s="9" t="s">
        <v>85</v>
      </c>
      <c r="D100" s="7" t="str">
        <f t="shared" si="1"/>
        <v>TT_DB3Phát triển</v>
      </c>
      <c r="E100" s="10">
        <v>24</v>
      </c>
    </row>
    <row r="101" spans="1:5" ht="31.5" x14ac:dyDescent="0.25">
      <c r="A101" s="6">
        <v>99</v>
      </c>
      <c r="B101" s="18" t="s">
        <v>119</v>
      </c>
      <c r="C101" s="9" t="s">
        <v>105</v>
      </c>
      <c r="D101" s="7" t="str">
        <f t="shared" si="1"/>
        <v>TT_DB3kiểm thử</v>
      </c>
      <c r="E101" s="10">
        <v>13.84</v>
      </c>
    </row>
    <row r="102" spans="1:5" ht="47.25" x14ac:dyDescent="0.25">
      <c r="A102" s="6">
        <v>100</v>
      </c>
      <c r="B102" s="19" t="s">
        <v>120</v>
      </c>
      <c r="C102" s="19" t="s">
        <v>84</v>
      </c>
      <c r="D102" s="7" t="str">
        <f t="shared" si="1"/>
        <v>FW_GSM1Giải pháp</v>
      </c>
      <c r="E102" s="8">
        <v>20</v>
      </c>
    </row>
    <row r="103" spans="1:5" ht="47.25" x14ac:dyDescent="0.25">
      <c r="A103" s="6">
        <v>101</v>
      </c>
      <c r="B103" s="19" t="s">
        <v>120</v>
      </c>
      <c r="C103" s="19" t="s">
        <v>85</v>
      </c>
      <c r="D103" s="7" t="str">
        <f t="shared" si="1"/>
        <v>FW_GSM1Phát triển</v>
      </c>
      <c r="E103" s="8">
        <v>32</v>
      </c>
    </row>
    <row r="104" spans="1:5" ht="47.25" x14ac:dyDescent="0.25">
      <c r="A104" s="6">
        <v>102</v>
      </c>
      <c r="B104" s="19" t="s">
        <v>120</v>
      </c>
      <c r="C104" s="19" t="s">
        <v>105</v>
      </c>
      <c r="D104" s="7" t="str">
        <f t="shared" si="1"/>
        <v>FW_GSM1kiểm thử</v>
      </c>
      <c r="E104" s="8">
        <v>24</v>
      </c>
    </row>
    <row r="105" spans="1:5" ht="47.25" x14ac:dyDescent="0.25">
      <c r="A105" s="6">
        <v>103</v>
      </c>
      <c r="B105" s="19" t="s">
        <v>121</v>
      </c>
      <c r="C105" s="19" t="s">
        <v>84</v>
      </c>
      <c r="D105" s="7" t="str">
        <f t="shared" si="1"/>
        <v>FW_GSM2Giải pháp</v>
      </c>
      <c r="E105" s="8">
        <v>26</v>
      </c>
    </row>
    <row r="106" spans="1:5" ht="47.25" x14ac:dyDescent="0.25">
      <c r="A106" s="6">
        <v>104</v>
      </c>
      <c r="B106" s="19" t="s">
        <v>121</v>
      </c>
      <c r="C106" s="19" t="s">
        <v>85</v>
      </c>
      <c r="D106" s="7" t="str">
        <f t="shared" si="1"/>
        <v>FW_GSM2Phát triển</v>
      </c>
      <c r="E106" s="8">
        <v>40</v>
      </c>
    </row>
    <row r="107" spans="1:5" ht="47.25" x14ac:dyDescent="0.25">
      <c r="A107" s="6">
        <v>105</v>
      </c>
      <c r="B107" s="19" t="s">
        <v>121</v>
      </c>
      <c r="C107" s="19" t="s">
        <v>105</v>
      </c>
      <c r="D107" s="7" t="str">
        <f t="shared" si="1"/>
        <v>FW_GSM2kiểm thử</v>
      </c>
      <c r="E107" s="8">
        <v>28</v>
      </c>
    </row>
    <row r="108" spans="1:5" ht="47.25" x14ac:dyDescent="0.25">
      <c r="A108" s="6">
        <v>106</v>
      </c>
      <c r="B108" s="19" t="s">
        <v>122</v>
      </c>
      <c r="C108" s="19" t="s">
        <v>84</v>
      </c>
      <c r="D108" s="7" t="str">
        <f t="shared" si="1"/>
        <v>FW_GSM3Giải pháp</v>
      </c>
      <c r="E108" s="8">
        <v>32</v>
      </c>
    </row>
    <row r="109" spans="1:5" ht="47.25" x14ac:dyDescent="0.25">
      <c r="A109" s="6">
        <v>107</v>
      </c>
      <c r="B109" s="19" t="s">
        <v>122</v>
      </c>
      <c r="C109" s="19" t="s">
        <v>85</v>
      </c>
      <c r="D109" s="7" t="str">
        <f t="shared" si="1"/>
        <v>FW_GSM3Phát triển</v>
      </c>
      <c r="E109" s="8">
        <v>48</v>
      </c>
    </row>
    <row r="110" spans="1:5" ht="47.25" x14ac:dyDescent="0.25">
      <c r="A110" s="6">
        <v>108</v>
      </c>
      <c r="B110" s="19" t="s">
        <v>122</v>
      </c>
      <c r="C110" s="19" t="s">
        <v>105</v>
      </c>
      <c r="D110" s="7" t="str">
        <f t="shared" si="1"/>
        <v>FW_GSM3kiểm thử</v>
      </c>
      <c r="E110" s="8">
        <v>32</v>
      </c>
    </row>
    <row r="111" spans="1:5" ht="47.25" x14ac:dyDescent="0.25">
      <c r="A111" s="6">
        <v>109</v>
      </c>
      <c r="B111" s="19" t="s">
        <v>123</v>
      </c>
      <c r="C111" s="19" t="s">
        <v>84</v>
      </c>
      <c r="D111" s="7" t="str">
        <f t="shared" si="1"/>
        <v>FW_SSL1Giải pháp</v>
      </c>
      <c r="E111" s="8">
        <v>20</v>
      </c>
    </row>
    <row r="112" spans="1:5" ht="47.25" x14ac:dyDescent="0.25">
      <c r="A112" s="6">
        <v>110</v>
      </c>
      <c r="B112" s="19" t="s">
        <v>123</v>
      </c>
      <c r="C112" s="19" t="s">
        <v>85</v>
      </c>
      <c r="D112" s="7" t="str">
        <f t="shared" si="1"/>
        <v>FW_SSL1Phát triển</v>
      </c>
      <c r="E112" s="8">
        <v>32</v>
      </c>
    </row>
    <row r="113" spans="1:5" ht="47.25" x14ac:dyDescent="0.25">
      <c r="A113" s="6">
        <v>111</v>
      </c>
      <c r="B113" s="19" t="s">
        <v>123</v>
      </c>
      <c r="C113" s="19" t="s">
        <v>105</v>
      </c>
      <c r="D113" s="7" t="str">
        <f t="shared" si="1"/>
        <v>FW_SSL1kiểm thử</v>
      </c>
      <c r="E113" s="8">
        <v>24</v>
      </c>
    </row>
    <row r="114" spans="1:5" ht="47.25" x14ac:dyDescent="0.25">
      <c r="A114" s="6">
        <v>112</v>
      </c>
      <c r="B114" s="19" t="s">
        <v>124</v>
      </c>
      <c r="C114" s="19" t="s">
        <v>84</v>
      </c>
      <c r="D114" s="7" t="str">
        <f t="shared" si="1"/>
        <v>FW_SSL2Giải pháp</v>
      </c>
      <c r="E114" s="8">
        <v>26</v>
      </c>
    </row>
    <row r="115" spans="1:5" ht="47.25" x14ac:dyDescent="0.25">
      <c r="A115" s="6">
        <v>113</v>
      </c>
      <c r="B115" s="19" t="s">
        <v>124</v>
      </c>
      <c r="C115" s="19" t="s">
        <v>85</v>
      </c>
      <c r="D115" s="7" t="str">
        <f t="shared" si="1"/>
        <v>FW_SSL2Phát triển</v>
      </c>
      <c r="E115" s="8">
        <v>40</v>
      </c>
    </row>
    <row r="116" spans="1:5" ht="47.25" x14ac:dyDescent="0.25">
      <c r="A116" s="6">
        <v>114</v>
      </c>
      <c r="B116" s="19" t="s">
        <v>124</v>
      </c>
      <c r="C116" s="19" t="s">
        <v>105</v>
      </c>
      <c r="D116" s="7" t="str">
        <f t="shared" si="1"/>
        <v>FW_SSL2kiểm thử</v>
      </c>
      <c r="E116" s="8">
        <v>28</v>
      </c>
    </row>
    <row r="117" spans="1:5" ht="47.25" x14ac:dyDescent="0.25">
      <c r="A117" s="6">
        <v>115</v>
      </c>
      <c r="B117" s="19" t="s">
        <v>125</v>
      </c>
      <c r="C117" s="19" t="s">
        <v>84</v>
      </c>
      <c r="D117" s="7" t="str">
        <f t="shared" si="1"/>
        <v>FW_SSL3Giải pháp</v>
      </c>
      <c r="E117" s="8">
        <v>32</v>
      </c>
    </row>
    <row r="118" spans="1:5" ht="47.25" x14ac:dyDescent="0.25">
      <c r="A118" s="6">
        <v>116</v>
      </c>
      <c r="B118" s="19" t="s">
        <v>125</v>
      </c>
      <c r="C118" s="19" t="s">
        <v>85</v>
      </c>
      <c r="D118" s="7" t="str">
        <f t="shared" si="1"/>
        <v>FW_SSL3Phát triển</v>
      </c>
      <c r="E118" s="8">
        <v>48</v>
      </c>
    </row>
    <row r="119" spans="1:5" ht="47.25" x14ac:dyDescent="0.25">
      <c r="A119" s="6">
        <v>117</v>
      </c>
      <c r="B119" s="19" t="s">
        <v>125</v>
      </c>
      <c r="C119" s="19" t="s">
        <v>105</v>
      </c>
      <c r="D119" s="7" t="str">
        <f t="shared" si="1"/>
        <v>FW_SSL3kiểm thử</v>
      </c>
      <c r="E119" s="8">
        <v>32</v>
      </c>
    </row>
    <row r="120" spans="1:5" ht="47.25" x14ac:dyDescent="0.25">
      <c r="A120" s="6">
        <v>118</v>
      </c>
      <c r="B120" s="19" t="s">
        <v>126</v>
      </c>
      <c r="C120" s="19" t="s">
        <v>84</v>
      </c>
      <c r="D120" s="7" t="str">
        <f t="shared" si="1"/>
        <v>FW_ADC1Giải pháp</v>
      </c>
      <c r="E120" s="8">
        <v>20</v>
      </c>
    </row>
    <row r="121" spans="1:5" ht="47.25" x14ac:dyDescent="0.25">
      <c r="A121" s="6">
        <v>119</v>
      </c>
      <c r="B121" s="19" t="s">
        <v>126</v>
      </c>
      <c r="C121" s="19" t="s">
        <v>85</v>
      </c>
      <c r="D121" s="7" t="str">
        <f t="shared" si="1"/>
        <v>FW_ADC1Phát triển</v>
      </c>
      <c r="E121" s="8">
        <v>32</v>
      </c>
    </row>
    <row r="122" spans="1:5" ht="47.25" x14ac:dyDescent="0.25">
      <c r="A122" s="6">
        <v>120</v>
      </c>
      <c r="B122" s="19" t="s">
        <v>126</v>
      </c>
      <c r="C122" s="19" t="s">
        <v>105</v>
      </c>
      <c r="D122" s="7" t="str">
        <f t="shared" si="1"/>
        <v>FW_ADC1kiểm thử</v>
      </c>
      <c r="E122" s="8">
        <v>24</v>
      </c>
    </row>
    <row r="123" spans="1:5" ht="47.25" x14ac:dyDescent="0.25">
      <c r="A123" s="6">
        <v>121</v>
      </c>
      <c r="B123" s="19" t="s">
        <v>127</v>
      </c>
      <c r="C123" s="19" t="s">
        <v>84</v>
      </c>
      <c r="D123" s="7" t="str">
        <f t="shared" si="1"/>
        <v>FW_ADC2Giải pháp</v>
      </c>
      <c r="E123" s="8">
        <v>26</v>
      </c>
    </row>
    <row r="124" spans="1:5" ht="47.25" x14ac:dyDescent="0.25">
      <c r="A124" s="6">
        <v>122</v>
      </c>
      <c r="B124" s="19" t="s">
        <v>127</v>
      </c>
      <c r="C124" s="19" t="s">
        <v>85</v>
      </c>
      <c r="D124" s="7" t="str">
        <f t="shared" si="1"/>
        <v>FW_ADC2Phát triển</v>
      </c>
      <c r="E124" s="8">
        <v>40</v>
      </c>
    </row>
    <row r="125" spans="1:5" ht="47.25" x14ac:dyDescent="0.25">
      <c r="A125" s="6">
        <v>123</v>
      </c>
      <c r="B125" s="19" t="s">
        <v>127</v>
      </c>
      <c r="C125" s="19" t="s">
        <v>105</v>
      </c>
      <c r="D125" s="7" t="str">
        <f t="shared" si="1"/>
        <v>FW_ADC2kiểm thử</v>
      </c>
      <c r="E125" s="8">
        <v>28</v>
      </c>
    </row>
    <row r="126" spans="1:5" ht="47.25" x14ac:dyDescent="0.25">
      <c r="A126" s="6">
        <v>124</v>
      </c>
      <c r="B126" s="19" t="s">
        <v>128</v>
      </c>
      <c r="C126" s="19" t="s">
        <v>84</v>
      </c>
      <c r="D126" s="7" t="str">
        <f t="shared" si="1"/>
        <v>FW_ADC3Giải pháp</v>
      </c>
      <c r="E126" s="8">
        <v>32</v>
      </c>
    </row>
    <row r="127" spans="1:5" ht="47.25" x14ac:dyDescent="0.25">
      <c r="A127" s="6">
        <v>125</v>
      </c>
      <c r="B127" s="19" t="s">
        <v>128</v>
      </c>
      <c r="C127" s="19" t="s">
        <v>85</v>
      </c>
      <c r="D127" s="7" t="str">
        <f t="shared" si="1"/>
        <v>FW_ADC3Phát triển</v>
      </c>
      <c r="E127" s="8">
        <v>48</v>
      </c>
    </row>
    <row r="128" spans="1:5" ht="47.25" x14ac:dyDescent="0.25">
      <c r="A128" s="6">
        <v>126</v>
      </c>
      <c r="B128" s="19" t="s">
        <v>128</v>
      </c>
      <c r="C128" s="19" t="s">
        <v>105</v>
      </c>
      <c r="D128" s="7" t="str">
        <f t="shared" si="1"/>
        <v>FW_ADC3kiểm thử</v>
      </c>
      <c r="E128" s="8">
        <v>32</v>
      </c>
    </row>
    <row r="129" spans="1:5" ht="63" x14ac:dyDescent="0.25">
      <c r="A129" s="6">
        <v>127</v>
      </c>
      <c r="B129" s="18" t="s">
        <v>129</v>
      </c>
      <c r="C129" s="19" t="s">
        <v>84</v>
      </c>
      <c r="D129" s="7" t="str">
        <f t="shared" si="1"/>
        <v>CSI_NORMAL_1Giải pháp</v>
      </c>
      <c r="E129" s="8">
        <v>24</v>
      </c>
    </row>
    <row r="130" spans="1:5" ht="63" x14ac:dyDescent="0.25">
      <c r="A130" s="6">
        <v>128</v>
      </c>
      <c r="B130" s="18" t="s">
        <v>129</v>
      </c>
      <c r="C130" s="19" t="s">
        <v>85</v>
      </c>
      <c r="D130" s="7" t="str">
        <f t="shared" si="1"/>
        <v>CSI_NORMAL_1Phát triển</v>
      </c>
      <c r="E130" s="8">
        <v>6</v>
      </c>
    </row>
    <row r="131" spans="1:5" ht="63" x14ac:dyDescent="0.25">
      <c r="A131" s="6">
        <v>129</v>
      </c>
      <c r="B131" s="18" t="s">
        <v>129</v>
      </c>
      <c r="C131" s="19" t="s">
        <v>86</v>
      </c>
      <c r="D131" s="7" t="str">
        <f t="shared" si="1"/>
        <v>CSI_NORMAL_1Kiểm thử</v>
      </c>
      <c r="E131" s="8">
        <v>12</v>
      </c>
    </row>
    <row r="132" spans="1:5" ht="63" x14ac:dyDescent="0.25">
      <c r="A132" s="6">
        <v>130</v>
      </c>
      <c r="B132" s="18" t="s">
        <v>130</v>
      </c>
      <c r="C132" s="19" t="s">
        <v>84</v>
      </c>
      <c r="D132" s="7" t="str">
        <f t="shared" si="1"/>
        <v>CSI_NORMAL_2Giải pháp</v>
      </c>
      <c r="E132" s="8">
        <v>40</v>
      </c>
    </row>
    <row r="133" spans="1:5" ht="63" x14ac:dyDescent="0.25">
      <c r="A133" s="6">
        <v>131</v>
      </c>
      <c r="B133" s="18" t="s">
        <v>130</v>
      </c>
      <c r="C133" s="19" t="s">
        <v>85</v>
      </c>
      <c r="D133" s="7" t="str">
        <f t="shared" si="1"/>
        <v>CSI_NORMAL_2Phát triển</v>
      </c>
      <c r="E133" s="8">
        <v>10</v>
      </c>
    </row>
    <row r="134" spans="1:5" ht="63" x14ac:dyDescent="0.25">
      <c r="A134" s="6">
        <v>132</v>
      </c>
      <c r="B134" s="18" t="s">
        <v>130</v>
      </c>
      <c r="C134" s="19" t="s">
        <v>86</v>
      </c>
      <c r="D134" s="7" t="str">
        <f t="shared" ref="D134:D197" si="2">B134&amp;C134</f>
        <v>CSI_NORMAL_2Kiểm thử</v>
      </c>
      <c r="E134" s="8">
        <v>20</v>
      </c>
    </row>
    <row r="135" spans="1:5" ht="63" x14ac:dyDescent="0.25">
      <c r="A135" s="6">
        <v>133</v>
      </c>
      <c r="B135" s="18" t="s">
        <v>131</v>
      </c>
      <c r="C135" s="19" t="s">
        <v>84</v>
      </c>
      <c r="D135" s="7" t="str">
        <f t="shared" si="2"/>
        <v>CSI_NORMAL_3Giải pháp</v>
      </c>
      <c r="E135" s="8">
        <v>64</v>
      </c>
    </row>
    <row r="136" spans="1:5" ht="63" x14ac:dyDescent="0.25">
      <c r="A136" s="6">
        <v>134</v>
      </c>
      <c r="B136" s="18" t="s">
        <v>131</v>
      </c>
      <c r="C136" s="19" t="s">
        <v>85</v>
      </c>
      <c r="D136" s="7" t="str">
        <f t="shared" si="2"/>
        <v>CSI_NORMAL_3Phát triển</v>
      </c>
      <c r="E136" s="8">
        <v>16</v>
      </c>
    </row>
    <row r="137" spans="1:5" ht="63" x14ac:dyDescent="0.25">
      <c r="A137" s="6">
        <v>135</v>
      </c>
      <c r="B137" s="18" t="s">
        <v>131</v>
      </c>
      <c r="C137" s="19" t="s">
        <v>86</v>
      </c>
      <c r="D137" s="7" t="str">
        <f t="shared" si="2"/>
        <v>CSI_NORMAL_3Kiểm thử</v>
      </c>
      <c r="E137" s="8">
        <v>32</v>
      </c>
    </row>
    <row r="138" spans="1:5" ht="31.5" x14ac:dyDescent="0.25">
      <c r="A138" s="6">
        <v>136</v>
      </c>
      <c r="B138" s="11" t="s">
        <v>132</v>
      </c>
      <c r="C138" s="7" t="s">
        <v>84</v>
      </c>
      <c r="D138" s="7" t="str">
        <f t="shared" si="2"/>
        <v>DM3Giải pháp</v>
      </c>
      <c r="E138" s="10">
        <v>6</v>
      </c>
    </row>
    <row r="139" spans="1:5" ht="31.5" x14ac:dyDescent="0.25">
      <c r="A139" s="6">
        <v>137</v>
      </c>
      <c r="B139" s="11" t="s">
        <v>132</v>
      </c>
      <c r="C139" s="7" t="s">
        <v>85</v>
      </c>
      <c r="D139" s="7" t="str">
        <f t="shared" si="2"/>
        <v>DM3Phát triển</v>
      </c>
      <c r="E139" s="10">
        <v>16</v>
      </c>
    </row>
    <row r="140" spans="1:5" ht="31.5" x14ac:dyDescent="0.25">
      <c r="A140" s="6">
        <v>138</v>
      </c>
      <c r="B140" s="11" t="s">
        <v>132</v>
      </c>
      <c r="C140" s="20" t="s">
        <v>86</v>
      </c>
      <c r="D140" s="7" t="str">
        <f t="shared" si="2"/>
        <v>DM3Kiểm thử</v>
      </c>
      <c r="E140" s="10">
        <v>16</v>
      </c>
    </row>
    <row r="141" spans="1:5" ht="47.25" x14ac:dyDescent="0.25">
      <c r="A141" s="6">
        <v>139</v>
      </c>
      <c r="B141" s="18" t="s">
        <v>133</v>
      </c>
      <c r="C141" s="19" t="s">
        <v>84</v>
      </c>
      <c r="D141" s="7" t="str">
        <f t="shared" si="2"/>
        <v>DP_IMP1Giải pháp</v>
      </c>
      <c r="E141" s="8">
        <v>4</v>
      </c>
    </row>
    <row r="142" spans="1:5" ht="47.25" x14ac:dyDescent="0.25">
      <c r="A142" s="6">
        <v>140</v>
      </c>
      <c r="B142" s="18" t="s">
        <v>133</v>
      </c>
      <c r="C142" s="19" t="s">
        <v>85</v>
      </c>
      <c r="D142" s="7" t="str">
        <f t="shared" si="2"/>
        <v>DP_IMP1Phát triển</v>
      </c>
      <c r="E142" s="8">
        <v>4</v>
      </c>
    </row>
    <row r="143" spans="1:5" ht="47.25" x14ac:dyDescent="0.25">
      <c r="A143" s="6">
        <v>141</v>
      </c>
      <c r="B143" s="18" t="s">
        <v>133</v>
      </c>
      <c r="C143" s="20" t="s">
        <v>86</v>
      </c>
      <c r="D143" s="7" t="str">
        <f t="shared" si="2"/>
        <v>DP_IMP1Kiểm thử</v>
      </c>
      <c r="E143" s="8">
        <v>3.5</v>
      </c>
    </row>
    <row r="144" spans="1:5" ht="47.25" x14ac:dyDescent="0.25">
      <c r="A144" s="6">
        <v>142</v>
      </c>
      <c r="B144" s="18" t="s">
        <v>134</v>
      </c>
      <c r="C144" s="19" t="s">
        <v>84</v>
      </c>
      <c r="D144" s="7" t="str">
        <f t="shared" si="2"/>
        <v>DP_IMP2Giải pháp</v>
      </c>
      <c r="E144" s="8">
        <v>7.5</v>
      </c>
    </row>
    <row r="145" spans="1:5" ht="47.25" x14ac:dyDescent="0.25">
      <c r="A145" s="6">
        <v>143</v>
      </c>
      <c r="B145" s="18" t="s">
        <v>134</v>
      </c>
      <c r="C145" s="19" t="s">
        <v>85</v>
      </c>
      <c r="D145" s="7" t="str">
        <f t="shared" si="2"/>
        <v>DP_IMP2Phát triển</v>
      </c>
      <c r="E145" s="8">
        <v>12</v>
      </c>
    </row>
    <row r="146" spans="1:5" ht="47.25" x14ac:dyDescent="0.25">
      <c r="A146" s="6">
        <v>144</v>
      </c>
      <c r="B146" s="18" t="s">
        <v>134</v>
      </c>
      <c r="C146" s="20" t="s">
        <v>86</v>
      </c>
      <c r="D146" s="7" t="str">
        <f t="shared" si="2"/>
        <v>DP_IMP2Kiểm thử</v>
      </c>
      <c r="E146" s="8">
        <v>7</v>
      </c>
    </row>
    <row r="147" spans="1:5" ht="47.25" x14ac:dyDescent="0.25">
      <c r="A147" s="6">
        <v>145</v>
      </c>
      <c r="B147" s="18" t="s">
        <v>135</v>
      </c>
      <c r="C147" s="19" t="s">
        <v>84</v>
      </c>
      <c r="D147" s="7" t="str">
        <f t="shared" si="2"/>
        <v>DP_IMP3Giải pháp</v>
      </c>
      <c r="E147" s="8">
        <v>11</v>
      </c>
    </row>
    <row r="148" spans="1:5" ht="47.25" x14ac:dyDescent="0.25">
      <c r="A148" s="6">
        <v>146</v>
      </c>
      <c r="B148" s="18" t="s">
        <v>135</v>
      </c>
      <c r="C148" s="19" t="s">
        <v>85</v>
      </c>
      <c r="D148" s="7" t="str">
        <f t="shared" si="2"/>
        <v>DP_IMP3Phát triển</v>
      </c>
      <c r="E148" s="8">
        <v>16</v>
      </c>
    </row>
    <row r="149" spans="1:5" ht="47.25" x14ac:dyDescent="0.25">
      <c r="A149" s="6">
        <v>147</v>
      </c>
      <c r="B149" s="18" t="s">
        <v>135</v>
      </c>
      <c r="C149" s="20" t="s">
        <v>86</v>
      </c>
      <c r="D149" s="7" t="str">
        <f t="shared" si="2"/>
        <v>DP_IMP3Kiểm thử</v>
      </c>
      <c r="E149" s="8">
        <v>10.5</v>
      </c>
    </row>
    <row r="150" spans="1:5" ht="47.25" x14ac:dyDescent="0.25">
      <c r="A150" s="6">
        <v>148</v>
      </c>
      <c r="B150" s="9" t="s">
        <v>136</v>
      </c>
      <c r="C150" s="19" t="s">
        <v>84</v>
      </c>
      <c r="D150" s="7" t="str">
        <f t="shared" si="2"/>
        <v>DP_EXP1Giải pháp</v>
      </c>
      <c r="E150" s="8">
        <v>4</v>
      </c>
    </row>
    <row r="151" spans="1:5" ht="47.25" x14ac:dyDescent="0.25">
      <c r="A151" s="6">
        <v>149</v>
      </c>
      <c r="B151" s="9" t="s">
        <v>136</v>
      </c>
      <c r="C151" s="19" t="s">
        <v>85</v>
      </c>
      <c r="D151" s="7" t="str">
        <f t="shared" si="2"/>
        <v>DP_EXP1Phát triển</v>
      </c>
      <c r="E151" s="8">
        <v>4</v>
      </c>
    </row>
    <row r="152" spans="1:5" ht="47.25" x14ac:dyDescent="0.25">
      <c r="A152" s="6">
        <v>150</v>
      </c>
      <c r="B152" s="9" t="s">
        <v>136</v>
      </c>
      <c r="C152" s="20" t="s">
        <v>86</v>
      </c>
      <c r="D152" s="7" t="str">
        <f t="shared" si="2"/>
        <v>DP_EXP1Kiểm thử</v>
      </c>
      <c r="E152" s="8">
        <v>3.5</v>
      </c>
    </row>
    <row r="153" spans="1:5" ht="47.25" x14ac:dyDescent="0.25">
      <c r="A153" s="6">
        <v>151</v>
      </c>
      <c r="B153" s="18" t="s">
        <v>137</v>
      </c>
      <c r="C153" s="19" t="s">
        <v>84</v>
      </c>
      <c r="D153" s="7" t="str">
        <f t="shared" si="2"/>
        <v>DP_AGG1Giải pháp</v>
      </c>
      <c r="E153" s="8">
        <v>6</v>
      </c>
    </row>
    <row r="154" spans="1:5" ht="47.25" x14ac:dyDescent="0.25">
      <c r="A154" s="6">
        <v>152</v>
      </c>
      <c r="B154" s="18" t="s">
        <v>137</v>
      </c>
      <c r="C154" s="19" t="s">
        <v>85</v>
      </c>
      <c r="D154" s="7" t="str">
        <f t="shared" si="2"/>
        <v>DP_AGG1Phát triển</v>
      </c>
      <c r="E154" s="8">
        <v>6</v>
      </c>
    </row>
    <row r="155" spans="1:5" ht="47.25" x14ac:dyDescent="0.25">
      <c r="A155" s="6">
        <v>153</v>
      </c>
      <c r="B155" s="18" t="s">
        <v>137</v>
      </c>
      <c r="C155" s="20" t="s">
        <v>86</v>
      </c>
      <c r="D155" s="7" t="str">
        <f t="shared" si="2"/>
        <v>DP_AGG1Kiểm thử</v>
      </c>
      <c r="E155" s="8">
        <v>5.5</v>
      </c>
    </row>
    <row r="156" spans="1:5" ht="47.25" x14ac:dyDescent="0.25">
      <c r="A156" s="6">
        <v>154</v>
      </c>
      <c r="B156" s="18" t="s">
        <v>138</v>
      </c>
      <c r="C156" s="19" t="s">
        <v>84</v>
      </c>
      <c r="D156" s="7" t="str">
        <f t="shared" si="2"/>
        <v>DP_AGG2Giải pháp</v>
      </c>
      <c r="E156" s="8">
        <v>8.5</v>
      </c>
    </row>
    <row r="157" spans="1:5" ht="47.25" x14ac:dyDescent="0.25">
      <c r="A157" s="6">
        <v>155</v>
      </c>
      <c r="B157" s="18" t="s">
        <v>138</v>
      </c>
      <c r="C157" s="19" t="s">
        <v>85</v>
      </c>
      <c r="D157" s="7" t="str">
        <f t="shared" si="2"/>
        <v>DP_AGG2Phát triển</v>
      </c>
      <c r="E157" s="8">
        <v>16</v>
      </c>
    </row>
    <row r="158" spans="1:5" ht="47.25" x14ac:dyDescent="0.25">
      <c r="A158" s="6">
        <v>156</v>
      </c>
      <c r="B158" s="18" t="s">
        <v>138</v>
      </c>
      <c r="C158" s="20" t="s">
        <v>86</v>
      </c>
      <c r="D158" s="7" t="str">
        <f t="shared" si="2"/>
        <v>DP_AGG2Kiểm thử</v>
      </c>
      <c r="E158" s="8">
        <v>9</v>
      </c>
    </row>
    <row r="159" spans="1:5" ht="47.25" x14ac:dyDescent="0.25">
      <c r="A159" s="6">
        <v>157</v>
      </c>
      <c r="B159" s="18" t="s">
        <v>139</v>
      </c>
      <c r="C159" s="19" t="s">
        <v>84</v>
      </c>
      <c r="D159" s="7" t="str">
        <f t="shared" si="2"/>
        <v>DP_AGG3Giải pháp</v>
      </c>
      <c r="E159" s="8">
        <v>12</v>
      </c>
    </row>
    <row r="160" spans="1:5" ht="47.25" x14ac:dyDescent="0.25">
      <c r="A160" s="6">
        <v>158</v>
      </c>
      <c r="B160" s="18" t="s">
        <v>139</v>
      </c>
      <c r="C160" s="19" t="s">
        <v>85</v>
      </c>
      <c r="D160" s="7" t="str">
        <f t="shared" si="2"/>
        <v>DP_AGG3Phát triển</v>
      </c>
      <c r="E160" s="8">
        <v>24</v>
      </c>
    </row>
    <row r="161" spans="1:5" ht="47.25" x14ac:dyDescent="0.25">
      <c r="A161" s="6">
        <v>159</v>
      </c>
      <c r="B161" s="18" t="s">
        <v>139</v>
      </c>
      <c r="C161" s="20" t="s">
        <v>86</v>
      </c>
      <c r="D161" s="7" t="str">
        <f t="shared" si="2"/>
        <v>DP_AGG3Kiểm thử</v>
      </c>
      <c r="E161" s="8">
        <v>12.5</v>
      </c>
    </row>
    <row r="162" spans="1:5" ht="78.75" x14ac:dyDescent="0.25">
      <c r="A162" s="6">
        <v>160</v>
      </c>
      <c r="B162" s="9" t="s">
        <v>140</v>
      </c>
      <c r="C162" s="9" t="s">
        <v>84</v>
      </c>
      <c r="D162" s="7" t="str">
        <f t="shared" si="2"/>
        <v>DV_TABLEAU_CHARTGiải pháp</v>
      </c>
      <c r="E162" s="17">
        <v>2</v>
      </c>
    </row>
    <row r="163" spans="1:5" ht="78.75" x14ac:dyDescent="0.25">
      <c r="A163" s="6">
        <v>161</v>
      </c>
      <c r="B163" s="9" t="s">
        <v>140</v>
      </c>
      <c r="C163" s="9" t="s">
        <v>85</v>
      </c>
      <c r="D163" s="7" t="str">
        <f t="shared" si="2"/>
        <v>DV_TABLEAU_CHARTPhát triển</v>
      </c>
      <c r="E163" s="17">
        <v>3</v>
      </c>
    </row>
    <row r="164" spans="1:5" ht="78.75" x14ac:dyDescent="0.25">
      <c r="A164" s="6">
        <v>162</v>
      </c>
      <c r="B164" s="9" t="s">
        <v>140</v>
      </c>
      <c r="C164" s="20" t="s">
        <v>86</v>
      </c>
      <c r="D164" s="7" t="str">
        <f t="shared" si="2"/>
        <v>DV_TABLEAU_CHARTKiểm thử</v>
      </c>
      <c r="E164" s="17">
        <v>3</v>
      </c>
    </row>
    <row r="165" spans="1:5" ht="94.5" x14ac:dyDescent="0.25">
      <c r="A165" s="6">
        <v>163</v>
      </c>
      <c r="B165" s="21" t="s">
        <v>141</v>
      </c>
      <c r="C165" s="9" t="s">
        <v>84</v>
      </c>
      <c r="D165" s="7" t="str">
        <f t="shared" si="2"/>
        <v>DV_TABLEAU_DASHBOARD1Giải pháp</v>
      </c>
      <c r="E165" s="17">
        <v>2</v>
      </c>
    </row>
    <row r="166" spans="1:5" ht="94.5" x14ac:dyDescent="0.25">
      <c r="A166" s="6">
        <v>164</v>
      </c>
      <c r="B166" s="21" t="s">
        <v>141</v>
      </c>
      <c r="C166" s="9" t="s">
        <v>85</v>
      </c>
      <c r="D166" s="7" t="str">
        <f t="shared" si="2"/>
        <v>DV_TABLEAU_DASHBOARD1Phát triển</v>
      </c>
      <c r="E166" s="17">
        <v>4</v>
      </c>
    </row>
    <row r="167" spans="1:5" ht="94.5" x14ac:dyDescent="0.25">
      <c r="A167" s="6">
        <v>165</v>
      </c>
      <c r="B167" s="21" t="s">
        <v>141</v>
      </c>
      <c r="C167" s="20" t="s">
        <v>86</v>
      </c>
      <c r="D167" s="7" t="str">
        <f t="shared" si="2"/>
        <v>DV_TABLEAU_DASHBOARD1Kiểm thử</v>
      </c>
      <c r="E167" s="17">
        <v>2</v>
      </c>
    </row>
    <row r="168" spans="1:5" ht="94.5" x14ac:dyDescent="0.25">
      <c r="A168" s="6">
        <v>166</v>
      </c>
      <c r="B168" s="21" t="s">
        <v>142</v>
      </c>
      <c r="C168" s="9" t="s">
        <v>84</v>
      </c>
      <c r="D168" s="7" t="str">
        <f t="shared" si="2"/>
        <v>DV_TABLEAU_DASHBOARD2Giải pháp</v>
      </c>
      <c r="E168" s="17">
        <v>4</v>
      </c>
    </row>
    <row r="169" spans="1:5" ht="94.5" x14ac:dyDescent="0.25">
      <c r="A169" s="6">
        <v>167</v>
      </c>
      <c r="B169" s="21" t="s">
        <v>142</v>
      </c>
      <c r="C169" s="9" t="s">
        <v>85</v>
      </c>
      <c r="D169" s="7" t="str">
        <f t="shared" si="2"/>
        <v>DV_TABLEAU_DASHBOARD2Phát triển</v>
      </c>
      <c r="E169" s="17">
        <v>8</v>
      </c>
    </row>
    <row r="170" spans="1:5" ht="94.5" x14ac:dyDescent="0.25">
      <c r="A170" s="6">
        <v>168</v>
      </c>
      <c r="B170" s="21" t="s">
        <v>142</v>
      </c>
      <c r="C170" s="20" t="s">
        <v>86</v>
      </c>
      <c r="D170" s="7" t="str">
        <f t="shared" si="2"/>
        <v>DV_TABLEAU_DASHBOARD2Kiểm thử</v>
      </c>
      <c r="E170" s="17">
        <v>4</v>
      </c>
    </row>
    <row r="171" spans="1:5" ht="63" x14ac:dyDescent="0.25">
      <c r="A171" s="6">
        <v>169</v>
      </c>
      <c r="B171" s="21" t="s">
        <v>143</v>
      </c>
      <c r="C171" s="21" t="s">
        <v>84</v>
      </c>
      <c r="D171" s="7" t="str">
        <f t="shared" si="2"/>
        <v>DATA_SUPPORT1Giải pháp</v>
      </c>
      <c r="E171" s="22">
        <v>3</v>
      </c>
    </row>
    <row r="172" spans="1:5" ht="63" x14ac:dyDescent="0.25">
      <c r="A172" s="6">
        <v>170</v>
      </c>
      <c r="B172" s="21" t="s">
        <v>143</v>
      </c>
      <c r="C172" s="21" t="s">
        <v>85</v>
      </c>
      <c r="D172" s="7" t="str">
        <f t="shared" si="2"/>
        <v>DATA_SUPPORT1Phát triển</v>
      </c>
      <c r="E172" s="22">
        <v>6</v>
      </c>
    </row>
    <row r="173" spans="1:5" ht="63" x14ac:dyDescent="0.25">
      <c r="A173" s="6">
        <v>171</v>
      </c>
      <c r="B173" s="21" t="s">
        <v>143</v>
      </c>
      <c r="C173" s="20" t="s">
        <v>86</v>
      </c>
      <c r="D173" s="7" t="str">
        <f t="shared" si="2"/>
        <v>DATA_SUPPORT1Kiểm thử</v>
      </c>
      <c r="E173" s="22">
        <v>2.75</v>
      </c>
    </row>
    <row r="174" spans="1:5" ht="63" x14ac:dyDescent="0.25">
      <c r="A174" s="6">
        <v>172</v>
      </c>
      <c r="B174" s="21" t="s">
        <v>144</v>
      </c>
      <c r="C174" s="21" t="s">
        <v>84</v>
      </c>
      <c r="D174" s="7" t="str">
        <f t="shared" si="2"/>
        <v>DATA_SUPPORT2Giải pháp</v>
      </c>
      <c r="E174" s="22">
        <v>4.25</v>
      </c>
    </row>
    <row r="175" spans="1:5" ht="63" x14ac:dyDescent="0.25">
      <c r="A175" s="6">
        <v>173</v>
      </c>
      <c r="B175" s="21" t="s">
        <v>144</v>
      </c>
      <c r="C175" s="21" t="s">
        <v>85</v>
      </c>
      <c r="D175" s="7" t="str">
        <f t="shared" si="2"/>
        <v>DATA_SUPPORT2Phát triển</v>
      </c>
      <c r="E175" s="22">
        <v>16</v>
      </c>
    </row>
    <row r="176" spans="1:5" ht="63" x14ac:dyDescent="0.25">
      <c r="A176" s="6">
        <v>174</v>
      </c>
      <c r="B176" s="21" t="s">
        <v>144</v>
      </c>
      <c r="C176" s="20" t="s">
        <v>86</v>
      </c>
      <c r="D176" s="7" t="str">
        <f t="shared" si="2"/>
        <v>DATA_SUPPORT2Kiểm thử</v>
      </c>
      <c r="E176" s="22">
        <v>4.5</v>
      </c>
    </row>
    <row r="177" spans="1:5" ht="63" x14ac:dyDescent="0.25">
      <c r="A177" s="6">
        <v>175</v>
      </c>
      <c r="B177" s="21" t="s">
        <v>145</v>
      </c>
      <c r="C177" s="21" t="s">
        <v>84</v>
      </c>
      <c r="D177" s="7" t="str">
        <f t="shared" si="2"/>
        <v>DATA_SUPPORT3Giải pháp</v>
      </c>
      <c r="E177" s="22">
        <v>6</v>
      </c>
    </row>
    <row r="178" spans="1:5" ht="63" x14ac:dyDescent="0.25">
      <c r="A178" s="6">
        <v>176</v>
      </c>
      <c r="B178" s="21" t="s">
        <v>145</v>
      </c>
      <c r="C178" s="21" t="s">
        <v>85</v>
      </c>
      <c r="D178" s="7" t="str">
        <f t="shared" si="2"/>
        <v>DATA_SUPPORT3Phát triển</v>
      </c>
      <c r="E178" s="22">
        <v>24</v>
      </c>
    </row>
    <row r="179" spans="1:5" ht="63" x14ac:dyDescent="0.25">
      <c r="A179" s="6">
        <v>177</v>
      </c>
      <c r="B179" s="21" t="s">
        <v>145</v>
      </c>
      <c r="C179" s="20" t="s">
        <v>86</v>
      </c>
      <c r="D179" s="7" t="str">
        <f t="shared" si="2"/>
        <v>DATA_SUPPORT3Kiểm thử</v>
      </c>
      <c r="E179" s="22">
        <v>6.25</v>
      </c>
    </row>
    <row r="180" spans="1:5" ht="63" x14ac:dyDescent="0.25">
      <c r="A180" s="6">
        <v>178</v>
      </c>
      <c r="B180" s="23" t="s">
        <v>146</v>
      </c>
      <c r="C180" s="23" t="s">
        <v>105</v>
      </c>
      <c r="D180" s="7" t="str">
        <f t="shared" si="2"/>
        <v>WRITE_TC_WEB_1kiểm thử</v>
      </c>
      <c r="E180" s="24">
        <v>8</v>
      </c>
    </row>
    <row r="181" spans="1:5" ht="63" x14ac:dyDescent="0.25">
      <c r="A181" s="6">
        <v>179</v>
      </c>
      <c r="B181" s="23" t="s">
        <v>146</v>
      </c>
      <c r="C181" s="23" t="s">
        <v>84</v>
      </c>
      <c r="D181" s="7" t="str">
        <f t="shared" si="2"/>
        <v>WRITE_TC_WEB_1Giải pháp</v>
      </c>
      <c r="E181" s="24">
        <v>0</v>
      </c>
    </row>
    <row r="182" spans="1:5" ht="63" x14ac:dyDescent="0.25">
      <c r="A182" s="6">
        <v>180</v>
      </c>
      <c r="B182" s="23" t="s">
        <v>146</v>
      </c>
      <c r="C182" s="23" t="s">
        <v>85</v>
      </c>
      <c r="D182" s="7" t="str">
        <f t="shared" si="2"/>
        <v>WRITE_TC_WEB_1Phát triển</v>
      </c>
      <c r="E182" s="24">
        <v>0</v>
      </c>
    </row>
    <row r="183" spans="1:5" ht="63" x14ac:dyDescent="0.25">
      <c r="A183" s="6">
        <v>181</v>
      </c>
      <c r="B183" s="23" t="s">
        <v>147</v>
      </c>
      <c r="C183" s="23" t="s">
        <v>86</v>
      </c>
      <c r="D183" s="7" t="str">
        <f t="shared" si="2"/>
        <v>WRITE_TC_WEB_2Kiểm thử</v>
      </c>
      <c r="E183" s="24">
        <v>12</v>
      </c>
    </row>
    <row r="184" spans="1:5" ht="63" x14ac:dyDescent="0.25">
      <c r="A184" s="6">
        <v>182</v>
      </c>
      <c r="B184" s="23" t="s">
        <v>147</v>
      </c>
      <c r="C184" s="23" t="s">
        <v>84</v>
      </c>
      <c r="D184" s="7" t="str">
        <f t="shared" si="2"/>
        <v>WRITE_TC_WEB_2Giải pháp</v>
      </c>
      <c r="E184" s="24">
        <v>0</v>
      </c>
    </row>
    <row r="185" spans="1:5" ht="63" x14ac:dyDescent="0.25">
      <c r="A185" s="6">
        <v>183</v>
      </c>
      <c r="B185" s="23" t="s">
        <v>147</v>
      </c>
      <c r="C185" s="23" t="s">
        <v>85</v>
      </c>
      <c r="D185" s="7" t="str">
        <f t="shared" si="2"/>
        <v>WRITE_TC_WEB_2Phát triển</v>
      </c>
      <c r="E185" s="24">
        <v>0</v>
      </c>
    </row>
    <row r="186" spans="1:5" ht="63" x14ac:dyDescent="0.25">
      <c r="A186" s="6">
        <v>184</v>
      </c>
      <c r="B186" s="23" t="s">
        <v>148</v>
      </c>
      <c r="C186" s="23" t="s">
        <v>105</v>
      </c>
      <c r="D186" s="7" t="str">
        <f t="shared" si="2"/>
        <v>WRITE_TC_WEB_3kiểm thử</v>
      </c>
      <c r="E186" s="24">
        <v>16</v>
      </c>
    </row>
    <row r="187" spans="1:5" ht="63" x14ac:dyDescent="0.25">
      <c r="A187" s="6">
        <v>185</v>
      </c>
      <c r="B187" s="23" t="s">
        <v>148</v>
      </c>
      <c r="C187" s="23" t="s">
        <v>84</v>
      </c>
      <c r="D187" s="7" t="str">
        <f t="shared" si="2"/>
        <v>WRITE_TC_WEB_3Giải pháp</v>
      </c>
      <c r="E187" s="24">
        <v>0</v>
      </c>
    </row>
    <row r="188" spans="1:5" ht="63" x14ac:dyDescent="0.25">
      <c r="A188" s="6">
        <v>186</v>
      </c>
      <c r="B188" s="23" t="s">
        <v>148</v>
      </c>
      <c r="C188" s="23" t="s">
        <v>85</v>
      </c>
      <c r="D188" s="7" t="str">
        <f t="shared" si="2"/>
        <v>WRITE_TC_WEB_3Phát triển</v>
      </c>
      <c r="E188" s="24">
        <v>0</v>
      </c>
    </row>
    <row r="189" spans="1:5" ht="94.5" x14ac:dyDescent="0.25">
      <c r="A189" s="6">
        <v>187</v>
      </c>
      <c r="B189" s="23" t="s">
        <v>149</v>
      </c>
      <c r="C189" s="23" t="s">
        <v>105</v>
      </c>
      <c r="D189" s="7" t="str">
        <f t="shared" si="2"/>
        <v>WRITE_TC_MOBILE_ANDROID_1kiểm thử</v>
      </c>
      <c r="E189" s="24">
        <v>8</v>
      </c>
    </row>
    <row r="190" spans="1:5" ht="94.5" x14ac:dyDescent="0.25">
      <c r="A190" s="6">
        <v>188</v>
      </c>
      <c r="B190" s="23" t="s">
        <v>149</v>
      </c>
      <c r="C190" s="23" t="s">
        <v>84</v>
      </c>
      <c r="D190" s="7" t="str">
        <f t="shared" si="2"/>
        <v>WRITE_TC_MOBILE_ANDROID_1Giải pháp</v>
      </c>
      <c r="E190" s="24">
        <v>0</v>
      </c>
    </row>
    <row r="191" spans="1:5" ht="94.5" x14ac:dyDescent="0.25">
      <c r="A191" s="6">
        <v>189</v>
      </c>
      <c r="B191" s="23" t="s">
        <v>149</v>
      </c>
      <c r="C191" s="23" t="s">
        <v>85</v>
      </c>
      <c r="D191" s="7" t="str">
        <f t="shared" si="2"/>
        <v>WRITE_TC_MOBILE_ANDROID_1Phát triển</v>
      </c>
      <c r="E191" s="24">
        <v>0</v>
      </c>
    </row>
    <row r="192" spans="1:5" ht="94.5" x14ac:dyDescent="0.25">
      <c r="A192" s="6">
        <v>190</v>
      </c>
      <c r="B192" s="23" t="s">
        <v>150</v>
      </c>
      <c r="C192" s="23" t="s">
        <v>105</v>
      </c>
      <c r="D192" s="7" t="str">
        <f t="shared" si="2"/>
        <v>WRITE_TC_MOBILE_ANDROID_2kiểm thử</v>
      </c>
      <c r="E192" s="24">
        <v>12</v>
      </c>
    </row>
    <row r="193" spans="1:5" ht="94.5" x14ac:dyDescent="0.25">
      <c r="A193" s="6">
        <v>191</v>
      </c>
      <c r="B193" s="23" t="s">
        <v>150</v>
      </c>
      <c r="C193" s="23" t="s">
        <v>84</v>
      </c>
      <c r="D193" s="7" t="str">
        <f t="shared" si="2"/>
        <v>WRITE_TC_MOBILE_ANDROID_2Giải pháp</v>
      </c>
      <c r="E193" s="24">
        <v>0</v>
      </c>
    </row>
    <row r="194" spans="1:5" ht="94.5" x14ac:dyDescent="0.25">
      <c r="A194" s="6">
        <v>192</v>
      </c>
      <c r="B194" s="23" t="s">
        <v>150</v>
      </c>
      <c r="C194" s="23" t="s">
        <v>85</v>
      </c>
      <c r="D194" s="7" t="str">
        <f t="shared" si="2"/>
        <v>WRITE_TC_MOBILE_ANDROID_2Phát triển</v>
      </c>
      <c r="E194" s="24">
        <v>0</v>
      </c>
    </row>
    <row r="195" spans="1:5" ht="94.5" x14ac:dyDescent="0.25">
      <c r="A195" s="6">
        <v>193</v>
      </c>
      <c r="B195" s="23" t="s">
        <v>151</v>
      </c>
      <c r="C195" s="23" t="s">
        <v>105</v>
      </c>
      <c r="D195" s="7" t="str">
        <f t="shared" si="2"/>
        <v>WRITE_TC_MOBILE_ANDROID_3kiểm thử</v>
      </c>
      <c r="E195" s="24">
        <v>16</v>
      </c>
    </row>
    <row r="196" spans="1:5" ht="94.5" x14ac:dyDescent="0.25">
      <c r="A196" s="6">
        <v>194</v>
      </c>
      <c r="B196" s="23" t="s">
        <v>151</v>
      </c>
      <c r="C196" s="23" t="s">
        <v>84</v>
      </c>
      <c r="D196" s="7" t="str">
        <f t="shared" si="2"/>
        <v>WRITE_TC_MOBILE_ANDROID_3Giải pháp</v>
      </c>
      <c r="E196" s="24">
        <v>0</v>
      </c>
    </row>
    <row r="197" spans="1:5" ht="94.5" x14ac:dyDescent="0.25">
      <c r="A197" s="6">
        <v>195</v>
      </c>
      <c r="B197" s="23" t="s">
        <v>151</v>
      </c>
      <c r="C197" s="23" t="s">
        <v>85</v>
      </c>
      <c r="D197" s="7" t="str">
        <f t="shared" si="2"/>
        <v>WRITE_TC_MOBILE_ANDROID_3Phát triển</v>
      </c>
      <c r="E197" s="24">
        <v>0</v>
      </c>
    </row>
    <row r="198" spans="1:5" ht="78.75" x14ac:dyDescent="0.25">
      <c r="A198" s="6">
        <v>196</v>
      </c>
      <c r="B198" s="23" t="s">
        <v>152</v>
      </c>
      <c r="C198" s="23" t="s">
        <v>105</v>
      </c>
      <c r="D198" s="7" t="str">
        <f t="shared" ref="D198:D260" si="3">B198&amp;C198</f>
        <v>WRITE_TC_MOBILE_IOS_1kiểm thử</v>
      </c>
      <c r="E198" s="24">
        <v>12</v>
      </c>
    </row>
    <row r="199" spans="1:5" ht="78.75" x14ac:dyDescent="0.25">
      <c r="A199" s="6">
        <v>197</v>
      </c>
      <c r="B199" s="23" t="s">
        <v>152</v>
      </c>
      <c r="C199" s="23" t="s">
        <v>84</v>
      </c>
      <c r="D199" s="7" t="str">
        <f t="shared" si="3"/>
        <v>WRITE_TC_MOBILE_IOS_1Giải pháp</v>
      </c>
      <c r="E199" s="24">
        <v>0</v>
      </c>
    </row>
    <row r="200" spans="1:5" ht="78.75" x14ac:dyDescent="0.25">
      <c r="A200" s="6">
        <v>198</v>
      </c>
      <c r="B200" s="23" t="s">
        <v>152</v>
      </c>
      <c r="C200" s="23" t="s">
        <v>85</v>
      </c>
      <c r="D200" s="7" t="str">
        <f t="shared" si="3"/>
        <v>WRITE_TC_MOBILE_IOS_1Phát triển</v>
      </c>
      <c r="E200" s="24">
        <v>0</v>
      </c>
    </row>
    <row r="201" spans="1:5" ht="78.75" x14ac:dyDescent="0.25">
      <c r="A201" s="6">
        <v>199</v>
      </c>
      <c r="B201" s="23" t="s">
        <v>153</v>
      </c>
      <c r="C201" s="23" t="s">
        <v>105</v>
      </c>
      <c r="D201" s="7" t="str">
        <f t="shared" si="3"/>
        <v>WRITE_TC_MOBILE_IOS_2kiểm thử</v>
      </c>
      <c r="E201" s="24">
        <v>16</v>
      </c>
    </row>
    <row r="202" spans="1:5" ht="78.75" x14ac:dyDescent="0.25">
      <c r="A202" s="6">
        <v>200</v>
      </c>
      <c r="B202" s="23" t="s">
        <v>153</v>
      </c>
      <c r="C202" s="23" t="s">
        <v>84</v>
      </c>
      <c r="D202" s="7" t="str">
        <f t="shared" si="3"/>
        <v>WRITE_TC_MOBILE_IOS_2Giải pháp</v>
      </c>
      <c r="E202" s="24">
        <v>0</v>
      </c>
    </row>
    <row r="203" spans="1:5" ht="78.75" x14ac:dyDescent="0.25">
      <c r="A203" s="6">
        <v>201</v>
      </c>
      <c r="B203" s="23" t="s">
        <v>153</v>
      </c>
      <c r="C203" s="23" t="s">
        <v>85</v>
      </c>
      <c r="D203" s="7" t="str">
        <f t="shared" si="3"/>
        <v>WRITE_TC_MOBILE_IOS_2Phát triển</v>
      </c>
      <c r="E203" s="24">
        <v>0</v>
      </c>
    </row>
    <row r="204" spans="1:5" ht="78.75" x14ac:dyDescent="0.25">
      <c r="A204" s="6">
        <v>202</v>
      </c>
      <c r="B204" s="23" t="s">
        <v>154</v>
      </c>
      <c r="C204" s="23" t="s">
        <v>105</v>
      </c>
      <c r="D204" s="7" t="str">
        <f t="shared" si="3"/>
        <v>WRITE_TC_MOBILE_IOS_3kiểm thử</v>
      </c>
      <c r="E204" s="24">
        <v>20</v>
      </c>
    </row>
    <row r="205" spans="1:5" ht="78.75" x14ac:dyDescent="0.25">
      <c r="A205" s="6">
        <v>203</v>
      </c>
      <c r="B205" s="23" t="s">
        <v>154</v>
      </c>
      <c r="C205" s="23" t="s">
        <v>84</v>
      </c>
      <c r="D205" s="7" t="str">
        <f t="shared" si="3"/>
        <v>WRITE_TC_MOBILE_IOS_3Giải pháp</v>
      </c>
      <c r="E205" s="24">
        <v>0</v>
      </c>
    </row>
    <row r="206" spans="1:5" ht="78.75" x14ac:dyDescent="0.25">
      <c r="A206" s="6">
        <v>204</v>
      </c>
      <c r="B206" s="23" t="s">
        <v>154</v>
      </c>
      <c r="C206" s="23" t="s">
        <v>85</v>
      </c>
      <c r="D206" s="7" t="str">
        <f t="shared" si="3"/>
        <v>WRITE_TC_MOBILE_IOS_3Phát triển</v>
      </c>
      <c r="E206" s="24">
        <v>0</v>
      </c>
    </row>
    <row r="207" spans="1:5" ht="63" x14ac:dyDescent="0.25">
      <c r="A207" s="6">
        <v>205</v>
      </c>
      <c r="B207" s="23" t="s">
        <v>155</v>
      </c>
      <c r="C207" s="23" t="s">
        <v>105</v>
      </c>
      <c r="D207" s="7" t="str">
        <f t="shared" si="3"/>
        <v>MANTAIN_TC_WEBkiểm thử</v>
      </c>
      <c r="E207" s="24">
        <v>4</v>
      </c>
    </row>
    <row r="208" spans="1:5" ht="63" x14ac:dyDescent="0.25">
      <c r="A208" s="6">
        <v>206</v>
      </c>
      <c r="B208" s="23" t="s">
        <v>155</v>
      </c>
      <c r="C208" s="23" t="s">
        <v>84</v>
      </c>
      <c r="D208" s="7" t="str">
        <f t="shared" si="3"/>
        <v>MANTAIN_TC_WEBGiải pháp</v>
      </c>
      <c r="E208" s="24">
        <v>0</v>
      </c>
    </row>
    <row r="209" spans="1:5" ht="63" x14ac:dyDescent="0.25">
      <c r="A209" s="6">
        <v>207</v>
      </c>
      <c r="B209" s="23" t="s">
        <v>155</v>
      </c>
      <c r="C209" s="23" t="s">
        <v>85</v>
      </c>
      <c r="D209" s="7" t="str">
        <f t="shared" si="3"/>
        <v>MANTAIN_TC_WEBPhát triển</v>
      </c>
      <c r="E209" s="24">
        <v>0</v>
      </c>
    </row>
    <row r="210" spans="1:5" ht="78.75" x14ac:dyDescent="0.25">
      <c r="A210" s="6">
        <v>208</v>
      </c>
      <c r="B210" s="23" t="s">
        <v>156</v>
      </c>
      <c r="C210" s="23" t="s">
        <v>105</v>
      </c>
      <c r="D210" s="7" t="str">
        <f t="shared" si="3"/>
        <v>MAITAIN_TC_MOBILEkiểm thử</v>
      </c>
      <c r="E210" s="24">
        <v>6</v>
      </c>
    </row>
    <row r="211" spans="1:5" ht="78.75" x14ac:dyDescent="0.25">
      <c r="A211" s="6">
        <v>209</v>
      </c>
      <c r="B211" s="23" t="s">
        <v>156</v>
      </c>
      <c r="C211" s="23" t="s">
        <v>84</v>
      </c>
      <c r="D211" s="7" t="str">
        <f t="shared" si="3"/>
        <v>MAITAIN_TC_MOBILEGiải pháp</v>
      </c>
      <c r="E211" s="24">
        <v>0</v>
      </c>
    </row>
    <row r="212" spans="1:5" ht="78.75" x14ac:dyDescent="0.25">
      <c r="A212" s="6">
        <v>210</v>
      </c>
      <c r="B212" s="23" t="s">
        <v>156</v>
      </c>
      <c r="C212" s="23" t="s">
        <v>85</v>
      </c>
      <c r="D212" s="7" t="str">
        <f t="shared" si="3"/>
        <v>MAITAIN_TC_MOBILEPhát triển</v>
      </c>
      <c r="E212" s="24">
        <v>0</v>
      </c>
    </row>
    <row r="213" spans="1:5" ht="31.5" x14ac:dyDescent="0.25">
      <c r="A213" s="6">
        <v>211</v>
      </c>
      <c r="B213" s="19" t="s">
        <v>157</v>
      </c>
      <c r="C213" s="11" t="s">
        <v>85</v>
      </c>
      <c r="D213" s="7" t="str">
        <f t="shared" si="3"/>
        <v>CICD02Phát triển</v>
      </c>
      <c r="E213" s="8">
        <v>10</v>
      </c>
    </row>
    <row r="214" spans="1:5" ht="31.5" x14ac:dyDescent="0.25">
      <c r="A214" s="6">
        <v>212</v>
      </c>
      <c r="B214" s="19" t="s">
        <v>157</v>
      </c>
      <c r="C214" s="11" t="s">
        <v>105</v>
      </c>
      <c r="D214" s="7" t="str">
        <f t="shared" si="3"/>
        <v>CICD02kiểm thử</v>
      </c>
      <c r="E214" s="8">
        <v>0</v>
      </c>
    </row>
    <row r="215" spans="1:5" ht="47.25" x14ac:dyDescent="0.25">
      <c r="A215" s="6">
        <v>213</v>
      </c>
      <c r="B215" s="19" t="s">
        <v>157</v>
      </c>
      <c r="C215" s="11" t="s">
        <v>84</v>
      </c>
      <c r="D215" s="7" t="str">
        <f t="shared" si="3"/>
        <v>CICD02Giải pháp</v>
      </c>
      <c r="E215" s="8">
        <v>0</v>
      </c>
    </row>
    <row r="216" spans="1:5" ht="31.5" x14ac:dyDescent="0.25">
      <c r="A216" s="6">
        <v>214</v>
      </c>
      <c r="B216" s="11" t="s">
        <v>158</v>
      </c>
      <c r="C216" s="11" t="s">
        <v>85</v>
      </c>
      <c r="D216" s="7" t="str">
        <f t="shared" si="3"/>
        <v>CICD03Phát triển</v>
      </c>
      <c r="E216" s="8">
        <v>2</v>
      </c>
    </row>
    <row r="217" spans="1:5" ht="31.5" x14ac:dyDescent="0.25">
      <c r="A217" s="6">
        <v>215</v>
      </c>
      <c r="B217" s="11" t="s">
        <v>158</v>
      </c>
      <c r="C217" s="11" t="s">
        <v>105</v>
      </c>
      <c r="D217" s="7" t="str">
        <f t="shared" si="3"/>
        <v>CICD03kiểm thử</v>
      </c>
      <c r="E217" s="8">
        <v>0</v>
      </c>
    </row>
    <row r="218" spans="1:5" ht="47.25" x14ac:dyDescent="0.25">
      <c r="A218" s="6">
        <v>216</v>
      </c>
      <c r="B218" s="11" t="s">
        <v>158</v>
      </c>
      <c r="C218" s="11" t="s">
        <v>84</v>
      </c>
      <c r="D218" s="7" t="str">
        <f t="shared" si="3"/>
        <v>CICD03Giải pháp</v>
      </c>
      <c r="E218" s="8">
        <v>0</v>
      </c>
    </row>
    <row r="219" spans="1:5" ht="47.25" x14ac:dyDescent="0.25">
      <c r="A219" s="6">
        <v>217</v>
      </c>
      <c r="B219" s="25" t="s">
        <v>159</v>
      </c>
      <c r="C219" s="25" t="s">
        <v>86</v>
      </c>
      <c r="D219" s="7" t="str">
        <f t="shared" si="3"/>
        <v>RUN_WEB_1Kiểm thử</v>
      </c>
      <c r="E219" s="8">
        <v>8</v>
      </c>
    </row>
    <row r="220" spans="1:5" ht="47.25" x14ac:dyDescent="0.25">
      <c r="A220" s="6">
        <v>218</v>
      </c>
      <c r="B220" s="25" t="s">
        <v>159</v>
      </c>
      <c r="C220" s="25" t="s">
        <v>84</v>
      </c>
      <c r="D220" s="7" t="str">
        <f t="shared" si="3"/>
        <v>RUN_WEB_1Giải pháp</v>
      </c>
      <c r="E220" s="8">
        <v>0</v>
      </c>
    </row>
    <row r="221" spans="1:5" ht="47.25" x14ac:dyDescent="0.25">
      <c r="A221" s="6">
        <v>219</v>
      </c>
      <c r="B221" s="25" t="s">
        <v>159</v>
      </c>
      <c r="C221" s="25" t="s">
        <v>85</v>
      </c>
      <c r="D221" s="7" t="str">
        <f t="shared" si="3"/>
        <v>RUN_WEB_1Phát triển</v>
      </c>
      <c r="E221" s="8">
        <v>0</v>
      </c>
    </row>
    <row r="222" spans="1:5" ht="63" x14ac:dyDescent="0.25">
      <c r="A222" s="6">
        <v>220</v>
      </c>
      <c r="B222" s="25" t="s">
        <v>160</v>
      </c>
      <c r="C222" s="25" t="s">
        <v>86</v>
      </c>
      <c r="D222" s="7" t="str">
        <f t="shared" si="3"/>
        <v xml:space="preserve"> RUN_WEB_2Kiểm thử</v>
      </c>
      <c r="E222" s="8">
        <v>12</v>
      </c>
    </row>
    <row r="223" spans="1:5" ht="63" x14ac:dyDescent="0.25">
      <c r="A223" s="6">
        <v>221</v>
      </c>
      <c r="B223" s="25" t="s">
        <v>160</v>
      </c>
      <c r="C223" s="25" t="s">
        <v>84</v>
      </c>
      <c r="D223" s="7" t="str">
        <f t="shared" si="3"/>
        <v xml:space="preserve"> RUN_WEB_2Giải pháp</v>
      </c>
      <c r="E223" s="8">
        <v>0</v>
      </c>
    </row>
    <row r="224" spans="1:5" ht="63" x14ac:dyDescent="0.25">
      <c r="A224" s="6">
        <v>222</v>
      </c>
      <c r="B224" s="25" t="s">
        <v>160</v>
      </c>
      <c r="C224" s="25" t="s">
        <v>85</v>
      </c>
      <c r="D224" s="7" t="str">
        <f t="shared" si="3"/>
        <v xml:space="preserve"> RUN_WEB_2Phát triển</v>
      </c>
      <c r="E224" s="8">
        <v>0</v>
      </c>
    </row>
    <row r="225" spans="1:5" ht="47.25" x14ac:dyDescent="0.25">
      <c r="A225" s="6">
        <v>223</v>
      </c>
      <c r="B225" s="25" t="s">
        <v>161</v>
      </c>
      <c r="C225" s="25" t="s">
        <v>86</v>
      </c>
      <c r="D225" s="7" t="str">
        <f t="shared" si="3"/>
        <v>RUN_WEB_3Kiểm thử</v>
      </c>
      <c r="E225" s="8">
        <v>16</v>
      </c>
    </row>
    <row r="226" spans="1:5" ht="47.25" x14ac:dyDescent="0.25">
      <c r="A226" s="6">
        <v>224</v>
      </c>
      <c r="B226" s="25" t="s">
        <v>161</v>
      </c>
      <c r="C226" s="25" t="s">
        <v>84</v>
      </c>
      <c r="D226" s="7" t="str">
        <f t="shared" si="3"/>
        <v>RUN_WEB_3Giải pháp</v>
      </c>
      <c r="E226" s="8">
        <v>0</v>
      </c>
    </row>
    <row r="227" spans="1:5" ht="47.25" x14ac:dyDescent="0.25">
      <c r="A227" s="6">
        <v>225</v>
      </c>
      <c r="B227" s="25" t="s">
        <v>161</v>
      </c>
      <c r="C227" s="25" t="s">
        <v>85</v>
      </c>
      <c r="D227" s="7" t="str">
        <f t="shared" si="3"/>
        <v>RUN_WEB_3Phát triển</v>
      </c>
      <c r="E227" s="8">
        <v>0</v>
      </c>
    </row>
    <row r="228" spans="1:5" ht="78.75" x14ac:dyDescent="0.25">
      <c r="A228" s="6">
        <v>226</v>
      </c>
      <c r="B228" s="25" t="s">
        <v>162</v>
      </c>
      <c r="C228" s="25" t="s">
        <v>86</v>
      </c>
      <c r="D228" s="7" t="str">
        <f t="shared" si="3"/>
        <v>RUN_MOBILE_ANDROID_1Kiểm thử</v>
      </c>
      <c r="E228" s="8">
        <v>8</v>
      </c>
    </row>
    <row r="229" spans="1:5" ht="78.75" x14ac:dyDescent="0.25">
      <c r="A229" s="6">
        <v>227</v>
      </c>
      <c r="B229" s="25" t="s">
        <v>162</v>
      </c>
      <c r="C229" s="25" t="s">
        <v>84</v>
      </c>
      <c r="D229" s="7" t="str">
        <f t="shared" si="3"/>
        <v>RUN_MOBILE_ANDROID_1Giải pháp</v>
      </c>
      <c r="E229" s="8">
        <v>0</v>
      </c>
    </row>
    <row r="230" spans="1:5" ht="78.75" x14ac:dyDescent="0.25">
      <c r="A230" s="6">
        <v>228</v>
      </c>
      <c r="B230" s="25" t="s">
        <v>162</v>
      </c>
      <c r="C230" s="25" t="s">
        <v>85</v>
      </c>
      <c r="D230" s="7" t="str">
        <f t="shared" si="3"/>
        <v>RUN_MOBILE_ANDROID_1Phát triển</v>
      </c>
      <c r="E230" s="8">
        <v>0</v>
      </c>
    </row>
    <row r="231" spans="1:5" ht="78.75" x14ac:dyDescent="0.25">
      <c r="A231" s="6">
        <v>229</v>
      </c>
      <c r="B231" s="25" t="s">
        <v>163</v>
      </c>
      <c r="C231" s="25" t="s">
        <v>86</v>
      </c>
      <c r="D231" s="7" t="str">
        <f t="shared" si="3"/>
        <v>RUN_MOBILE_ANDROID_2Kiểm thử</v>
      </c>
      <c r="E231" s="8">
        <v>12</v>
      </c>
    </row>
    <row r="232" spans="1:5" ht="78.75" x14ac:dyDescent="0.25">
      <c r="A232" s="6">
        <v>230</v>
      </c>
      <c r="B232" s="25" t="s">
        <v>163</v>
      </c>
      <c r="C232" s="25" t="s">
        <v>84</v>
      </c>
      <c r="D232" s="7" t="str">
        <f t="shared" si="3"/>
        <v>RUN_MOBILE_ANDROID_2Giải pháp</v>
      </c>
      <c r="E232" s="8">
        <v>0</v>
      </c>
    </row>
    <row r="233" spans="1:5" ht="78.75" x14ac:dyDescent="0.25">
      <c r="A233" s="6">
        <v>231</v>
      </c>
      <c r="B233" s="25" t="s">
        <v>163</v>
      </c>
      <c r="C233" s="25" t="s">
        <v>85</v>
      </c>
      <c r="D233" s="7" t="str">
        <f t="shared" si="3"/>
        <v>RUN_MOBILE_ANDROID_2Phát triển</v>
      </c>
      <c r="E233" s="8">
        <v>0</v>
      </c>
    </row>
    <row r="234" spans="1:5" ht="78.75" x14ac:dyDescent="0.25">
      <c r="A234" s="6">
        <v>232</v>
      </c>
      <c r="B234" s="25" t="s">
        <v>164</v>
      </c>
      <c r="C234" s="25" t="s">
        <v>86</v>
      </c>
      <c r="D234" s="7" t="str">
        <f t="shared" si="3"/>
        <v>RUN_MOBILE_ANDROID_3Kiểm thử</v>
      </c>
      <c r="E234" s="8">
        <v>16</v>
      </c>
    </row>
    <row r="235" spans="1:5" ht="78.75" x14ac:dyDescent="0.25">
      <c r="A235" s="6">
        <v>233</v>
      </c>
      <c r="B235" s="25" t="s">
        <v>164</v>
      </c>
      <c r="C235" s="25" t="s">
        <v>84</v>
      </c>
      <c r="D235" s="7" t="str">
        <f t="shared" si="3"/>
        <v>RUN_MOBILE_ANDROID_3Giải pháp</v>
      </c>
      <c r="E235" s="8">
        <v>0</v>
      </c>
    </row>
    <row r="236" spans="1:5" ht="78.75" x14ac:dyDescent="0.25">
      <c r="A236" s="6">
        <v>234</v>
      </c>
      <c r="B236" s="25" t="s">
        <v>164</v>
      </c>
      <c r="C236" s="25" t="s">
        <v>85</v>
      </c>
      <c r="D236" s="7" t="str">
        <f t="shared" si="3"/>
        <v>RUN_MOBILE_ANDROID_3Phát triển</v>
      </c>
      <c r="E236" s="8">
        <v>0</v>
      </c>
    </row>
    <row r="237" spans="1:5" ht="78.75" x14ac:dyDescent="0.25">
      <c r="A237" s="6">
        <v>235</v>
      </c>
      <c r="B237" s="25" t="s">
        <v>165</v>
      </c>
      <c r="C237" s="25" t="s">
        <v>86</v>
      </c>
      <c r="D237" s="7" t="str">
        <f t="shared" si="3"/>
        <v xml:space="preserve"> RUN_MOBILE_IOS_1Kiểm thử</v>
      </c>
      <c r="E237" s="8">
        <v>12</v>
      </c>
    </row>
    <row r="238" spans="1:5" ht="78.75" x14ac:dyDescent="0.25">
      <c r="A238" s="6">
        <v>236</v>
      </c>
      <c r="B238" s="25" t="s">
        <v>165</v>
      </c>
      <c r="C238" s="25" t="s">
        <v>84</v>
      </c>
      <c r="D238" s="7" t="str">
        <f t="shared" si="3"/>
        <v xml:space="preserve"> RUN_MOBILE_IOS_1Giải pháp</v>
      </c>
      <c r="E238" s="8">
        <v>0</v>
      </c>
    </row>
    <row r="239" spans="1:5" ht="78.75" x14ac:dyDescent="0.25">
      <c r="A239" s="6">
        <v>237</v>
      </c>
      <c r="B239" s="25" t="s">
        <v>165</v>
      </c>
      <c r="C239" s="25" t="s">
        <v>85</v>
      </c>
      <c r="D239" s="7" t="str">
        <f t="shared" si="3"/>
        <v xml:space="preserve"> RUN_MOBILE_IOS_1Phát triển</v>
      </c>
      <c r="E239" s="8">
        <v>0</v>
      </c>
    </row>
    <row r="240" spans="1:5" ht="63" x14ac:dyDescent="0.25">
      <c r="A240" s="6">
        <v>238</v>
      </c>
      <c r="B240" s="25" t="s">
        <v>166</v>
      </c>
      <c r="C240" s="25" t="s">
        <v>86</v>
      </c>
      <c r="D240" s="7" t="str">
        <f t="shared" si="3"/>
        <v>RUN_MOBILE_IOS_2Kiểm thử</v>
      </c>
      <c r="E240" s="8">
        <v>20</v>
      </c>
    </row>
    <row r="241" spans="1:5" ht="63" x14ac:dyDescent="0.25">
      <c r="A241" s="6">
        <v>239</v>
      </c>
      <c r="B241" s="25" t="s">
        <v>166</v>
      </c>
      <c r="C241" s="25" t="s">
        <v>84</v>
      </c>
      <c r="D241" s="7" t="str">
        <f t="shared" si="3"/>
        <v>RUN_MOBILE_IOS_2Giải pháp</v>
      </c>
      <c r="E241" s="8"/>
    </row>
    <row r="242" spans="1:5" ht="63" x14ac:dyDescent="0.25">
      <c r="A242" s="6">
        <v>240</v>
      </c>
      <c r="B242" s="25" t="s">
        <v>166</v>
      </c>
      <c r="C242" s="25" t="s">
        <v>85</v>
      </c>
      <c r="D242" s="7" t="str">
        <f t="shared" si="3"/>
        <v>RUN_MOBILE_IOS_2Phát triển</v>
      </c>
      <c r="E242" s="8"/>
    </row>
    <row r="243" spans="1:5" ht="63" x14ac:dyDescent="0.25">
      <c r="A243" s="6">
        <v>241</v>
      </c>
      <c r="B243" s="25" t="s">
        <v>167</v>
      </c>
      <c r="C243" s="25" t="s">
        <v>86</v>
      </c>
      <c r="D243" s="7" t="str">
        <f t="shared" si="3"/>
        <v>RUN_MOBILE_IOS_3Kiểm thử</v>
      </c>
      <c r="E243" s="8">
        <v>28</v>
      </c>
    </row>
    <row r="244" spans="1:5" ht="63" x14ac:dyDescent="0.25">
      <c r="A244" s="6">
        <v>242</v>
      </c>
      <c r="B244" s="25" t="s">
        <v>167</v>
      </c>
      <c r="C244" s="25" t="s">
        <v>84</v>
      </c>
      <c r="D244" s="7" t="str">
        <f t="shared" si="3"/>
        <v>RUN_MOBILE_IOS_3Giải pháp</v>
      </c>
      <c r="E244" s="8"/>
    </row>
    <row r="245" spans="1:5" ht="63" x14ac:dyDescent="0.25">
      <c r="A245" s="6">
        <v>243</v>
      </c>
      <c r="B245" s="25" t="s">
        <v>167</v>
      </c>
      <c r="C245" s="25" t="s">
        <v>85</v>
      </c>
      <c r="D245" s="7" t="str">
        <f t="shared" si="3"/>
        <v>RUN_MOBILE_IOS_3Phát triển</v>
      </c>
      <c r="E245" s="8"/>
    </row>
    <row r="246" spans="1:5" ht="78.75" x14ac:dyDescent="0.25">
      <c r="A246" s="6">
        <v>244</v>
      </c>
      <c r="B246" s="26" t="s">
        <v>168</v>
      </c>
      <c r="C246" s="25" t="s">
        <v>84</v>
      </c>
      <c r="D246" s="7" t="str">
        <f t="shared" si="3"/>
        <v>CN_MOBILE Client1-NCGiải pháp</v>
      </c>
      <c r="E246" s="24">
        <v>2</v>
      </c>
    </row>
    <row r="247" spans="1:5" ht="78.75" x14ac:dyDescent="0.25">
      <c r="A247" s="6">
        <v>245</v>
      </c>
      <c r="B247" s="26" t="s">
        <v>168</v>
      </c>
      <c r="C247" s="25" t="s">
        <v>85</v>
      </c>
      <c r="D247" s="7" t="str">
        <f t="shared" si="3"/>
        <v>CN_MOBILE Client1-NCPhát triển</v>
      </c>
      <c r="E247" s="24">
        <v>4</v>
      </c>
    </row>
    <row r="248" spans="1:5" ht="78.75" x14ac:dyDescent="0.25">
      <c r="A248" s="6">
        <v>246</v>
      </c>
      <c r="B248" s="26" t="s">
        <v>168</v>
      </c>
      <c r="C248" s="25" t="s">
        <v>86</v>
      </c>
      <c r="D248" s="7" t="str">
        <f t="shared" si="3"/>
        <v>CN_MOBILE Client1-NCKiểm thử</v>
      </c>
      <c r="E248" s="24">
        <v>4</v>
      </c>
    </row>
    <row r="249" spans="1:5" ht="78.75" x14ac:dyDescent="0.25">
      <c r="A249" s="6">
        <v>247</v>
      </c>
      <c r="B249" s="26" t="s">
        <v>169</v>
      </c>
      <c r="C249" s="25" t="s">
        <v>84</v>
      </c>
      <c r="D249" s="7" t="str">
        <f t="shared" si="3"/>
        <v>CN_MOBILE Client2-NCGiải pháp</v>
      </c>
      <c r="E249" s="24">
        <v>4</v>
      </c>
    </row>
    <row r="250" spans="1:5" ht="78.75" x14ac:dyDescent="0.25">
      <c r="A250" s="6">
        <v>248</v>
      </c>
      <c r="B250" s="26" t="s">
        <v>169</v>
      </c>
      <c r="C250" s="25" t="s">
        <v>85</v>
      </c>
      <c r="D250" s="7" t="str">
        <f t="shared" si="3"/>
        <v>CN_MOBILE Client2-NCPhát triển</v>
      </c>
      <c r="E250" s="24">
        <v>8.75</v>
      </c>
    </row>
    <row r="251" spans="1:5" ht="78.75" x14ac:dyDescent="0.25">
      <c r="A251" s="6">
        <v>249</v>
      </c>
      <c r="B251" s="26" t="s">
        <v>169</v>
      </c>
      <c r="C251" s="25" t="s">
        <v>86</v>
      </c>
      <c r="D251" s="7" t="str">
        <f t="shared" si="3"/>
        <v>CN_MOBILE Client2-NCKiểm thử</v>
      </c>
      <c r="E251" s="24">
        <v>10.5</v>
      </c>
    </row>
    <row r="252" spans="1:5" ht="78.75" x14ac:dyDescent="0.25">
      <c r="A252" s="6">
        <v>250</v>
      </c>
      <c r="B252" s="26" t="s">
        <v>170</v>
      </c>
      <c r="C252" s="25" t="s">
        <v>84</v>
      </c>
      <c r="D252" s="7" t="str">
        <f t="shared" si="3"/>
        <v>CN_MOBILE Client3-NCGiải pháp</v>
      </c>
      <c r="E252" s="24">
        <v>7.5</v>
      </c>
    </row>
    <row r="253" spans="1:5" ht="78.75" x14ac:dyDescent="0.25">
      <c r="A253" s="6">
        <v>251</v>
      </c>
      <c r="B253" s="26" t="s">
        <v>170</v>
      </c>
      <c r="C253" s="25" t="s">
        <v>85</v>
      </c>
      <c r="D253" s="7" t="str">
        <f t="shared" si="3"/>
        <v>CN_MOBILE Client3-NCPhát triển</v>
      </c>
      <c r="E253" s="24">
        <v>13</v>
      </c>
    </row>
    <row r="254" spans="1:5" ht="78.75" x14ac:dyDescent="0.25">
      <c r="A254" s="6">
        <v>252</v>
      </c>
      <c r="B254" s="26" t="s">
        <v>170</v>
      </c>
      <c r="C254" s="25" t="s">
        <v>86</v>
      </c>
      <c r="D254" s="7" t="str">
        <f t="shared" si="3"/>
        <v>CN_MOBILE Client3-NCKiểm thử</v>
      </c>
      <c r="E254" s="24">
        <v>18</v>
      </c>
    </row>
    <row r="255" spans="1:5" ht="78.75" x14ac:dyDescent="0.25">
      <c r="A255" s="6">
        <v>253</v>
      </c>
      <c r="B255" s="26" t="s">
        <v>171</v>
      </c>
      <c r="C255" s="25" t="s">
        <v>84</v>
      </c>
      <c r="D255" s="7" t="str">
        <f t="shared" si="3"/>
        <v>CN_MOBILE Server1-NCGiải pháp</v>
      </c>
      <c r="E255" s="24">
        <v>2</v>
      </c>
    </row>
    <row r="256" spans="1:5" ht="78.75" x14ac:dyDescent="0.25">
      <c r="A256" s="6">
        <v>254</v>
      </c>
      <c r="B256" s="26" t="s">
        <v>171</v>
      </c>
      <c r="C256" s="25" t="s">
        <v>85</v>
      </c>
      <c r="D256" s="7" t="str">
        <f t="shared" si="3"/>
        <v>CN_MOBILE Server1-NCPhát triển</v>
      </c>
      <c r="E256" s="24">
        <v>3.5</v>
      </c>
    </row>
    <row r="257" spans="1:5" ht="78.75" x14ac:dyDescent="0.25">
      <c r="A257" s="6">
        <v>255</v>
      </c>
      <c r="B257" s="26" t="s">
        <v>171</v>
      </c>
      <c r="C257" s="25" t="s">
        <v>86</v>
      </c>
      <c r="D257" s="7" t="str">
        <f t="shared" si="3"/>
        <v>CN_MOBILE Server1-NCKiểm thử</v>
      </c>
      <c r="E257" s="24">
        <v>4</v>
      </c>
    </row>
    <row r="258" spans="1:5" ht="78.75" x14ac:dyDescent="0.25">
      <c r="A258" s="6">
        <v>256</v>
      </c>
      <c r="B258" s="26" t="s">
        <v>172</v>
      </c>
      <c r="C258" s="25" t="s">
        <v>84</v>
      </c>
      <c r="D258" s="7" t="str">
        <f t="shared" si="3"/>
        <v>CN_MOBILE Server2-NCGiải pháp</v>
      </c>
      <c r="E258" s="24">
        <v>4</v>
      </c>
    </row>
    <row r="259" spans="1:5" ht="78.75" x14ac:dyDescent="0.25">
      <c r="A259" s="6">
        <v>257</v>
      </c>
      <c r="B259" s="26" t="s">
        <v>172</v>
      </c>
      <c r="C259" s="25" t="s">
        <v>85</v>
      </c>
      <c r="D259" s="7" t="str">
        <f t="shared" si="3"/>
        <v>CN_MOBILE Server2-NCPhát triển</v>
      </c>
      <c r="E259" s="24">
        <v>7.5</v>
      </c>
    </row>
    <row r="260" spans="1:5" ht="78.75" x14ac:dyDescent="0.25">
      <c r="A260" s="6">
        <v>258</v>
      </c>
      <c r="B260" s="26" t="s">
        <v>172</v>
      </c>
      <c r="C260" s="25" t="s">
        <v>86</v>
      </c>
      <c r="D260" s="7" t="str">
        <f t="shared" si="3"/>
        <v>CN_MOBILE Server2-NCKiểm thử</v>
      </c>
      <c r="E260" s="24">
        <v>9</v>
      </c>
    </row>
    <row r="261" spans="1:5" ht="78.75" x14ac:dyDescent="0.25">
      <c r="A261" s="6">
        <v>259</v>
      </c>
      <c r="B261" s="26" t="s">
        <v>173</v>
      </c>
      <c r="C261" s="25" t="s">
        <v>84</v>
      </c>
      <c r="D261" s="7" t="str">
        <f>B261&amp;C261</f>
        <v>CN_MOBILE Server3-NCGiải pháp</v>
      </c>
      <c r="E261" s="24">
        <v>7.5</v>
      </c>
    </row>
    <row r="262" spans="1:5" ht="78.75" x14ac:dyDescent="0.25">
      <c r="A262" s="6">
        <v>260</v>
      </c>
      <c r="B262" s="26" t="s">
        <v>173</v>
      </c>
      <c r="C262" s="25" t="s">
        <v>85</v>
      </c>
      <c r="D262" s="7" t="str">
        <f>B262&amp;C262</f>
        <v>CN_MOBILE Server3-NCPhát triển</v>
      </c>
      <c r="E262" s="24">
        <v>13</v>
      </c>
    </row>
    <row r="263" spans="1:5" ht="78.75" x14ac:dyDescent="0.25">
      <c r="A263" s="6">
        <v>261</v>
      </c>
      <c r="B263" s="26" t="s">
        <v>173</v>
      </c>
      <c r="C263" s="25" t="s">
        <v>86</v>
      </c>
      <c r="D263" s="7" t="str">
        <f>B263&amp;C263</f>
        <v>CN_MOBILE Server3-NCKiểm thử</v>
      </c>
      <c r="E263" s="24">
        <v>18</v>
      </c>
    </row>
    <row r="264" spans="1:5" ht="63" x14ac:dyDescent="0.25">
      <c r="A264" s="6">
        <v>262</v>
      </c>
      <c r="B264" s="23" t="s">
        <v>174</v>
      </c>
      <c r="C264" s="23" t="s">
        <v>175</v>
      </c>
      <c r="D264" s="7" t="str">
        <f>B264&amp;C264</f>
        <v>UNITTESTNỗ lực unit Test</v>
      </c>
      <c r="E264" s="24" t="s">
        <v>176</v>
      </c>
    </row>
  </sheetData>
  <mergeCells count="5">
    <mergeCell ref="A1:A2"/>
    <mergeCell ref="B1:B2"/>
    <mergeCell ref="C1:C2"/>
    <mergeCell ref="E1:E2"/>
    <mergeCell ref="D1:D2"/>
  </mergeCell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6D06C-65D2-49A7-9D12-5D736E72EF54}">
  <dimension ref="A1:D39"/>
  <sheetViews>
    <sheetView topLeftCell="A7" workbookViewId="0">
      <selection activeCell="C33" sqref="C33"/>
    </sheetView>
  </sheetViews>
  <sheetFormatPr defaultRowHeight="15" x14ac:dyDescent="0.25"/>
  <cols>
    <col min="1" max="1" width="9.140625" style="1"/>
    <col min="2" max="2" width="28.85546875" style="1" customWidth="1"/>
    <col min="3" max="3" width="40" style="1" customWidth="1"/>
    <col min="4" max="4" width="21.140625" style="1" customWidth="1"/>
    <col min="5" max="16384" width="9.140625" style="1"/>
  </cols>
  <sheetData>
    <row r="1" spans="1:4" x14ac:dyDescent="0.25">
      <c r="A1" s="1" t="s">
        <v>10</v>
      </c>
      <c r="B1" s="1" t="s">
        <v>7</v>
      </c>
      <c r="C1" s="1" t="s">
        <v>8</v>
      </c>
      <c r="D1" s="1" t="s">
        <v>3</v>
      </c>
    </row>
    <row r="2" spans="1:4" x14ac:dyDescent="0.25">
      <c r="A2" s="1" t="s">
        <v>11</v>
      </c>
      <c r="B2" s="1" t="s">
        <v>9</v>
      </c>
      <c r="C2" s="1" t="s">
        <v>12</v>
      </c>
      <c r="D2" s="1" t="s">
        <v>4</v>
      </c>
    </row>
    <row r="3" spans="1:4" x14ac:dyDescent="0.25">
      <c r="D3" s="1" t="s">
        <v>13</v>
      </c>
    </row>
    <row r="4" spans="1:4" x14ac:dyDescent="0.25">
      <c r="D4" s="1" t="s">
        <v>6</v>
      </c>
    </row>
    <row r="5" spans="1:4" x14ac:dyDescent="0.25">
      <c r="B5" s="1" t="s">
        <v>14</v>
      </c>
      <c r="C5" s="1" t="s">
        <v>19</v>
      </c>
      <c r="D5" s="1" t="s">
        <v>6</v>
      </c>
    </row>
    <row r="6" spans="1:4" x14ac:dyDescent="0.25">
      <c r="B6" s="1" t="s">
        <v>15</v>
      </c>
      <c r="C6" s="1" t="s">
        <v>18</v>
      </c>
      <c r="D6" s="1" t="s">
        <v>6</v>
      </c>
    </row>
    <row r="7" spans="1:4" x14ac:dyDescent="0.25">
      <c r="D7" s="1" t="s">
        <v>5</v>
      </c>
    </row>
    <row r="8" spans="1:4" x14ac:dyDescent="0.25">
      <c r="D8" s="1" t="s">
        <v>16</v>
      </c>
    </row>
    <row r="9" spans="1:4" ht="30" x14ac:dyDescent="0.25">
      <c r="B9" s="1" t="s">
        <v>17</v>
      </c>
      <c r="C9" s="1" t="s">
        <v>20</v>
      </c>
      <c r="D9" s="1" t="s">
        <v>16</v>
      </c>
    </row>
    <row r="10" spans="1:4" x14ac:dyDescent="0.25">
      <c r="D10" s="1" t="s">
        <v>21</v>
      </c>
    </row>
    <row r="11" spans="1:4" x14ac:dyDescent="0.25">
      <c r="D11" s="1" t="s">
        <v>6</v>
      </c>
    </row>
    <row r="12" spans="1:4" x14ac:dyDescent="0.25">
      <c r="D12" s="1" t="s">
        <v>26</v>
      </c>
    </row>
    <row r="13" spans="1:4" ht="30" x14ac:dyDescent="0.25">
      <c r="B13" s="1" t="s">
        <v>22</v>
      </c>
      <c r="C13" s="1" t="s">
        <v>23</v>
      </c>
      <c r="D13" s="1" t="s">
        <v>16</v>
      </c>
    </row>
    <row r="14" spans="1:4" x14ac:dyDescent="0.25">
      <c r="D14" s="1" t="s">
        <v>21</v>
      </c>
    </row>
    <row r="15" spans="1:4" x14ac:dyDescent="0.25">
      <c r="D15" s="1" t="s">
        <v>24</v>
      </c>
    </row>
    <row r="16" spans="1:4" x14ac:dyDescent="0.25">
      <c r="D16" s="1" t="s">
        <v>6</v>
      </c>
    </row>
    <row r="17" spans="2:4" x14ac:dyDescent="0.25">
      <c r="D17" s="1" t="s">
        <v>25</v>
      </c>
    </row>
    <row r="18" spans="2:4" x14ac:dyDescent="0.25">
      <c r="D18" s="1" t="s">
        <v>26</v>
      </c>
    </row>
    <row r="19" spans="2:4" ht="30" x14ac:dyDescent="0.25">
      <c r="B19" s="1" t="s">
        <v>27</v>
      </c>
      <c r="C19" s="1" t="s">
        <v>28</v>
      </c>
      <c r="D19" s="1" t="s">
        <v>6</v>
      </c>
    </row>
    <row r="20" spans="2:4" x14ac:dyDescent="0.25">
      <c r="D20" s="1" t="s">
        <v>29</v>
      </c>
    </row>
    <row r="21" spans="2:4" x14ac:dyDescent="0.25">
      <c r="D21" s="1" t="s">
        <v>25</v>
      </c>
    </row>
    <row r="22" spans="2:4" x14ac:dyDescent="0.25">
      <c r="D22" s="1" t="s">
        <v>4</v>
      </c>
    </row>
    <row r="23" spans="2:4" x14ac:dyDescent="0.25">
      <c r="D23" s="1" t="s">
        <v>16</v>
      </c>
    </row>
    <row r="24" spans="2:4" ht="30" x14ac:dyDescent="0.25">
      <c r="B24" s="1" t="s">
        <v>30</v>
      </c>
      <c r="C24" s="1" t="s">
        <v>31</v>
      </c>
      <c r="D24" s="1" t="s">
        <v>26</v>
      </c>
    </row>
    <row r="25" spans="2:4" x14ac:dyDescent="0.25">
      <c r="D25" s="1" t="s">
        <v>16</v>
      </c>
    </row>
    <row r="26" spans="2:4" x14ac:dyDescent="0.25">
      <c r="D26" s="1" t="s">
        <v>21</v>
      </c>
    </row>
    <row r="27" spans="2:4" x14ac:dyDescent="0.25">
      <c r="D27" s="1" t="s">
        <v>6</v>
      </c>
    </row>
    <row r="28" spans="2:4" x14ac:dyDescent="0.25">
      <c r="B28" s="1" t="s">
        <v>32</v>
      </c>
      <c r="C28" s="1" t="s">
        <v>33</v>
      </c>
      <c r="D28" s="1" t="s">
        <v>26</v>
      </c>
    </row>
    <row r="29" spans="2:4" x14ac:dyDescent="0.25">
      <c r="D29" s="1" t="s">
        <v>24</v>
      </c>
    </row>
    <row r="30" spans="2:4" x14ac:dyDescent="0.25">
      <c r="D30" s="1" t="s">
        <v>25</v>
      </c>
    </row>
    <row r="31" spans="2:4" x14ac:dyDescent="0.25">
      <c r="D31" s="1" t="s">
        <v>6</v>
      </c>
    </row>
    <row r="32" spans="2:4" x14ac:dyDescent="0.25">
      <c r="D32" s="1" t="s">
        <v>4</v>
      </c>
    </row>
    <row r="33" spans="2:4" ht="30" x14ac:dyDescent="0.25">
      <c r="B33" s="1" t="s">
        <v>34</v>
      </c>
      <c r="C33" s="1" t="s">
        <v>35</v>
      </c>
      <c r="D33" s="1" t="s">
        <v>26</v>
      </c>
    </row>
    <row r="34" spans="2:4" x14ac:dyDescent="0.25">
      <c r="B34" s="1" t="s">
        <v>36</v>
      </c>
      <c r="C34" s="1" t="s">
        <v>37</v>
      </c>
      <c r="D34" s="1" t="s">
        <v>38</v>
      </c>
    </row>
    <row r="35" spans="2:4" x14ac:dyDescent="0.25">
      <c r="D35" s="1" t="s">
        <v>4</v>
      </c>
    </row>
    <row r="36" spans="2:4" x14ac:dyDescent="0.25">
      <c r="D36" s="1" t="s">
        <v>26</v>
      </c>
    </row>
    <row r="37" spans="2:4" x14ac:dyDescent="0.25">
      <c r="D37" s="1" t="s">
        <v>25</v>
      </c>
    </row>
    <row r="38" spans="2:4" x14ac:dyDescent="0.25">
      <c r="D38" s="1" t="s">
        <v>39</v>
      </c>
    </row>
    <row r="39" spans="2:4" x14ac:dyDescent="0.25">
      <c r="D39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Phân rã chức năng</vt:lpstr>
      <vt:lpstr>Sheet1</vt:lpstr>
      <vt:lpstr>Quy trình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Thị Lan Anh (280298)</dc:creator>
  <cp:lastModifiedBy>Vũ Thị Lan Anh (280298)</cp:lastModifiedBy>
  <dcterms:created xsi:type="dcterms:W3CDTF">2025-08-05T04:17:14Z</dcterms:created>
  <dcterms:modified xsi:type="dcterms:W3CDTF">2025-08-06T10:09:03Z</dcterms:modified>
</cp:coreProperties>
</file>